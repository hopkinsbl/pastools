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6"/>
  <workbookPr codeName="ThisWorkbook"/>
  <mc:AlternateContent xmlns:mc="http://schemas.openxmlformats.org/markup-compatibility/2006">
    <mc:Choice Requires="x15">
      <x15ac:absPath xmlns:x15ac="http://schemas.microsoft.com/office/spreadsheetml/2010/11/ac" url="https://pastechptyltd.sharepoint.com/sites/2955/Shared Documents/2955 - Primero - Greenfields/01 - Officially Issued Reference Documents/04 - F16 - Flotation/02 - Process Control Tables/"/>
    </mc:Choice>
  </mc:AlternateContent>
  <xr:revisionPtr revIDLastSave="48" documentId="8_{BA9D7E00-660B-4D86-9779-6DA06A900548}" xr6:coauthVersionLast="47" xr6:coauthVersionMax="47" xr10:uidLastSave="{255424A1-3D98-41A2-A938-643946746D37}"/>
  <bookViews>
    <workbookView minimized="1" xWindow="-24315" yWindow="1005" windowWidth="23775" windowHeight="13710" firstSheet="10" activeTab="3" xr2:uid="{A135DEDE-4CC8-40E3-AAF2-C51F25510268}"/>
  </bookViews>
  <sheets>
    <sheet name="Cover Page" sheetId="63" r:id="rId1"/>
    <sheet name="Revisions" sheetId="68" r:id="rId2"/>
    <sheet name="TOC" sheetId="48" r:id="rId3"/>
    <sheet name="1. Analogue Input" sheetId="39" r:id="rId4"/>
    <sheet name="2. Analogue Output" sheetId="73" r:id="rId5"/>
    <sheet name="3. Digital Input" sheetId="41" r:id="rId6"/>
    <sheet name="4. Digital Output" sheetId="74" r:id="rId7"/>
    <sheet name="5. Totalisers" sheetId="42" r:id="rId8"/>
    <sheet name="6. OnOff Valves" sheetId="43" r:id="rId9"/>
    <sheet name="7. Control Valves" sheetId="70" r:id="rId10"/>
    <sheet name="8. PID Cont" sheetId="45" r:id="rId11"/>
    <sheet name="9. Drives" sheetId="66" r:id="rId12"/>
    <sheet name="10. Sequence" sheetId="25" r:id="rId13"/>
    <sheet name="11. Calculation" sheetId="2" r:id="rId14"/>
    <sheet name="12. Misc" sheetId="77" r:id="rId15"/>
    <sheet name="13. Alarm Database" sheetId="92" r:id="rId16"/>
  </sheets>
  <externalReferences>
    <externalReference r:id="rId17"/>
  </externalReferences>
  <definedNames>
    <definedName name="__123Graph_A" hidden="1">#REF!</definedName>
    <definedName name="__123Graph_ACURRENT" hidden="1">#REF!</definedName>
    <definedName name="__123Graph_B" localSheetId="0" hidden="1">#REF!</definedName>
    <definedName name="__123Graph_B" localSheetId="1" hidden="1">#REF!</definedName>
    <definedName name="__123Graph_B" hidden="1">#REF!</definedName>
    <definedName name="__123Graph_BCURRENT" hidden="1">#REF!</definedName>
    <definedName name="__123Graph_C" localSheetId="0" hidden="1">#REF!</definedName>
    <definedName name="__123Graph_C" localSheetId="1"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1__123Graph_ACHART_1" hidden="1">#REF!</definedName>
    <definedName name="_10__123Graph_XCHART_5" hidden="1">#REF!</definedName>
    <definedName name="_2__123Graph_ACHART_3" hidden="1">#REF!</definedName>
    <definedName name="_3__123Graph_ACHART_4" hidden="1">#REF!</definedName>
    <definedName name="_4__123Graph_ACHART_5" hidden="1">#REF!</definedName>
    <definedName name="_5__123Graph_BCHART_1" hidden="1">#REF!</definedName>
    <definedName name="_6__123Graph_BCHART_4" hidden="1">#REF!</definedName>
    <definedName name="_7__123Graph_CCHART_1" hidden="1">#REF!</definedName>
    <definedName name="_8__123Graph_DCHART_1" hidden="1">#REF!</definedName>
    <definedName name="_9__123Graph_ECHART_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localSheetId="0" hidden="1">#REF!</definedName>
    <definedName name="_Fill" localSheetId="1" hidden="1">#REF!</definedName>
    <definedName name="_Fill" hidden="1">#REF!</definedName>
    <definedName name="_filll" hidden="1">#REF!</definedName>
    <definedName name="_Filltest" localSheetId="0" hidden="1">#REF!</definedName>
    <definedName name="_Filltest" localSheetId="1" hidden="1">#REF!</definedName>
    <definedName name="_Filltest" hidden="1">#REF!</definedName>
    <definedName name="_xlnm._FilterDatabase" localSheetId="3" hidden="1">'1. Analogue Input'!$E$5:$AN$243</definedName>
    <definedName name="_xlnm._FilterDatabase" localSheetId="14" hidden="1">'12. Misc'!$A$6:$J$45</definedName>
    <definedName name="_xlnm._FilterDatabase" localSheetId="15" hidden="1">'13. Alarm Database'!$A$6:$N$654</definedName>
    <definedName name="_xlnm._FilterDatabase" localSheetId="4" hidden="1">'2. Analogue Output'!$A$6:$O$7</definedName>
    <definedName name="_xlnm._FilterDatabase" localSheetId="5" hidden="1">'3. Digital Input'!$E$6:$R$486</definedName>
    <definedName name="_xlnm._FilterDatabase" localSheetId="6" hidden="1">'4. Digital Output'!$A$6:$P$22</definedName>
    <definedName name="_xlnm._FilterDatabase" localSheetId="7" hidden="1">'5. Totalisers'!$E$6:$P$11</definedName>
    <definedName name="_xlnm._FilterDatabase" localSheetId="8" hidden="1">'6. OnOff Valves'!$E$6:$X$183</definedName>
    <definedName name="_xlnm._FilterDatabase" localSheetId="9" hidden="1">'7. Control Valves'!$E$6:$Z$54</definedName>
    <definedName name="_xlnm._FilterDatabase" localSheetId="10" hidden="1">'8. PID Cont'!$A$6:$BB$59</definedName>
    <definedName name="_xlnm._FilterDatabase" localSheetId="11" hidden="1">'9. Drives'!$A$6:$Z$889</definedName>
    <definedName name="_xlnm._FilterDatabase" localSheetId="0" hidden="1">#REF!</definedName>
    <definedName name="_xlnm._FilterDatabase" localSheetId="1" hidden="1">#REF!</definedName>
    <definedName name="_xlnm._FilterDatabase" hidden="1">#REF!</definedName>
    <definedName name="_FilterDatabase2" localSheetId="0" hidden="1">#REF!</definedName>
    <definedName name="_FilterDatabase2" localSheetId="1" hidden="1">#REF!</definedName>
    <definedName name="_FilterDatabase2" hidden="1">#REF!</definedName>
    <definedName name="_FilterDatabase22" hidden="1">#REF!</definedName>
    <definedName name="_FilterDatabase3" localSheetId="0" hidden="1">#REF!</definedName>
    <definedName name="_FilterDatabase3" localSheetId="1" hidden="1">#REF!</definedName>
    <definedName name="_FilterDatabase3" hidden="1">#REF!</definedName>
    <definedName name="_FilterDB" hidden="1">#REF!</definedName>
    <definedName name="_Key1" localSheetId="0" hidden="1">#REF!</definedName>
    <definedName name="_Key1" localSheetId="1" hidden="1">#REF!</definedName>
    <definedName name="_Key1" hidden="1">#REF!</definedName>
    <definedName name="_Key2" hidden="1">#REF!</definedName>
    <definedName name="_Order1" hidden="1">255</definedName>
    <definedName name="_Order2" hidden="1">0</definedName>
    <definedName name="_Parse_Out" hidden="1">#REF!</definedName>
    <definedName name="_Sort" localSheetId="0" hidden="1">#REF!</definedName>
    <definedName name="_Sort" localSheetId="1" hidden="1">#REF!</definedName>
    <definedName name="_Sort" hidden="1">#REF!</definedName>
    <definedName name="anscount" hidden="1">2</definedName>
    <definedName name="ContextHelpID" localSheetId="14" hidden="1">#REF!</definedName>
    <definedName name="ContextHelpID" localSheetId="15" hidden="1">#REF!</definedName>
    <definedName name="ContextHelpID" localSheetId="0" hidden="1">#REF!</definedName>
    <definedName name="ContextHelpID" localSheetId="1" hidden="1">#REF!</definedName>
    <definedName name="ContextHelpID" hidden="1">#REF!</definedName>
    <definedName name="DDD" localSheetId="0" hidden="1">#REF!</definedName>
    <definedName name="DDD" localSheetId="1" hidden="1">#REF!</definedName>
    <definedName name="DDD" hidden="1">#REF!</definedName>
    <definedName name="DocumentTitle" localSheetId="0">'Cover Page'!$A$25</definedName>
    <definedName name="ExitStatus" localSheetId="14" hidden="1">#REF!</definedName>
    <definedName name="ExitStatus" localSheetId="15" hidden="1">#REF!</definedName>
    <definedName name="ExitStatus" localSheetId="0" hidden="1">#REF!</definedName>
    <definedName name="ExitStatus" localSheetId="1" hidden="1">#REF!</definedName>
    <definedName name="ExitStatus" hidden="1">#REF!</definedName>
    <definedName name="Expor" localSheetId="0" hidden="1">#REF!</definedName>
    <definedName name="Expor" localSheetId="1" hidden="1">#REF!</definedName>
    <definedName name="Expor" hidden="1">#REF!</definedName>
    <definedName name="limcount" hidden="1">1</definedName>
    <definedName name="Limnbarren_makeupRange" localSheetId="14" hidden="1">#REF!</definedName>
    <definedName name="Limnbarren_makeupRange" localSheetId="15" hidden="1">#REF!</definedName>
    <definedName name="Limnbarren_makeupRange" localSheetId="0" hidden="1">#REF!</definedName>
    <definedName name="Limnbarren_makeupRange" localSheetId="1" hidden="1">#REF!</definedName>
    <definedName name="Limnbarren_makeupRange" hidden="1">#REF!</definedName>
    <definedName name="Limnbarren_solnRange" localSheetId="0" hidden="1">#REF!</definedName>
    <definedName name="Limnbarren_solnRange" localSheetId="1" hidden="1">#REF!</definedName>
    <definedName name="Limnbarren_solnRange" hidden="1">#REF!</definedName>
    <definedName name="Limndust_suppRange" localSheetId="0" hidden="1">#REF!</definedName>
    <definedName name="Limndust_suppRange" localSheetId="1" hidden="1">#REF!</definedName>
    <definedName name="Limndust_suppRange" hidden="1">#REF!</definedName>
    <definedName name="LimnFFFFRange" localSheetId="0" hidden="1">#REF!</definedName>
    <definedName name="LimnFFFFRange" localSheetId="1" hidden="1">#REF!</definedName>
    <definedName name="LimnFFFFRange" hidden="1">#REF!</definedName>
    <definedName name="Limninter_makeupRange" localSheetId="0" hidden="1">#REF!</definedName>
    <definedName name="Limninter_makeupRange" localSheetId="1" hidden="1">#REF!</definedName>
    <definedName name="Limninter_makeupRange" hidden="1">#REF!</definedName>
    <definedName name="Limninter_precipRange" localSheetId="0" hidden="1">#REF!</definedName>
    <definedName name="Limninter_precipRange" localSheetId="1" hidden="1">#REF!</definedName>
    <definedName name="Limninter_precipRange" hidden="1">#REF!</definedName>
    <definedName name="Limnlime_addRange" localSheetId="0" hidden="1">#REF!</definedName>
    <definedName name="Limnlime_addRange" localSheetId="1" hidden="1">#REF!</definedName>
    <definedName name="Limnlime_addRange" hidden="1">#REF!</definedName>
    <definedName name="LimnPPP1Range" localSheetId="0" hidden="1">#REF!</definedName>
    <definedName name="LimnPPP1Range" localSheetId="1" hidden="1">#REF!</definedName>
    <definedName name="LimnPPP1Range" hidden="1">#REF!</definedName>
    <definedName name="LimnPPP2Range" localSheetId="0" hidden="1">#REF!</definedName>
    <definedName name="LimnPPP2Range" localSheetId="1" hidden="1">#REF!</definedName>
    <definedName name="LimnPPP2Range" hidden="1">#REF!</definedName>
    <definedName name="LimnPPP3Range" localSheetId="0" hidden="1">#REF!</definedName>
    <definedName name="LimnPPP3Range" localSheetId="1" hidden="1">#REF!</definedName>
    <definedName name="LimnPPP3Range" hidden="1">#REF!</definedName>
    <definedName name="LimnPPP4Range" hidden="1">#REF!</definedName>
    <definedName name="LimnPPP5Range" hidden="1">#REF!</definedName>
    <definedName name="Limnpreg_precipRange" localSheetId="0" hidden="1">#REF!</definedName>
    <definedName name="Limnpreg_precipRange" localSheetId="1" hidden="1">#REF!</definedName>
    <definedName name="Limnpreg_precipRange" hidden="1">#REF!</definedName>
    <definedName name="LimnRomRange" localSheetId="0" hidden="1">#REF!</definedName>
    <definedName name="LimnRomRange" localSheetId="1" hidden="1">#REF!</definedName>
    <definedName name="LimnRomRange" hidden="1">#REF!</definedName>
    <definedName name="Limnspent_solnRange" localSheetId="0" hidden="1">#REF!</definedName>
    <definedName name="Limnspent_solnRange" localSheetId="1" hidden="1">#REF!</definedName>
    <definedName name="Limnspent_solnRange" hidden="1">#REF!</definedName>
    <definedName name="listBase" localSheetId="14" hidden="1">#REF!</definedName>
    <definedName name="listBase" localSheetId="15" hidden="1">#REF!</definedName>
    <definedName name="listBase" localSheetId="0" hidden="1">#REF!</definedName>
    <definedName name="listBase" localSheetId="1" hidden="1">#REF!</definedName>
    <definedName name="listBase" hidden="1">#REF!</definedName>
    <definedName name="ListSize" localSheetId="0" hidden="1">#REF!</definedName>
    <definedName name="ListSize" localSheetId="1" hidden="1">#REF!</definedName>
    <definedName name="ListSize" hidden="1">#REF!</definedName>
    <definedName name="NumberOfParameters" localSheetId="0" hidden="1">#REF!</definedName>
    <definedName name="NumberOfParameters" localSheetId="1" hidden="1">#REF!</definedName>
    <definedName name="NumberOfParameters" hidden="1">#REF!</definedName>
    <definedName name="ParameterNamesBase" localSheetId="0" hidden="1">#REF!</definedName>
    <definedName name="ParameterNamesBase" localSheetId="1" hidden="1">#REF!</definedName>
    <definedName name="ParameterNamesBase" hidden="1">#REF!</definedName>
    <definedName name="_xlnm.Print_Area" localSheetId="3">'1. Analogue Input'!$E$1:$AN$457</definedName>
    <definedName name="_xlnm.Print_Area" localSheetId="12">'10. Sequence'!$A$1:$L$12</definedName>
    <definedName name="_xlnm.Print_Area" localSheetId="13">'11. Calculation'!$A$1:$P$62</definedName>
    <definedName name="_xlnm.Print_Area" localSheetId="14">'12. Misc'!$A$1:$J$45</definedName>
    <definedName name="_xlnm.Print_Area" localSheetId="15">'13. Alarm Database'!$A$1:$N$653</definedName>
    <definedName name="_xlnm.Print_Area" localSheetId="4">'2. Analogue Output'!$E$1:$O$8</definedName>
    <definedName name="_xlnm.Print_Area" localSheetId="5">'3. Digital Input'!$E$1:$R$485</definedName>
    <definedName name="_xlnm.Print_Area" localSheetId="6">'4. Digital Output'!$E$1:$P$24</definedName>
    <definedName name="_xlnm.Print_Area" localSheetId="7">'5. Totalisers'!$E$1:$P$10</definedName>
    <definedName name="_xlnm.Print_Area" localSheetId="8">'6. OnOff Valves'!$E$1:$AA$180</definedName>
    <definedName name="_xlnm.Print_Area" localSheetId="9">'7. Control Valves'!$E$1:$AA$51</definedName>
    <definedName name="_xlnm.Print_Area" localSheetId="10">'8. PID Cont'!$E$1:$BB$58</definedName>
    <definedName name="_xlnm.Print_Area" localSheetId="11">'9. Drives'!$A$1:$Z$886</definedName>
    <definedName name="_xlnm.Print_Area" localSheetId="0">'Cover Page'!$A$1:$F$46</definedName>
    <definedName name="_xlnm.Print_Area" localSheetId="1">Revisions!$A$1:$F$25</definedName>
    <definedName name="_xlnm.Print_Area" localSheetId="2">TOC!$A$1:$X$25</definedName>
    <definedName name="_xlnm.Print_Area">#REF!</definedName>
    <definedName name="Print_Area_MI" localSheetId="0">#REF!</definedName>
    <definedName name="Print_Area_MI" localSheetId="1">#REF!</definedName>
    <definedName name="Print_Area_MI">#REF!</definedName>
    <definedName name="_xlnm.Print_Titles" localSheetId="3">'1. Analogue Input'!$1:$6</definedName>
    <definedName name="_xlnm.Print_Titles" localSheetId="12">'10. Sequence'!$1:$4</definedName>
    <definedName name="_xlnm.Print_Titles" localSheetId="13">'11. Calculation'!$1:$6</definedName>
    <definedName name="_xlnm.Print_Titles" localSheetId="14">'12. Misc'!$4:$6</definedName>
    <definedName name="_xlnm.Print_Titles" localSheetId="15">'13. Alarm Database'!$1:$6</definedName>
    <definedName name="_xlnm.Print_Titles" localSheetId="4">'2. Analogue Output'!$1:$6</definedName>
    <definedName name="_xlnm.Print_Titles" localSheetId="5">'3. Digital Input'!$1:$6</definedName>
    <definedName name="_xlnm.Print_Titles" localSheetId="6">'4. Digital Output'!$1:$6</definedName>
    <definedName name="_xlnm.Print_Titles" localSheetId="7">'5. Totalisers'!$1:$6</definedName>
    <definedName name="_xlnm.Print_Titles" localSheetId="8">'6. OnOff Valves'!$1:$6</definedName>
    <definedName name="_xlnm.Print_Titles" localSheetId="9">'7. Control Valves'!$1:$6</definedName>
    <definedName name="_xlnm.Print_Titles" localSheetId="10">'8. PID Cont'!$1:$6</definedName>
    <definedName name="_xlnm.Print_Titles" localSheetId="11">'9. Drives'!$1:$6</definedName>
    <definedName name="PROJDETAILS_PROJNO">LEFT('[1]Cover page'!$A$29,5)</definedName>
    <definedName name="ProjectTitle">'Cover Page'!$A$27</definedName>
    <definedName name="PRUEBA">#N/A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encount" hidden="1">1</definedName>
    <definedName name="Step1Dimensions" localSheetId="0" hidden="1">#REF!</definedName>
    <definedName name="Step1Dimensions" localSheetId="1" hidden="1">#REF!</definedName>
    <definedName name="Step1Dimensions" hidden="1">#REF!</definedName>
    <definedName name="Step2Manual" localSheetId="0" hidden="1">#REF!</definedName>
    <definedName name="Step2Manual" localSheetId="1" hidden="1">#REF!</definedName>
    <definedName name="Step2Manual" hidden="1">#REF!</definedName>
    <definedName name="Step2NumSizes" localSheetId="0" hidden="1">#REF!</definedName>
    <definedName name="Step2NumSizes" localSheetId="1" hidden="1">#REF!</definedName>
    <definedName name="Step2NumSizes" hidden="1">#REF!</definedName>
    <definedName name="Step2Ratio" localSheetId="0" hidden="1">#REF!</definedName>
    <definedName name="Step2Ratio" localSheetId="1" hidden="1">#REF!</definedName>
    <definedName name="Step2Ratio" hidden="1">#REF!</definedName>
    <definedName name="Step2TopSize" localSheetId="0" hidden="1">#REF!</definedName>
    <definedName name="Step2TopSize" localSheetId="1" hidden="1">#REF!</definedName>
    <definedName name="Step2TopSize" hidden="1">#REF!</definedName>
    <definedName name="Step2VertMassNames" localSheetId="0" hidden="1">#REF!</definedName>
    <definedName name="Step2VertMassNames" localSheetId="1" hidden="1">#REF!</definedName>
    <definedName name="Step2VertMassNames" hidden="1">#REF!</definedName>
    <definedName name="Step3LowSG" localSheetId="0" hidden="1">#REF!</definedName>
    <definedName name="Step3LowSG" localSheetId="1" hidden="1">#REF!</definedName>
    <definedName name="Step3LowSG" hidden="1">#REF!</definedName>
    <definedName name="Step3Manual" localSheetId="0" hidden="1">#REF!</definedName>
    <definedName name="Step3Manual" localSheetId="1" hidden="1">#REF!</definedName>
    <definedName name="Step3Manual" hidden="1">#REF!</definedName>
    <definedName name="Step3NumSGs" localSheetId="0" hidden="1">#REF!</definedName>
    <definedName name="Step3NumSGs" localSheetId="1" hidden="1">#REF!</definedName>
    <definedName name="Step3NumSGs" hidden="1">#REF!</definedName>
    <definedName name="Step3SGInterval" localSheetId="0" hidden="1">#REF!</definedName>
    <definedName name="Step3SGInterval" localSheetId="1" hidden="1">#REF!</definedName>
    <definedName name="Step3SGInterval" hidden="1">#REF!</definedName>
    <definedName name="Step4NumItems" localSheetId="0" hidden="1">#REF!</definedName>
    <definedName name="Step4NumItems" localSheetId="1" hidden="1">#REF!</definedName>
    <definedName name="Step4NumItems" hidden="1">#REF!</definedName>
    <definedName name="Step4StreamNames" localSheetId="0" hidden="1">#REF!</definedName>
    <definedName name="Step4StreamNames" localSheetId="1" hidden="1">#REF!</definedName>
    <definedName name="Step4StreamNames" hidden="1">#REF!</definedName>
    <definedName name="Step5NumItems" localSheetId="0" hidden="1">#REF!</definedName>
    <definedName name="Step5NumItems" localSheetId="1" hidden="1">#REF!</definedName>
    <definedName name="Step5NumItems" hidden="1">#REF!</definedName>
    <definedName name="Step5UnitNames" localSheetId="0" hidden="1">#REF!</definedName>
    <definedName name="Step5UnitNames" localSheetId="1" hidden="1">#REF!</definedName>
    <definedName name="Step5UnitNames" hidden="1">#REF!</definedName>
    <definedName name="Step6NumItems" localSheetId="0" hidden="1">#REF!</definedName>
    <definedName name="Step6NumItems" localSheetId="1" hidden="1">#REF!</definedName>
    <definedName name="Step6NumItems" hidden="1">#REF!</definedName>
    <definedName name="StreamSummaryLabels" localSheetId="14" hidden="1">#REF!</definedName>
    <definedName name="StreamSummaryLabels" localSheetId="15" hidden="1">#REF!</definedName>
    <definedName name="StreamSummaryLabels" localSheetId="0" hidden="1">#REF!</definedName>
    <definedName name="StreamSummaryLabels" localSheetId="1" hidden="1">#REF!</definedName>
    <definedName name="StreamSummaryLabels"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wrn.EXEC_1." localSheetId="14" hidden="1">{"EXEC",#N/A,TRUE,"Header";"EXEC_1",#N/A,TRUE,"Summary_1"}</definedName>
    <definedName name="wrn.EXEC_1." localSheetId="15" hidden="1">{"EXEC",#N/A,TRUE,"Header";"EXEC_1",#N/A,TRUE,"Summary_1"}</definedName>
    <definedName name="wrn.EXEC_1." localSheetId="11" hidden="1">{"EXEC",#N/A,TRUE,"Header";"EXEC_1",#N/A,TRUE,"Summary_1"}</definedName>
    <definedName name="wrn.EXEC_1." localSheetId="0" hidden="1">{"EXEC",#N/A,TRUE,"Header";"EXEC_1",#N/A,TRUE,"Summary_1"}</definedName>
    <definedName name="wrn.EXEC_1." localSheetId="1" hidden="1">{"EXEC",#N/A,TRUE,"Header";"EXEC_1",#N/A,TRUE,"Summary_1"}</definedName>
    <definedName name="wrn.EXEC_1." hidden="1">{"EXEC",#N/A,TRUE,"Header";"EXEC_1",#N/A,TRUE,"Summary_1"}</definedName>
    <definedName name="wrn.EXEC_2." localSheetId="14" hidden="1">{"EXEC",#N/A,FALSE,"Header";"EXEC_2",#N/A,FALSE,"Summary_2"}</definedName>
    <definedName name="wrn.EXEC_2." localSheetId="15" hidden="1">{"EXEC",#N/A,FALSE,"Header";"EXEC_2",#N/A,FALSE,"Summary_2"}</definedName>
    <definedName name="wrn.EXEC_2." localSheetId="11" hidden="1">{"EXEC",#N/A,FALSE,"Header";"EXEC_2",#N/A,FALSE,"Summary_2"}</definedName>
    <definedName name="wrn.EXEC_2." localSheetId="0" hidden="1">{"EXEC",#N/A,FALSE,"Header";"EXEC_2",#N/A,FALSE,"Summary_2"}</definedName>
    <definedName name="wrn.EXEC_2." localSheetId="1" hidden="1">{"EXEC",#N/A,FALSE,"Header";"EXEC_2",#N/A,FALSE,"Summary_2"}</definedName>
    <definedName name="wrn.EXEC_2." hidden="1">{"EXEC",#N/A,FALSE,"Header";"EXEC_2",#N/A,FALSE,"Summary_2"}</definedName>
    <definedName name="wrn.EXEC_3." localSheetId="14" hidden="1">{"EXEC",#N/A,FALSE,"Header";"EXEC_3",#N/A,FALSE,"Summary_3"}</definedName>
    <definedName name="wrn.EXEC_3." localSheetId="15" hidden="1">{"EXEC",#N/A,FALSE,"Header";"EXEC_3",#N/A,FALSE,"Summary_3"}</definedName>
    <definedName name="wrn.EXEC_3." localSheetId="11" hidden="1">{"EXEC",#N/A,FALSE,"Header";"EXEC_3",#N/A,FALSE,"Summary_3"}</definedName>
    <definedName name="wrn.EXEC_3." localSheetId="0" hidden="1">{"EXEC",#N/A,FALSE,"Header";"EXEC_3",#N/A,FALSE,"Summary_3"}</definedName>
    <definedName name="wrn.EXEC_3." localSheetId="1" hidden="1">{"EXEC",#N/A,FALSE,"Header";"EXEC_3",#N/A,FALSE,"Summary_3"}</definedName>
    <definedName name="wrn.EXEC_3." hidden="1">{"EXEC",#N/A,FALSE,"Header";"EXEC_3",#N/A,FALSE,"Summary_3"}</definedName>
    <definedName name="wrn.EXEC_4." localSheetId="14" hidden="1">{"EXEC",#N/A,FALSE,"Header";"EXEC_4",#N/A,FALSE,"Summary_4"}</definedName>
    <definedName name="wrn.EXEC_4." localSheetId="15" hidden="1">{"EXEC",#N/A,FALSE,"Header";"EXEC_4",#N/A,FALSE,"Summary_4"}</definedName>
    <definedName name="wrn.EXEC_4." localSheetId="11" hidden="1">{"EXEC",#N/A,FALSE,"Header";"EXEC_4",#N/A,FALSE,"Summary_4"}</definedName>
    <definedName name="wrn.EXEC_4." localSheetId="0" hidden="1">{"EXEC",#N/A,FALSE,"Header";"EXEC_4",#N/A,FALSE,"Summary_4"}</definedName>
    <definedName name="wrn.EXEC_4." localSheetId="1" hidden="1">{"EXEC",#N/A,FALSE,"Header";"EXEC_4",#N/A,FALSE,"Summary_4"}</definedName>
    <definedName name="wrn.EXEC_4." hidden="1">{"EXEC",#N/A,FALSE,"Header";"EXEC_4",#N/A,FALSE,"Summary_4"}</definedName>
    <definedName name="x" localSheetId="14" hidden="1">{"EXEC",#N/A,TRUE,"Header";"EXEC_1",#N/A,TRUE,"Summary_1"}</definedName>
    <definedName name="x" localSheetId="15" hidden="1">{"EXEC",#N/A,TRUE,"Header";"EXEC_1",#N/A,TRUE,"Summary_1"}</definedName>
    <definedName name="x" localSheetId="11" hidden="1">{"EXEC",#N/A,TRUE,"Header";"EXEC_1",#N/A,TRUE,"Summary_1"}</definedName>
    <definedName name="x" localSheetId="0" hidden="1">#REF!</definedName>
    <definedName name="x" localSheetId="1" hidden="1">#REF!</definedName>
    <definedName name="x" hidden="1">{"EXEC",#N/A,TRUE,"Header";"EXEC_1",#N/A,TRUE,"Summary_1"}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68" l="1"/>
  <c r="A5" i="68"/>
  <c r="F17" i="68"/>
  <c r="F489" i="41" l="1"/>
  <c r="E489" i="41"/>
  <c r="E460" i="39"/>
  <c r="F6" i="48" s="1"/>
  <c r="F28" i="74" l="1"/>
  <c r="E28" i="74"/>
  <c r="A47" i="77"/>
  <c r="F460" i="39" l="1"/>
  <c r="A1" i="77" l="1" a="1"/>
  <c r="A1" i="77" s="1"/>
  <c r="M9" i="48" l="1"/>
  <c r="M8" i="48"/>
  <c r="M7" i="48"/>
  <c r="M6" i="48"/>
  <c r="F17" i="48" l="1"/>
  <c r="A3" i="77"/>
  <c r="A2" i="77"/>
  <c r="F16" i="48"/>
  <c r="F15" i="48"/>
  <c r="F14" i="48"/>
  <c r="F13" i="48"/>
  <c r="E54" i="70"/>
  <c r="F12" i="48" s="1"/>
  <c r="F11" i="48"/>
  <c r="F10" i="48"/>
  <c r="F9" i="48"/>
  <c r="F8" i="48"/>
  <c r="F11" i="73"/>
  <c r="E11" i="73"/>
  <c r="F7" i="48" s="1"/>
  <c r="E3" i="73"/>
  <c r="E2" i="73"/>
  <c r="E1" i="73"/>
  <c r="A3" i="48"/>
  <c r="A2" i="48"/>
  <c r="A1" i="48"/>
  <c r="F18" i="48" l="1"/>
  <c r="M10" i="4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<sst xmlns="http://schemas.openxmlformats.org/spreadsheetml/2006/main" count="20866" uniqueCount="6363">
  <si>
    <t>PROCESS CONTROL TABLES - FLOTATION (F16, F17, F18)</t>
  </si>
  <si>
    <t>KCGM GROWTH PROJECT</t>
  </si>
  <si>
    <t>2000-F16-LST-PR-10001</t>
  </si>
  <si>
    <t>NORTHERN STAR RESOURCES LIMITED</t>
  </si>
  <si>
    <t>PRIMERO PROJECT NUMBER: 23517</t>
  </si>
  <si>
    <t>DATE</t>
  </si>
  <si>
    <t>REVISION</t>
  </si>
  <si>
    <t>STATUS</t>
  </si>
  <si>
    <t>PREPARED</t>
  </si>
  <si>
    <t>REVIEWED</t>
  </si>
  <si>
    <t>APPROVED</t>
  </si>
  <si>
    <t>Issued for Design</t>
  </si>
  <si>
    <t>J. Jones</t>
  </si>
  <si>
    <t>E. Wilmot</t>
  </si>
  <si>
    <t>D. Moltoni</t>
  </si>
  <si>
    <t>Reissued for Design</t>
  </si>
  <si>
    <t>J. Ho</t>
  </si>
  <si>
    <t>J. De Man</t>
  </si>
  <si>
    <t>F. Chua</t>
  </si>
  <si>
    <t>L. Stacey</t>
  </si>
  <si>
    <t>PROCESS CONTROL TABLES</t>
  </si>
  <si>
    <t>REVISION HISTORY</t>
  </si>
  <si>
    <t>Revision</t>
  </si>
  <si>
    <t>Document Changes</t>
  </si>
  <si>
    <t>Date</t>
  </si>
  <si>
    <t>A for Sequence Flowchart Review Only</t>
  </si>
  <si>
    <t>- Yellow highlight indicates TBC</t>
  </si>
  <si>
    <t>- Does not include the remainder of the Process Control Tables</t>
  </si>
  <si>
    <t>B for Internal Review</t>
  </si>
  <si>
    <t>C for Client Review</t>
  </si>
  <si>
    <t>0 for Design</t>
  </si>
  <si>
    <t>1 for Design</t>
  </si>
  <si>
    <t>- Revision 2 changes highlighted in light orange</t>
  </si>
  <si>
    <t>- Revision aligns with Rev 0 P&amp;IDs for Areas F16,17,18</t>
  </si>
  <si>
    <t>2 for Design</t>
  </si>
  <si>
    <t>Table of Contents</t>
  </si>
  <si>
    <t>Total</t>
  </si>
  <si>
    <t>Complete
(%)</t>
  </si>
  <si>
    <t>Alarms</t>
  </si>
  <si>
    <t>Priority</t>
  </si>
  <si>
    <t>Count</t>
  </si>
  <si>
    <t>%</t>
  </si>
  <si>
    <t>Abbreviations</t>
  </si>
  <si>
    <t>Analogue Inputs</t>
  </si>
  <si>
    <t>Urgent (Critical Failure)</t>
  </si>
  <si>
    <t>FC</t>
  </si>
  <si>
    <t>Fail closed</t>
  </si>
  <si>
    <t>Analogue Outputs</t>
  </si>
  <si>
    <t>High (Fault/Error)</t>
  </si>
  <si>
    <t>FO</t>
  </si>
  <si>
    <t>Fail open</t>
  </si>
  <si>
    <t>Digital Inputs</t>
  </si>
  <si>
    <t>Low (Warning)</t>
  </si>
  <si>
    <t>FL</t>
  </si>
  <si>
    <t>Fail last</t>
  </si>
  <si>
    <t>Digital Outputs</t>
  </si>
  <si>
    <t>Information/Event (Logging)</t>
  </si>
  <si>
    <t>LCP</t>
  </si>
  <si>
    <t>Local control panel</t>
  </si>
  <si>
    <t>Totalisers</t>
  </si>
  <si>
    <t>LCS</t>
  </si>
  <si>
    <t>Local control station</t>
  </si>
  <si>
    <t>On/Off Valves</t>
  </si>
  <si>
    <t>A_Lo</t>
  </si>
  <si>
    <t>Low alarm</t>
  </si>
  <si>
    <t>Control Valves</t>
  </si>
  <si>
    <t>A_Hi</t>
  </si>
  <si>
    <t>High alarm</t>
  </si>
  <si>
    <t>PID Controllers</t>
  </si>
  <si>
    <t>A_LL</t>
  </si>
  <si>
    <t>Low-Low alarm</t>
  </si>
  <si>
    <t>Drives &amp; Interlocks</t>
  </si>
  <si>
    <t>A_HH</t>
  </si>
  <si>
    <t>High-High alarm</t>
  </si>
  <si>
    <t>Sequences</t>
  </si>
  <si>
    <t>P_Lo</t>
  </si>
  <si>
    <t>Low process switchpoint</t>
  </si>
  <si>
    <t>Calculations</t>
  </si>
  <si>
    <t>P_Hi</t>
  </si>
  <si>
    <t>High process switchpoint</t>
  </si>
  <si>
    <t xml:space="preserve">Misc. </t>
  </si>
  <si>
    <t>P_LL</t>
  </si>
  <si>
    <t>Low-Low process switchpoint</t>
  </si>
  <si>
    <t>P_HH</t>
  </si>
  <si>
    <t>High-High process switchpoint</t>
  </si>
  <si>
    <t>OIT</t>
  </si>
  <si>
    <t>Operator interface terminal</t>
  </si>
  <si>
    <t>Range</t>
  </si>
  <si>
    <t>Instrument range</t>
  </si>
  <si>
    <t>SEQ</t>
  </si>
  <si>
    <t>Sequence</t>
  </si>
  <si>
    <t>TBA</t>
  </si>
  <si>
    <t>To be advised</t>
  </si>
  <si>
    <t>v</t>
  </si>
  <si>
    <t>Vendor controlled</t>
  </si>
  <si>
    <t>VTA</t>
  </si>
  <si>
    <t>Vendor to advise</t>
  </si>
  <si>
    <t>x</t>
  </si>
  <si>
    <t>PCS controlled</t>
  </si>
  <si>
    <t>ANALOGUE INSTRUMENTS (AI)</t>
  </si>
  <si>
    <t>Tag Source</t>
  </si>
  <si>
    <t>Tag Name</t>
  </si>
  <si>
    <t>P&amp;ID</t>
  </si>
  <si>
    <t>Description</t>
  </si>
  <si>
    <t>Abbreviated Description (Faceplate)</t>
  </si>
  <si>
    <t>Process Switchpoints</t>
  </si>
  <si>
    <t>Alarm Priority</t>
  </si>
  <si>
    <t>Area</t>
  </si>
  <si>
    <t>Type</t>
  </si>
  <si>
    <t>Loop No.</t>
  </si>
  <si>
    <t>Suffix</t>
  </si>
  <si>
    <t>Trend
(sec)</t>
  </si>
  <si>
    <t>Min</t>
  </si>
  <si>
    <t>Max</t>
  </si>
  <si>
    <t>Unit</t>
  </si>
  <si>
    <t>P_LL Delay ON (sec)</t>
  </si>
  <si>
    <t>P_LL Delay OFF (sec)</t>
  </si>
  <si>
    <t>P_Lo Delay ON (sec)</t>
  </si>
  <si>
    <t>P_Lo Delay OFF (sec)</t>
  </si>
  <si>
    <t>P_Hi Delay ON (sec)</t>
  </si>
  <si>
    <t>P_Hi Delay OFF (sec)</t>
  </si>
  <si>
    <t>P_HH Delay ON (sec)</t>
  </si>
  <si>
    <t>P_HH Delay OFF (sec)</t>
  </si>
  <si>
    <t>A_LL Delay (sec)</t>
  </si>
  <si>
    <t>A_Lo Delay (sec)</t>
  </si>
  <si>
    <t>A_Hi Delay (sec)</t>
  </si>
  <si>
    <t>A_HH Delay (sec)</t>
  </si>
  <si>
    <t>Alarm Masking Conditions</t>
  </si>
  <si>
    <t>Comments</t>
  </si>
  <si>
    <t>Rev</t>
  </si>
  <si>
    <t>FIT16001</t>
  </si>
  <si>
    <t>FI16001</t>
  </si>
  <si>
    <t>2000-F16-PID-PR-10001</t>
  </si>
  <si>
    <t>F16-CF-411 Rougher Flotation Cell 1 Process Water Flow Indicating Transmitter</t>
  </si>
  <si>
    <t>Flotation HP Prcss Water</t>
  </si>
  <si>
    <r>
      <t>m</t>
    </r>
    <r>
      <rPr>
        <vertAlign val="superscript"/>
        <sz val="11"/>
        <color rgb="FF0000FF"/>
        <rFont val="Arial"/>
        <family val="2"/>
      </rPr>
      <t>3</t>
    </r>
    <r>
      <rPr>
        <sz val="11"/>
        <color rgb="FF0000FF"/>
        <rFont val="Arial"/>
        <family val="2"/>
      </rPr>
      <t>/hr</t>
    </r>
  </si>
  <si>
    <t>DUTY F24PW417/418 NOT RUNNING</t>
  </si>
  <si>
    <t>Alarm setpoints to be confirmed during commissioning.
Alarm enabled delay of 20 seconds on HP Process Water Pump start-up (duration to be confirmed during commissioning).</t>
  </si>
  <si>
    <t>C</t>
  </si>
  <si>
    <t>PIT16012</t>
  </si>
  <si>
    <t>PI16012</t>
  </si>
  <si>
    <t>F16-CF-411 Rougher Flotation Cell 1 Low Pressure Air Pressure Transmitter</t>
  </si>
  <si>
    <t>F16CF411 Blower Air</t>
  </si>
  <si>
    <t>kPa(g)</t>
  </si>
  <si>
    <t>Duty F16BW401 AND 402 AND 403 AND 404 NOT RUNNING</t>
  </si>
  <si>
    <t>Nominal pressure: 104.5 kPa(g)
Maximum pressure: 119.7 kPa(g)
Alarm setpoints to be confirmed during commissioning.
Alarm enabled delay of 10 seconds during blower start-up.</t>
  </si>
  <si>
    <t>TT16014</t>
  </si>
  <si>
    <t>TI16014</t>
  </si>
  <si>
    <t>F16-CF-411 Rougher Flotation Cell 1 Gear Box Oil Temperature Transmitter</t>
  </si>
  <si>
    <t>F16CF411 G/Box Oil</t>
  </si>
  <si>
    <r>
      <rPr>
        <sz val="11"/>
        <color rgb="FF0000FF"/>
        <rFont val="Calibri"/>
        <family val="2"/>
      </rPr>
      <t>°</t>
    </r>
    <r>
      <rPr>
        <sz val="9.35"/>
        <color rgb="FF0000FF"/>
        <rFont val="Arial"/>
        <family val="2"/>
      </rPr>
      <t>C</t>
    </r>
  </si>
  <si>
    <r>
      <t xml:space="preserve">Source: 2000-ME001.4-F16-50001 and 2000-ME001.4-M02-50001. Hysteresis of 5 degrees for Alarm High High.
P_HH </t>
    </r>
    <r>
      <rPr>
        <u/>
        <sz val="11"/>
        <color rgb="FF0000FF"/>
        <rFont val="Arial"/>
        <family val="2"/>
      </rPr>
      <t>&gt;</t>
    </r>
    <r>
      <rPr>
        <sz val="11"/>
        <color rgb="FF0000FF"/>
        <rFont val="Arial"/>
        <family val="2"/>
      </rPr>
      <t xml:space="preserve"> F16-FN-497 turns on
P_Hi </t>
    </r>
    <r>
      <rPr>
        <u/>
        <sz val="11"/>
        <color rgb="FF0000FF"/>
        <rFont val="Arial"/>
        <family val="2"/>
      </rPr>
      <t>&lt;</t>
    </r>
    <r>
      <rPr>
        <sz val="11"/>
        <color rgb="FF0000FF"/>
        <rFont val="Arial"/>
        <family val="2"/>
      </rPr>
      <t xml:space="preserve"> F16-FN-497 turns off
P_Lo </t>
    </r>
    <r>
      <rPr>
        <u/>
        <sz val="11"/>
        <color rgb="FF0000FF"/>
        <rFont val="Arial"/>
        <family val="2"/>
      </rPr>
      <t>&gt;</t>
    </r>
    <r>
      <rPr>
        <sz val="11"/>
        <color rgb="FF0000FF"/>
        <rFont val="Arial"/>
        <family val="2"/>
      </rPr>
      <t xml:space="preserve"> F16-HT-562 and F16-HT-563 turns off
P_LL </t>
    </r>
    <r>
      <rPr>
        <u/>
        <sz val="11"/>
        <color rgb="FF0000FF"/>
        <rFont val="Arial"/>
        <family val="2"/>
      </rPr>
      <t>&lt;</t>
    </r>
    <r>
      <rPr>
        <sz val="11"/>
        <color rgb="FF0000FF"/>
        <rFont val="Arial"/>
        <family val="2"/>
      </rPr>
      <t xml:space="preserve"> F16-HT-562 and F16-HT-563 turns on
A_Hi </t>
    </r>
    <r>
      <rPr>
        <u/>
        <sz val="11"/>
        <color rgb="FF0000FF"/>
        <rFont val="Arial"/>
        <family val="2"/>
      </rPr>
      <t>&gt;</t>
    </r>
    <r>
      <rPr>
        <sz val="11"/>
        <color rgb="FF0000FF"/>
        <rFont val="Arial"/>
        <family val="2"/>
      </rPr>
      <t xml:space="preserve"> Alarm - inspection of gear unit required
A_HH </t>
    </r>
    <r>
      <rPr>
        <u/>
        <sz val="11"/>
        <color rgb="FF0000FF"/>
        <rFont val="Arial"/>
        <family val="2"/>
      </rPr>
      <t>&gt;</t>
    </r>
    <r>
      <rPr>
        <sz val="11"/>
        <color rgb="FF0000FF"/>
        <rFont val="Arial"/>
        <family val="2"/>
      </rPr>
      <t xml:space="preserve"> F16-AG-421 trips</t>
    </r>
  </si>
  <si>
    <t>PT16015</t>
  </si>
  <si>
    <t>PI16015</t>
  </si>
  <si>
    <t>F16-CF-411 Rougher Flotation Cell 1 Gear Box Oil Pressure Transmitter</t>
  </si>
  <si>
    <r>
      <t xml:space="preserve">Source: 2000-ME001.4-M02-50001.
A_HH &gt; Unit shutdown.
A_Hi &gt; Alarm - inspection of gearbox required
A_Lo </t>
    </r>
    <r>
      <rPr>
        <u/>
        <sz val="11"/>
        <color rgb="FF0000FF"/>
        <rFont val="Arial"/>
        <family val="2"/>
      </rPr>
      <t>&lt;</t>
    </r>
    <r>
      <rPr>
        <sz val="11"/>
        <color rgb="FF0000FF"/>
        <rFont val="Arial"/>
        <family val="2"/>
      </rPr>
      <t xml:space="preserve"> Alarm - inspection of gearbox required
A_LL </t>
    </r>
    <r>
      <rPr>
        <u/>
        <sz val="11"/>
        <color rgb="FF0000FF"/>
        <rFont val="Arial"/>
        <family val="2"/>
      </rPr>
      <t>&lt;</t>
    </r>
    <r>
      <rPr>
        <sz val="11"/>
        <color rgb="FF0000FF"/>
        <rFont val="Arial"/>
        <family val="2"/>
      </rPr>
      <t xml:space="preserve"> Agitator Trip
Alarm enabled delay of 10 seconds on start-up.</t>
    </r>
  </si>
  <si>
    <t>PDIT16018</t>
  </si>
  <si>
    <t>PDI16018</t>
  </si>
  <si>
    <t>F16-CF-411 Rougher Flotation Cell 1 Gear Box Filter Pressure Differential Transmitter</t>
  </si>
  <si>
    <t>F16CF411 G/Box Fltr Dlta</t>
  </si>
  <si>
    <t>Source: 2000-ME001.4-M02-50001.
Alarm enabled delay of 10 seconds on agitator start-up.</t>
  </si>
  <si>
    <t>VT16019</t>
  </si>
  <si>
    <t>VI16019</t>
  </si>
  <si>
    <t>F16-CF-411 Rougher Flotation Cell 1 Gear Box Vibration Transmitter</t>
  </si>
  <si>
    <t>F16CF411 G/Box</t>
  </si>
  <si>
    <t>mm/s</t>
  </si>
  <si>
    <t>VT16020</t>
  </si>
  <si>
    <t>VI16020</t>
  </si>
  <si>
    <t>F16-CF-411 Rougher Flotation Cell 1 Motor Vibration Transmitter</t>
  </si>
  <si>
    <t>F16CF411 Motor</t>
  </si>
  <si>
    <t>PIT16052</t>
  </si>
  <si>
    <t>PI16052</t>
  </si>
  <si>
    <t>2000-F16-PID-PR-10002</t>
  </si>
  <si>
    <t>F16-CF-412 Rougher Flotation Cell 2 Low Pressure Air Pressure Transmitter</t>
  </si>
  <si>
    <t>F16CF412 Blower Air</t>
  </si>
  <si>
    <t>TT16054</t>
  </si>
  <si>
    <t>TI16054</t>
  </si>
  <si>
    <t>F16-CF-412 Rougher Flotation Cell 2 Gear Box Oil Temperature Transmitter</t>
  </si>
  <si>
    <t>F16CF412 G/Box Oil</t>
  </si>
  <si>
    <t>Source: 2000-ME001.4-F16-50001 and 2000-ME001.4-M02-50001. Hysteresis of 5 degrees for Alarm High High.
P_HH &gt; F16-FN-498 turns on
P_Hi &lt; F16-FN-498 turns off
P_Lo &gt; F16-HT-564 and F16-HT-565 turns off
P_LL &lt; F16-HT-564 and F16-HT-565 turns on
A_Hi &gt; Alarm - inspection of gear unit required
A_HH &gt; F16-AG-422 trips</t>
  </si>
  <si>
    <t>PT16055</t>
  </si>
  <si>
    <t>PI16055</t>
  </si>
  <si>
    <t>F16-CF-412 Rougher Flotation Cell 2 Gear Box Oil Pressure Transmitter</t>
  </si>
  <si>
    <t>kPa</t>
  </si>
  <si>
    <t>B</t>
  </si>
  <si>
    <t>PDIT16058</t>
  </si>
  <si>
    <t>PDI16058</t>
  </si>
  <si>
    <t>F16-CF-412 Rougher Flotation Cell 2 Gear Box Filter Pressure Differential Transmitter</t>
  </si>
  <si>
    <t>F16CF412 G/Box Fltr Dlta</t>
  </si>
  <si>
    <t>VT16059</t>
  </si>
  <si>
    <t>VI16059</t>
  </si>
  <si>
    <t>F16-CF-412 Rougher Flotation Cell 2 Gear Box Vibration Transmitter</t>
  </si>
  <si>
    <t>F16CF412 G/Box</t>
  </si>
  <si>
    <t>VT16060</t>
  </si>
  <si>
    <t>VI16060</t>
  </si>
  <si>
    <t>F16-CF-412 Rougher Flotation Cell 2 Motor Vibration Transmitter</t>
  </si>
  <si>
    <t>F16CF412 Motor</t>
  </si>
  <si>
    <t>PIT16062</t>
  </si>
  <si>
    <t>PI16062</t>
  </si>
  <si>
    <t>F16-CF-413 Rougher Flotation Cell 3 Low Pressure Air Pressure Transmitter</t>
  </si>
  <si>
    <t>F16CF413 Blower Air</t>
  </si>
  <si>
    <t>TT16064</t>
  </si>
  <si>
    <t>TI16064</t>
  </si>
  <si>
    <t>F16-CF-413 Rougher Flotation Cell 3 Gear Box Oil Temperature Transmitter</t>
  </si>
  <si>
    <t>F16CF413 G/Box Oil</t>
  </si>
  <si>
    <t>Source: 2000-ME001.4-F16-50001 and 2000-ME001.4-M02-50001. Hysteresis of 5 degrees for Alarm High High.
P_HH &gt;= F16-FN-499 turns on
P_Hi &lt;= F16-FN-499 turns off
P_Lo &gt;= F16-HT-566 and F16-HT-567 turns off
P_LL &lt;= F16-HT-566 and F16-HT-567 turns on
A_Hi &gt;= Alarm - inspection of gear unit required
A_HH &gt;= F16-AG-423 trips</t>
  </si>
  <si>
    <t>PT16065</t>
  </si>
  <si>
    <t>PI16065</t>
  </si>
  <si>
    <t>F16-CF-413 Rougher Flotation Cell 3 Gear Box Oil Pressure Transmitter</t>
  </si>
  <si>
    <t>PDIT16068</t>
  </si>
  <si>
    <t>PDI16068</t>
  </si>
  <si>
    <t>F16-CF-413 Rougher Flotation Cell 3 Gear Box Filter Pressure Differential Transmitter</t>
  </si>
  <si>
    <t>F16CF413 G/Box Fltr Dlta</t>
  </si>
  <si>
    <t>VT16069</t>
  </si>
  <si>
    <t>VI16069</t>
  </si>
  <si>
    <t>F16-CF-413 Rougher Flotation Cell 3 Gear Box Vibration Transmitter</t>
  </si>
  <si>
    <t>F16CF413 G/Box</t>
  </si>
  <si>
    <t>VT16070</t>
  </si>
  <si>
    <t>VI16070</t>
  </si>
  <si>
    <t>F16-CF-413 Rougher Flotation Cell 3 Motor Vibration Transmitter</t>
  </si>
  <si>
    <t>F16CF413 Motor</t>
  </si>
  <si>
    <t>PIT16082</t>
  </si>
  <si>
    <t>PI16082</t>
  </si>
  <si>
    <t>2000-F16-PID-PR-10003</t>
  </si>
  <si>
    <t>F16-CF-414 Scavenger Flotation Cell 1 Low Pressure Air Pressure Indicating Transmitter</t>
  </si>
  <si>
    <t>F16CF414 Blower Air</t>
  </si>
  <si>
    <t>TT16084</t>
  </si>
  <si>
    <t>TI16084</t>
  </si>
  <si>
    <t>F16-CF-414 Scavenger Flotation Cell 1 Gear Box Oil Temperature Transmitter</t>
  </si>
  <si>
    <t>F16CF414 G/Box Oil</t>
  </si>
  <si>
    <t>Source: 2000-ME001.4-F16-50001 and 2000-ME001.4-M02-50001. Hysteresis of 5 degrees for Alarm High High.
P_HH &gt; F16-FN-500 turns on
P_Hi &lt; F16-FN-500 turns off
P_Lo &gt; F16-HT-568 and F16-HT-569 turns off
P_LL &lt; F16-HT-568 and F16-HT-569 turns on
A_Hi &gt; Alarm - inspection of gear unit required
A_HH &gt; F16-AG-424 trips</t>
  </si>
  <si>
    <t>PT16085</t>
  </si>
  <si>
    <t>PI16085</t>
  </si>
  <si>
    <t>F16-CF-414 Scavenger Flotation Cell 1 Gear Box Oil Pressure Transmitter</t>
  </si>
  <si>
    <t>PDIT16088</t>
  </si>
  <si>
    <t>PDI16088</t>
  </si>
  <si>
    <t>F16-CF-414 Scavenger Flotation Cell 1 Gear Box Filter Pressure Differential Transmitter</t>
  </si>
  <si>
    <t>F16CF414 G/Box Fltr Dlta</t>
  </si>
  <si>
    <t>VT16089</t>
  </si>
  <si>
    <t>VI16089</t>
  </si>
  <si>
    <t>F16-CF-414 Scavenger Flotation Cell 1 Gear Box Vibration Transmitter</t>
  </si>
  <si>
    <t>F16CF414 G/Box</t>
  </si>
  <si>
    <t>VT16090</t>
  </si>
  <si>
    <t>VI16090</t>
  </si>
  <si>
    <t>F16-CF-414 Scavenger Flotation Cell 1 Motor Vibration Transmitter</t>
  </si>
  <si>
    <t>F16CF414 Motor</t>
  </si>
  <si>
    <t>PIT16092</t>
  </si>
  <si>
    <t>PI16092</t>
  </si>
  <si>
    <t>F16-CF-415 Scavenger Flotation Cell 2 Low Pressure Air Pressure Indicating Transmitter</t>
  </si>
  <si>
    <t>F16CF415 Blower Air</t>
  </si>
  <si>
    <t>TT16094</t>
  </si>
  <si>
    <t>TI16094</t>
  </si>
  <si>
    <t>F16-CF-415 Scavenger Flotation Cell 2 Gear Box Oil Temperature Transmitter</t>
  </si>
  <si>
    <t>F16CF415 G/Box Oil</t>
  </si>
  <si>
    <t>Source: 2000-ME001.4-F16-50001 and 2000-ME001.4-M02-50001. Hysteresis of 5 degrees for Alarm High High.
P_HH &gt; F16-FN-501 turns on
P_Hi &lt; F16-FN-501 turns off
P_Lo &gt; F16-HT-570 and F16-HT-571 turns off
P_LL &lt; F16-HT-570 and F16-HT-571 turns on
A_Hi &gt; Alarm - inspection of gear unit required
A_HH &gt; F16-AG-425 trips</t>
  </si>
  <si>
    <t>PT16095</t>
  </si>
  <si>
    <t>PI16095</t>
  </si>
  <si>
    <t>F16-CF-415 Scavenger Flotation Cell 2 Gear Box Oil Pressure Transmitter</t>
  </si>
  <si>
    <r>
      <t xml:space="preserve">Source: 2000-ME001.4-M02-50001.
A_HH &gt; Unit shutdown.
A_Hi &gt; Alarm - inspection of gearbox required
A_Lo </t>
    </r>
    <r>
      <rPr>
        <u/>
        <sz val="11"/>
        <color rgb="FF0000FF"/>
        <rFont val="Arial"/>
        <family val="2"/>
      </rPr>
      <t>&lt;</t>
    </r>
    <r>
      <rPr>
        <sz val="11"/>
        <color rgb="FF0000FF"/>
        <rFont val="Arial"/>
        <family val="2"/>
      </rPr>
      <t xml:space="preserve"> Alarm - inspection of gearbox required
A_LL </t>
    </r>
    <r>
      <rPr>
        <u/>
        <sz val="11"/>
        <color rgb="FF0000FF"/>
        <rFont val="Arial"/>
        <family val="2"/>
      </rPr>
      <t>&lt;</t>
    </r>
    <r>
      <rPr>
        <sz val="11"/>
        <color rgb="FF0000FF"/>
        <rFont val="Arial"/>
        <family val="2"/>
      </rPr>
      <t xml:space="preserve"> Agitator Trip
Alarm enabled delay of 10 seconds on start-up.</t>
    </r>
  </si>
  <si>
    <t>PDIT16098</t>
  </si>
  <si>
    <t>PDI16098</t>
  </si>
  <si>
    <t>F16-CF-415 Scavenger Flotation Cell 2 Gear Box Filter Pressure Differential Transmitter</t>
  </si>
  <si>
    <t>F16CF415 G/Box Fltr Dlta</t>
  </si>
  <si>
    <t>VT16099</t>
  </si>
  <si>
    <t>VI16099</t>
  </si>
  <si>
    <t>F16-CF-415 Scavenger Flotation Cell 2 Gear Box Vibration Transmitter</t>
  </si>
  <si>
    <t>F16CF415 G/Box</t>
  </si>
  <si>
    <t>VT16100</t>
  </si>
  <si>
    <t>VI16100</t>
  </si>
  <si>
    <t>F16-CF-415 Scavenger Flotation Cell 2 Motor Vibration Transmitter</t>
  </si>
  <si>
    <t>F16CF415 Motor</t>
  </si>
  <si>
    <t>PIT16102</t>
  </si>
  <si>
    <t>PI16102</t>
  </si>
  <si>
    <t>F16-CF-416 Scavenger Flotation Cell 3 Low Pressure Air Pressure Indicating Transmitter</t>
  </si>
  <si>
    <t>F16CF416 Blower Air</t>
  </si>
  <si>
    <t>TT16104</t>
  </si>
  <si>
    <t>TI16104</t>
  </si>
  <si>
    <t>F16-CF-416 Scavenger Flotation Cell 3 Gear Box Oil Temperature Transmitter</t>
  </si>
  <si>
    <t>F16CF416 G/Box Oil</t>
  </si>
  <si>
    <t>Source: 2000-ME001.4-F16-50001 and 2000-ME001.4-M02-50001. Hysteresis of 5 degrees for Alarm High High.
P_HH &gt; F16-FN-502 turns on
P_Hi &lt; F16-FN-502 turns off
P_Lo &gt; F16-HT-572 and F16-HT-573 turns off
P_LL &lt; F16-HT-572 and F16-HT-573 turns on
A_Hi &gt; Alarm - inspection of gear unit required
A_HH &gt; F16-AG-426 trips</t>
  </si>
  <si>
    <t>PT16105</t>
  </si>
  <si>
    <t>PI16105</t>
  </si>
  <si>
    <t>F16-CF-416 Scavenger Flotation Cell 3 Gear Box Oil Pressure Transmitter</t>
  </si>
  <si>
    <t>PDIT16108</t>
  </si>
  <si>
    <t>PDI16108</t>
  </si>
  <si>
    <t>F16-CF-416 Scavenger Flotation Cell 3 Gear Box Filter Pressure Differential Transmitter</t>
  </si>
  <si>
    <t>F16CF416 G/Box Fltr Dlta</t>
  </si>
  <si>
    <t>VT16109</t>
  </si>
  <si>
    <t>VI16109</t>
  </si>
  <si>
    <t>F16-CF-416 Scavenger Flotation Cell 3 Gear Box Vibration Transmitter</t>
  </si>
  <si>
    <t>F16CF416 G/Box</t>
  </si>
  <si>
    <t>VT16110</t>
  </si>
  <si>
    <t>VI16110</t>
  </si>
  <si>
    <t>F16-CF-416 Scavenger Flotation Cell 3 Motor Vibration Transmitter</t>
  </si>
  <si>
    <t>F16CF416 Motor</t>
  </si>
  <si>
    <t>PIT16112</t>
  </si>
  <si>
    <t>PI16112</t>
  </si>
  <si>
    <t>F16-CF-417 Scavenger Flotation Cell 4 Low Pressure Air Pressure Indicating Transmitter</t>
  </si>
  <si>
    <t>F16CF417 Blower Air</t>
  </si>
  <si>
    <t>TT16114</t>
  </si>
  <si>
    <t>TI16114</t>
  </si>
  <si>
    <t>F16-CF-417 Scavenger Flotation Cell 4 Gear Box Temperature Transmitter</t>
  </si>
  <si>
    <t>F16CF417 G/Box Oil</t>
  </si>
  <si>
    <t>Source: 2000-ME001.4-F16-50001 and 2000-ME001.4-M02-50001. Hysteresis of 5 degrees for Alarm High High.
P_HH &gt; F16-FN-503 turns on
P_Hi &lt; F16-FN-503 turns off
P_Lo &gt; F16-HT-574 and F16-HT-575 turns off
P_LL &lt; F16-HT-574 and F16-HT-575 turns on
A_Hi &gt; Alarm - inspection of gear unit required
A_HH &gt; F16-AG-427 trips</t>
  </si>
  <si>
    <t>PT16115</t>
  </si>
  <si>
    <t>PI16115</t>
  </si>
  <si>
    <t>F16-CF-417 Scavenger Flotation Cell 4 Gear Box Pressure Transmitter</t>
  </si>
  <si>
    <t>PDIT16118</t>
  </si>
  <si>
    <t>PDI16118</t>
  </si>
  <si>
    <t>F16-CF-417 Scavenger Flotation Cell 4 Gear Box Filter Pressure Differential Transmitter</t>
  </si>
  <si>
    <t>F16CF417 G/Box Fltr Dlta</t>
  </si>
  <si>
    <t>VT16119</t>
  </si>
  <si>
    <t>VI16119</t>
  </si>
  <si>
    <t>F16-CF-417 Scavenger Flotation Cell 4 Gear Box Vibration Transmitter</t>
  </si>
  <si>
    <t>F16CF417 G/Box</t>
  </si>
  <si>
    <t>VT16120</t>
  </si>
  <si>
    <t>VI16120</t>
  </si>
  <si>
    <t>F16-CF-417 Scavenger Flotation Cell 4 Motor Vibration Transmitter</t>
  </si>
  <si>
    <t>F16CF417 Motor</t>
  </si>
  <si>
    <t>PT16182</t>
  </si>
  <si>
    <t>PI16182</t>
  </si>
  <si>
    <t>2000-F24-PID-PR-10008</t>
  </si>
  <si>
    <t>F16-RA-402 Flotation/Thickener Air Receiver Outlet Pressure Indicating Transmitter</t>
  </si>
  <si>
    <t>F16RA402 Discharge</t>
  </si>
  <si>
    <r>
      <t>Mask A_Lo alarm when F24-CM-401, 402 AND 403 are stopped
Mask A_Lo for 30 seconds (</t>
    </r>
    <r>
      <rPr>
        <sz val="11"/>
        <color rgb="FFFF0000"/>
        <rFont val="Arial"/>
        <family val="2"/>
      </rPr>
      <t>TBC</t>
    </r>
    <r>
      <rPr>
        <sz val="11"/>
        <color rgb="FF0000FF"/>
        <rFont val="Arial"/>
        <family val="2"/>
      </rPr>
      <t>) during  start up</t>
    </r>
  </si>
  <si>
    <t>N</t>
  </si>
  <si>
    <r>
      <t xml:space="preserve">A_Hi = Warning
A_Lo = Warning
Normal operating = 9.8 bar
Maximum operating pressure = 10 bar
Minimum system outlet pressure = 6 bar
Minimum receiver pressure = </t>
    </r>
    <r>
      <rPr>
        <sz val="11"/>
        <color rgb="FFFF0000"/>
        <rFont val="Arial"/>
        <family val="2"/>
      </rPr>
      <t>XX</t>
    </r>
    <r>
      <rPr>
        <sz val="11"/>
        <color rgb="FF0000FF"/>
        <rFont val="Arial"/>
        <family val="2"/>
      </rPr>
      <t xml:space="preserve"> bar
Nominal values and alarm setpoints to be confirmed during commissioning </t>
    </r>
  </si>
  <si>
    <t>Mask A_Lo alarm when F24-CM-401, 402 AND 403 are stopped
Mask A_Lo for 30 seconds during  start up.
Duration to be confirmed during commissioning.</t>
  </si>
  <si>
    <t>A_Hi = Warning
A_Lo = Warning
Normal operating = 9.8 bar
Maximum operating pressure = 10 bar
Minimum system outlet pressure = 6 bar
Nominal values and alarm setpoints to be confirmed during commissioning.</t>
  </si>
  <si>
    <t>TE16198A</t>
  </si>
  <si>
    <t>TI16198A</t>
  </si>
  <si>
    <t>2000-F16-PID-PR-10006</t>
  </si>
  <si>
    <t>F16-BW-401 Flotation Blower 1 Motor Phase U RTD</t>
  </si>
  <si>
    <t>F16BW401 Motor P.U RTD</t>
  </si>
  <si>
    <t>Source: Vendor document 2000-ME001.4-M02-50001.
A_Hi = Alarm
A_HH = Trip F16-BW-401</t>
  </si>
  <si>
    <t>TE16198B</t>
  </si>
  <si>
    <t>TI16198B</t>
  </si>
  <si>
    <t>F16-BW-401 Flotation Blower 1 Motor Phase V RTD</t>
  </si>
  <si>
    <t>F16BW401 Motor P.V RTD</t>
  </si>
  <si>
    <t>TE16198C</t>
  </si>
  <si>
    <t>TI16198C</t>
  </si>
  <si>
    <t>F16-BW-401 Flotation Blower 1 Motor Phase W RTD</t>
  </si>
  <si>
    <t>F16BW401 Motor P.W RTD</t>
  </si>
  <si>
    <t>TE16198D</t>
  </si>
  <si>
    <t>TI16198D</t>
  </si>
  <si>
    <t>F16-BW-401 Flotation Blower 1 Motor DE Bearing RTD</t>
  </si>
  <si>
    <t>F16BW401 Mtr DE Brg RTD</t>
  </si>
  <si>
    <t>TE16198E</t>
  </si>
  <si>
    <t>TI16198E</t>
  </si>
  <si>
    <t>F16-BW-401 Flotation Blower 1 Motor NDE Bearing RTD</t>
  </si>
  <si>
    <t>F16BW401 Mtr NDE Brg RTD</t>
  </si>
  <si>
    <t>PT16261</t>
  </si>
  <si>
    <t>PI16261</t>
  </si>
  <si>
    <t>F16-BW-401 Flotation Blower 1 Inlet Pressure Indicating Transmitter</t>
  </si>
  <si>
    <t>F16BW401 Blower 1 Inlet</t>
  </si>
  <si>
    <t>F16BW401 NOT RUNNING</t>
  </si>
  <si>
    <t>Source: Vendor document 2000-ME001.4-M02-50001.
A_Hi = Alarm
A_HH = F16-BW-401 Trip</t>
  </si>
  <si>
    <t>TT16263</t>
  </si>
  <si>
    <t>TI16263</t>
  </si>
  <si>
    <t>F16-BW-401 Flotation Blower 1 Outlet Temperature Transmitter</t>
  </si>
  <si>
    <t>F16BW401 Blower 1 Outlet</t>
  </si>
  <si>
    <t>Source: Vendor document 2000-ME001.4-M02-50001. 
A_Hi = Alarm
A_HH = Trip F16-BW-401</t>
  </si>
  <si>
    <t>TT16264</t>
  </si>
  <si>
    <t>TI16264</t>
  </si>
  <si>
    <t>F16-BW-401 Flotation Blower 1 Gearbox Temperature Transmitter</t>
  </si>
  <si>
    <t>F16BW401 Blower 1 G/Box</t>
  </si>
  <si>
    <t>Source: Vendor document: 2000-ME001.4-M02-50001. 
A_Hi = Alarm
A_HH = Trip F16-BW-401</t>
  </si>
  <si>
    <t>TT16265</t>
  </si>
  <si>
    <t>TI16265</t>
  </si>
  <si>
    <t>F16-BW-401 Flotation Blower 1 Temperature Transmitter</t>
  </si>
  <si>
    <t>F16BW401 Blower 1</t>
  </si>
  <si>
    <t>Blower 1 enclosure temperature. 
Source: Vendor document 2000-ME001.4-M02-50001. 
A_Hi = Alarm
A_HH = Trip F16-BW-401</t>
  </si>
  <si>
    <t>TE16208A</t>
  </si>
  <si>
    <t>TI16208A</t>
  </si>
  <si>
    <t>F16-BW-402 Flotation Blower 2 Motor Phase U RTD</t>
  </si>
  <si>
    <t>F16BW402 Motor P.U RTD</t>
  </si>
  <si>
    <t>Source: Vendor document 2000-ME001.4-M02-50001.
A_Hi = Alarm
A_HH = Trip F16-BW-402</t>
  </si>
  <si>
    <t>TE16208B</t>
  </si>
  <si>
    <t>TI16208B</t>
  </si>
  <si>
    <t>F16-BW-402 Flotation Blower 2 Motor Phase V RTD</t>
  </si>
  <si>
    <t>F16BW402 Motor P.V RTD</t>
  </si>
  <si>
    <t>TE16208C</t>
  </si>
  <si>
    <t>TI16208C</t>
  </si>
  <si>
    <t>F16-BW-402 Flotation Blower 2 Motor Phase W RTD</t>
  </si>
  <si>
    <t>F16BW402 Motor P.W RTD</t>
  </si>
  <si>
    <t>TE16208D</t>
  </si>
  <si>
    <t>TI16208D</t>
  </si>
  <si>
    <t>F16-BW-402 Flotation Blower 2 Motor DE Bearing RTD</t>
  </si>
  <si>
    <t>F16BW402 DE Bearing RTD</t>
  </si>
  <si>
    <t>TE16208E</t>
  </si>
  <si>
    <t>TI16208E</t>
  </si>
  <si>
    <t>F16-BW-402 Flotation Blower 2 Motor NDE Bearing RTD</t>
  </si>
  <si>
    <t>F16BW402 NDE Bearing RTD</t>
  </si>
  <si>
    <t>PT16271</t>
  </si>
  <si>
    <t>PI16271</t>
  </si>
  <si>
    <t>F16-BW-402 Flotation Blower 2 Inlet Pressure Indicating Transmitter</t>
  </si>
  <si>
    <t>F16BW402 Blower 2 Inlet</t>
  </si>
  <si>
    <t>F16BW402 NOT RUNNING</t>
  </si>
  <si>
    <t>Source: Vendor document 2000-ME001.4-M02-50001.
A_Hi = Alarm
A_HH = F16-BW-402 Trip</t>
  </si>
  <si>
    <t>TT16273</t>
  </si>
  <si>
    <t>TI16273</t>
  </si>
  <si>
    <t>F16-BW-402 Flotation Blower 2 Outlet Temperature Transmitter</t>
  </si>
  <si>
    <t>F16BW402 Blower 2 Outlet</t>
  </si>
  <si>
    <t>Source: Vendor document 2000-ME001.4-M02-50001. 
A_Hi = Alarm
A_HH = Trip F16-BW-402</t>
  </si>
  <si>
    <t>TT16274</t>
  </si>
  <si>
    <t>TI16274</t>
  </si>
  <si>
    <t>F16-BW-402 Flotation Blower 2 Gearbox Temperature Transmitter</t>
  </si>
  <si>
    <t>F16BW402 Blower 2 G/Box</t>
  </si>
  <si>
    <t>Source: Vendor document: 2000-ME001.4-M02-50001. 
A_Hi = Alarm
A_HH = Trip F16-BW-402</t>
  </si>
  <si>
    <t>TT16275</t>
  </si>
  <si>
    <t>TI16275</t>
  </si>
  <si>
    <t>F16-BW-402 Flotation Blower 2 Temperature Transmitter</t>
  </si>
  <si>
    <t>F16BW402 Blower 2</t>
  </si>
  <si>
    <t>Blower 2 enclosure temperature. 
Source: Vendor document 2000-ME001.4-M02-50001. 
A_Hi = Alarm
A_HH = Trip F16-BW-402</t>
  </si>
  <si>
    <t>TE16218A</t>
  </si>
  <si>
    <t>TI16218A</t>
  </si>
  <si>
    <t>F16-BW-403 Flotation Blower 3 Motor Phase U RTD</t>
  </si>
  <si>
    <t>F16BW403 Motor P.U RTD</t>
  </si>
  <si>
    <t>Source: Vendor document 2000-ME001.4-M02-50001.
A_Hi = Alarm
A_HH = Trip F16-BW-403</t>
  </si>
  <si>
    <t>TE16218B</t>
  </si>
  <si>
    <t>TI16218B</t>
  </si>
  <si>
    <t>F16-BW-403 Flotation Blower 3 Motor Phase V RTD</t>
  </si>
  <si>
    <t>F16BW403 Motor P.V RTD</t>
  </si>
  <si>
    <t>TE16218C</t>
  </si>
  <si>
    <t>TI16218C</t>
  </si>
  <si>
    <t>F16-BW-403 Flotation Blower 3 Motor Phase W RTD</t>
  </si>
  <si>
    <t>F16BW403 Motor P.W RTD</t>
  </si>
  <si>
    <t>TE16218D</t>
  </si>
  <si>
    <t>TI16218D</t>
  </si>
  <si>
    <t>F16-BW-403 Flotation Blower 3 Motor DE Bearing RTD</t>
  </si>
  <si>
    <t>F16BW403 DE Bearing RTD</t>
  </si>
  <si>
    <t>TE16218E</t>
  </si>
  <si>
    <t>TI16218E</t>
  </si>
  <si>
    <t>F16-BW-403 Flotation Blower 3 Motor NDE Bearing RTD</t>
  </si>
  <si>
    <t>F16BW403 NDE Bearing RTD</t>
  </si>
  <si>
    <t>PT16281</t>
  </si>
  <si>
    <t>PI16281</t>
  </si>
  <si>
    <t>F16-BW-403 Flotation Blower 3 Inlet Pressure Indicating Transmitter</t>
  </si>
  <si>
    <t>F16BW403 Blower 3 Inlet</t>
  </si>
  <si>
    <t>F16BW403 NOT RUNNING</t>
  </si>
  <si>
    <t>Source: Vendor document 2000-ME001.4-M02-50001.
A_Hi = Alarm
A_HH = F16-BW-403 Trip</t>
  </si>
  <si>
    <t>TT16283</t>
  </si>
  <si>
    <t>TI16283</t>
  </si>
  <si>
    <t>F16-BW-403 Flotation Blower 3 Outlet Temperature Transmitter</t>
  </si>
  <si>
    <t>F16BW403 Blower 3 Outlet</t>
  </si>
  <si>
    <t>Source: Vendor document 2000-ME001.4-M02-50001. 
A_Hi = Alarm
A_HH = Trip F16-BW-403</t>
  </si>
  <si>
    <t>TT16284</t>
  </si>
  <si>
    <t>TI16284</t>
  </si>
  <si>
    <t>F16-BW-403 Flotation Blower 3 Gearbox Temperature Transmitter</t>
  </si>
  <si>
    <t>F16BW403 Blower 3 G/Box</t>
  </si>
  <si>
    <t>Source: Vendor document: 2000-ME001.4-M02-50001. 
A_Hi = Alarm
A_HH = Trip F16-BW-403</t>
  </si>
  <si>
    <t>TT16285</t>
  </si>
  <si>
    <t>TI16285</t>
  </si>
  <si>
    <t>F16-BW-403 Flotation Blower 3 Temperature Transmitter</t>
  </si>
  <si>
    <t>F16BW403 Blower 3</t>
  </si>
  <si>
    <t>Blower 3 enclosure temperature. 
Source: Vendor document 2000-ME001.4-M02-50001. 
A_Hi = Alarm
A_HH = Trip F16-BW-403</t>
  </si>
  <si>
    <t>TE16228A</t>
  </si>
  <si>
    <t>TA16228A</t>
  </si>
  <si>
    <t>F16-BW-404 Flotation Blower 4 Motor Phase U RTD</t>
  </si>
  <si>
    <t>F16BW404 Motor P.U RTD</t>
  </si>
  <si>
    <t>Source: Vendor document 2000-ME001.4-M02-50001.
A_Hi = Alarm
A_HH = Trip F16-BW-404</t>
  </si>
  <si>
    <t>TE16228B</t>
  </si>
  <si>
    <t>TI16228B</t>
  </si>
  <si>
    <t>F16-BW-404 Flotation Blower 4 Motor Phase V RTD</t>
  </si>
  <si>
    <t>F16BW404 Motor P.V RTD</t>
  </si>
  <si>
    <t>TE16228C</t>
  </si>
  <si>
    <t>TI16228C</t>
  </si>
  <si>
    <t>F16-BW-404 Flotation Blower 4 Motor Phase W RTD</t>
  </si>
  <si>
    <t>F16BW404 Motor P.W RTD</t>
  </si>
  <si>
    <t>TE16228D</t>
  </si>
  <si>
    <t>TI16228D</t>
  </si>
  <si>
    <t>F16-BW-404 Flotation Blower 4 Motor DE Bearing RTD</t>
  </si>
  <si>
    <t>F16BW404 Mtr DE Brg RTD</t>
  </si>
  <si>
    <t>TE16228E</t>
  </si>
  <si>
    <t>TI16228E</t>
  </si>
  <si>
    <t>F16-BW-404 Flotation Blower 4 Motor NDE Bearing RTD</t>
  </si>
  <si>
    <t>F16BW404 Mtr NDE Brg RTD</t>
  </si>
  <si>
    <t>PT16291</t>
  </si>
  <si>
    <t>PI16291</t>
  </si>
  <si>
    <t>F16-BW-404 Flotation Blower 4 Inlet Pressure Indicating Transmitter</t>
  </si>
  <si>
    <t xml:space="preserve">F16BW404 Blower 4 Inlet </t>
  </si>
  <si>
    <t>F16BW404 NOT RUNNING</t>
  </si>
  <si>
    <t>Source: Vendor document 2000-ME001.4-M02-50001.
A_Hi = Alarm
A_HH = F16-BW-404 Trip</t>
  </si>
  <si>
    <t>TT16293</t>
  </si>
  <si>
    <t>TI16293</t>
  </si>
  <si>
    <t>F16-BW-404 Flotation Blower 4 Outlet Temperature Transmitter</t>
  </si>
  <si>
    <t>F16BW404 Blower 4 Outlet</t>
  </si>
  <si>
    <t>Source: Vendor document 2000-ME001.4-M02-50001. 
A_Hi = Alarm
A_HH = Trip F16-BW-404</t>
  </si>
  <si>
    <t>TT16294</t>
  </si>
  <si>
    <t>TI16294</t>
  </si>
  <si>
    <t>F16-BW-404 Flotation Blower 4 Gearbox Temperature Transmitter</t>
  </si>
  <si>
    <t>F16BW404 Blower 4 G/Box</t>
  </si>
  <si>
    <t>Source: Vendor document: 2000-ME001.4-M02-50001. 
A_Hi = Alarm
A_HH = Trip F16-BW-404</t>
  </si>
  <si>
    <t>TT16295</t>
  </si>
  <si>
    <t>TI16295</t>
  </si>
  <si>
    <t>F16-BW-404 Flotation Blower 4 Temperature Transmitter</t>
  </si>
  <si>
    <t>F16BW404 Blower 4</t>
  </si>
  <si>
    <t>Blower 4 enclosure temperature. 
Source: Vendor document 2000-ME001.4-M02-50001. 
A_Hi = Alarm
A_HH = Trip F16-BW-404</t>
  </si>
  <si>
    <t>PT17002</t>
  </si>
  <si>
    <t>PI17002</t>
  </si>
  <si>
    <t>2000-F17-PID-PR-10001</t>
  </si>
  <si>
    <t xml:space="preserve"> Flotation Tailings Thickener Water Monitors Pressure Indicating Transmitter</t>
  </si>
  <si>
    <t>F17TH401 Water Monitors</t>
  </si>
  <si>
    <t>ZIT17013</t>
  </si>
  <si>
    <t>ZI17013</t>
  </si>
  <si>
    <t>F17-TH-401 Flotation Tailings Thickener Rake Lift Position Transmitter</t>
  </si>
  <si>
    <t>F17TH401 Rake Lift Posn</t>
  </si>
  <si>
    <t>NIT17030</t>
  </si>
  <si>
    <t>NI17030</t>
  </si>
  <si>
    <t>F17-TH-401 Flotation Tailings Thickener Rake Torque Indicating Transmitter</t>
  </si>
  <si>
    <t>F17TH401 Rake Torque</t>
  </si>
  <si>
    <t>% (kPa)</t>
  </si>
  <si>
    <t>30 (6123)</t>
  </si>
  <si>
    <t>40 (8163)</t>
  </si>
  <si>
    <t>50 (10204)</t>
  </si>
  <si>
    <t>85 (17347)</t>
  </si>
  <si>
    <t xml:space="preserve">Rake lift sequence initiated on P_Hi. To be logging alarm to DCS.
On A_Hi. Feed off. UF Pumps = 100% VSD.
Rake trips on &gt;= A_HH. 
See torque calibrations table (Table 2) on 2000-ME001.5-M02-50001 for conversions of kPa to percent or alarm setpoints in brackets to the left.
</t>
  </si>
  <si>
    <t>AIT17019</t>
  </si>
  <si>
    <t>AI17019</t>
  </si>
  <si>
    <t>F17-TH-401 Flotation Tailings Thickener Overflow Turbidity Indicating Transmitter</t>
  </si>
  <si>
    <t>F17TH401 O/F Turbidity</t>
  </si>
  <si>
    <t>NTU</t>
  </si>
  <si>
    <t>Alarm setpoints to be confirmed during commissioning.</t>
  </si>
  <si>
    <t>FIT17105</t>
  </si>
  <si>
    <t>FI17105</t>
  </si>
  <si>
    <t>2000-F24-PID-PR-10003</t>
  </si>
  <si>
    <t>F17-PP-455 Flotation Tailings Thickener Underflow Pump 1 Gland Water Flow Indicating Transmitter</t>
  </si>
  <si>
    <t>F17PP455 Gland</t>
  </si>
  <si>
    <t>L/hr</t>
  </si>
  <si>
    <t>F17PP455 NOT RUNNING</t>
  </si>
  <si>
    <t>Source: 2000-CAL-ME-007.
Minimum: 1.6 m3/h.
Alarm setpoints to be confirmed during commissioning.
Alarm enabled delay of 10 seconds (to be confirmed during commissioning) on pump start-up.</t>
  </si>
  <si>
    <t>FIT17115</t>
  </si>
  <si>
    <t>FI17115</t>
  </si>
  <si>
    <t>F17-PP-456 Flotation Tailings Thickener Underflow Pump 2 Gland Water Flow Indicating Transmitter</t>
  </si>
  <si>
    <t>F17PP456 Gland</t>
  </si>
  <si>
    <t>F17PP456 NOT RUNNING</t>
  </si>
  <si>
    <t>F17CALC0002</t>
  </si>
  <si>
    <t>WI17121</t>
  </si>
  <si>
    <t>2000-F17-PID-PR-10002</t>
  </si>
  <si>
    <t>Flotation Tailings Thickener Underflow Pumps Discharge Dry Solids</t>
  </si>
  <si>
    <t>F17TH401 UF Dry Solids</t>
  </si>
  <si>
    <t>t/h</t>
  </si>
  <si>
    <t>Maximum: 3410 t/h.</t>
  </si>
  <si>
    <t>PIT17122</t>
  </si>
  <si>
    <t>PI17122</t>
  </si>
  <si>
    <t xml:space="preserve"> Flotation Tailings Thickener Underflow Pumps Discharge Pressure Indicating Transmitter</t>
  </si>
  <si>
    <t>F17PP455/456 Discharge</t>
  </si>
  <si>
    <t>F17PP455 AND 456 NOT RUNNING</t>
  </si>
  <si>
    <t>Alarm setpoints to be confirmed during commissioning.
Alarm enabled delay of 10 seconds (to be confirmed during commissioning) on pump start-up.</t>
  </si>
  <si>
    <t>F17CALC0003</t>
  </si>
  <si>
    <t>WI17127</t>
  </si>
  <si>
    <t>Flotation Tailings Thickener Underflow Pumps Discharge Dry Solids to CIL2 Feed Box</t>
  </si>
  <si>
    <t>F17TH401 UF CIL2 Solids</t>
  </si>
  <si>
    <t>F17CALC0004</t>
  </si>
  <si>
    <t>WI17128</t>
  </si>
  <si>
    <t>Flotation Tailings Thickener Underflow Pumps Discharge Dry Solids to CIL3 Feed Box</t>
  </si>
  <si>
    <t>F17TH401 UF CIL3 Solids</t>
  </si>
  <si>
    <t>F17CALC0005</t>
  </si>
  <si>
    <t>FI17130</t>
  </si>
  <si>
    <t>F17TH401 UF Final Tails</t>
  </si>
  <si>
    <t>F17CALC0006</t>
  </si>
  <si>
    <t>WI17130</t>
  </si>
  <si>
    <t>Flotation Tailings Thickener Underflow Pumps Discharge Dry Solids to Final Tails Tank</t>
  </si>
  <si>
    <t>Alarm setpoints to be confirmed during commissioning.
Nominal: 1376 t/h.</t>
  </si>
  <si>
    <t>FIT18027</t>
  </si>
  <si>
    <t>FI18027</t>
  </si>
  <si>
    <t>2000-F18-PID-PR-10001</t>
  </si>
  <si>
    <t>F18-PP-407/408 Final Concentrate Pumps Discharge Flow Indicating Transmitter</t>
  </si>
  <si>
    <t>F18PP407/8 Final Con D/C</t>
  </si>
  <si>
    <t>F18PP407 AND 408 NOT RUNNING</t>
  </si>
  <si>
    <t>F18CALC0002</t>
  </si>
  <si>
    <t>DNI18027</t>
  </si>
  <si>
    <t>F18-PP-407/408 Final Concentrate Pumps Discharge Density Indicating Transmitter</t>
  </si>
  <si>
    <t>F18PP407/408 D/C Solids</t>
  </si>
  <si>
    <t>%w/w</t>
  </si>
  <si>
    <t>F17PP407 AND 408 NOT RUNNING</t>
  </si>
  <si>
    <t>Minimum: 22.24%
Nominal/Max: 25%
Alarm enabled delay of 10 seconds (to be confirmed during commissioning) on pump start-up.</t>
  </si>
  <si>
    <t>F18CALC0005</t>
  </si>
  <si>
    <t>WI18027</t>
  </si>
  <si>
    <t>F18-PP-407/408 Final Concentrate Pump 1/2 Discharge Dry Solids</t>
  </si>
  <si>
    <t>F18PP407/8 D/C Dry</t>
  </si>
  <si>
    <t>Maximum: 107 t/h.</t>
  </si>
  <si>
    <t>PIT18054</t>
  </si>
  <si>
    <t>PI18054</t>
  </si>
  <si>
    <t>2000-F18-PID-PR-10002</t>
  </si>
  <si>
    <t>F18-CF-501 Cleaner Flotation Cell Downcomer Feed Pressure Indicating Transmitter</t>
  </si>
  <si>
    <t>F18CF501 Cleaner Feed</t>
  </si>
  <si>
    <t>F18PP501 AND 502 NOT RUNNING</t>
  </si>
  <si>
    <t>Source: 2000-ME073-M01-10002
Alarm setpoints to be confirmed during commissioning.
Alarm enabled delay of 10 seconds (to be confirmed during commissioning) on pump start-up.
A_HH - Trip Pump
A_Hi - Warning
A_Lo - Warning
A_LL - Trip Pump</t>
  </si>
  <si>
    <t>PIT18055</t>
  </si>
  <si>
    <t>PI18055</t>
  </si>
  <si>
    <t>F18-CF-501 Cleaner Flotation Cell Air Distributor Pressure Indicating Transmitter</t>
  </si>
  <si>
    <t>F18CF501 Feed Air</t>
  </si>
  <si>
    <t>Source: 2000-ME073-M01-10002.
Operator-adjustable High and Low alarm setpoints. Default values have been supplied - to be confirmed during commissioning.
Alarm enabled delay of 10 seconds (to be confirmed during commissioning) on pump start-up.
Low-Low and High-High alarm setpoints are not applied to limit alarm quantity. Air Distributor Flow Meter alarm setpoints provide process interlocks as required.</t>
  </si>
  <si>
    <t>FIT18237</t>
  </si>
  <si>
    <t>FI18237</t>
  </si>
  <si>
    <t>2000-F18-PID-PR-10003</t>
  </si>
  <si>
    <t>F18-PP-513/514 Cleaner Scavenger Flotation Cell Tails Pumps Discharge Flow Indicating Transmitter</t>
  </si>
  <si>
    <t>F18PP513/514 Discharge</t>
  </si>
  <si>
    <t>F18PP513 AND 514 NOT RUNNING</t>
  </si>
  <si>
    <t>Minimum: 461 m3/h
Nominal: 948 m3/h
Maximum: 1291 m3/h.
Alarm setpoints to be confirmed during commissioning.
Alarm enabled delay of 10 seconds (to be confirmed during commissioning) on pump start-up.</t>
  </si>
  <si>
    <t>F18CALC0003</t>
  </si>
  <si>
    <t>DNI18237</t>
  </si>
  <si>
    <t>F18-PP-513/514 Cleaner Scavenger Flotation Cell Tails Pumps Discharge Density Indicating Transmitter</t>
  </si>
  <si>
    <t>F18PP513/514 D/C Solids</t>
  </si>
  <si>
    <t>Minimum: 11.82%
Nominal: 15.02%
Maximum: 17.57%
Alarm setpoints to be confirmed during commissioning.
Alarm enabled delay of 10 seconds (to be confirmed during commissioning) on pump start-up.</t>
  </si>
  <si>
    <t>F18CALC0004</t>
  </si>
  <si>
    <t>WI18237</t>
  </si>
  <si>
    <t>F18-PP-513/514 Cleaner Scavenger Flotation Cell Tails Pumps Discharge Dry Solids Mass Flow Rate</t>
  </si>
  <si>
    <t>F18PP513/514 Dry Solids</t>
  </si>
  <si>
    <t>Maximum: 274 t/h.</t>
  </si>
  <si>
    <t>PIT18254</t>
  </si>
  <si>
    <t>PI18254</t>
  </si>
  <si>
    <t>2000-F18-PID-PR-10004</t>
  </si>
  <si>
    <t>F26-CF-511 Cleaner-Scavenger Flotation Cell Downcomer Feed Pressure Indicating Transmitter</t>
  </si>
  <si>
    <t>F18CF511 Clnr-Scav Feed</t>
  </si>
  <si>
    <t>F18PP511 AND 512 NOT RUNNING</t>
  </si>
  <si>
    <t>Source: 2000-ME073-M01-10001
Alarm setpoints to be confirmed during commissioning.
Alarm enabled delay of 10 seconds (to be confirmed during commissioning) on pump start-up.
A_HH - Trip Pump
A_Hi - Warning
A_Lo - Warning
A_LL - Trip Pump</t>
  </si>
  <si>
    <t>PIT18255</t>
  </si>
  <si>
    <t>PI18255</t>
  </si>
  <si>
    <t>F26-CF-511 Cleaner-Scavenger Flotation Cell Air Distributor Pressure Indicating Transmitter</t>
  </si>
  <si>
    <t>Source: 2000-ME073-M01-10001.
Operator-adjustable High and Low alarm setpoints. Default values have been supplied - to be confirmed during commissioning.
Alarm enabled delay of 10 seconds (to be confirmed during commissioning) on pump start-up.
Low-Low and High-High alarm setpoints are not applied to limit alarm quantity. Air Distributor Flow Meter alarm setpoints provide process interlocks as required.</t>
  </si>
  <si>
    <t>TE18542A</t>
  </si>
  <si>
    <t>TI18542A</t>
  </si>
  <si>
    <t>F18-PP-501 Cleaner Flotation Cell Recirculation Pump 1 Motor Phase U RTD</t>
  </si>
  <si>
    <t>F18PP501 Motor P.U RTD</t>
  </si>
  <si>
    <t>Alarm Setpoints: A_Hi = 140degC, A_HH = 150degC. Motor is Class F insulation.</t>
  </si>
  <si>
    <t>TE18542B</t>
  </si>
  <si>
    <t>TI18542B</t>
  </si>
  <si>
    <t>F18-PP-501 Cleaner Flotation Cell Recirculation Pump 1 Motor Phase V RTD</t>
  </si>
  <si>
    <t>F18PP501 Motor P.V RTD</t>
  </si>
  <si>
    <t>TE18542C</t>
  </si>
  <si>
    <t>TI18542C</t>
  </si>
  <si>
    <t>F18-PP-501 Cleaner Flotation Cell Recirculation Pump 1 Motor Phase W RTD</t>
  </si>
  <si>
    <t>F18PP501 Motor P.W RTD</t>
  </si>
  <si>
    <t>TE18542D</t>
  </si>
  <si>
    <t>TI18542D</t>
  </si>
  <si>
    <t>F18-PP-501 Cleaner Flotation Cell Recirculation Pump 1 Motor DE Bearing RTD</t>
  </si>
  <si>
    <t>F18PP501 DE Bearing</t>
  </si>
  <si>
    <t>TE18542E</t>
  </si>
  <si>
    <t>TI18542E</t>
  </si>
  <si>
    <t>F18-PP-501 Cleaner Flotation Cell Recirculation Pump 1 Motor NDE Bearing RTD</t>
  </si>
  <si>
    <t>F18PP501 NDE Bearing</t>
  </si>
  <si>
    <t>TE18543A</t>
  </si>
  <si>
    <t>TI18543A</t>
  </si>
  <si>
    <t>F18-PP-502 Cleaner Flotation Cell Recirculation Pump 2 Motor Phase U RTD</t>
  </si>
  <si>
    <t>F18PP502 Motor P.U RTD</t>
  </si>
  <si>
    <t>TE18543B</t>
  </si>
  <si>
    <t>TI18543B</t>
  </si>
  <si>
    <t>F18-PP-502 Cleaner Flotation Cell Recirculation Pump 2 Motor Phase V RTD</t>
  </si>
  <si>
    <t>F18PP502 Motor P.V RTD</t>
  </si>
  <si>
    <t>TE18543C</t>
  </si>
  <si>
    <t>TI18543C</t>
  </si>
  <si>
    <t>F18-PP-502 Cleaner Flotation Cell Recirculation Pump 2 Motor Phase W RTD</t>
  </si>
  <si>
    <t>F18PP502 Motor P.W RTD</t>
  </si>
  <si>
    <t>TE18543D</t>
  </si>
  <si>
    <t>TI18543D</t>
  </si>
  <si>
    <t>F18-PP-502 Cleaner Flotation Cell Recirculation Pump 2 Motor DE Bearing RTD</t>
  </si>
  <si>
    <t>F18PP502 DE Bearing</t>
  </si>
  <si>
    <t>TE18543E</t>
  </si>
  <si>
    <t>TI18543E</t>
  </si>
  <si>
    <t>F18-PP-502 Cleaner Flotation Cell Recirculation Pump 2 Motor NDE Bearing RTD</t>
  </si>
  <si>
    <t>F18PP502 NDE Bearing</t>
  </si>
  <si>
    <t>TE18546A</t>
  </si>
  <si>
    <t>TI18546A</t>
  </si>
  <si>
    <t>F18-PP-511 Cleaner Scavenger Flotation Cell Recirculation Pump 1 Motor Phase U RTD</t>
  </si>
  <si>
    <t>F18PP511 Motor P.U RTD</t>
  </si>
  <si>
    <t>TE18546B</t>
  </si>
  <si>
    <t>TI18546B</t>
  </si>
  <si>
    <t>F18-PP-511 Cleaner Scavenger Flotation Cell Recirculation Pump 1 Motor Phase V RTD</t>
  </si>
  <si>
    <t>F18PP511 Motor P.V RTD</t>
  </si>
  <si>
    <t>TE18546C</t>
  </si>
  <si>
    <t>TI18546C</t>
  </si>
  <si>
    <t>F18-PP-511 Cleaner Scavenger Flotation Cell Recirculation Pump 1 Motor Phase W RTD</t>
  </si>
  <si>
    <t>F18PP511 Motor P.W RTD</t>
  </si>
  <si>
    <t>TE18546D</t>
  </si>
  <si>
    <t>TI18546D</t>
  </si>
  <si>
    <t>F18-PP-511 Cleaner Scavenger Flotation Cell Recirculation Pump 1 Motor DE Bearing RTD</t>
  </si>
  <si>
    <t>F18PP511 DE Bearing</t>
  </si>
  <si>
    <t>TE18546E</t>
  </si>
  <si>
    <t>TI18546E</t>
  </si>
  <si>
    <t>F18-PP-511 Cleaner Scavenger Flotation Cell Recirculation Pump 1 Motor NDE Bearing RTD</t>
  </si>
  <si>
    <t>F18PP511 NDE Bearing</t>
  </si>
  <si>
    <t>TE18547A</t>
  </si>
  <si>
    <t>TI18547A</t>
  </si>
  <si>
    <t>F18-PP-512 Cleaner Scavenger Flotation Cell Recirculation Pump 2 Motor Phase U RTD</t>
  </si>
  <si>
    <t>F18PP512 Motor P.U RTD</t>
  </si>
  <si>
    <t>TE18547B</t>
  </si>
  <si>
    <t>TI18547B</t>
  </si>
  <si>
    <t>F18-PP-512 Cleaner Scavenger Flotation Cell Recirculation Pump 2 Motor Phase V RTD</t>
  </si>
  <si>
    <t>F18PP512 Motor P.V RTD</t>
  </si>
  <si>
    <t>TE18547C</t>
  </si>
  <si>
    <t>TI18547C</t>
  </si>
  <si>
    <t>F18-PP-512 Cleaner Scavenger Flotation Cell Recirculation Pump 2 Motor Phase W RTD</t>
  </si>
  <si>
    <t>F18PP512 Motor P.W RTD</t>
  </si>
  <si>
    <t>TE18547D</t>
  </si>
  <si>
    <t>TI18547D</t>
  </si>
  <si>
    <t>F18-PP-512 Cleaner Scavenger Flotation Cell Recirculation Pump 2 Motor DE Bearing RTD</t>
  </si>
  <si>
    <t>F18PP512 DE Bearing</t>
  </si>
  <si>
    <t>TE18547E</t>
  </si>
  <si>
    <t>TI18547E</t>
  </si>
  <si>
    <t>F18-PP-512 Cleaner Scavenger Flotation Cell Recirculation Pump 2 Motor NDE Bearing RTD</t>
  </si>
  <si>
    <t>F18PP512 NDE Bearing</t>
  </si>
  <si>
    <t>TE18550A</t>
  </si>
  <si>
    <t>TI18550A</t>
  </si>
  <si>
    <t>F18-PP-513 Cleaner Scavenger Flotation Cell Recirculation Pump 1 Motor Phase U RTD</t>
  </si>
  <si>
    <t>F18PP513 Motor P.U RTD</t>
  </si>
  <si>
    <t>TE18550B</t>
  </si>
  <si>
    <t>TI18550B</t>
  </si>
  <si>
    <t>F18-PP-513 Cleaner Scavenger Flotation Cell Recirculation Pump 1 Motor Phase V RTD</t>
  </si>
  <si>
    <t>F18PP513 Motor P.V RTD</t>
  </si>
  <si>
    <t>TE18550C</t>
  </si>
  <si>
    <t>TI18550C</t>
  </si>
  <si>
    <t>F18-PP-513 Cleaner Scavenger Flotation Cell Recirculation Pump 1 Motor Phase W RTD</t>
  </si>
  <si>
    <t>F18PP513 Motor P.W RTD</t>
  </si>
  <si>
    <t>TE18550D</t>
  </si>
  <si>
    <t>TI18550D</t>
  </si>
  <si>
    <t>F18-PP-513 Cleaner Scavenger Flotation Cell Recirculation Pump 1 Motor DE Bearing RTD</t>
  </si>
  <si>
    <t>F18PP513 DE Bearing</t>
  </si>
  <si>
    <t>TE18550E</t>
  </si>
  <si>
    <t>TI18550E</t>
  </si>
  <si>
    <t>F18-PP-513 Cleaner Scavenger Flotation Cell Recirculation Pump 1 Motor NDE Bearing RTD</t>
  </si>
  <si>
    <t>F18PP513 NDE Bearing</t>
  </si>
  <si>
    <t>TE18551A</t>
  </si>
  <si>
    <t>TI18551A</t>
  </si>
  <si>
    <t>F18-PP-514 Cleaner Scavenger Flotation Cell Recirculation Pump 2 Motor Phase U RTD</t>
  </si>
  <si>
    <t>F18PP514 Motor P.U RTD</t>
  </si>
  <si>
    <t>TE18551B</t>
  </si>
  <si>
    <t>TI18551B</t>
  </si>
  <si>
    <t>F18-PP-514 Cleaner Scavenger Flotation Cell Recirculation Pump 2 Motor Phase V RTD</t>
  </si>
  <si>
    <t>F18PP514 Motor P.V RTD</t>
  </si>
  <si>
    <t>TE18551C</t>
  </si>
  <si>
    <t>TI18551C</t>
  </si>
  <si>
    <t>F18-PP-514 Cleaner Scavenger Flotation Cell Recirculation Pump 2 Motor Phase W RTD</t>
  </si>
  <si>
    <t>F18PP514 Motor P.W RTD</t>
  </si>
  <si>
    <t>TE18551D</t>
  </si>
  <si>
    <t>TI18551D</t>
  </si>
  <si>
    <t>F18-PP-514 Cleaner Scavenger Flotation Cell Recirculation Pump 2 Motor DE Bearing RTD</t>
  </si>
  <si>
    <t>F18PP514 DE Bearing</t>
  </si>
  <si>
    <t>TE18551E</t>
  </si>
  <si>
    <t>TI18551E</t>
  </si>
  <si>
    <t>F18-PP-514 Cleaner Scavenger Flotation Cell Recirculation Pump 2 Motor NDE Bearing RTD</t>
  </si>
  <si>
    <t>F18PP514 NDE Bearing</t>
  </si>
  <si>
    <t>UT16031</t>
  </si>
  <si>
    <t>UI16031</t>
  </si>
  <si>
    <t>N/A</t>
  </si>
  <si>
    <t>F16-SR-002 Flotation 415V Switchroom Temperature Transmitter</t>
  </si>
  <si>
    <t>F16SR002 415V SR Temp</t>
  </si>
  <si>
    <t>TBC Details and Alarm Setpoints.</t>
  </si>
  <si>
    <t>UT16032</t>
  </si>
  <si>
    <t>UI16032</t>
  </si>
  <si>
    <t>F16-SR-002 Flotation 415V Switchroom Transformer Enclosure Temperature Transmitter</t>
  </si>
  <si>
    <t>F16SR002 415V SR TF1</t>
  </si>
  <si>
    <t>UT16033</t>
  </si>
  <si>
    <t>UI16033</t>
  </si>
  <si>
    <t>F16SR002 415V SR TF2</t>
  </si>
  <si>
    <t>UT16034</t>
  </si>
  <si>
    <t>UI16034</t>
  </si>
  <si>
    <t>F16SR002 415V SR TF3</t>
  </si>
  <si>
    <t>UT16030</t>
  </si>
  <si>
    <t>UI16030</t>
  </si>
  <si>
    <t>F16-SR-001 Flotation 11kV Switchroom Temperature Transmitter</t>
  </si>
  <si>
    <t>F16SR001 11kV SR Temp</t>
  </si>
  <si>
    <t>DIT17121</t>
  </si>
  <si>
    <t>DI17121</t>
  </si>
  <si>
    <t xml:space="preserve"> Flotation Tailings Thickener Underflow Pumps Discharge Density Indicating Transmitter</t>
  </si>
  <si>
    <t>F17TH401 Density</t>
  </si>
  <si>
    <t>t/m3</t>
  </si>
  <si>
    <t>Direction to PCS Vendor: Do not show in DCS graphic. To show %w/w solids calculated output only.</t>
  </si>
  <si>
    <t>PDIT17030</t>
  </si>
  <si>
    <t>PDI17030</t>
  </si>
  <si>
    <t>F17-TH-401 Flotation Tailings Thickener Rake Torque Differential Pressure Transmitter</t>
  </si>
  <si>
    <t>F17TH401 Pres Diff</t>
  </si>
  <si>
    <t>Placeholder to align with I/O List. 
Direction to PCS Vendor: Please omit from DCS and use NI17030 as above.</t>
  </si>
  <si>
    <t>LIT18051A</t>
  </si>
  <si>
    <t>LI18051A</t>
  </si>
  <si>
    <t>F18-CF-501 Cleaner Flotation Cell Tank Slurry Level Indicating Transmitter</t>
  </si>
  <si>
    <t>F18CF501 Tank Level A</t>
  </si>
  <si>
    <t>mm</t>
  </si>
  <si>
    <t>Used in F16-CALC-0007
See 2000-ME073-M01-10002 for probe calibration</t>
  </si>
  <si>
    <t>LIT18051B</t>
  </si>
  <si>
    <t>LI18051B</t>
  </si>
  <si>
    <t>F18-CF-501 Cleaner Flotation Cell Tank Slurry Density Compensation Level Indicating Transmitter</t>
  </si>
  <si>
    <t>F18CF501 Tank Level B</t>
  </si>
  <si>
    <t>F18CALC0007</t>
  </si>
  <si>
    <t>LNI18051</t>
  </si>
  <si>
    <t>F18-CF-501 Cleaner Flotation Cell Froth Depth Calculation</t>
  </si>
  <si>
    <t>F18CF501 Froth Depth</t>
  </si>
  <si>
    <t>DIT18237</t>
  </si>
  <si>
    <t>DI18237</t>
  </si>
  <si>
    <t>F18PP513/4 Discharge</t>
  </si>
  <si>
    <t>LIT18251A</t>
  </si>
  <si>
    <t>LI18251A</t>
  </si>
  <si>
    <t>F26-CF-511 Cleaner-Scavenger Flotation Cell Tank Slurry Level Indicating Transmitter</t>
  </si>
  <si>
    <t>F18CF511 Tank Level A</t>
  </si>
  <si>
    <t>Used in F16-CALC-0007
See 2000-ME073-M01-10001 for probe calibration</t>
  </si>
  <si>
    <t>LIT18251B</t>
  </si>
  <si>
    <t>LI18251B</t>
  </si>
  <si>
    <t>F26-CF-511 Cleaner-Scavenger Flotation Cell Tank Slurry Density Compensation Level Indicating Transmitter</t>
  </si>
  <si>
    <t>F18CF511 Tank Level B</t>
  </si>
  <si>
    <t>F18CALC0008</t>
  </si>
  <si>
    <t>LNI18251</t>
  </si>
  <si>
    <t>F18-CF-511 Cleaner Flotation Cell Froth Depth Calculation</t>
  </si>
  <si>
    <t>F18CF511 Froth Depth</t>
  </si>
  <si>
    <t>DIT18027</t>
  </si>
  <si>
    <t>DI18027</t>
  </si>
  <si>
    <t>F18PP407/8 Discharge</t>
  </si>
  <si>
    <t>XI16170S</t>
  </si>
  <si>
    <t>XI16170</t>
  </si>
  <si>
    <t>2000-F16-PID-PR-10005</t>
  </si>
  <si>
    <t>F16-AN-402 Flotation Feed PSA Assay 1 Value</t>
  </si>
  <si>
    <t>F16AN402 Flot Feed PS</t>
  </si>
  <si>
    <t>µm</t>
  </si>
  <si>
    <t>Soft tag.
Refer to 2000-SPC-CS-11011 Flotation Feed PSA for format and value multiplier
Intended to be setup as particle size assay during commissioning by Metso Engineers. Configurable. See IOM for further details.
Range to be confirmed during commissioning.</t>
  </si>
  <si>
    <t>XI16171S</t>
  </si>
  <si>
    <t>XI16171</t>
  </si>
  <si>
    <t>F16-AN-402 Flotation Feed PSA Assay 2 Value</t>
  </si>
  <si>
    <t>F16AN402 Flot Feed PSD_D</t>
  </si>
  <si>
    <t>Soft tag. 
Refer to 2000-SPC-CS-11011 Flotation Feed PSA for format and value multiplier
Intended to be setup as particle size from distribution assay during commissioning by Metso Engineers. Configurable. See IOM for further details.
Range to be confirmed during commissioning.</t>
  </si>
  <si>
    <t>F16AN402ASY3S</t>
  </si>
  <si>
    <t>F16AN402ASY3</t>
  </si>
  <si>
    <t>F16-AN-402 Flotation Feed PSA Assay 3 Value</t>
  </si>
  <si>
    <t>F16AN402 Flot Feed %Slds</t>
  </si>
  <si>
    <t>Soft tag.
Refer to 2000-SPC-CS-11011 Flotation Feed PSA for format and value multiplier
Intended to be setup as Solids% assay during commissioning by Metso Engineers. Configurable. See IOM for further details.
Range to be confirmed during commissioning.</t>
  </si>
  <si>
    <t>F16AN402ASY4S</t>
  </si>
  <si>
    <t>F16AN402ASY4</t>
  </si>
  <si>
    <t>F16-AN-402 Flotation Feed PSA Assay 4 Value</t>
  </si>
  <si>
    <t>F16AN402 Final Tail PS</t>
  </si>
  <si>
    <t>F16AN402ASY5S</t>
  </si>
  <si>
    <t>F16AN402ASY5</t>
  </si>
  <si>
    <t>F16-AN-402 Flotation Feed PSA Assay 5 Value</t>
  </si>
  <si>
    <t>F16AN402 FinalTail PSD_D</t>
  </si>
  <si>
    <t>F16AN402ASY6S</t>
  </si>
  <si>
    <t>F16AN402ASY6</t>
  </si>
  <si>
    <t>F16-AN-402 Flotation Feed PSA Assay 6 Value</t>
  </si>
  <si>
    <t>F16AN402 FinalTail %Slds</t>
  </si>
  <si>
    <t>F16AN402ASY7S</t>
  </si>
  <si>
    <t>F16AN402ASY7</t>
  </si>
  <si>
    <t>F16-AN-402 Flotation Feed PSA Assay 7 Value</t>
  </si>
  <si>
    <t>F16AN402 Assay Value 7</t>
  </si>
  <si>
    <t>Soft tag.
Refer to 2000-SPC-CS-11011 Flotation Feed PSA for format and value multiplier.
Spare for future use on-site. To be confirmed during commissioning.</t>
  </si>
  <si>
    <t>F16AN402ASY8S</t>
  </si>
  <si>
    <t>F16AN402ASY8</t>
  </si>
  <si>
    <t>F16-AN-402 Flotation Feed PSA Assay 8 Value</t>
  </si>
  <si>
    <t>F16AN402 Assay Value 8</t>
  </si>
  <si>
    <t>F16AN402ASY9S</t>
  </si>
  <si>
    <t>F16AN402ASY9</t>
  </si>
  <si>
    <t>F16-AN-402 Flotation Feed PSA Assay 9 Value</t>
  </si>
  <si>
    <t>F16AN402 Assay Value 9</t>
  </si>
  <si>
    <t>F16AN402AS10S</t>
  </si>
  <si>
    <t>F16AN402ASY10</t>
  </si>
  <si>
    <t>F16-AN-402 Flotation Feed PSA Assay 10 Value</t>
  </si>
  <si>
    <t>F16AN402 Assay Value 10</t>
  </si>
  <si>
    <t>XI16173S</t>
  </si>
  <si>
    <t>XI16173</t>
  </si>
  <si>
    <t>F16-AN-402 Flotation Feed PSA Current Line Measurement</t>
  </si>
  <si>
    <t>F16AN402 Measuremnt Line</t>
  </si>
  <si>
    <t>-</t>
  </si>
  <si>
    <t>Soft tag.
Refer to 2000-SPC-CS-11011 Flotation Feed PSA for format and value multiplier
Required feedback to see stream being analysed. Contractor may need to correlate results from Flotation Feed and Final Tails streams to individual soft tags for Assays and density etc using this feeback.</t>
  </si>
  <si>
    <t>XI16172S</t>
  </si>
  <si>
    <t>XI16172</t>
  </si>
  <si>
    <t>F16-AN-402 Flotation Feed PSA Density Value</t>
  </si>
  <si>
    <t>F16AN402 Density</t>
  </si>
  <si>
    <t>g/L</t>
  </si>
  <si>
    <t>Soft tag.
Refer to 2000-SPC-CS-11011 Flotation Feed PSA for format and value multiplier
PSDM slurry density meter optional extra by Metso. Density value depends on stream being analysed (1 or 2). Contractor may be required to create two soft-tags and related modbus add: 40086 and 40081 to return a density value for Flotation Feed and Final Tails.</t>
  </si>
  <si>
    <t>F16AN402ATS</t>
  </si>
  <si>
    <t>F16AN402AT</t>
  </si>
  <si>
    <t>F16-AN-402 Flotation Feed PSA pH Value</t>
  </si>
  <si>
    <t>F16AN402 pH</t>
  </si>
  <si>
    <t>pH</t>
  </si>
  <si>
    <t>Soft tag.
Refer to 2000-SPC-CS-11011 Flotation Feed PSA for format and value multiplier</t>
  </si>
  <si>
    <t>F16AN402LTS</t>
  </si>
  <si>
    <t>F16AN402LT</t>
  </si>
  <si>
    <t>F16-AN-402 Flotation Feed PSA Zero Level Value</t>
  </si>
  <si>
    <t>F16AN402 Zero Level</t>
  </si>
  <si>
    <t>F16AN402VAL2S</t>
  </si>
  <si>
    <t>F16AN402VAL2</t>
  </si>
  <si>
    <t>F16-AN-402 Flotation Feed PSA Measurement Value</t>
  </si>
  <si>
    <t>F16AN402 Measurement Val</t>
  </si>
  <si>
    <t>Soft tag.
Refer to 2000-SPC-CS-11011 Flotation Feed PSA for format and value multiplier
Use to be confirmed during commissioning.</t>
  </si>
  <si>
    <t>F16AN403S1FTS</t>
  </si>
  <si>
    <t>F16AN403S1FT</t>
  </si>
  <si>
    <t>F16-AN-403 Onstream Sulphur Analyser Sample Stream Flow 1</t>
  </si>
  <si>
    <t>F16AN403 Flow 1</t>
  </si>
  <si>
    <t>L/min</t>
  </si>
  <si>
    <t>Soft tag.
Refer to 2000-SPC-CS-11001 Onstream Sulphur Analyser for format and value multiplier.
Range to be confirmed during commissioning.</t>
  </si>
  <si>
    <t>F16AN403S1FS</t>
  </si>
  <si>
    <t>F16AN403S1F</t>
  </si>
  <si>
    <t>F16-AN-403 Onstream Sulphur Analyser Sample Stream Flow 2</t>
  </si>
  <si>
    <t>F16AN403 Flow 2</t>
  </si>
  <si>
    <t>F16AN403S2FS</t>
  </si>
  <si>
    <t>F16AN403S2F</t>
  </si>
  <si>
    <t>F16-AN-403 Onstream Sulphur Analyser Sample Stream Flow 3</t>
  </si>
  <si>
    <t>F16AN403 Flow 3</t>
  </si>
  <si>
    <t>F16AN403S3FS</t>
  </si>
  <si>
    <t>F16AN403S3F</t>
  </si>
  <si>
    <t>F16-AN-403 Onstream Sulphur Analyser Sample Stream Flow 4</t>
  </si>
  <si>
    <t>F16AN403 Flow 4</t>
  </si>
  <si>
    <t>F16AN403S4FS</t>
  </si>
  <si>
    <t>F16AN403S4F</t>
  </si>
  <si>
    <t>F16-AN-403 Onstream Sulphur Analyser Sample Stream Flow 5</t>
  </si>
  <si>
    <t>F16AN403 Flow 5</t>
  </si>
  <si>
    <t>F16AN403S5FS</t>
  </si>
  <si>
    <t>F16AN403S5F</t>
  </si>
  <si>
    <t>F16-AN-403 Onstream Sulphur Analyser Sample Stream Flow 6</t>
  </si>
  <si>
    <t>F16AN403 Flow 6</t>
  </si>
  <si>
    <t>F16AN403S6FS</t>
  </si>
  <si>
    <t>F16AN403S6F</t>
  </si>
  <si>
    <t>F16-AN-403 Onstream Sulphur Analyser Sample Stream Flow 7</t>
  </si>
  <si>
    <t>F16AN403 Flow 7</t>
  </si>
  <si>
    <t>F16AN403S7FS</t>
  </si>
  <si>
    <t>F16AN403S7F</t>
  </si>
  <si>
    <t>F16-AN-403 Onstream Sulphur Analyser Sample Stream Flow 8</t>
  </si>
  <si>
    <t>F16AN403 Flow 8</t>
  </si>
  <si>
    <t>F16AN403S8FS</t>
  </si>
  <si>
    <t>F16AN403S8F</t>
  </si>
  <si>
    <t>F16-AN-403 Onstream Sulphur Analyser Sample Stream Flow 9</t>
  </si>
  <si>
    <t>F16AN403 Flow 9</t>
  </si>
  <si>
    <t>F16AN403S9FS</t>
  </si>
  <si>
    <t>F16AN403S9F</t>
  </si>
  <si>
    <t>F16-AN-403 Onstream Sulphur Analyser Sample Stream Flow 10</t>
  </si>
  <si>
    <t>F16AN403 Flow 10</t>
  </si>
  <si>
    <t>F16AN403S10FS</t>
  </si>
  <si>
    <t>F16AN403S10F</t>
  </si>
  <si>
    <t>F16-AN-403 Onstream Sulphur Analyser Sample Stream Flow 11</t>
  </si>
  <si>
    <t>F16AN403 Flow 11</t>
  </si>
  <si>
    <t>F16AN403S11FS</t>
  </si>
  <si>
    <t>F16AN403S11F</t>
  </si>
  <si>
    <t>F16-AN-403 Onstream Sulphur Analyser Sample Stream Flow 12</t>
  </si>
  <si>
    <t>F16AN403 Flow 12</t>
  </si>
  <si>
    <t>F16AN403S1WS</t>
  </si>
  <si>
    <t>F16AN403S1W</t>
  </si>
  <si>
    <t>F16-AN-403 Onstream Sulphur Analyser Sample Stream Status Word 1</t>
  </si>
  <si>
    <t>F16AN403 Status Word 1</t>
  </si>
  <si>
    <t>Soft tag.
See Digital Input sheet for analyser bit map tag naming
(Refer to 2000-SPC-CS-11001 Onstream Sulphur Analyser Modbus Map for details)</t>
  </si>
  <si>
    <t>F16AN403S2WS</t>
  </si>
  <si>
    <t>F16AN403S2W</t>
  </si>
  <si>
    <t>F16-AN-403 Onstream Sulphur Analyser Sample Stream Status Word 2</t>
  </si>
  <si>
    <t>F16AN403 Status Word 2</t>
  </si>
  <si>
    <t>F16AN403S3WS</t>
  </si>
  <si>
    <t>F16AN403S3W</t>
  </si>
  <si>
    <t>F16-AN-403 Onstream Sulphur Analyser Sample Stream Status Word 3</t>
  </si>
  <si>
    <t>F16AN403 Status Word 3</t>
  </si>
  <si>
    <t>F16AN403S4WS</t>
  </si>
  <si>
    <t>F16AN403S4W</t>
  </si>
  <si>
    <t>F16-AN-403 Onstream Sulphur Analyser Sample Stream Status Word 4</t>
  </si>
  <si>
    <t>F16AN403 Status Word 4</t>
  </si>
  <si>
    <t>F16AN403S5WS</t>
  </si>
  <si>
    <t>F16AN403S5W</t>
  </si>
  <si>
    <t>F16-AN-403 Onstream Sulphur Analyser Sample Stream Status Word 5</t>
  </si>
  <si>
    <t>F16AN403 Status Word 5</t>
  </si>
  <si>
    <t>F16AN403S6WS</t>
  </si>
  <si>
    <t>F16AN403S6W</t>
  </si>
  <si>
    <t>F16-AN-403 Onstream Sulphur Analyser Sample Stream Status Word 6</t>
  </si>
  <si>
    <t>F16AN403 Status Word 6</t>
  </si>
  <si>
    <t>F16AN403S7WS</t>
  </si>
  <si>
    <t>F16AN403S7W</t>
  </si>
  <si>
    <t>F16-AN-403 Onstream Sulphur Analyser Sample Stream Status Word 7</t>
  </si>
  <si>
    <t>F16AN403 Status Word 7</t>
  </si>
  <si>
    <t>F16AN403S8WS</t>
  </si>
  <si>
    <t>F16AN403S8W</t>
  </si>
  <si>
    <t>F16-AN-403 Onstream Sulphur Analyser Sample Stream Status Word 8</t>
  </si>
  <si>
    <t>F16AN403 Status Word 8</t>
  </si>
  <si>
    <t>F16AN403S9WS</t>
  </si>
  <si>
    <t>F16AN403S9W</t>
  </si>
  <si>
    <t>F16-AN-403 Onstream Sulphur Analyser Sample Stream Status Word 9</t>
  </si>
  <si>
    <t>F16AN403 Status Word 9</t>
  </si>
  <si>
    <t>F16AN403S10WS</t>
  </si>
  <si>
    <t>F16AN403S10W</t>
  </si>
  <si>
    <t>F16-AN-403 Onstream Sulphur Analyser Sample Stream Status Word 10</t>
  </si>
  <si>
    <t>F16AN403 Status Word 10</t>
  </si>
  <si>
    <t>F16AN403S11WS</t>
  </si>
  <si>
    <t>F16AN403S11W</t>
  </si>
  <si>
    <t>F16-AN-403 Onstream Sulphur Analyser Sample Stream Status Word 11</t>
  </si>
  <si>
    <t>F16AN403 Status Word 11</t>
  </si>
  <si>
    <t>F16AN403S12WS</t>
  </si>
  <si>
    <t>F16AN403S12W</t>
  </si>
  <si>
    <t>F16-AN-403 Onstream Sulphur Analyser Sample Stream Status Word 12</t>
  </si>
  <si>
    <t>F16AN403 Status Word 12</t>
  </si>
  <si>
    <t>F16AN403STS</t>
  </si>
  <si>
    <t>F16AN403ST</t>
  </si>
  <si>
    <t>F16-AN-403 Onstream Sulphur Analyser Status Word</t>
  </si>
  <si>
    <t>F16AN403 Analyser Status</t>
  </si>
  <si>
    <t>F16AN403S1FeS</t>
  </si>
  <si>
    <t>F16AN403S1Fe</t>
  </si>
  <si>
    <t>F16-AN-403 Onstream Sulphur Analyser Stream 1 Iron Concentration</t>
  </si>
  <si>
    <t>F16AN403 S1 Fe</t>
  </si>
  <si>
    <t>Soft-tag
Refer to 2000-SPC-CS-11001 Onstream Sulphur Analyser Modbus Map for details</t>
  </si>
  <si>
    <t>F16AN403S2FeS</t>
  </si>
  <si>
    <t>F16AN403S2Fe</t>
  </si>
  <si>
    <t>F16-AN-403 Onstream Sulphur Analyser Stream 2 Iron Concentration</t>
  </si>
  <si>
    <t>F16AN403 S2 Fe</t>
  </si>
  <si>
    <t>F16AN403S3FeS</t>
  </si>
  <si>
    <t>F16AN403S3Fe</t>
  </si>
  <si>
    <t>F16-AN-403 Onstream Sulphur Analyser Stream 3 Iron Concentration</t>
  </si>
  <si>
    <t>F16AN403 S3 Fe</t>
  </si>
  <si>
    <t>F16AN403S4FeS</t>
  </si>
  <si>
    <t>F16AN403S4Fe</t>
  </si>
  <si>
    <t>F16-AN-403 Onstream Sulphur Analyser Stream 4 Iron Concentration</t>
  </si>
  <si>
    <t>F16AN403 S4 Fe</t>
  </si>
  <si>
    <t>F16AN403S5FeS</t>
  </si>
  <si>
    <t>F16AN403S5Fe</t>
  </si>
  <si>
    <t>F16-AN-403 Onstream Sulphur Analyser Stream 5 Iron Concentration</t>
  </si>
  <si>
    <t>F16AN403 S5 Fe</t>
  </si>
  <si>
    <t>F16AN403S6FeS</t>
  </si>
  <si>
    <t>F16AN403S6Fe</t>
  </si>
  <si>
    <t>F16-AN-403 Onstream Sulphur Analyser Stream 6 Iron Concentration</t>
  </si>
  <si>
    <t>F16AN403 S6 Fe</t>
  </si>
  <si>
    <t>F16AN403S7FeS</t>
  </si>
  <si>
    <t>F16AN403S7Fe</t>
  </si>
  <si>
    <t>F16-AN-403 Onstream Sulphur Analyser Stream 7 Iron Concentration</t>
  </si>
  <si>
    <t>F16AN403 S7 Fe</t>
  </si>
  <si>
    <t>F16AN403S8FeS</t>
  </si>
  <si>
    <t>F16AN403S8Fe</t>
  </si>
  <si>
    <t>F16-AN-403 Onstream Sulphur Analyser Stream 8 Iron Concentration</t>
  </si>
  <si>
    <t>F16AN403 S8 Fe</t>
  </si>
  <si>
    <t>F16AN403S9FeS</t>
  </si>
  <si>
    <t>F16AN403S9Fe</t>
  </si>
  <si>
    <t>F16-AN-403 Onstream Sulphur Analyser Stream 9 Iron Concentration</t>
  </si>
  <si>
    <t>F16AN403 S9 Fe</t>
  </si>
  <si>
    <t>F16AN40310FeS</t>
  </si>
  <si>
    <t>F16AN403S10Fe</t>
  </si>
  <si>
    <t>F16-AN-403 Onstream Sulphur Analyser Stream 10 Iron Concentration</t>
  </si>
  <si>
    <t>F16AN403 S10 Fe</t>
  </si>
  <si>
    <t>F16AN40311FeS</t>
  </si>
  <si>
    <t>F16AN403S11Fe</t>
  </si>
  <si>
    <t>F16-AN-403 Onstream Sulphur Analyser Stream 11 Iron Concentration</t>
  </si>
  <si>
    <t>F16AN403 S11 Fe</t>
  </si>
  <si>
    <t>F16AN40312FeS</t>
  </si>
  <si>
    <t>F16AN403S12Fe</t>
  </si>
  <si>
    <t>F16-AN-403 Onstream Sulphur Analyser Stream 12 Iron Concentration</t>
  </si>
  <si>
    <t>F16AN403 S12 Fe</t>
  </si>
  <si>
    <t>F16AN403S1AsS</t>
  </si>
  <si>
    <t>F16AN403S1As</t>
  </si>
  <si>
    <t>F16-AN-403 Onstream Sulphur Analyser Stream 1 Arsenic Concentration</t>
  </si>
  <si>
    <t>F16AN403 S1 As</t>
  </si>
  <si>
    <t>g/t</t>
  </si>
  <si>
    <t>F16AN403S2AsS</t>
  </si>
  <si>
    <t>F16AN403S2As</t>
  </si>
  <si>
    <t>F16-AN-403 Onstream Sulphur Analyser Stream 2 Arsenic Concentration</t>
  </si>
  <si>
    <t>F16AN403 S2 As</t>
  </si>
  <si>
    <t>F16AN403S3AsS</t>
  </si>
  <si>
    <t>F16AN403S3As</t>
  </si>
  <si>
    <t>F16-AN-403 Onstream Sulphur Analyser Stream 3 Arsenic Concentration</t>
  </si>
  <si>
    <t>F16AN403 S3 As</t>
  </si>
  <si>
    <t>F16AN403S4AsS</t>
  </si>
  <si>
    <t>F16AN403S4As</t>
  </si>
  <si>
    <t>F16-AN-403 Onstream Sulphur Analyser Stream 4 Arsenic Concentration</t>
  </si>
  <si>
    <t>F16AN403 S4 As</t>
  </si>
  <si>
    <t>F16AN403S5AsS</t>
  </si>
  <si>
    <t>F16AN403S5As</t>
  </si>
  <si>
    <t>F16-AN-403 Onstream Sulphur Analyser Stream 5 Arsenic Concentration</t>
  </si>
  <si>
    <t>F16AN403 S5 As</t>
  </si>
  <si>
    <t>F16AN403S6AsS</t>
  </si>
  <si>
    <t>F16AN403S6As</t>
  </si>
  <si>
    <t>F16-AN-403 Onstream Sulphur Analyser Stream 6 Arsenic Concentration</t>
  </si>
  <si>
    <t>F16AN403 S6 As</t>
  </si>
  <si>
    <t>F16AN403S7AsS</t>
  </si>
  <si>
    <t>F16AN403S7As</t>
  </si>
  <si>
    <t>F16-AN-403 Onstream Sulphur Analyser Stream 7 Arsenic Concentration</t>
  </si>
  <si>
    <t>F16AN403 S7 As</t>
  </si>
  <si>
    <t>F16AN403S8AsS</t>
  </si>
  <si>
    <t>F16AN403S8As</t>
  </si>
  <si>
    <t>F16-AN-403 Onstream Sulphur Analyser Stream 8 Arsenic Concentration</t>
  </si>
  <si>
    <t>F16AN403 S8 As</t>
  </si>
  <si>
    <t>F16AN403S9AsS</t>
  </si>
  <si>
    <t>F16AN403S9As</t>
  </si>
  <si>
    <t>F16-AN-403 Onstream Sulphur Analyser Stream 9 Arsenic Concentration</t>
  </si>
  <si>
    <t>F16AN403 S9 As</t>
  </si>
  <si>
    <t>F16AN40310AsS</t>
  </si>
  <si>
    <t>F16AN403S10As</t>
  </si>
  <si>
    <t>F16-AN-403 Onstream Sulphur Analyser Stream 10 Arsenic Concentration</t>
  </si>
  <si>
    <t>F16AN403 S10 As</t>
  </si>
  <si>
    <t>F16AN40311AsS</t>
  </si>
  <si>
    <t>F16AN403S11As</t>
  </si>
  <si>
    <t>F16-AN-403 Onstream Sulphur Analyser Stream 11 Arsenic Concentration</t>
  </si>
  <si>
    <t>F16AN403 S11 As</t>
  </si>
  <si>
    <t>F16AN40312AsS</t>
  </si>
  <si>
    <t>F16AN403S12As</t>
  </si>
  <si>
    <t>F16-AN-403 Onstream Sulphur Analyser Stream 12 Arsenic Concentration</t>
  </si>
  <si>
    <t>F16AN403 S12 As</t>
  </si>
  <si>
    <t>F16AN403S1AuS</t>
  </si>
  <si>
    <t>F16AN403S1Au</t>
  </si>
  <si>
    <t>F16-AN-403 Onstream Sulphur Analyser Stream 1 Gold Concentration</t>
  </si>
  <si>
    <t>F16AN403 S1 Au</t>
  </si>
  <si>
    <t>F16AN403S2AuS</t>
  </si>
  <si>
    <t>F16AN403S2Au</t>
  </si>
  <si>
    <t>F16-AN-403 Onstream Sulphur Analyser Stream 2 Gold Concentration</t>
  </si>
  <si>
    <t>F16AN403 S2 Au</t>
  </si>
  <si>
    <t>F16AN403S3AuS</t>
  </si>
  <si>
    <t>F16AN403S3Au</t>
  </si>
  <si>
    <t>F16-AN-403 Onstream Sulphur Analyser Stream 3 Gold Concentration</t>
  </si>
  <si>
    <t>F16AN403 S3 Au</t>
  </si>
  <si>
    <t>F16AN403S4AuS</t>
  </si>
  <si>
    <t>F16AN403S4Au</t>
  </si>
  <si>
    <t>F16-AN-403 Onstream Sulphur Analyser Stream 4 Gold Concentration</t>
  </si>
  <si>
    <t>F16AN403 S4 Au</t>
  </si>
  <si>
    <t>F16AN403S5AuS</t>
  </si>
  <si>
    <t>F16AN403S5Au</t>
  </si>
  <si>
    <t>F16-AN-403 Onstream Sulphur Analyser Stream 5 Gold Concentration</t>
  </si>
  <si>
    <t>F16AN403 S5 Au</t>
  </si>
  <si>
    <t>F16AN403S6AuS</t>
  </si>
  <si>
    <t>F16AN403S6Au</t>
  </si>
  <si>
    <t>F16-AN-403 Onstream Sulphur Analyser Stream 6 Gold Concentration</t>
  </si>
  <si>
    <t>F16AN403 S6 Au</t>
  </si>
  <si>
    <t>F16AN403S7AuS</t>
  </si>
  <si>
    <t>F16AN403S7Au</t>
  </si>
  <si>
    <t>F16-AN-403 Onstream Sulphur Analyser Stream 7 Gold Concentration</t>
  </si>
  <si>
    <t>F16AN403 S7 Au</t>
  </si>
  <si>
    <t>F16AN403S8AuS</t>
  </si>
  <si>
    <t>F16AN403S8Au</t>
  </si>
  <si>
    <t>F16-AN-403 Onstream Sulphur Analyser Stream 8 Gold Concentration</t>
  </si>
  <si>
    <t>F16AN403 S8 Au</t>
  </si>
  <si>
    <t>F16AN403S9AuS</t>
  </si>
  <si>
    <t>F16AN403S9Au</t>
  </si>
  <si>
    <t>F16-AN-403 Onstream Sulphur Analyser Stream 9 Gold Concentration</t>
  </si>
  <si>
    <t>F16AN403 S9 Au</t>
  </si>
  <si>
    <t>F16AN40310AuS</t>
  </si>
  <si>
    <t>F16AN403S10Au</t>
  </si>
  <si>
    <t>F16-AN-403 Onstream Sulphur Analyser Stream 10 Gold Concentration</t>
  </si>
  <si>
    <t>F16AN403 S10 Au</t>
  </si>
  <si>
    <t>F16AN40311AuS</t>
  </si>
  <si>
    <t>F16AN403S11Au</t>
  </si>
  <si>
    <t>F16-AN-403 Onstream Sulphur Analyser Stream 11 Gold Concentration</t>
  </si>
  <si>
    <t>F16AN403 S11 Au</t>
  </si>
  <si>
    <t>F16AN40312AuS</t>
  </si>
  <si>
    <t>F16AN403S12Au</t>
  </si>
  <si>
    <t>F16-AN-403 Onstream Sulphur Analyser Stream 12 Gold Concentration</t>
  </si>
  <si>
    <t>F16AN403 S12 Au</t>
  </si>
  <si>
    <t>F16AN403S1SS</t>
  </si>
  <si>
    <t>F16AN403S1S</t>
  </si>
  <si>
    <t>F16-AN-403 Onstream Sulphur Analyser Stream 1 Solids %W/W</t>
  </si>
  <si>
    <t>F16AN403 S1 %Slds</t>
  </si>
  <si>
    <t>F16AN403S2SS</t>
  </si>
  <si>
    <t>F16AN403S2S</t>
  </si>
  <si>
    <t>F16-AN-403 Onstream Sulphur Analyser Stream 2 Solids %W/W</t>
  </si>
  <si>
    <t>F16AN403 S2 %Slds</t>
  </si>
  <si>
    <t>F16AN403S3SS</t>
  </si>
  <si>
    <t>F16AN403S3S</t>
  </si>
  <si>
    <t>F16-AN-403 Onstream Sulphur Analyser Stream 3 Solids %W/W</t>
  </si>
  <si>
    <t>F16AN403 S3 %Slds</t>
  </si>
  <si>
    <t>F16AN403S4SS</t>
  </si>
  <si>
    <t>F16AN403S4S</t>
  </si>
  <si>
    <t>F16-AN-403 Onstream Sulphur Analyser Stream 4 Solids %W/W</t>
  </si>
  <si>
    <t>F16AN403 S4 %Slds</t>
  </si>
  <si>
    <t>F16AN403S5SS</t>
  </si>
  <si>
    <t>F16AN403S5S</t>
  </si>
  <si>
    <t>F16-AN-403 Onstream Sulphur Analyser Stream 5 Solids %W/W</t>
  </si>
  <si>
    <t>F16AN403 S5 %Slds</t>
  </si>
  <si>
    <t>F16AN403S6SS</t>
  </si>
  <si>
    <t>F16AN403S6S</t>
  </si>
  <si>
    <t>F16-AN-403 Onstream Sulphur Analyser Stream 6 Solids %W/W</t>
  </si>
  <si>
    <t>F16AN403 S6 %Slds</t>
  </si>
  <si>
    <t>F16AN403S7SS</t>
  </si>
  <si>
    <t>F16AN403S7S</t>
  </si>
  <si>
    <t>F16-AN-403 Onstream Sulphur Analyser Stream 7 Solids %W/W</t>
  </si>
  <si>
    <t>F16AN403 S7 %Slds</t>
  </si>
  <si>
    <t>F16AN403S8SS</t>
  </si>
  <si>
    <t>F16AN403S8S</t>
  </si>
  <si>
    <t>F16-AN-403 Onstream Sulphur Analyser Stream 8 Solids %W/W</t>
  </si>
  <si>
    <t>F16AN403 S8 %Slds</t>
  </si>
  <si>
    <t>F16AN403S9SS</t>
  </si>
  <si>
    <t>F16AN403S9S</t>
  </si>
  <si>
    <t>F16-AN-403 Onstream Sulphur Analyser Stream 9 Solids %W/W</t>
  </si>
  <si>
    <t>F16AN403 S9 %Slds</t>
  </si>
  <si>
    <t>F16AN403S10SS</t>
  </si>
  <si>
    <t>F16AN403S10S</t>
  </si>
  <si>
    <t>F16-AN-403 Onstream Sulphur Analyser Stream 10 Solids %W/W</t>
  </si>
  <si>
    <t>F16AN403 S10 %Slds</t>
  </si>
  <si>
    <t>F16AN403S11SS</t>
  </si>
  <si>
    <t>F16AN403S11S</t>
  </si>
  <si>
    <t>F16-AN-403 Onstream Sulphur Analyser Stream 11 Solids %W/W</t>
  </si>
  <si>
    <t>F16AN403 S11 %Slds</t>
  </si>
  <si>
    <t>F16AN403S12SS</t>
  </si>
  <si>
    <t>F16AN403S12S</t>
  </si>
  <si>
    <t>F16-AN-403 Onstream Sulphur Analyser Stream 12 Solids %W/W</t>
  </si>
  <si>
    <t>F16AN403 S12 %Slds</t>
  </si>
  <si>
    <t>F16AN403T1S</t>
  </si>
  <si>
    <t>F16AN403T1</t>
  </si>
  <si>
    <t>F16-AN-403 Onstream Sulphur Analyser Ambient Temperature</t>
  </si>
  <si>
    <t>F16AN403 Ambient Temp</t>
  </si>
  <si>
    <t>°C</t>
  </si>
  <si>
    <t>Soft tag.
Refer to 2000-SPC-CS-11001 Onstream Sulphur Analyser for format and value multiplier.
Awaiting vendor details on range &amp; units.</t>
  </si>
  <si>
    <t>F16AN403T2S</t>
  </si>
  <si>
    <t>F16AN403T2</t>
  </si>
  <si>
    <t>F16-AN-403 Onstream Sulphur Analyser Chiller Ambient Temperature</t>
  </si>
  <si>
    <t>F16AN403 Chiller Temp</t>
  </si>
  <si>
    <t>F16CAM101VDS</t>
  </si>
  <si>
    <t>F16CAM101VDIR</t>
  </si>
  <si>
    <t>F16-CAM-101 Rougher Flotation Cell 1 Froth Camera Velocity Direction</t>
  </si>
  <si>
    <t>F16CAM101 Velocity Dir.</t>
  </si>
  <si>
    <t>SoftTag
From FLS OPC Server
Ref: 2000-ME001.1-J02-50002
If signal is BAD, hold last known value and alarm.
Alarm and ranges are TBC with vendor data</t>
  </si>
  <si>
    <t>F16CAM101VMS</t>
  </si>
  <si>
    <t>F16CAM101VMAG</t>
  </si>
  <si>
    <t>F16-CAM-101 Rougher Flotation Cell 1 Froth Camera Velocity Magnitude</t>
  </si>
  <si>
    <t>F16CAM101 Velocity Mag.</t>
  </si>
  <si>
    <t>F16CAM101PLS</t>
  </si>
  <si>
    <t>F16CAM101PULL</t>
  </si>
  <si>
    <t>F16-CAM-101 Rougher Flotation Cell 1 Froth Camera Velocity Pulling Rate</t>
  </si>
  <si>
    <t>F16CAM101 Pulling Rate</t>
  </si>
  <si>
    <t>F16CAM101VXS</t>
  </si>
  <si>
    <t>F16CAM101VELX</t>
  </si>
  <si>
    <t>F16-CAM-101 Rougher Flotation Cell 1 Froth Camera Velocity X</t>
  </si>
  <si>
    <t>F16CAM101 Velocity X</t>
  </si>
  <si>
    <t>F16CAM101VYS</t>
  </si>
  <si>
    <t>F16CAM101VELY</t>
  </si>
  <si>
    <t>F16-CAM-101 Rougher Flotation Cell 1 Froth Camera Velocity Y</t>
  </si>
  <si>
    <t>F16CAM101 Velocity Y</t>
  </si>
  <si>
    <t>F16CAM101HS</t>
  </si>
  <si>
    <t>F16CAM101HUE</t>
  </si>
  <si>
    <t>F16-CAM-101 Rougher Flotation Cell 1 Froth Camera Colour Hue</t>
  </si>
  <si>
    <t>F16CAM101 Colour Hue</t>
  </si>
  <si>
    <t>F16CAM101HHS</t>
  </si>
  <si>
    <t>F16CAM101HUEH</t>
  </si>
  <si>
    <t>F16-CAM-101 Rougher Flotation Cell 1 Froth Camera Colour Max hue</t>
  </si>
  <si>
    <t>F16CAM101 Colour Hue Max</t>
  </si>
  <si>
    <t>F16CAM101HLS</t>
  </si>
  <si>
    <t>F16CAM101HUEL</t>
  </si>
  <si>
    <t>F16-CAM-101 Rougher Flotation Cell 1 Froth Camera Colour Min hue</t>
  </si>
  <si>
    <t>F16CAM101 Colour Hue Min</t>
  </si>
  <si>
    <t>F16CAM101HSS</t>
  </si>
  <si>
    <t>F16CAM101HUES</t>
  </si>
  <si>
    <t>F16-CAM-101 Rougher Flotation Cell 1 Froth Camera Colour std hue</t>
  </si>
  <si>
    <t>F16CAM101 Colour Hue STD</t>
  </si>
  <si>
    <t>F16CAM101SS</t>
  </si>
  <si>
    <t>F16CAM101SAT</t>
  </si>
  <si>
    <t>F16-CAM-101 Rougher Flotation Cell 1 Froth Camera Colour Saturation</t>
  </si>
  <si>
    <t>F16CAM101 Colour Sat</t>
  </si>
  <si>
    <t>F16CAM101SHS</t>
  </si>
  <si>
    <t>F16CAM101SATH</t>
  </si>
  <si>
    <t>F16-CAM-101 Rougher Flotation Cell 1 Froth Camera Colour Saturation Max</t>
  </si>
  <si>
    <t>F16CAM101 Colour Sat Max</t>
  </si>
  <si>
    <t>F16CAM101SLS</t>
  </si>
  <si>
    <t>F16CAM101SATL</t>
  </si>
  <si>
    <t>F16-CAM-101 Rougher Flotation Cell 1 Froth Camera Colour Saturation Min</t>
  </si>
  <si>
    <t>F16CAM101 Colour Sat Min</t>
  </si>
  <si>
    <t>F16CAM101SAS</t>
  </si>
  <si>
    <t>F16CAM101SATA</t>
  </si>
  <si>
    <t>F16-CAM-101 Rougher Flotation Cell 1 Froth Camera Colour Saturation Average</t>
  </si>
  <si>
    <t>F16CAM101 Colour Sat Avg</t>
  </si>
  <si>
    <t>F16CAM101CAS</t>
  </si>
  <si>
    <t>F16CAM101COLA</t>
  </si>
  <si>
    <t>F16-CAM-101 Rougher Flotation Cell 1 Froth Camera Colour Value Average</t>
  </si>
  <si>
    <t>F16CAM101 Colour Avg</t>
  </si>
  <si>
    <t>F16CAM101CHS</t>
  </si>
  <si>
    <t>F16CAM101COLH</t>
  </si>
  <si>
    <t>F16-CAM-101 Rougher Flotation Cell 1 Froth Camera Colour Value Max</t>
  </si>
  <si>
    <t>F16CAM101 Colour Max</t>
  </si>
  <si>
    <t>F16CAM101CLS</t>
  </si>
  <si>
    <t>F16CAM101COLL</t>
  </si>
  <si>
    <t>F16-CAM-101 Rougher Flotation Cell 1 Froth Camera Colour Value Min</t>
  </si>
  <si>
    <t>F16CAM101 Colour Min</t>
  </si>
  <si>
    <t>F16CAM101CSS</t>
  </si>
  <si>
    <t>F16CAM101COLS</t>
  </si>
  <si>
    <t>F16-CAM-101 Rougher Flotation Cell 1 Froth Camera Colour Value std</t>
  </si>
  <si>
    <t>F16CAM101 Colour STD</t>
  </si>
  <si>
    <t>F16CAM101BXLS</t>
  </si>
  <si>
    <t>F16CAM101BXL</t>
  </si>
  <si>
    <t>F16-CAM-101 Rougher Flotation Cell 1 Froth Camera Bubble Size - Extra Large</t>
  </si>
  <si>
    <t>F16CAM101 Bubble X-Large</t>
  </si>
  <si>
    <t>F16CAM101BXSS</t>
  </si>
  <si>
    <t>F16CAM101BXS</t>
  </si>
  <si>
    <t>F16-CAM-101 Rougher Flotation Cell 1 Froth Camera Bubble Size - Fine</t>
  </si>
  <si>
    <t>F16CAM101 Bubble Fine</t>
  </si>
  <si>
    <t>F16CAM101BLS</t>
  </si>
  <si>
    <t>F16CAM101BL</t>
  </si>
  <si>
    <t>F16-CAM-101 Rougher Flotation Cell 1 Froth Camera Bubble Size - Large</t>
  </si>
  <si>
    <t>F16CAM101 Bubble Large</t>
  </si>
  <si>
    <t>F16CAM101BMS</t>
  </si>
  <si>
    <t>F16CAM101BM</t>
  </si>
  <si>
    <t>F16-CAM-101 Rougher Flotation Cell 1 Froth Camera Bubble Size - Medium</t>
  </si>
  <si>
    <t>F16CAM101 Bubble Medium</t>
  </si>
  <si>
    <t>F16CAM101BTSS</t>
  </si>
  <si>
    <t>F16CAM101BTS</t>
  </si>
  <si>
    <t>F16-CAM-101 Rougher Flotation Cell 1 Froth Camera Bubble Size - Top Size</t>
  </si>
  <si>
    <t>F16CAM101 Bubble Topsize</t>
  </si>
  <si>
    <t>F16CAM101LVLS</t>
  </si>
  <si>
    <t>F16CAM101LVL</t>
  </si>
  <si>
    <t>F16-CAM-101 Rougher Flotation Cell 1 Froth Camera Lidar Level</t>
  </si>
  <si>
    <t>F16CAM101 Lidar Level</t>
  </si>
  <si>
    <t>F16CAM102VDS</t>
  </si>
  <si>
    <t>F16CAM102VDIR</t>
  </si>
  <si>
    <t>F16-CAM-102 Rougher Flotation Cell 2 Froth Camera Velocity Direction</t>
  </si>
  <si>
    <t>F16CAM102 Velocity Dir.</t>
  </si>
  <si>
    <t>F16CAM102VMS</t>
  </si>
  <si>
    <t>F16CAM102VMAG</t>
  </si>
  <si>
    <t>F16-CAM-102 Rougher Flotation Cell 2 Froth Camera Velocity Magnitude</t>
  </si>
  <si>
    <t>F16CAM102 Velocity Mag.</t>
  </si>
  <si>
    <t>F16CAM102PLS</t>
  </si>
  <si>
    <t>F16CAM102PULL</t>
  </si>
  <si>
    <t>F16-CAM-102 Rougher Flotation Cell 2 Froth Camera Velocity Pulling Rate</t>
  </si>
  <si>
    <t>F16CAM102 Pulling Rate</t>
  </si>
  <si>
    <t>F16CAM102VXS</t>
  </si>
  <si>
    <t>F16CAM102VELX</t>
  </si>
  <si>
    <t>F16-CAM-102 Rougher Flotation Cell 2 Froth Camera Velocity X</t>
  </si>
  <si>
    <t>F16CAM102 Velocity X</t>
  </si>
  <si>
    <t>F16CAM102VYS</t>
  </si>
  <si>
    <t>F16CAM102VELY</t>
  </si>
  <si>
    <t>F16-CAM-102 Rougher Flotation Cell 2 Froth Camera Velocity Y</t>
  </si>
  <si>
    <t>F16CAM102 Velocity Y</t>
  </si>
  <si>
    <t>F16CAM102HS</t>
  </si>
  <si>
    <t>F16CAM102HUE</t>
  </si>
  <si>
    <t>F16-CAM-102 Rougher Flotation Cell 2 Froth Camera Colour Hue</t>
  </si>
  <si>
    <t>F16CAM102 Colour Hue</t>
  </si>
  <si>
    <t>F16CAM102HHS</t>
  </si>
  <si>
    <t>F16CAM102HUEH</t>
  </si>
  <si>
    <t>F16-CAM-102 Rougher Flotation Cell 2 Froth Camera Colour Max hue</t>
  </si>
  <si>
    <t>F16CAM102 Colour Hue Max</t>
  </si>
  <si>
    <t>F16CAM102HLS</t>
  </si>
  <si>
    <t>F16CAM102HUEL</t>
  </si>
  <si>
    <t>F16-CAM-102 Rougher Flotation Cell 2 Froth Camera Colour Min hue</t>
  </si>
  <si>
    <t>F16CAM102 Colour Hue Min</t>
  </si>
  <si>
    <t>F16CAM102HSS</t>
  </si>
  <si>
    <t>F16CAM102HUES</t>
  </si>
  <si>
    <t>F16-CAM-102 Rougher Flotation Cell 2 Froth Camera Colour std hue</t>
  </si>
  <si>
    <t>F16CAM102 Colour Hue STD</t>
  </si>
  <si>
    <t>F16CAM102SS</t>
  </si>
  <si>
    <t>F16CAM102SAT</t>
  </si>
  <si>
    <t>F16-CAM-102 Rougher Flotation Cell 2 Froth Camera Colour Saturation</t>
  </si>
  <si>
    <t>F16CAM102 Colour Sat</t>
  </si>
  <si>
    <t>F16CAM102SHS</t>
  </si>
  <si>
    <t>F16CAM102SATH</t>
  </si>
  <si>
    <t>F16-CAM-102 Rougher Flotation Cell 2 Froth Camera Colour Saturation Max</t>
  </si>
  <si>
    <t>F16CAM102 Colour Sat Max</t>
  </si>
  <si>
    <t>F16CAM102SLS</t>
  </si>
  <si>
    <t>F16CAM102SATL</t>
  </si>
  <si>
    <t>F16-CAM-102 Rougher Flotation Cell 2 Froth Camera Colour Saturation Min</t>
  </si>
  <si>
    <t>F16CAM102 Colour Sat Min</t>
  </si>
  <si>
    <t>F16CAM102SAS</t>
  </si>
  <si>
    <t>F16CAM102SATA</t>
  </si>
  <si>
    <t>F16-CAM-102 Rougher Flotation Cell 2 Froth Camera Colour Saturation Average</t>
  </si>
  <si>
    <t>F16CAM102 Colour Sat Avg</t>
  </si>
  <si>
    <t>F16CAM102CAS</t>
  </si>
  <si>
    <t>F16CAM102COLA</t>
  </si>
  <si>
    <t>F16-CAM-102 Rougher Flotation Cell 2 Froth Camera Colour Value Average</t>
  </si>
  <si>
    <t>F16CAM102 Colour Avg</t>
  </si>
  <si>
    <t>F16CAM102CHS</t>
  </si>
  <si>
    <t>F16CAM102COLH</t>
  </si>
  <si>
    <t>F16-CAM-102 Rougher Flotation Cell 2 Froth Camera Colour Value Max</t>
  </si>
  <si>
    <t>F16CAM102 Colour Max</t>
  </si>
  <si>
    <t>F16CAM102CLS</t>
  </si>
  <si>
    <t>F16CAM102COLL</t>
  </si>
  <si>
    <t>F16-CAM-102 Rougher Flotation Cell 2 Froth Camera Colour Value Min</t>
  </si>
  <si>
    <t>F16CAM102 Colour Min</t>
  </si>
  <si>
    <t>F16CAM102CSS</t>
  </si>
  <si>
    <t>F16CAM102COLS</t>
  </si>
  <si>
    <t>F16-CAM-102 Rougher Flotation Cell 2 Froth Camera Colour Value std</t>
  </si>
  <si>
    <t>F16CAM102 Colour STD</t>
  </si>
  <si>
    <t>F16CAM102BXLS</t>
  </si>
  <si>
    <t>F16CAM102BXL</t>
  </si>
  <si>
    <t>F16-CAM-102 Rougher Flotation Cell 2 Froth Camera Bubble Size - Extra Large</t>
  </si>
  <si>
    <t>F16CAM102 Bubble X-Large</t>
  </si>
  <si>
    <t>F16CAM102BXSS</t>
  </si>
  <si>
    <t>F16CAM102BXS</t>
  </si>
  <si>
    <t>F16-CAM-102 Rougher Flotation Cell 2 Froth Camera Bubble Size - Fine</t>
  </si>
  <si>
    <t>F16CAM102 Bubble Fine</t>
  </si>
  <si>
    <t>F16CAM102BLS</t>
  </si>
  <si>
    <t>F16CAM102BL</t>
  </si>
  <si>
    <t>F16-CAM-102 Rougher Flotation Cell 2 Froth Camera Bubble Size - Large</t>
  </si>
  <si>
    <t>F16CAM102 Bubble Large</t>
  </si>
  <si>
    <t>F16CAM102BMS</t>
  </si>
  <si>
    <t>F16CAM102BM</t>
  </si>
  <si>
    <t>F16-CAM-102 Rougher Flotation Cell 2 Froth Camera Bubble Size - Medium</t>
  </si>
  <si>
    <t>F16CAM102 Bubble Medium</t>
  </si>
  <si>
    <t>F16CAM102BTSS</t>
  </si>
  <si>
    <t>F16CAM102BTS</t>
  </si>
  <si>
    <t>F16-CAM-102 Rougher Flotation Cell 2 Froth Camera Bubble Size - Top Size</t>
  </si>
  <si>
    <t>F16CAM102 Bubble Topsize</t>
  </si>
  <si>
    <t>F16CAM102LVLS</t>
  </si>
  <si>
    <t>F16CAM102LVL</t>
  </si>
  <si>
    <t>F16-CAM-102 Rougher Flotation Cell 2 Froth Camera Lidar Level</t>
  </si>
  <si>
    <t>F16CAM102 Lidar Level</t>
  </si>
  <si>
    <t>F16CAM103VDS</t>
  </si>
  <si>
    <t>F16CAM103VDIR</t>
  </si>
  <si>
    <t>F16-CAM-103 Rougher Flotation Cell 3 Froth Camera Velocity Direction</t>
  </si>
  <si>
    <t>F16CAM103 Velocity Dir.</t>
  </si>
  <si>
    <t>F16CAM103VMS</t>
  </si>
  <si>
    <t>F16CAM103VMAG</t>
  </si>
  <si>
    <t>F16-CAM-103 Rougher Flotation Cell 3 Froth Camera Velocity Magnitude</t>
  </si>
  <si>
    <t>F16CAM103 Velocity Mag.</t>
  </si>
  <si>
    <t>F16CAM103PLS</t>
  </si>
  <si>
    <t>F16CAM103PULL</t>
  </si>
  <si>
    <t>F16-CAM-103 Rougher Flotation Cell 3 Froth Camera Velocity Pulling Rate</t>
  </si>
  <si>
    <t>F16CAM103 Pulling Rate</t>
  </si>
  <si>
    <t>F16CAM103VXS</t>
  </si>
  <si>
    <t>F16CAM103VELX</t>
  </si>
  <si>
    <t>F16-CAM-103 Rougher Flotation Cell 3 Froth Camera Velocity X</t>
  </si>
  <si>
    <t>F16CAM103 Velocity X</t>
  </si>
  <si>
    <t>F16CAM103VYS</t>
  </si>
  <si>
    <t>F16CAM103VELY</t>
  </si>
  <si>
    <t>F16-CAM-103 Rougher Flotation Cell 3 Froth Camera Velocity Y</t>
  </si>
  <si>
    <t>F16CAM103 Velocity Y</t>
  </si>
  <si>
    <t>F16CAM103HS</t>
  </si>
  <si>
    <t>F16CAM103HUE</t>
  </si>
  <si>
    <t>F16-CAM-103 Rougher Flotation Cell 3 Froth Camera Colour Hue</t>
  </si>
  <si>
    <t>F16CAM103 Colour Hue</t>
  </si>
  <si>
    <t>F16CAM103HHS</t>
  </si>
  <si>
    <t>F16CAM103HUEH</t>
  </si>
  <si>
    <t>F16-CAM-103 Rougher Flotation Cell 3 Froth Camera Colour Max hue</t>
  </si>
  <si>
    <t>F16CAM103 Colour Hue Max</t>
  </si>
  <si>
    <t>F16CAM103HLS</t>
  </si>
  <si>
    <t>F16CAM103HUEL</t>
  </si>
  <si>
    <t>F16-CAM-103 Rougher Flotation Cell 3 Froth Camera Colour Min hue</t>
  </si>
  <si>
    <t>F16CAM103 Colour Hue Min</t>
  </si>
  <si>
    <t>F16CAM103HSS</t>
  </si>
  <si>
    <t>F16CAM103HUES</t>
  </si>
  <si>
    <t>F16-CAM-103 Rougher Flotation Cell 3 Froth Camera Colour std hue</t>
  </si>
  <si>
    <t>F16CAM103 Colour Hue STD</t>
  </si>
  <si>
    <t>F16CAM103SS</t>
  </si>
  <si>
    <t>F16CAM103SAT</t>
  </si>
  <si>
    <t>F16-CAM-103 Rougher Flotation Cell 3 Froth Camera Colour Saturation</t>
  </si>
  <si>
    <t>F16CAM103 Colour Sat</t>
  </si>
  <si>
    <t>F16CAM103SHS</t>
  </si>
  <si>
    <t>F16CAM103SATH</t>
  </si>
  <si>
    <t>F16-CAM-103 Rougher Flotation Cell 3 Froth Camera Colour Saturation Max</t>
  </si>
  <si>
    <t>F16CAM103 Colour Sat Max</t>
  </si>
  <si>
    <t>F16CAM103SLS</t>
  </si>
  <si>
    <t>F16CAM103SATL</t>
  </si>
  <si>
    <t>F16-CAM-103 Rougher Flotation Cell 3 Froth Camera Colour Saturation Min</t>
  </si>
  <si>
    <t>F16CAM103 Colour Sat Min</t>
  </si>
  <si>
    <t>F16CAM103SAS</t>
  </si>
  <si>
    <t>F16CAM103SATA</t>
  </si>
  <si>
    <t>F16-CAM-103 Rougher Flotation Cell 3 Froth Camera Colour Saturation Average</t>
  </si>
  <si>
    <t>F16CAM103 Colour Sat Avg</t>
  </si>
  <si>
    <t>F16CAM103CAS</t>
  </si>
  <si>
    <t>F16CAM103COLA</t>
  </si>
  <si>
    <t>F16-CAM-103 Rougher Flotation Cell 3 Froth Camera Colour Value Average</t>
  </si>
  <si>
    <t>F16CAM103 Colour Avg</t>
  </si>
  <si>
    <t>F16CAM103CHS</t>
  </si>
  <si>
    <t>F16CAM103COLH</t>
  </si>
  <si>
    <t>F16-CAM-103 Rougher Flotation Cell 3 Froth Camera Colour Value Max</t>
  </si>
  <si>
    <t>F16CAM103 Colour Max</t>
  </si>
  <si>
    <t>F16CAM103CLS</t>
  </si>
  <si>
    <t>F16CAM103COLL</t>
  </si>
  <si>
    <t>F16-CAM-103 Rougher Flotation Cell 3 Froth Camera Colour Value Min</t>
  </si>
  <si>
    <t>F16CAM103 Colour Min</t>
  </si>
  <si>
    <t>F16CAM103CSS</t>
  </si>
  <si>
    <t>F16CAM103COLS</t>
  </si>
  <si>
    <t>F16-CAM-103 Rougher Flotation Cell 3 Froth Camera Colour Value std</t>
  </si>
  <si>
    <t>F16CAM103 Colour STD</t>
  </si>
  <si>
    <t>F16CAM103BXLS</t>
  </si>
  <si>
    <t>F16CAM103BXL</t>
  </si>
  <si>
    <t>F16-CAM-103 Rougher Flotation Cell 3 Froth Camera Bubble Size - Extra Large</t>
  </si>
  <si>
    <t>F16CAM103 Bubble X-Large</t>
  </si>
  <si>
    <t>F16CAM103BXSS</t>
  </si>
  <si>
    <t>F16CAM103BXS</t>
  </si>
  <si>
    <t>F16-CAM-103 Rougher Flotation Cell 3 Froth Camera Bubble Size - Fine</t>
  </si>
  <si>
    <t>F16CAM103 Bubble Fine</t>
  </si>
  <si>
    <t>F16CAM103BLS</t>
  </si>
  <si>
    <t>F16CAM103BL</t>
  </si>
  <si>
    <t>F16-CAM-103 Rougher Flotation Cell 3 Froth Camera Bubble Size - Large</t>
  </si>
  <si>
    <t>F16CAM103 Bubble Large</t>
  </si>
  <si>
    <t>F16CAM103BMS</t>
  </si>
  <si>
    <t>F16CAM103BM</t>
  </si>
  <si>
    <t>F16-CAM-103 Rougher Flotation Cell 3 Froth Camera Bubble Size - Medium</t>
  </si>
  <si>
    <t>F16CAM103 Bubble Medium</t>
  </si>
  <si>
    <t>F16CAM103BTSS</t>
  </si>
  <si>
    <t>F16CAM103BTS</t>
  </si>
  <si>
    <t>F16-CAM-103 Rougher Flotation Cell 3 Froth Camera Bubble Size - Top Size</t>
  </si>
  <si>
    <t>F16CAM103 Bubble Topsize</t>
  </si>
  <si>
    <t>F16CAM103LVLS</t>
  </si>
  <si>
    <t>F16CAM103LVL</t>
  </si>
  <si>
    <t>F16-CAM-103 Rougher Flotation Cell 3 Froth Camera Lidar Level</t>
  </si>
  <si>
    <t>F16CAM103 Lidar Level</t>
  </si>
  <si>
    <t>F16CAM104VDS</t>
  </si>
  <si>
    <t>F16CAM104VDIR</t>
  </si>
  <si>
    <t>F16-CAM-104 Scavenger Flotation Cell 1 Froth Camera Velocity Direction</t>
  </si>
  <si>
    <t>F16CAM104 Velocity Dir.</t>
  </si>
  <si>
    <t>F16CAM104VMS</t>
  </si>
  <si>
    <t>F16CAM104VMAG</t>
  </si>
  <si>
    <t>F16-CAM-104 Scavenger Flotation Cell 1 Froth Camera Velocity Magnitude</t>
  </si>
  <si>
    <t>F16CAM104 Velocity Mag.</t>
  </si>
  <si>
    <t>F16CAM104PLS</t>
  </si>
  <si>
    <t>F16CAM104PULL</t>
  </si>
  <si>
    <t>F16-CAM-104 Scavenger Flotation Cell 1 Froth Camera Velocity Pulling Rate</t>
  </si>
  <si>
    <t>F16CAM104 Pulling Rate</t>
  </si>
  <si>
    <t>F16CAM104VXS</t>
  </si>
  <si>
    <t>F16CAM104VELX</t>
  </si>
  <si>
    <t>F16-CAM-104 Scavenger Flotation Cell 1 Froth Camera Velocity X</t>
  </si>
  <si>
    <t>F16CAM104 Velocity X</t>
  </si>
  <si>
    <t>F16CAM104VYS</t>
  </si>
  <si>
    <t>F16CAM104VELY</t>
  </si>
  <si>
    <t>F16-CAM-104 Scavenger Flotation Cell 1 Froth Camera Velocity Y</t>
  </si>
  <si>
    <t>F16CAM104 Velocity Y</t>
  </si>
  <si>
    <t>F16CAM104HS</t>
  </si>
  <si>
    <t>F16CAM104HUE</t>
  </si>
  <si>
    <t>F16-CAM-104 Scavenger Flotation Cell 1 Froth Camera Colour Hue</t>
  </si>
  <si>
    <t>F16CAM104 Colour Hue</t>
  </si>
  <si>
    <t>F16CAM104HHS</t>
  </si>
  <si>
    <t>F16CAM104HUEH</t>
  </si>
  <si>
    <t>F16-CAM-104 Scavenger Flotation Cell 1 Froth Camera Colour Max hue</t>
  </si>
  <si>
    <t>F16CAM104 Colour Hue Max</t>
  </si>
  <si>
    <t>F16CAM104HLS</t>
  </si>
  <si>
    <t>F16CAM104HUEL</t>
  </si>
  <si>
    <t>F16-CAM-104 Scavenger Flotation Cell 1 Froth Camera Colour Min hue</t>
  </si>
  <si>
    <t>F16CAM104 Colour Hue Min</t>
  </si>
  <si>
    <t>F16CAM104HSS</t>
  </si>
  <si>
    <t>F16CAM104HUES</t>
  </si>
  <si>
    <t>F16-CAM-104 Scavenger Flotation Cell 1 Froth Camera Colour std hue</t>
  </si>
  <si>
    <t>F16CAM104 Colour Hue STD</t>
  </si>
  <si>
    <t>F16CAM104SS</t>
  </si>
  <si>
    <t>F16CAM104SAT</t>
  </si>
  <si>
    <t>F16-CAM-104 Scavenger Flotation Cell 1 Froth Camera Colour Saturation</t>
  </si>
  <si>
    <t>F16CAM104 Colour Sat</t>
  </si>
  <si>
    <t>F16CAM104SHS</t>
  </si>
  <si>
    <t>F16CAM104SATH</t>
  </si>
  <si>
    <t>F16-CAM-104 Scavenger Flotation Cell 1 Froth Camera Colour Saturation Max</t>
  </si>
  <si>
    <t>F16CAM104 Colour Sat Max</t>
  </si>
  <si>
    <t>F16CAM104SLS</t>
  </si>
  <si>
    <t>F16CAM104SATL</t>
  </si>
  <si>
    <t>F16-CAM-104 Scavenger Flotation Cell 1 Froth Camera Colour Saturation Min</t>
  </si>
  <si>
    <t>F16CAM104 Colour Sat Min</t>
  </si>
  <si>
    <t>F16CAM104SAS</t>
  </si>
  <si>
    <t>F16CAM104SATA</t>
  </si>
  <si>
    <t>F16-CAM-104 Scavenger Flotation Cell 1 Froth Camera Colour Saturation Average</t>
  </si>
  <si>
    <t>F16CAM104 Colour Sat Avg</t>
  </si>
  <si>
    <t>F16CAM104CAS</t>
  </si>
  <si>
    <t>F16CAM104COLA</t>
  </si>
  <si>
    <t>F16-CAM-104 Scavenger Flotation Cell 1 Froth Camera Colour Value Average</t>
  </si>
  <si>
    <t>F16CAM104 Colour Avg</t>
  </si>
  <si>
    <t>F16CAM104CHS</t>
  </si>
  <si>
    <t>F16CAM104COLH</t>
  </si>
  <si>
    <t>F16-CAM-104 Scavenger Flotation Cell 1 Froth Camera Colour Value Max</t>
  </si>
  <si>
    <t>F16CAM104 Colour Max</t>
  </si>
  <si>
    <t>F16CAM104CLS</t>
  </si>
  <si>
    <t>F16CAM104COLL</t>
  </si>
  <si>
    <t>F16-CAM-104 Scavenger Flotation Cell 1 Froth Camera Colour Value Min</t>
  </si>
  <si>
    <t>F16CAM104 Colour Min</t>
  </si>
  <si>
    <t>F16CAM104CSS</t>
  </si>
  <si>
    <t>F16CAM104COLS</t>
  </si>
  <si>
    <t>F16-CAM-104 Scavenger Flotation Cell 1 Froth Camera Colour Value std</t>
  </si>
  <si>
    <t>F16CAM104 Colour STD</t>
  </si>
  <si>
    <t>F16CAM104BXLS</t>
  </si>
  <si>
    <t>F16CAM104BXL</t>
  </si>
  <si>
    <t>F16-CAM-104 Scavenger Flotation Cell 1 Froth Camera Bubble Size - Extra Large</t>
  </si>
  <si>
    <t>F16CAM104 Bubble X-Large</t>
  </si>
  <si>
    <t>F16CAM104BXSS</t>
  </si>
  <si>
    <t>F16CAM104BXS</t>
  </si>
  <si>
    <t>F16-CAM-104 Scavenger Flotation Cell 1 Froth Camera Bubble Size - Fine</t>
  </si>
  <si>
    <t>F16CAM104 Bubble Fine</t>
  </si>
  <si>
    <t>F16CAM104BLS</t>
  </si>
  <si>
    <t>F16CAM104BL</t>
  </si>
  <si>
    <t>F16-CAM-104 Scavenger Flotation Cell 1 Froth Camera Bubble Size - Large</t>
  </si>
  <si>
    <t>F16CAM104 Bubble Large</t>
  </si>
  <si>
    <t>F16CAM104BMS</t>
  </si>
  <si>
    <t>F16CAM104BM</t>
  </si>
  <si>
    <t>F16-CAM-104 Scavenger Flotation Cell 1 Froth Camera Bubble Size - Medium</t>
  </si>
  <si>
    <t>F16CAM104 Bubble Medium</t>
  </si>
  <si>
    <t>F16CAM104BTSS</t>
  </si>
  <si>
    <t>F16CAM104BTS</t>
  </si>
  <si>
    <t>F16-CAM-104 Scavenger Flotation Cell 1 Froth Camera Bubble Size - Top Size</t>
  </si>
  <si>
    <t>F16CAM104 Bubble Topsize</t>
  </si>
  <si>
    <t>F16CAM104LVLS</t>
  </si>
  <si>
    <t>F16CAM104LVL</t>
  </si>
  <si>
    <t>F16-CAM-104 Scavenger Flotation Cell 1 Froth Camera Lidar Level</t>
  </si>
  <si>
    <t>F16CAM104 Lidar Level</t>
  </si>
  <si>
    <t>F16CAM105VDS</t>
  </si>
  <si>
    <t>F16CAM105VDIR</t>
  </si>
  <si>
    <t>F16-CAM-105 Scavenger Flotation Cell 2 Froth Camera Velocity Direction</t>
  </si>
  <si>
    <t>F16CAM105 Velocity Dir.</t>
  </si>
  <si>
    <t>F16CAM105VMS</t>
  </si>
  <si>
    <t>F16CAM105VMAG</t>
  </si>
  <si>
    <t>F16-CAM-105 Scavenger Flotation Cell 2 Froth Camera Velocity Magnitude</t>
  </si>
  <si>
    <t>F16CAM105 Velocity Mag.</t>
  </si>
  <si>
    <t>F16CAM105PLS</t>
  </si>
  <si>
    <t>F16CAM105PULL</t>
  </si>
  <si>
    <t>F16-CAM-105 Scavenger Flotation Cell 2 Froth Camera Velocity Pulling Rate</t>
  </si>
  <si>
    <t>F16CAM105 Pulling Rate</t>
  </si>
  <si>
    <t>F16CAM105VXS</t>
  </si>
  <si>
    <t>F16CAM105VELX</t>
  </si>
  <si>
    <t>F16-CAM-105 Scavenger Flotation Cell 2 Froth Camera Velocity X</t>
  </si>
  <si>
    <t>F16CAM105 Velocity X</t>
  </si>
  <si>
    <t>F16CAM105VYS</t>
  </si>
  <si>
    <t>F16CAM105VELY</t>
  </si>
  <si>
    <t>F16-CAM-105 Scavenger Flotation Cell 2 Froth Camera Velocity Y</t>
  </si>
  <si>
    <t>F16CAM105 Velocity Y</t>
  </si>
  <si>
    <t>F16CAM105HS</t>
  </si>
  <si>
    <t>F16CAM105HUE</t>
  </si>
  <si>
    <t>F16-CAM-105 Scavenger Flotation Cell 2 Froth Camera Colour Hue</t>
  </si>
  <si>
    <t>F16CAM105 Colour Hue</t>
  </si>
  <si>
    <t>F16CAM105HHS</t>
  </si>
  <si>
    <t>F16CAM105HUEH</t>
  </si>
  <si>
    <t>F16-CAM-105 Scavenger Flotation Cell 2 Froth Camera Colour Max hue</t>
  </si>
  <si>
    <t>F16CAM105 Colour Hue Max</t>
  </si>
  <si>
    <t>F16CAM105HLS</t>
  </si>
  <si>
    <t>F16CAM105HUEL</t>
  </si>
  <si>
    <t>F16-CAM-105 Scavenger Flotation Cell 2 Froth Camera Colour Min hue</t>
  </si>
  <si>
    <t>F16CAM105 Colour Hue Min</t>
  </si>
  <si>
    <t>F16CAM105HSS</t>
  </si>
  <si>
    <t>F16CAM105HUES</t>
  </si>
  <si>
    <t>F16-CAM-105 Scavenger Flotation Cell 2 Froth Camera Colour std hue</t>
  </si>
  <si>
    <t>F16CAM105 Colour Hue STD</t>
  </si>
  <si>
    <t>F16CAM105SS</t>
  </si>
  <si>
    <t>F16CAM105SAT</t>
  </si>
  <si>
    <t>F16-CAM-105 Scavenger Flotation Cell 2 Froth Camera Colour Saturation</t>
  </si>
  <si>
    <t>F16CAM105 Colour Sat</t>
  </si>
  <si>
    <t>F16CAM105SHS</t>
  </si>
  <si>
    <t>F16CAM105SATH</t>
  </si>
  <si>
    <t>F16-CAM-105 Scavenger Flotation Cell 2 Froth Camera Colour Saturation Max</t>
  </si>
  <si>
    <t>F16CAM105 Colour Sat Max</t>
  </si>
  <si>
    <t>F16CAM105SLS</t>
  </si>
  <si>
    <t>F16CAM105SATL</t>
  </si>
  <si>
    <t>F16-CAM-105 Scavenger Flotation Cell 2 Froth Camera Colour Saturation Min</t>
  </si>
  <si>
    <t>F16CAM105 Colour Sat Min</t>
  </si>
  <si>
    <t>F16CAM105SAS</t>
  </si>
  <si>
    <t>F16CAM105SATA</t>
  </si>
  <si>
    <t>F16-CAM-105 Scavenger Flotation Cell 2 Froth Camera Colour Saturation Average</t>
  </si>
  <si>
    <t>F16CAM105 Colour Sat Avg</t>
  </si>
  <si>
    <t>F16CAM105CAS</t>
  </si>
  <si>
    <t>F16CAM105COLA</t>
  </si>
  <si>
    <t>F16-CAM-105 Scavenger Flotation Cell 2 Froth Camera Colour Value Average</t>
  </si>
  <si>
    <t>F16CAM105 Colour Avg</t>
  </si>
  <si>
    <t>F16CAM105CHS</t>
  </si>
  <si>
    <t>F16CAM105COLH</t>
  </si>
  <si>
    <t>F16-CAM-105 Scavenger Flotation Cell 2 Froth Camera Colour Value Max</t>
  </si>
  <si>
    <t>F16CAM105 Colour Max</t>
  </si>
  <si>
    <t>F16CAM105CLS</t>
  </si>
  <si>
    <t>F16CAM105COLL</t>
  </si>
  <si>
    <t>F16-CAM-105 Scavenger Flotation Cell 2 Froth Camera Colour Value Min</t>
  </si>
  <si>
    <t>F16CAM105 Colour Min</t>
  </si>
  <si>
    <t>F16CAM105CSS</t>
  </si>
  <si>
    <t>F16CAM105COLS</t>
  </si>
  <si>
    <t>F16-CAM-105 Scavenger Flotation Cell 2 Froth Camera Colour Value std</t>
  </si>
  <si>
    <t>F16CAM105 Colour STD</t>
  </si>
  <si>
    <t>F16CAM105BXLS</t>
  </si>
  <si>
    <t>F16CAM105BXL</t>
  </si>
  <si>
    <t>F16-CAM-105 Scavenger Flotation Cell 2 Froth Camera Bubble Size - Extra Large</t>
  </si>
  <si>
    <t>F16CAM105 Bubble X-Large</t>
  </si>
  <si>
    <t>F16CAM105BXSS</t>
  </si>
  <si>
    <t>F16CAM105BXS</t>
  </si>
  <si>
    <t>F16-CAM-105 Scavenger Flotation Cell 2 Froth Camera Bubble Size - Fine</t>
  </si>
  <si>
    <t>F16CAM105 Bubble Fine</t>
  </si>
  <si>
    <t>F16CAM105BLS</t>
  </si>
  <si>
    <t>F16CAM105BL</t>
  </si>
  <si>
    <t>F16-CAM-105 Scavenger Flotation Cell 2 Froth Camera Bubble Size - Large</t>
  </si>
  <si>
    <t>F16CAM105 Bubble Large</t>
  </si>
  <si>
    <t>F16CAM105BMS</t>
  </si>
  <si>
    <t>F16CAM105BM</t>
  </si>
  <si>
    <t>F16-CAM-105 Scavenger Flotation Cell 2 Froth Camera Bubble Size - Medium</t>
  </si>
  <si>
    <t>F16CAM105 Bubble Medium</t>
  </si>
  <si>
    <t>F16CAM105BTSS</t>
  </si>
  <si>
    <t>F16CAM105BTS</t>
  </si>
  <si>
    <t>F16-CAM-105 Scavenger Flotation Cell 2 Froth Camera Bubble Size - Top Size</t>
  </si>
  <si>
    <t>F16CAM105 Bubble Topsize</t>
  </si>
  <si>
    <t>F16CAM105LVLS</t>
  </si>
  <si>
    <t>F16CAM105LVL</t>
  </si>
  <si>
    <t>F16-CAM-105 Scavenger Flotation Cell 2 Froth Camera Lidar Level</t>
  </si>
  <si>
    <t>F16CAM105 Lidar Level</t>
  </si>
  <si>
    <t>F16CAM106VDS</t>
  </si>
  <si>
    <t>F16CAM106VDIR</t>
  </si>
  <si>
    <t>F16-CAM-106 Scavenger Flotation Cell 3 Froth Camera Velocity Direction</t>
  </si>
  <si>
    <t>F16CAM106 Velocity Dir.</t>
  </si>
  <si>
    <t>F16CAM106VMS</t>
  </si>
  <si>
    <t>F16CAM106VMAG</t>
  </si>
  <si>
    <t>F16-CAM-106 Scavenger Flotation Cell 3 Froth Camera Velocity Magnitude</t>
  </si>
  <si>
    <t>F16CAM106 Velocity Mag.</t>
  </si>
  <si>
    <t>F16CAM106PLS</t>
  </si>
  <si>
    <t>F16CAM106PULL</t>
  </si>
  <si>
    <t>F16-CAM-106 Scavenger Flotation Cell 3 Froth Camera Velocity Pulling Rate</t>
  </si>
  <si>
    <t>F16CAM106 Pulling Rate</t>
  </si>
  <si>
    <t>F16CAM106VXS</t>
  </si>
  <si>
    <t>F16CAM106VELX</t>
  </si>
  <si>
    <t>F16-CAM-106 Scavenger Flotation Cell 3 Froth Camera Velocity X</t>
  </si>
  <si>
    <t>F16CAM106 Velocity X</t>
  </si>
  <si>
    <t>F16CAM106VYS</t>
  </si>
  <si>
    <t>F16CAM106VELY</t>
  </si>
  <si>
    <t>F16-CAM-106 Scavenger Flotation Cell 3 Froth Camera Velocity Y</t>
  </si>
  <si>
    <t>F16CAM106 Velocity Y</t>
  </si>
  <si>
    <t>F16CAM106HS</t>
  </si>
  <si>
    <t>F16CAM106HUE</t>
  </si>
  <si>
    <t>F16-CAM-106 Scavenger Flotation Cell 3 Froth Camera Colour Hue</t>
  </si>
  <si>
    <t>F16CAM106 Colour Hue</t>
  </si>
  <si>
    <t>F16CAM106HHS</t>
  </si>
  <si>
    <t>F16CAM106HUEH</t>
  </si>
  <si>
    <t>F16-CAM-106 Scavenger Flotation Cell 3 Froth Camera Colour Max hue</t>
  </si>
  <si>
    <t>F16CAM106 Colour Hue Max</t>
  </si>
  <si>
    <t>F16CAM106HLS</t>
  </si>
  <si>
    <t>F16CAM106HUEL</t>
  </si>
  <si>
    <t>F16-CAM-106 Scavenger Flotation Cell 3 Froth Camera Colour Min hue</t>
  </si>
  <si>
    <t>F16CAM106 Colour Hue Min</t>
  </si>
  <si>
    <t>F16CAM106HSS</t>
  </si>
  <si>
    <t>F16CAM106HUES</t>
  </si>
  <si>
    <t>F16-CAM-106 Scavenger Flotation Cell 3 Froth Camera Colour std hue</t>
  </si>
  <si>
    <t>F16CAM106 Colour Hue STD</t>
  </si>
  <si>
    <t>F16CAM106SS</t>
  </si>
  <si>
    <t>F16CAM106SAT</t>
  </si>
  <si>
    <t>F16-CAM-106 Scavenger Flotation Cell 3 Froth Camera Colour Saturation</t>
  </si>
  <si>
    <t>F16CAM106 Colour Sat</t>
  </si>
  <si>
    <t>F16CAM106SHS</t>
  </si>
  <si>
    <t>F16CAM106SATH</t>
  </si>
  <si>
    <t>F16-CAM-106 Scavenger Flotation Cell 3 Froth Camera Colour Saturation Max</t>
  </si>
  <si>
    <t>F16CAM106 Colour Sat Max</t>
  </si>
  <si>
    <t>F16CAM106SLS</t>
  </si>
  <si>
    <t>F16CAM106SATL</t>
  </si>
  <si>
    <t>F16-CAM-106 Scavenger Flotation Cell 3 Froth Camera Colour Saturation Min</t>
  </si>
  <si>
    <t>F16CAM106 Colour Sat Min</t>
  </si>
  <si>
    <t>F16CAM106SAS</t>
  </si>
  <si>
    <t>F16CAM106SATA</t>
  </si>
  <si>
    <t>F16-CAM-106 Scavenger Flotation Cell 3 Froth Camera Colour Saturation Average</t>
  </si>
  <si>
    <t>F16CAM106 Colour Sat Avg</t>
  </si>
  <si>
    <t>F16CAM106CAS</t>
  </si>
  <si>
    <t>F16CAM106COLA</t>
  </si>
  <si>
    <t>F16-CAM-106 Scavenger Flotation Cell 3 Froth Camera Colour Value Average</t>
  </si>
  <si>
    <t>F16CAM106 Colour Avg</t>
  </si>
  <si>
    <t>F16CAM106CHS</t>
  </si>
  <si>
    <t>F16CAM106COLH</t>
  </si>
  <si>
    <t>F16-CAM-106 Scavenger Flotation Cell 3 Froth Camera Colour Value Max</t>
  </si>
  <si>
    <t>F16CAM106 Colour Max</t>
  </si>
  <si>
    <t>F16CAM106CLS</t>
  </si>
  <si>
    <t>F16CAM106COLL</t>
  </si>
  <si>
    <t>F16-CAM-106 Scavenger Flotation Cell 3 Froth Camera Colour Value Min</t>
  </si>
  <si>
    <t>F16CAM106 Colour Min</t>
  </si>
  <si>
    <t>F16CAM106CSS</t>
  </si>
  <si>
    <t>F16CAM106COLS</t>
  </si>
  <si>
    <t>F16-CAM-106 Scavenger Flotation Cell 3 Froth Camera Colour Value std</t>
  </si>
  <si>
    <t>F16CAM106 Colour STD</t>
  </si>
  <si>
    <t>F16CAM106BXLS</t>
  </si>
  <si>
    <t>F16CAM106BXL</t>
  </si>
  <si>
    <t>F16-CAM-106 Scavenger Flotation Cell 3 Froth Camera Bubble Size - Extra Large</t>
  </si>
  <si>
    <t>F16CAM106 Bubble X-Large</t>
  </si>
  <si>
    <t>F16CAM106BXSS</t>
  </si>
  <si>
    <t>F16CAM106BXS</t>
  </si>
  <si>
    <t>F16-CAM-106 Scavenger Flotation Cell 3 Froth Camera Bubble Size - Fine</t>
  </si>
  <si>
    <t>F16CAM106 Bubble Fine</t>
  </si>
  <si>
    <t>F16CAM106BLS</t>
  </si>
  <si>
    <t>F16CAM106BL</t>
  </si>
  <si>
    <t>F16-CAM-106 Scavenger Flotation Cell 3 Froth Camera Bubble Size - Large</t>
  </si>
  <si>
    <t>F16CAM106 Bubble Large</t>
  </si>
  <si>
    <t>F16CAM106BMS</t>
  </si>
  <si>
    <t>F16CAM106BM</t>
  </si>
  <si>
    <t>F16-CAM-106 Scavenger Flotation Cell 3 Froth Camera Bubble Size - Medium</t>
  </si>
  <si>
    <t>F16CAM106 Bubble Medium</t>
  </si>
  <si>
    <t>F16CAM106BTSS</t>
  </si>
  <si>
    <t>F16CAM106BTS</t>
  </si>
  <si>
    <t>F16-CAM-106 Scavenger Flotation Cell 3 Froth Camera Bubble Size - Top Size</t>
  </si>
  <si>
    <t>F16CAM106 Bubble Topsize</t>
  </si>
  <si>
    <t>F16CAM106LVLS</t>
  </si>
  <si>
    <t>F16CAM106LVL</t>
  </si>
  <si>
    <t>F16-CAM-106 Scavenger Flotation Cell 3 Froth Camera Lidar Level</t>
  </si>
  <si>
    <t>F16CAM106 Lidar Level</t>
  </si>
  <si>
    <t>F16CAM107VDS</t>
  </si>
  <si>
    <t>F16CAM107VDIR</t>
  </si>
  <si>
    <t>F16-CAM-107 Scavenger Flotation Cell 4 Froth Camera Velocity Direction</t>
  </si>
  <si>
    <t>F16CAM107 Velocity Dir.</t>
  </si>
  <si>
    <t>F16CAM107VMS</t>
  </si>
  <si>
    <t>F16CAM107VMAG</t>
  </si>
  <si>
    <t>F16-CAM-107 Scavenger Flotation Cell 4 Froth Camera Velocity Magnitude</t>
  </si>
  <si>
    <t>F16CAM107 Velocity Mag.</t>
  </si>
  <si>
    <t>F16CAM107PLS</t>
  </si>
  <si>
    <t>F16CAM107PULL</t>
  </si>
  <si>
    <t>F16-CAM-107 Scavenger Flotation Cell 4 Froth Camera Velocity Pulling Rate</t>
  </si>
  <si>
    <t>F16CAM107 Pulling Rate</t>
  </si>
  <si>
    <t>F16CAM107VXS</t>
  </si>
  <si>
    <t>F16CAM107VELX</t>
  </si>
  <si>
    <t>F16-CAM-107 Scavenger Flotation Cell 4 Froth Camera Velocity X</t>
  </si>
  <si>
    <t>F16CAM107 Velocity X</t>
  </si>
  <si>
    <t>F16CAM107VYS</t>
  </si>
  <si>
    <t>F16CAM107VELY</t>
  </si>
  <si>
    <t>F16-CAM-107 Scavenger Flotation Cell 4 Froth Camera Velocity Y</t>
  </si>
  <si>
    <t>F16CAM107 Velocity Y</t>
  </si>
  <si>
    <t>F16CAM107HS</t>
  </si>
  <si>
    <t>F16CAM107HUE</t>
  </si>
  <si>
    <t>F16-CAM-107 Scavenger Flotation Cell 4 Froth Camera Colour Hue</t>
  </si>
  <si>
    <t>F16CAM107 Colour Hue</t>
  </si>
  <si>
    <t>F16CAM107HHS</t>
  </si>
  <si>
    <t>F16CAM107HUEH</t>
  </si>
  <si>
    <t>F16-CAM-107 Scavenger Flotation Cell 4 Froth Camera Colour Max hue</t>
  </si>
  <si>
    <t>F16CAM107 Colour Hue Max</t>
  </si>
  <si>
    <t>F16CAM107HLS</t>
  </si>
  <si>
    <t>F16CAM107HUEL</t>
  </si>
  <si>
    <t>F16-CAM-107 Scavenger Flotation Cell 4 Froth Camera Colour Min hue</t>
  </si>
  <si>
    <t>F16CAM107 Colour Hue Min</t>
  </si>
  <si>
    <t>F16CAM107HSS</t>
  </si>
  <si>
    <t>F16CAM107HUES</t>
  </si>
  <si>
    <t>F16-CAM-107 Scavenger Flotation Cell 4 Froth Camera Colour std hue</t>
  </si>
  <si>
    <t>F16CAM107 Colour Hue STD</t>
  </si>
  <si>
    <t>F16CAM107SS</t>
  </si>
  <si>
    <t>F16CAM107SAT</t>
  </si>
  <si>
    <t>F16-CAM-107 Scavenger Flotation Cell 4 Froth Camera Colour Saturation</t>
  </si>
  <si>
    <t>F16CAM107 Colour Sat</t>
  </si>
  <si>
    <t>F16CAM107SHS</t>
  </si>
  <si>
    <t>F16CAM107SATH</t>
  </si>
  <si>
    <t>F16-CAM-107 Scavenger Flotation Cell 4 Froth Camera Colour Saturation Max</t>
  </si>
  <si>
    <t>F16CAM107 Colour Sat Max</t>
  </si>
  <si>
    <t>F16CAM107SLS</t>
  </si>
  <si>
    <t>F16CAM107SATL</t>
  </si>
  <si>
    <t>F16-CAM-107 Scavenger Flotation Cell 4 Froth Camera Colour Saturation Min</t>
  </si>
  <si>
    <t>F16CAM107 Colour Sat Min</t>
  </si>
  <si>
    <t>F16CAM107SAS</t>
  </si>
  <si>
    <t>F16CAM107SATA</t>
  </si>
  <si>
    <t>F16-CAM-107 Scavenger Flotation Cell 4 Froth Camera Colour Saturation Average</t>
  </si>
  <si>
    <t>F16CAM107 Colour Sat Avg</t>
  </si>
  <si>
    <t>F16CAM107CAS</t>
  </si>
  <si>
    <t>F16CAM107COLA</t>
  </si>
  <si>
    <t>F16-CAM-107 Scavenger Flotation Cell 4 Froth Camera Colour Value Average</t>
  </si>
  <si>
    <t>F16CAM107 Colour Avg</t>
  </si>
  <si>
    <t>F16CAM107CHS</t>
  </si>
  <si>
    <t>F16CAM107COLH</t>
  </si>
  <si>
    <t>F16-CAM-107 Scavenger Flotation Cell 4 Froth Camera Colour Value Max</t>
  </si>
  <si>
    <t>F16CAM107 Colour Max</t>
  </si>
  <si>
    <t>F16CAM107CLS</t>
  </si>
  <si>
    <t>F16CAM107COLL</t>
  </si>
  <si>
    <t>F16-CAM-107 Scavenger Flotation Cell 4 Froth Camera Colour Value Min</t>
  </si>
  <si>
    <t>F16CAM107 Colour Min</t>
  </si>
  <si>
    <t>F16CAM107CSS</t>
  </si>
  <si>
    <t>F16CAM107COLS</t>
  </si>
  <si>
    <t>F16-CAM-107 Scavenger Flotation Cell 4 Froth Camera Colour Value std</t>
  </si>
  <si>
    <t>F16CAM107 Colour STD</t>
  </si>
  <si>
    <t>F16CAM107BXLS</t>
  </si>
  <si>
    <t>F16CAM107BXL</t>
  </si>
  <si>
    <t>F16-CAM-107 Scavenger Flotation Cell 4 Froth Camera Bubble Size - Extra Large</t>
  </si>
  <si>
    <t>F16CAM107 Bubble X-Large</t>
  </si>
  <si>
    <t>F16CAM107BXSS</t>
  </si>
  <si>
    <t>F16CAM107BXS</t>
  </si>
  <si>
    <t>F16-CAM-107 Scavenger Flotation Cell 4 Froth Camera Bubble Size - Fine</t>
  </si>
  <si>
    <t>F16CAM107 Bubble Fine</t>
  </si>
  <si>
    <t>F16CAM107BLS</t>
  </si>
  <si>
    <t>F16CAM107BL</t>
  </si>
  <si>
    <t>F16-CAM-107 Scavenger Flotation Cell 4 Froth Camera Bubble Size - Large</t>
  </si>
  <si>
    <t>F16CAM107 Bubble Large</t>
  </si>
  <si>
    <t>F16CAM107BMS</t>
  </si>
  <si>
    <t>F16CAM107BM</t>
  </si>
  <si>
    <t>F16-CAM-107 Scavenger Flotation Cell 4 Froth Camera Bubble Size - Medium</t>
  </si>
  <si>
    <t>F16CAM107 Bubble Medium</t>
  </si>
  <si>
    <t>F16CAM107BTSS</t>
  </si>
  <si>
    <t>F16CAM107BTS</t>
  </si>
  <si>
    <t>F16-CAM-107 Scavenger Flotation Cell 4 Froth Camera Bubble Size - Top Size</t>
  </si>
  <si>
    <t>F16CAM107 Bubble Topsize</t>
  </si>
  <si>
    <t>F16CAM107LVLS</t>
  </si>
  <si>
    <t>F16CAM107LVL</t>
  </si>
  <si>
    <t>F16-CAM-107 Scavenger Flotation Cell 4 Froth Camera Lidar Level</t>
  </si>
  <si>
    <t>F16CAM107 Lidar Level</t>
  </si>
  <si>
    <t>F16CAM108VDS</t>
  </si>
  <si>
    <t>F16CAM108VDIR</t>
  </si>
  <si>
    <t>F16-CAM-108 Scavenger Flotation Cell 5 Froth Camera Velocity Direction</t>
  </si>
  <si>
    <t>F16CAM108 Velocity Dir.</t>
  </si>
  <si>
    <t>F16CAM108VMS</t>
  </si>
  <si>
    <t>F16CAM108VMAG</t>
  </si>
  <si>
    <t>F16-CAM-108 Scavenger Flotation Cell 5 Froth Camera Velocity Magnitude</t>
  </si>
  <si>
    <t>F16CAM108 Velocity Mag.</t>
  </si>
  <si>
    <t>F16CAM108PLS</t>
  </si>
  <si>
    <t>F16CAM108PULL</t>
  </si>
  <si>
    <t>F16-CAM-108 Scavenger Flotation Cell 5 Froth Camera Velocity Pulling Rate</t>
  </si>
  <si>
    <t>F16CAM108 Pulling Rate</t>
  </si>
  <si>
    <t>F16CAM108VXS</t>
  </si>
  <si>
    <t>F16CAM108VELX</t>
  </si>
  <si>
    <t>F16-CAM-108 Scavenger Flotation Cell 5 Froth Camera Velocity X</t>
  </si>
  <si>
    <t>F16CAM108 Velocity X</t>
  </si>
  <si>
    <t>F16CAM108VYS</t>
  </si>
  <si>
    <t>F16CAM108VELY</t>
  </si>
  <si>
    <t>F16-CAM-108 Scavenger Flotation Cell 5 Froth Camera Velocity Y</t>
  </si>
  <si>
    <t>F16CAM108 Velocity Y</t>
  </si>
  <si>
    <t>F16CAM108HS</t>
  </si>
  <si>
    <t>F16CAM108HUE</t>
  </si>
  <si>
    <t>F16-CAM-108 Scavenger Flotation Cell 5 Froth Camera Colour Hue</t>
  </si>
  <si>
    <t>F16CAM108 Colour Hue</t>
  </si>
  <si>
    <t>F16CAM108HHS</t>
  </si>
  <si>
    <t>F16CAM108HUEH</t>
  </si>
  <si>
    <t>F16-CAM-108 Scavenger Flotation Cell 5 Froth Camera Colour Max hue</t>
  </si>
  <si>
    <t>F16CAM108 Colour Hue Max</t>
  </si>
  <si>
    <t>F16CAM108HLS</t>
  </si>
  <si>
    <t>F16CAM108HUEL</t>
  </si>
  <si>
    <t>F16-CAM-108 Scavenger Flotation Cell 5 Froth Camera Colour Min hue</t>
  </si>
  <si>
    <t>F16CAM108 Colour Hue Min</t>
  </si>
  <si>
    <t>F16CAM108HSS</t>
  </si>
  <si>
    <t>F16CAM108HUES</t>
  </si>
  <si>
    <t>F16-CAM-108 Scavenger Flotation Cell 5 Froth Camera Colour std hue</t>
  </si>
  <si>
    <t>F16CAM108 Colour Hue STD</t>
  </si>
  <si>
    <t>F16CAM108SS</t>
  </si>
  <si>
    <t>F16CAM108SAT</t>
  </si>
  <si>
    <t>F16-CAM-108 Scavenger Flotation Cell 5 Froth Camera Colour Saturation</t>
  </si>
  <si>
    <t>F16CAM108 Colour Sat</t>
  </si>
  <si>
    <t>F16CAM108SHS</t>
  </si>
  <si>
    <t>F16CAM108SATH</t>
  </si>
  <si>
    <t>F16-CAM-108 Scavenger Flotation Cell 5 Froth Camera Colour Saturation Max</t>
  </si>
  <si>
    <t>F16CAM108 Colour Sat Max</t>
  </si>
  <si>
    <t>F16CAM108SLS</t>
  </si>
  <si>
    <t>F16CAM108SATL</t>
  </si>
  <si>
    <t>F16-CAM-108 Scavenger Flotation Cell 5 Froth Camera Colour Saturation Min</t>
  </si>
  <si>
    <t>F16CAM108 Colour Sat Min</t>
  </si>
  <si>
    <t>F16CAM108SAS</t>
  </si>
  <si>
    <t>F16CAM108SATA</t>
  </si>
  <si>
    <t>F16-CAM-108 Scavenger Flotation Cell 5 Froth Camera Colour Saturation Average</t>
  </si>
  <si>
    <t>F16CAM108 Colour Sat Avg</t>
  </si>
  <si>
    <t>F16CAM108CAS</t>
  </si>
  <si>
    <t>F16CAM108COLA</t>
  </si>
  <si>
    <t>F16-CAM-108 Scavenger Flotation Cell 5 Froth Camera Colour Value Average</t>
  </si>
  <si>
    <t>F16CAM108 Colour Avg</t>
  </si>
  <si>
    <t>F16CAM108CHS</t>
  </si>
  <si>
    <t>F16CAM108COLH</t>
  </si>
  <si>
    <t>F16-CAM-108 Scavenger Flotation Cell 5 Froth Camera Colour Value Max</t>
  </si>
  <si>
    <t>F16CAM108 Colour Max</t>
  </si>
  <si>
    <t>F16CAM108CLS</t>
  </si>
  <si>
    <t>F16CAM108COLL</t>
  </si>
  <si>
    <t>F16-CAM-108 Scavenger Flotation Cell 5 Froth Camera Colour Value Min</t>
  </si>
  <si>
    <t>F16CAM108 Colour Min</t>
  </si>
  <si>
    <t>F16CAM108CSS</t>
  </si>
  <si>
    <t>F16CAM108COLS</t>
  </si>
  <si>
    <t>F16-CAM-108 Scavenger Flotation Cell 5 Froth Camera Colour Value std</t>
  </si>
  <si>
    <t>F16CAM108 Colour STD</t>
  </si>
  <si>
    <t>F16CAM108BXLS</t>
  </si>
  <si>
    <t>F16CAM108BXL</t>
  </si>
  <si>
    <t>F16-CAM-108 Scavenger Flotation Cell 5 Froth Camera Bubble Size - Extra Large</t>
  </si>
  <si>
    <t>F16CAM108 Bubble X-Large</t>
  </si>
  <si>
    <t>F16CAM108BXSS</t>
  </si>
  <si>
    <t>F16CAM108BXS</t>
  </si>
  <si>
    <t>F16-CAM-108 Scavenger Flotation Cell 5 Froth Camera Bubble Size - Fine</t>
  </si>
  <si>
    <t>F16CAM108 Bubble Fine</t>
  </si>
  <si>
    <t>F16CAM108BLS</t>
  </si>
  <si>
    <t>F16CAM108BL</t>
  </si>
  <si>
    <t>F16-CAM-108 Scavenger Flotation Cell 5 Froth Camera Bubble Size - Large</t>
  </si>
  <si>
    <t>F16CAM108 Bubble Large</t>
  </si>
  <si>
    <t>F16CAM108BMS</t>
  </si>
  <si>
    <t>F16CAM108BM</t>
  </si>
  <si>
    <t>F16-CAM-108 Scavenger Flotation Cell 5 Froth Camera Bubble Size - Medium</t>
  </si>
  <si>
    <t>F16CAM108 Bubble Medium</t>
  </si>
  <si>
    <t>F16CAM108BTSS</t>
  </si>
  <si>
    <t>F16CAM108BTS</t>
  </si>
  <si>
    <t>F16-CAM-108 Scavenger Flotation Cell 5 Froth Camera Bubble Size - Top Size</t>
  </si>
  <si>
    <t>F16CAM108 Bubble Topsize</t>
  </si>
  <si>
    <t>F16CAM108LVLS</t>
  </si>
  <si>
    <t>F16CAM108LVL</t>
  </si>
  <si>
    <t>F16-CAM-108 Scavenger Flotation Cell 5 Froth Camera Lidar Level</t>
  </si>
  <si>
    <t>F16CAM108 Lidar Level</t>
  </si>
  <si>
    <t>F17XM572CLHTS</t>
  </si>
  <si>
    <t>F17XM572CLHT</t>
  </si>
  <si>
    <t>F17XM572 Manta Sub Clarity Hold</t>
  </si>
  <si>
    <t>F17XM572 ClarityHoldTime</t>
  </si>
  <si>
    <t>SoftTag
Manta Ref: Manta_Sub.CLHoldTime
Details TBC by vendor.
If signal is BAD, hold last known value and alarm.
Refer to Manta Sub Modbus Tags Register Without Thickener Cube (05-REG-500)</t>
  </si>
  <si>
    <t>F17XM572DSDS</t>
  </si>
  <si>
    <t>F17XM572DSD</t>
  </si>
  <si>
    <t>F17XM572 Manta Sub Dive Start Delay</t>
  </si>
  <si>
    <t>F17XM572 DiveStartDelay</t>
  </si>
  <si>
    <t>SoftTag
Manta Ref: Manta_Sub.DiveStDly
Details TBC by vendor.
If signal is BAD, hold last known value and alarm.
Refer to Manta Sub Modbus Tags Register Without Thickener Cube (05-REG-500)</t>
  </si>
  <si>
    <t>F17XM572EPRS</t>
  </si>
  <si>
    <t>F17XM572EPR</t>
  </si>
  <si>
    <t>F17XM572 Manta Sub Encode Pulse per Revolution</t>
  </si>
  <si>
    <t>F17XM572 EncPulsePerRev</t>
  </si>
  <si>
    <t>SoftTag
Manta Ref: Manta_Sub.EncPulRev
Details TBC by vendor.
If signal is BAD, hold last known value and alarm.
Refer to Manta Sub Modbus Tags Register Without Thickener Cube (05-REG-500)</t>
  </si>
  <si>
    <t>F17XM572MDTS</t>
  </si>
  <si>
    <t>F17XM572MDT</t>
  </si>
  <si>
    <t>F17XM572 Manta Sub Maximum Dive Time</t>
  </si>
  <si>
    <t>F17XM572 MaxDiveTime</t>
  </si>
  <si>
    <t>SoftTag
Manta Ref: Manta_Sub.MaxDiveTime
Details TBC by vendor.
If signal is BAD, hold last known value and alarm.
Refer to Manta Sub Modbus Tags Register Without Thickener Cube (05-REG-500)</t>
  </si>
  <si>
    <t>F17XM572RCTS</t>
  </si>
  <si>
    <t>F17XM572RCT</t>
  </si>
  <si>
    <t>F17XM572 Manta Sub Rake Cycle Time</t>
  </si>
  <si>
    <t>F17XM572 RakeCycTime</t>
  </si>
  <si>
    <t>SoftTag
Manta Ref: Manta_Sub.RakeCycTime
Details TBC by vendor.
If signal is BAD, hold last known value and alarm.
Refer to Manta Sub Modbus Tags Register Without Thickener Cube (05-REG-500)</t>
  </si>
  <si>
    <t>F17XM572RSTS</t>
  </si>
  <si>
    <t>F17XM572RST</t>
  </si>
  <si>
    <t>F17XM572 Manta Sub Rake Simulation Time</t>
  </si>
  <si>
    <t>F17XM572 RakeSimTime</t>
  </si>
  <si>
    <t>SoftTag
Manta Ref: Manta_Sub.RakeSimTime
Details TBC by vendor.
If signal is BAD, hold last known value and alarm.
Refer to Manta Sub Modbus Tags Register Without Thickener Cube (05-REG-500)</t>
  </si>
  <si>
    <t>F17XM572RTS</t>
  </si>
  <si>
    <t>F17XM572RT</t>
  </si>
  <si>
    <t>F17XM572 Manta Sub Rake In Time Buffer</t>
  </si>
  <si>
    <t>F17XM572 RakeTimeBuffer</t>
  </si>
  <si>
    <t>SoftTag
Manta Ref: Manta_Sub.RakeTime
Details TBC by vendor.
If signal is BAD, hold last known value and alarm.
Refer to Manta Sub Modbus Tags Register Without Thickener Cube (05-REG-500)</t>
  </si>
  <si>
    <t>F17XM572RWS</t>
  </si>
  <si>
    <t>F17XM572RW</t>
  </si>
  <si>
    <t>F17XM572 Manta Sub Rake Window</t>
  </si>
  <si>
    <t>F17XM572 RakeWindow</t>
  </si>
  <si>
    <t>SoftTag
Manta Ref: Manta_Sub.RakeWindow
Details TBC by vendor.
If signal is BAD, hold last known value and alarm.
Refer to Manta Sub Modbus Tags Register Without Thickener Cube (05-REG-500)</t>
  </si>
  <si>
    <t>F17XM572RCSDS</t>
  </si>
  <si>
    <t>F17XM572RCSD</t>
  </si>
  <si>
    <t>F17XM572 Manta Sub Recover Stop Delay</t>
  </si>
  <si>
    <t>F17XM572 RecoverStpDelay</t>
  </si>
  <si>
    <t>SoftTag
Manta Ref: Manta_Sub.RecStpDly
Details TBC by vendor.
If signal is BAD, hold last known value and alarm.
Refer to Manta Sub Modbus Tags Register Without Thickener Cube (05-REG-500)</t>
  </si>
  <si>
    <t>F17XM572RTSDS</t>
  </si>
  <si>
    <t>F17XM572RTSD</t>
  </si>
  <si>
    <t>F17XM572 Manta Sub Retract Stop Delay</t>
  </si>
  <si>
    <t>F17XM572 RetractStpDelay</t>
  </si>
  <si>
    <t>SoftTag
Manta Ref: Manta_Sub.RetStpDly
Details TBC by vendor.
If signal is BAD, hold last known value and alarm.
Refer to Manta Sub Modbus Tags Register Without Thickener Cube (05-REG-500)</t>
  </si>
  <si>
    <t>F17XM572SSS</t>
  </si>
  <si>
    <t>F17XM572SS</t>
  </si>
  <si>
    <t>F17XM572 Manta Sub System Status (Stop, Run, Fault)</t>
  </si>
  <si>
    <t>F17XM572 System Status</t>
  </si>
  <si>
    <t>SoftTag
Manta Ref: Manta_Sub.SysSta
Details TBC by vendor.
If signal is BAD, hold last known value and alarm.
Refer to Manta Sub Modbus Tags Register Without Thickener Cube (05-REG-500)</t>
  </si>
  <si>
    <t>F17XM572WTS</t>
  </si>
  <si>
    <t>F17XM572WT</t>
  </si>
  <si>
    <t>F17XM572 Manta Sub Wash Time</t>
  </si>
  <si>
    <t>F17XM572 Wash Time</t>
  </si>
  <si>
    <t>SoftTag
Manta Ref: Manta_Sub.WashTime
Details TBC by vendor.
If signal is BAD, hold last known value and alarm.
Refer to Manta Sub Modbus Tags Register Without Thickener Cube (05-REG-500)</t>
  </si>
  <si>
    <t>F17XM572WCSS</t>
  </si>
  <si>
    <t>F17XM572WCS</t>
  </si>
  <si>
    <t>F17XM572 Manta Sub Winch Creep Speed</t>
  </si>
  <si>
    <t>F17XM572 WinchCreepSpeed</t>
  </si>
  <si>
    <t>SoftTag
Manta Ref: Manta_Sub.WchCrpSpd
Details TBC by vendor.
If signal is BAD, hold last known value and alarm.
Refer to Manta Sub Modbus Tags Register Without Thickener Cube (05-REG-500)</t>
  </si>
  <si>
    <t>F17XM572WDCS</t>
  </si>
  <si>
    <t>F17XM572WDC</t>
  </si>
  <si>
    <t>F17XM572 Manta Sub Winch Drum Circumference</t>
  </si>
  <si>
    <t>F17XM572 WinchDrumCirc</t>
  </si>
  <si>
    <t>SoftTag
Manta Ref: Manta_Sub.WchDrumCirc
Details TBC by vendor.
If signal is BAD, hold last known value and alarm.
Refer to Manta Sub Modbus Tags Register Without Thickener Cube (05-REG-500)</t>
  </si>
  <si>
    <t>F17XM572WLSS</t>
  </si>
  <si>
    <t>F17XM572WLS</t>
  </si>
  <si>
    <t>F17XM572 Manta Sub Winch Lower Speed</t>
  </si>
  <si>
    <t>F17XM572 WinchLowSpeed</t>
  </si>
  <si>
    <t>SoftTag
Manta Ref: Manta_Sub.WchLSpd
Details TBC by vendor.
If signal is BAD, hold last known value and alarm.
Refer to Manta Sub Modbus Tags Register Without Thickener Cube (05-REG-500)</t>
  </si>
  <si>
    <t>F17XM572WRCSS</t>
  </si>
  <si>
    <t>F17XM572WRCS</t>
  </si>
  <si>
    <t>F17XM572 Manta Sub Winch Recovery Speed</t>
  </si>
  <si>
    <t>F17XM572 WnchRecoverySpd</t>
  </si>
  <si>
    <t>SoftTag
Manta Ref: Manta_Sub.WchRecSpd
Details TBC by vendor.
If signal is BAD, hold last known value and alarm.
Refer to Manta Sub Modbus Tags Register Without Thickener Cube (05-REG-500)</t>
  </si>
  <si>
    <t>F17XM572WRSSS</t>
  </si>
  <si>
    <t>F17XM572WRSS</t>
  </si>
  <si>
    <t>F17XM572 Manta Sub Winch Raise Speed</t>
  </si>
  <si>
    <t>F17XM572 WichRaiseSpeed</t>
  </si>
  <si>
    <t>SoftTag
Manta Ref: Manta_Sub.WchRseSpd
Details TBC by vendor.
If signal is BAD, hold last known value and alarm.
Refer to Manta Sub Modbus Tags Register Without Thickener Cube (05-REG-500)</t>
  </si>
  <si>
    <t>F17XM572CTS</t>
  </si>
  <si>
    <t>F17XM572CT</t>
  </si>
  <si>
    <t>F17XM572 Manta Sub Counter to be read by the DCS</t>
  </si>
  <si>
    <t>F17XM572 WDCounter</t>
  </si>
  <si>
    <t>SoftTag
Manta Ref: Manta_Sub.WDCounter
Details TBC by vendor.
If signal is BAD, hold last known value and alarm.
Refer to Manta Sub Modbus Tags Register Without Thickener Cube (05-REG-500)</t>
  </si>
  <si>
    <t>F17XM572CDRS</t>
  </si>
  <si>
    <t>F17XM572CDR</t>
  </si>
  <si>
    <t>F17XM572 Manta Sub Current Depth Raw</t>
  </si>
  <si>
    <t>F17XM572 CurrentDepthRaw</t>
  </si>
  <si>
    <t>SoftTag
Manta Ref: Manta_Sub.CurDpthRaw
Details TBC by vendor.
If signal is BAD, hold last known value and alarm.
Refer to Manta Sub Modbus Tags Register Without Thickener Cube (05-REG-500)</t>
  </si>
  <si>
    <t>F17XM572CSRS</t>
  </si>
  <si>
    <t>F17XM572CSR</t>
  </si>
  <si>
    <t>F17XM572 Manta Sub Current Solids Raw</t>
  </si>
  <si>
    <t>F17XM572 CurrentSolidRaw</t>
  </si>
  <si>
    <t>SoftTag
Manta Ref: Manta_Sub.CurSolRaw
Details TBC by vendor.
If signal is BAD, hold last known value and alarm.
Refer to Manta Sub Modbus Tags Register Without Thickener Cube (05-REG-500)</t>
  </si>
  <si>
    <t>F17XM572CLDS</t>
  </si>
  <si>
    <t>F17XM572CLD</t>
  </si>
  <si>
    <t>F17XM572 Manta Sub Clarity Depth</t>
  </si>
  <si>
    <t>F17XM572 Clarity Depth</t>
  </si>
  <si>
    <t>SoftTag
Manta Ref: Manta_Sub.CLDpth
Details TBC by vendor.
If signal is BAD, hold last known value and alarm.
Refer to Manta Sub Modbus Tags Register Without Thickener Cube (05-REG-500)</t>
  </si>
  <si>
    <t>F17XM572CLRS</t>
  </si>
  <si>
    <t>F17XM572CLR</t>
  </si>
  <si>
    <t>F17XM572 Manta Sub Clarity Depth Raw</t>
  </si>
  <si>
    <t>F17XM572 ClarityDepthRaw</t>
  </si>
  <si>
    <t>SoftTag
Manta Ref: Manta_Sub.CLRaw
Details TBC by vendor.
If signal is BAD, hold last known value and alarm.
Refer to Manta Sub Modbus Tags Register Without Thickener Cube (05-REG-500)</t>
  </si>
  <si>
    <t>F17XM572IF35S</t>
  </si>
  <si>
    <t>F17XM572IF35</t>
  </si>
  <si>
    <t>F17XM572 Manta Sub Interface 1 Depth Raw</t>
  </si>
  <si>
    <t>F17XM572 IF35Raw</t>
  </si>
  <si>
    <t>SoftTag
Manta Ref: Manta_Sub.IF35Raw
Details TBC by vendor.
If signal is BAD, hold last known value and alarm.
Refer to Manta Sub Modbus Tags Register Without Thickener Cube (05-REG-500)</t>
  </si>
  <si>
    <t>F17XM572IF90S</t>
  </si>
  <si>
    <t>F17XM572IF90</t>
  </si>
  <si>
    <t>F17XM572 Manta Sub Interface 2 Depth Raw</t>
  </si>
  <si>
    <t>F17XM572 IF190Raw</t>
  </si>
  <si>
    <t>SoftTag
Manta Ref: Manta_Sub.IF190Raw
Details TBC by vendor.
If signal is BAD, hold last known value and alarm.
Refer to Manta Sub Modbus Tags Register Without Thickener Cube (05-REG-500)</t>
  </si>
  <si>
    <t>F17XM572CBRS</t>
  </si>
  <si>
    <t>F17XM572CBR</t>
  </si>
  <si>
    <t>F17XM572 Manta Sub Bed Depth Raw</t>
  </si>
  <si>
    <t>F17XM572 Bed Depth Raw</t>
  </si>
  <si>
    <t>SoftTag
Manta Ref: Manta_Sub.CBRaw
Details TBC by vendor.
If signal is BAD, hold last known value and alarm.
Refer to Manta Sub Modbus Tags Register Without Thickener Cube (05-REG-500)</t>
  </si>
  <si>
    <t>F17XM572CLS</t>
  </si>
  <si>
    <t>F17XM572CL</t>
  </si>
  <si>
    <t>F17XM572 Manta Sub Cable Length</t>
  </si>
  <si>
    <t>F17XM572 Cable Length</t>
  </si>
  <si>
    <t>SoftTag
Manta Ref: Manta_Sub.CableLgth
Details TBC by vendor.
If signal is BAD, hold last known value and alarm.
Refer to Manta Sub Modbus Tags Register Without Thickener Cube (05-REG-500)</t>
  </si>
  <si>
    <t>F17XM572CZS</t>
  </si>
  <si>
    <t>F17XM572CZ</t>
  </si>
  <si>
    <t>F17XM572 Manta Sub Creep Zone</t>
  </si>
  <si>
    <t>F17XM572 Creep Zone</t>
  </si>
  <si>
    <t>SoftTag
Manta Ref: Manta_Sub.CZ
Details TBC by vendor.
If signal is BAD, hold last known value and alarm.
Refer to Manta Sub Modbus Tags Register Without Thickener Cube (05-REG-500)</t>
  </si>
  <si>
    <t>F17XM572DPS</t>
  </si>
  <si>
    <t>F17XM572DP</t>
  </si>
  <si>
    <t>F17XM572 Manta Sub Distance Probe is Above Liquid</t>
  </si>
  <si>
    <t>F17XM572 DistAboveLiquid</t>
  </si>
  <si>
    <t>SoftTag
Manta Ref: Manta_Sub.DP
Details TBC by vendor.
If signal is BAD, hold last known value and alarm.
Refer to Manta Sub Modbus Tags Register Without Thickener Cube (05-REG-500)</t>
  </si>
  <si>
    <t>F17XM572LVLS</t>
  </si>
  <si>
    <t>F17XM572LVL</t>
  </si>
  <si>
    <t>F17XM572 Manta Sub Liquid Height from Tank Bottom</t>
  </si>
  <si>
    <t>F17XM572 Liquid Height</t>
  </si>
  <si>
    <t>SoftTag
Manta Ref: Manta_Sub.LiqHght
Details TBC by vendor.
If signal is BAD, hold last known value and alarm.
Refer to Manta Sub Modbus Tags Register Without Thickener Cube (05-REG-500)</t>
  </si>
  <si>
    <t>F17XM572CALS</t>
  </si>
  <si>
    <t>F17XM572CAL</t>
  </si>
  <si>
    <t>F17XM572 Manta Sub Probe Calibration</t>
  </si>
  <si>
    <t>F17XM572 Probe Calib</t>
  </si>
  <si>
    <t>SoftTag
Manta Ref: Manta_Sub.ProbCalib
Details TBC by vendor.
If signal is BAD, hold last known value and alarm.
Refer to Manta Sub Modbus Tags Register Without Thickener Cube (05-REG-500)</t>
  </si>
  <si>
    <t>DO NOT DELETE THIS ROW INSERT NEW ROWS ABOVE</t>
  </si>
  <si>
    <t>ANALOGUE INSTRUMENTS (AO)</t>
  </si>
  <si>
    <t>ZC16001</t>
  </si>
  <si>
    <t>ZY16001</t>
  </si>
  <si>
    <t>F16-CF-411 Rougher Flotation Cell 1 Process Water Flow Control Valve Position Control</t>
  </si>
  <si>
    <t>F16CF411 PW FCV</t>
  </si>
  <si>
    <t>ZC17130</t>
  </si>
  <si>
    <t>ZY17130</t>
  </si>
  <si>
    <t>F17-PP-455/456 Flotation Tailings Thickener Underflow Pump 1/2 Discharge to Final Tails Tank</t>
  </si>
  <si>
    <t>F17TH401 UF - FinalTails</t>
  </si>
  <si>
    <t>*SOFTWARE DEBOUNCE IS REQUIRED ON ALL DIGITAL INSTRUMENTS (NO HARDWARE DEBOUNCE)*</t>
  </si>
  <si>
    <t>DIGITAL INSTRUMENTS (DI)</t>
  </si>
  <si>
    <t>State 0</t>
  </si>
  <si>
    <t>State 1</t>
  </si>
  <si>
    <t>Alarm State</t>
  </si>
  <si>
    <t>Source</t>
  </si>
  <si>
    <t>Alarm Delay (secs)</t>
  </si>
  <si>
    <t>F18RIO001PS2</t>
  </si>
  <si>
    <t>F18RIO001_PS2</t>
  </si>
  <si>
    <t>F18-RIO-001 PS2 24VDC HEALTHY</t>
  </si>
  <si>
    <t>F18RIO001 PS2 24VDC</t>
  </si>
  <si>
    <t>Alarm</t>
  </si>
  <si>
    <t>Normal</t>
  </si>
  <si>
    <t>Hardwired</t>
  </si>
  <si>
    <t>F18RIO001PS1</t>
  </si>
  <si>
    <t>F18RIO001_PS1</t>
  </si>
  <si>
    <t>F18-RIO-001 PS1 24VDC HEALTHY</t>
  </si>
  <si>
    <t>F18RIO001 PS1 24VDC</t>
  </si>
  <si>
    <t>ZS17010</t>
  </si>
  <si>
    <t>ZA17010</t>
  </si>
  <si>
    <t>F17-TH-401 Flotation Tailings Thickener Rake Drive Position Switch</t>
  </si>
  <si>
    <t>F17TH401 Thickener Rake</t>
  </si>
  <si>
    <t>Off</t>
  </si>
  <si>
    <t xml:space="preserve">On </t>
  </si>
  <si>
    <t>F17RIO002PS2</t>
  </si>
  <si>
    <t>F17RIO002_PS2</t>
  </si>
  <si>
    <t>F17-RIO-002 PS2 24VDC HEALTHY</t>
  </si>
  <si>
    <t>F17RIO002 PS2 24VDC</t>
  </si>
  <si>
    <t>F17RIO002PS1</t>
  </si>
  <si>
    <t>F17RIO002_PS1</t>
  </si>
  <si>
    <t>F17-RIO-002 PS1 24VDC HEALTHY</t>
  </si>
  <si>
    <t>F17RIO002 PS1 24VDC</t>
  </si>
  <si>
    <t>F16RIO002PS2</t>
  </si>
  <si>
    <t>F16RIO002_PS2</t>
  </si>
  <si>
    <t>F16-RIO-002 PS2 24VDC HEALTHY</t>
  </si>
  <si>
    <t>F16RIO002 PS2 24VDC</t>
  </si>
  <si>
    <t>F16RIO002PS1</t>
  </si>
  <si>
    <t>F16RIO002_PS1</t>
  </si>
  <si>
    <t>F16-RIO-002 PS1 24VDC HEALTHY</t>
  </si>
  <si>
    <t>F16RIO002 PS1 24VDC</t>
  </si>
  <si>
    <t>F16SW104Q1TRP</t>
  </si>
  <si>
    <t>F16SW104Q1_TR</t>
  </si>
  <si>
    <t>F16-SW-104 Mains Supply CB Tripped</t>
  </si>
  <si>
    <t>F16SW104 Breaker Trip</t>
  </si>
  <si>
    <t>F16SW104Q1CL</t>
  </si>
  <si>
    <t>F16SW104_Q1CL</t>
  </si>
  <si>
    <t>F16-SW-104 Mains Supply CB Closed</t>
  </si>
  <si>
    <t>F16SW104 Breaker Closed</t>
  </si>
  <si>
    <t>F16SW104SD</t>
  </si>
  <si>
    <t>F16SW104_SD</t>
  </si>
  <si>
    <t>F16-SW-104 Surge Diverter Ok</t>
  </si>
  <si>
    <t>F16SW104 Surge Diverter</t>
  </si>
  <si>
    <t>F16SW011OP</t>
  </si>
  <si>
    <t>F16SW011_OP</t>
  </si>
  <si>
    <t>Flotation 11kV Switchboard Remote Switching Panel Breaker Opened</t>
  </si>
  <si>
    <t>Flot 11kV SB Rem Break O</t>
  </si>
  <si>
    <t>F16SW011CL</t>
  </si>
  <si>
    <t>F16SW011_CL</t>
  </si>
  <si>
    <t>Flotation 11kV Switchboard Remote Switching Panel Breaker Closed</t>
  </si>
  <si>
    <t>Flot 11kV SB Rem Break C</t>
  </si>
  <si>
    <t>F16SR001ESTP</t>
  </si>
  <si>
    <t>F16SR001_ESTP</t>
  </si>
  <si>
    <t>Flotation 11kV Switchroom Emergency Shutdown Healthy</t>
  </si>
  <si>
    <t>Flot 11kV SR E Shut</t>
  </si>
  <si>
    <t>F16FIP002ISL</t>
  </si>
  <si>
    <t>F16FIP002_ISL</t>
  </si>
  <si>
    <t>F16-FIP-002 Isolated</t>
  </si>
  <si>
    <t>F16FIP002 Isolate</t>
  </si>
  <si>
    <t>F17RIO001PS2</t>
  </si>
  <si>
    <t>F17RIO001_PS2</t>
  </si>
  <si>
    <t>F17-RIO-001 PS2 24VDC HEALTHY</t>
  </si>
  <si>
    <t>F16SW104Q2CL</t>
  </si>
  <si>
    <t>F16SW104_Q2CL</t>
  </si>
  <si>
    <t>F16-SW-104 Generator Supply CB Closed</t>
  </si>
  <si>
    <t>F16SW104 Gen CB Closed</t>
  </si>
  <si>
    <t>F17RIO001PS1</t>
  </si>
  <si>
    <t>F17RIO001_PS1</t>
  </si>
  <si>
    <t>F17-RIO-001 PS1 24VDC HEALTHY</t>
  </si>
  <si>
    <t>F17RIO001 PS1 24VDC</t>
  </si>
  <si>
    <t>F16AN403S2XRS</t>
  </si>
  <si>
    <t>F16AN403S2XR</t>
  </si>
  <si>
    <t>F16-AN-403 Onstream Sulphur Analyser Stream 2 Sample X-Ray Active</t>
  </si>
  <si>
    <t>F16AN403 S2 X-Ray</t>
  </si>
  <si>
    <t>Inactive</t>
  </si>
  <si>
    <t>Active</t>
  </si>
  <si>
    <t>Softag</t>
  </si>
  <si>
    <t>Status bit = 07
Bit map for analyser status word. Tag naming convention to be replicated for all streams.
Refer to 2000-SPC-CS-11001 Onstream Sulphur Analyser Modbus Map for details.</t>
  </si>
  <si>
    <t>F16AN403S3XRS</t>
  </si>
  <si>
    <t>F16AN403S3XR</t>
  </si>
  <si>
    <t>2000-F16-PID-PR-10007</t>
  </si>
  <si>
    <t>F16-AN-403 Onstream Sulphur Analyser Stream 3 Sample X-Ray Active</t>
  </si>
  <si>
    <t>F16AN403 S3 X-Ray</t>
  </si>
  <si>
    <t>F16AN403S1XRS</t>
  </si>
  <si>
    <t>F16AN403S1XR</t>
  </si>
  <si>
    <t>F16-AN-403 Onstream Sulphur Analyser Stream 1 Sample X-Ray Active</t>
  </si>
  <si>
    <t>F16AN403 S1 X-Ray</t>
  </si>
  <si>
    <t>F16AN403S1MRS</t>
  </si>
  <si>
    <t>F16AN403S1MR</t>
  </si>
  <si>
    <t>F16-AN-403 Onstream Sulphur Analyser Stream 1 Sample Measurement Result Not Ok</t>
  </si>
  <si>
    <t>F16AN403 S1 Results Flt</t>
  </si>
  <si>
    <t>Status bit = 08
Bit map for analyser status word. Tag naming convention to be replicated for all streams.
Refer to 2000-SPC-CS-11001 Onstream Sulphur Analyser Modbus Map for details.</t>
  </si>
  <si>
    <t>F16AN403S12XS</t>
  </si>
  <si>
    <t>F16AN403S12XR</t>
  </si>
  <si>
    <t>2000-F16-PID-PR-10016</t>
  </si>
  <si>
    <t>F16-AN-403 Onstream Sulphur Analyser Stream 12 Sample X-Ray Active</t>
  </si>
  <si>
    <t>F16AN403 S12 X-Ray</t>
  </si>
  <si>
    <t>F16AN403S11XS</t>
  </si>
  <si>
    <t>F16AN403S11XR</t>
  </si>
  <si>
    <t>2000-F16-PID-PR-10015</t>
  </si>
  <si>
    <t>F16-AN-403 Onstream Sulphur Analyser Stream 11 Sample X-Ray Active</t>
  </si>
  <si>
    <t>F16AN403 S11 X-Ray</t>
  </si>
  <si>
    <t>F16AN403S4MRS</t>
  </si>
  <si>
    <t>F16AN403S4MR</t>
  </si>
  <si>
    <t>2000-F16-PID-PR-10008</t>
  </si>
  <si>
    <t>F16-AN-403 Onstream Sulphur Analyser Stream 4 Sample Measurement Result Not Ok</t>
  </si>
  <si>
    <t>F16AN403 S4 Results Flt</t>
  </si>
  <si>
    <t>F16AN403S3MRS</t>
  </si>
  <si>
    <t>F16AN403S3MR</t>
  </si>
  <si>
    <t>F16-AN-403 Onstream Sulphur Analyser Stream 3 Sample Measurement Result Not Ok</t>
  </si>
  <si>
    <t>F16AN403 S3 Results Flt</t>
  </si>
  <si>
    <t>F16AN403S9XRS</t>
  </si>
  <si>
    <t>F16AN403S9XR</t>
  </si>
  <si>
    <t>2000-F16-PID-PR-10013</t>
  </si>
  <si>
    <t>F16-AN-403 Onstream Sulphur Analyser Stream 9 Sample X-Ray Active</t>
  </si>
  <si>
    <t>F16AN403 S9 X-Ray</t>
  </si>
  <si>
    <t>F16AN403S10XS</t>
  </si>
  <si>
    <t>F16AN403S10XR</t>
  </si>
  <si>
    <t>2000-F16-PID-PR-10014</t>
  </si>
  <si>
    <t>F16-AN-403 Onstream Sulphur Analyser Stream 10 Sample X-Ray Active</t>
  </si>
  <si>
    <t>F16AN403 S10 X-Ray</t>
  </si>
  <si>
    <t>F16AN403S6XRS</t>
  </si>
  <si>
    <t>F16AN403S6XR</t>
  </si>
  <si>
    <t>2000-F16-PID-PR-10010</t>
  </si>
  <si>
    <t>F16-AN-403 Onstream Sulphur Analyser Stream 6 Sample X-Ray Active</t>
  </si>
  <si>
    <t>F16AN403 S6 X-Ray</t>
  </si>
  <si>
    <t>F16AN403S4XRS</t>
  </si>
  <si>
    <t>F16AN403S4XR</t>
  </si>
  <si>
    <t>F16-AN-403 Onstream Sulphur Analyser Stream 4 Sample X-Ray Active</t>
  </si>
  <si>
    <t>F16AN403 S4 X-Ray</t>
  </si>
  <si>
    <t>F16AN403S5XRS</t>
  </si>
  <si>
    <t>F16AN403S5XR</t>
  </si>
  <si>
    <t>2000-F16-PID-PR-10009</t>
  </si>
  <si>
    <t>F16-AN-403 Onstream Sulphur Analyser Stream 5 Sample X-Ray Active</t>
  </si>
  <si>
    <t>F16AN403 S5 X-Ray</t>
  </si>
  <si>
    <t>F16AN403S7XRS</t>
  </si>
  <si>
    <t>F16AN403S7XR</t>
  </si>
  <si>
    <t>2000-F16-PID-PR-10011</t>
  </si>
  <si>
    <t>F16-AN-403 Onstream Sulphur Analyser Stream 7 Sample X-Ray Active</t>
  </si>
  <si>
    <t>F16AN403 S7 X-Ray</t>
  </si>
  <si>
    <t>F16AN403S8XRS</t>
  </si>
  <si>
    <t>F16AN403S8XR</t>
  </si>
  <si>
    <t>2000-F16-PID-PR-10012</t>
  </si>
  <si>
    <t>F16-AN-403 Onstream Sulphur Analyser Stream 8 Sample X-Ray Active</t>
  </si>
  <si>
    <t>F16AN403 S8 X-Ray</t>
  </si>
  <si>
    <t>F16AN403S12AS</t>
  </si>
  <si>
    <t>F16AN403S12AV</t>
  </si>
  <si>
    <t>F16-AN-403 Onstream Sulphur Analyser Stream 12 Sample Analysis Values Not Ok</t>
  </si>
  <si>
    <t>F16AN403 S12 AnalysisFlt</t>
  </si>
  <si>
    <t>Status bit = 09
Bit map for analyser status word. Tag naming convention to be replicated for all streams.
Refer to 2000-SPC-CS-11001 Onstream Sulphur Analyser Modbus Map for details.</t>
  </si>
  <si>
    <t>F16AN403S10AS</t>
  </si>
  <si>
    <t>F16AN403S10AV</t>
  </si>
  <si>
    <t>F16-AN-403 Onstream Sulphur Analyser Stream 10 Sample Analysis Values Not Ok</t>
  </si>
  <si>
    <t>F16AN403 S10 AnalysisFlt</t>
  </si>
  <si>
    <t>F16AN403S11AS</t>
  </si>
  <si>
    <t>F16AN403S11AV</t>
  </si>
  <si>
    <t>F16-AN-403 Onstream Sulphur Analyser Stream 11 Sample Analysis Values Not Ok</t>
  </si>
  <si>
    <t>F16AN403 S11 AnalysisFlt</t>
  </si>
  <si>
    <t>F16AN403S9AVS</t>
  </si>
  <si>
    <t>F16AN403S9AV</t>
  </si>
  <si>
    <t>F16-AN-403 Onstream Sulphur Analyser Stream 9 Sample Analysis Values Not Ok</t>
  </si>
  <si>
    <t>F16AN403 S9 Analysis Flt</t>
  </si>
  <si>
    <t>XS16174</t>
  </si>
  <si>
    <t>XI16174</t>
  </si>
  <si>
    <t>F16-AN-403 Onstream Sulphur Analyser Started</t>
  </si>
  <si>
    <t>F16AN403 Analyser Start</t>
  </si>
  <si>
    <t>Status bit = 00
From general analyser bit status F16AN403ST.
Refer to 2000-SPC-CS-11001 Onstream Sulphur Analyser Modbus Map for details.</t>
  </si>
  <si>
    <t>F16AN403S7AVS</t>
  </si>
  <si>
    <t>F16AN403S7AV</t>
  </si>
  <si>
    <t>F16-AN-403 Onstream Sulphur Analyser Stream 7 Sample Analysis Values Not Ok</t>
  </si>
  <si>
    <t>F16AN403 S7 Analysis Flt</t>
  </si>
  <si>
    <t>F16AN403S5AVS</t>
  </si>
  <si>
    <t>F16AN403S5AV</t>
  </si>
  <si>
    <t>F16-AN-403 Onstream Sulphur Analyser Stream 5 Sample Analysis Values Not Ok</t>
  </si>
  <si>
    <t>F16AN403 S5 Analysis Flt</t>
  </si>
  <si>
    <t>F16AN403S6AVS</t>
  </si>
  <si>
    <t>F16AN403S6AV</t>
  </si>
  <si>
    <t>F16-AN-403 Onstream Sulphur Analyser Stream 6 Sample Analysis Values Not Ok</t>
  </si>
  <si>
    <t>F16AN403 S6 Analysis Flt</t>
  </si>
  <si>
    <t>F16AN403S8AVS</t>
  </si>
  <si>
    <t>F16AN403S8AV</t>
  </si>
  <si>
    <t>F16-AN-403 Onstream Sulphur Analyser Stream 8 Sample Analysis Values Not Ok</t>
  </si>
  <si>
    <t>F16AN403 S8 Analysis Flt</t>
  </si>
  <si>
    <t>F16AN403S11MS</t>
  </si>
  <si>
    <t>F16AN403S11MR</t>
  </si>
  <si>
    <t>F16-AN-403 Onstream Sulphur Analyser Stream 11 Sample Measurement Result Not Ok</t>
  </si>
  <si>
    <t>F16AN403 S11 Results Flt</t>
  </si>
  <si>
    <t>F16AN403S4AVS</t>
  </si>
  <si>
    <t>F16AN403S4AV</t>
  </si>
  <si>
    <t>F16-AN-403 Onstream Sulphur Analyser Stream 4 Sample Analysis Values Not Ok</t>
  </si>
  <si>
    <t>F16AN403 S4 Analysis Flt</t>
  </si>
  <si>
    <t>F16AN403S2AVS</t>
  </si>
  <si>
    <t>F16AN403S2AV</t>
  </si>
  <si>
    <t>F16-AN-403 Onstream Sulphur Analyser Stream 2 Sample Analysis Values Not Ok</t>
  </si>
  <si>
    <t>F16AN403 S2 Analysis Flt</t>
  </si>
  <si>
    <t>F16AN403S3AVS</t>
  </si>
  <si>
    <t>F16AN403S3AV</t>
  </si>
  <si>
    <t>F16-AN-403 Onstream Sulphur Analyser Stream 3 Sample Analysis Values Not Ok</t>
  </si>
  <si>
    <t>F16AN403 S3 Analysis Flt</t>
  </si>
  <si>
    <t>F16AN403S1AVS</t>
  </si>
  <si>
    <t>F16AN403S1AV</t>
  </si>
  <si>
    <t>F16-AN-403 Onstream Sulphur Analyser Stream 1 Sample Analysis Values Not Ok</t>
  </si>
  <si>
    <t>F16AN403 S1 Analysis Flt</t>
  </si>
  <si>
    <t>F16AN403S12MS</t>
  </si>
  <si>
    <t>F16AN403S12MR</t>
  </si>
  <si>
    <t>F16-AN-403 Onstream Sulphur Analyser Stream 12 Sample Measurement Result Not Ok</t>
  </si>
  <si>
    <t>F16AN403 S12 Results Flt</t>
  </si>
  <si>
    <t>F16AN403S10MS</t>
  </si>
  <si>
    <t>F16AN403S10MR</t>
  </si>
  <si>
    <t>F16-AN-403 Onstream Sulphur Analyser Stream 10 Sample Measurement Result Not Ok</t>
  </si>
  <si>
    <t>F16AN403 S10 Results Flt</t>
  </si>
  <si>
    <t>F16AN403S2NMS</t>
  </si>
  <si>
    <t>F16AN403S2NM</t>
  </si>
  <si>
    <t>F16-AN-403 Onstream Sulphur Analyser Stream 2 Sample Not Measurable</t>
  </si>
  <si>
    <t>F16AN403 S2 Not Meas</t>
  </si>
  <si>
    <t>Status bit = 06
Bit map for analyser status word. Tag naming convention to be replicated for all streams.
Refer to 2000-SPC-CS-11001 Onstream Sulphur Analyser Modbus Map for details.</t>
  </si>
  <si>
    <t>F16AN403S10NS</t>
  </si>
  <si>
    <t>F16AN403S10NM</t>
  </si>
  <si>
    <t>F16-AN-403 Onstream Sulphur Analyser Stream 10 Sample Not Measurable</t>
  </si>
  <si>
    <t>F16AN403 S10 Not Meas</t>
  </si>
  <si>
    <t>F16AN403S8NMS</t>
  </si>
  <si>
    <t>F16AN403S8NM</t>
  </si>
  <si>
    <t>F16-AN-403 Onstream Sulphur Analyser Stream 8 Sample Not Measurable</t>
  </si>
  <si>
    <t>F16AN403 S8 Not Meas</t>
  </si>
  <si>
    <t>F16AN403S12NS</t>
  </si>
  <si>
    <t>F16AN403S12NM</t>
  </si>
  <si>
    <t>F16-AN-403 Onstream Sulphur Analyser Stream 12 Sample Not Measurable</t>
  </si>
  <si>
    <t>F16AN403 S12 Not Meas</t>
  </si>
  <si>
    <t>F16AN403S11NS</t>
  </si>
  <si>
    <t>F16AN403S11NM</t>
  </si>
  <si>
    <t>F16-AN-403 Onstream Sulphur Analyser Stream 11 Sample Not Measurable</t>
  </si>
  <si>
    <t>F16AN403 S11 Not Meas</t>
  </si>
  <si>
    <t>F16AN403S9NMS</t>
  </si>
  <si>
    <t>F16AN403S9NM</t>
  </si>
  <si>
    <t>F16-AN-403 Onstream Sulphur Analyser Stream 9 Sample Not Measurable</t>
  </si>
  <si>
    <t>F16AN403 S9 Not Meas</t>
  </si>
  <si>
    <t>F16AN403S7NMS</t>
  </si>
  <si>
    <t>F16AN403S7NM</t>
  </si>
  <si>
    <t>F16-AN-403 Onstream Sulphur Analyser Stream 7 Sample Not Measurable</t>
  </si>
  <si>
    <t>F16AN403 S7 Not Meas</t>
  </si>
  <si>
    <t>F16AN403S6NMS</t>
  </si>
  <si>
    <t>F16AN403S6NM</t>
  </si>
  <si>
    <t>F16-AN-403 Onstream Sulphur Analyser Stream 6 Sample Not Measurable</t>
  </si>
  <si>
    <t>F16AN403 S6 Not Meas</t>
  </si>
  <si>
    <t>F16AN403S5NMS</t>
  </si>
  <si>
    <t>F16AN403S5NM</t>
  </si>
  <si>
    <t>F16-AN-403 Onstream Sulphur Analyser Stream 5 Sample Not Measurable</t>
  </si>
  <si>
    <t>F16AN403 S5 Not Meas</t>
  </si>
  <si>
    <t>F16AN403S4NMS</t>
  </si>
  <si>
    <t>F16AN403S4NM</t>
  </si>
  <si>
    <t>F16-AN-403 Onstream Sulphur Analyser Stream 4 Sample Not Measurable</t>
  </si>
  <si>
    <t>F16AN403 S4 Not Meas</t>
  </si>
  <si>
    <t>F16AN403S3NMS</t>
  </si>
  <si>
    <t>F16AN403S3NM</t>
  </si>
  <si>
    <t>F16-AN-403 Onstream Sulphur Analyser Stream 3 Sample Not Measurable</t>
  </si>
  <si>
    <t>F16AN403 S3 Not Meas</t>
  </si>
  <si>
    <t>F16SW011A19OS</t>
  </si>
  <si>
    <t>F16SW011A19OP</t>
  </si>
  <si>
    <t>Flotation 11kV Switchboard Panel A19 Contactor Opened</t>
  </si>
  <si>
    <t>F16SW011 A19 Contactor</t>
  </si>
  <si>
    <t>Softtag</t>
  </si>
  <si>
    <t>Modbus/TCP Soft-Tag</t>
  </si>
  <si>
    <t>F16SW011A19CS</t>
  </si>
  <si>
    <t>F16SW011A19CL</t>
  </si>
  <si>
    <t>Flotation 11kV Switchboard Panel A19 Contactor Closed</t>
  </si>
  <si>
    <t>F16SW11A18ECS</t>
  </si>
  <si>
    <t>F16SW011A18EC</t>
  </si>
  <si>
    <t>Flotation 11kV Switchboard Panel A18 Earth Switch Closed</t>
  </si>
  <si>
    <t>F16SW011 A18 Earth Sw</t>
  </si>
  <si>
    <t>F16SW11A18EOS</t>
  </si>
  <si>
    <t>F16SW011A18EO</t>
  </si>
  <si>
    <t>Flotation 11kV Switchboard Panel A18 Earth Switch Opened</t>
  </si>
  <si>
    <t>F16SW11A20TTS</t>
  </si>
  <si>
    <t>F16SW011A20TT</t>
  </si>
  <si>
    <t>Flotation 11kV Switchboard Panel A20 Truck In Test</t>
  </si>
  <si>
    <t>F16SW011 A20 Truck Test</t>
  </si>
  <si>
    <t>F16SW11A20TRS</t>
  </si>
  <si>
    <t>F16SW011A20TR</t>
  </si>
  <si>
    <t>Flotation 11kV Switchboard Panel A20 Circuit Breaker Tripped</t>
  </si>
  <si>
    <t>F16SW011 A20 CB</t>
  </si>
  <si>
    <t>F16SW11A20CLS</t>
  </si>
  <si>
    <t>F16SW011A20CL</t>
  </si>
  <si>
    <t>Flotation 11kV Switchboard Panel A20 Circuit Breaker Closed</t>
  </si>
  <si>
    <t>F16SW11A20OPS</t>
  </si>
  <si>
    <t>F16SW011A20OP</t>
  </si>
  <si>
    <t>Flotation 11kV Switchboard Panel A20 Circuit Breaker Opened</t>
  </si>
  <si>
    <t>F16SW11A19ECS</t>
  </si>
  <si>
    <t>F16SW011A19EC</t>
  </si>
  <si>
    <t>Flotation 11kV Switchboard Panel A19 Earth Switch Closed</t>
  </si>
  <si>
    <t>F16SW011 A19 Earth Sw</t>
  </si>
  <si>
    <t>F16SW11A19EOS</t>
  </si>
  <si>
    <t>F16SW011A19EO</t>
  </si>
  <si>
    <t>Flotation 11kV Switchboard Panel A19 Earth Switch Opened</t>
  </si>
  <si>
    <t>F16SW11A19TTS</t>
  </si>
  <si>
    <t>F16SW011A19TT</t>
  </si>
  <si>
    <t>Flotation 11kV Switchboard Panel A19 Truck In Test</t>
  </si>
  <si>
    <t>F16SW011 A19 Truck Test</t>
  </si>
  <si>
    <t>F16SW11A19TSS</t>
  </si>
  <si>
    <t>F16SW011A19TS</t>
  </si>
  <si>
    <t>Flotation 11kV Switchboard Panel A19 Truck In Service</t>
  </si>
  <si>
    <t>F16SW011 A19 Truck Serv</t>
  </si>
  <si>
    <t>F16SW11A19FHS</t>
  </si>
  <si>
    <t>F16SW011A19FH</t>
  </si>
  <si>
    <t>Flotation 11kV Switchboard Panel A19 Fuse Healthy</t>
  </si>
  <si>
    <t>F16SW011 A19 Fuse</t>
  </si>
  <si>
    <t>F16SW11A20TSS</t>
  </si>
  <si>
    <t>F16SW011A20TS</t>
  </si>
  <si>
    <t>Flotation 11kV Switchboard Panel A20 Truck In Service</t>
  </si>
  <si>
    <t>F16SW011 A20 Truck Serv</t>
  </si>
  <si>
    <t>F16SW11A17TSS</t>
  </si>
  <si>
    <t>F16SW011A17TS</t>
  </si>
  <si>
    <t>Flotation 11kV Switchboard Panel A17 Truck In Service</t>
  </si>
  <si>
    <t>F16SW011 A17 Truck Serv</t>
  </si>
  <si>
    <t>F16SW11A10TTS</t>
  </si>
  <si>
    <t>F16SW011A10TT</t>
  </si>
  <si>
    <t>Flotation 11kV Switchboard Panel A10 Truck In Test</t>
  </si>
  <si>
    <t>F16SW011 A10 Truck Test</t>
  </si>
  <si>
    <t>F16SW11A09CLS</t>
  </si>
  <si>
    <t>F16SW011A09CL</t>
  </si>
  <si>
    <t>Flotation 11kV Switchboard Panel A09 Circuit Breaker Closed</t>
  </si>
  <si>
    <t>F16SW011 A09 CB</t>
  </si>
  <si>
    <t>F16SW11A07EOS</t>
  </si>
  <si>
    <t>F16SW011A07EO</t>
  </si>
  <si>
    <t>Flotation 11kV Switchboard Panel A07 Earth Switch Opened</t>
  </si>
  <si>
    <t>F16SW011 A07 Earth Sw</t>
  </si>
  <si>
    <t>F16SW11A06FHS</t>
  </si>
  <si>
    <t>F16SW011A06FH</t>
  </si>
  <si>
    <t>Flotation 11kV Switchboard Panel A06 Fuse Healthy</t>
  </si>
  <si>
    <t>F16SW011 A06 Fuse</t>
  </si>
  <si>
    <t>F16SW11A04ECS</t>
  </si>
  <si>
    <t>F16SW011A04EC</t>
  </si>
  <si>
    <t>Flotation 11kV Switchboard Panel A04 Earth Switch Closed</t>
  </si>
  <si>
    <t>F16SW011 A04 Earth Sw</t>
  </si>
  <si>
    <t>F16SW11A03TSS</t>
  </si>
  <si>
    <t>F16SW011A03TS</t>
  </si>
  <si>
    <t>Flotation 11kV Switchboard Panel A03 Truck In Service</t>
  </si>
  <si>
    <t>F16SW011 A03 Truck Serv</t>
  </si>
  <si>
    <t>F16SW11A02OPS</t>
  </si>
  <si>
    <t>F16SW011A02OP</t>
  </si>
  <si>
    <t>Flotation 11kV Switchboard Panel A02 Contactor Opened</t>
  </si>
  <si>
    <t>F16SW011 A02 Contactor</t>
  </si>
  <si>
    <t>F16FIP001ISL</t>
  </si>
  <si>
    <t>F16FIP001_ISL</t>
  </si>
  <si>
    <t>F16-FIP-001 Isolated</t>
  </si>
  <si>
    <t>F16FIP001 Isolate</t>
  </si>
  <si>
    <t>F16SW11A16OPS</t>
  </si>
  <si>
    <t>F16SW011A16OP</t>
  </si>
  <si>
    <t>Flotation 11kV Switchboard Panel A16 Contactor Opened</t>
  </si>
  <si>
    <t>F16SW011 A15 Contactor</t>
  </si>
  <si>
    <t>F16SW11A13TTS</t>
  </si>
  <si>
    <t>F16SW011A13TT</t>
  </si>
  <si>
    <t>Flotation 11kV Switchboard Panel A13 Truck In Test</t>
  </si>
  <si>
    <t>F16SW011 A13 Truck Test</t>
  </si>
  <si>
    <t>F16SW11A12OPS</t>
  </si>
  <si>
    <t>F16SW011A12OP</t>
  </si>
  <si>
    <t>Flotation 11kV Switchboard Panel A12 Circuit Breaker Opened</t>
  </si>
  <si>
    <t>F16SW011 A12 CB</t>
  </si>
  <si>
    <t>F16SW11A17CLS</t>
  </si>
  <si>
    <t>F16SW011A17CL</t>
  </si>
  <si>
    <t>Flotation 11kV Switchboard Panel A17 Contactor Closed</t>
  </si>
  <si>
    <t>F16SW011 A17 Contactor</t>
  </si>
  <si>
    <t>F16SW11A10FHS</t>
  </si>
  <si>
    <t>F16SW011A10FH</t>
  </si>
  <si>
    <t>Flotation 11kV Switchboard Panel A10 Fuse Healthy</t>
  </si>
  <si>
    <t>F16SW011 A10 Fuse</t>
  </si>
  <si>
    <t>F16SW11A08ECS</t>
  </si>
  <si>
    <t>F16SW011A08EC</t>
  </si>
  <si>
    <t>Flotation 11kV Switchboard Panel A08 Earth Switch Closed</t>
  </si>
  <si>
    <t>F16SW011 A08 Earth Sw</t>
  </si>
  <si>
    <t>F16SW11A07TSS</t>
  </si>
  <si>
    <t>F16SW011A07TS</t>
  </si>
  <si>
    <t>Flotation 11kV Switchboard Panel A07 Truck In Service</t>
  </si>
  <si>
    <t>F16SW011 A07 Truck Serv</t>
  </si>
  <si>
    <t>F16SW11A06OPS</t>
  </si>
  <si>
    <t>F16SW011A06OP</t>
  </si>
  <si>
    <t>Flotation 11kV Switchboard Panel A06 Contactor Opened</t>
  </si>
  <si>
    <t>F16SW011 A06 Contactor</t>
  </si>
  <si>
    <t>F16SW11A04TTS</t>
  </si>
  <si>
    <t>F16SW011A04TT</t>
  </si>
  <si>
    <t>Flotation 11kV Switchboard Panel A04 Truck In Test</t>
  </si>
  <si>
    <t>F16SW011 A04 Truck Test</t>
  </si>
  <si>
    <t>F16SW11A03CLS</t>
  </si>
  <si>
    <t>F16SW011A03CL</t>
  </si>
  <si>
    <t>Flotation 11kV Switchboard Panel A03 Contactor Closed</t>
  </si>
  <si>
    <t>F16SW011 A03 Contactor</t>
  </si>
  <si>
    <t>F16SW11A01EOS</t>
  </si>
  <si>
    <t>F16SW011A01EO</t>
  </si>
  <si>
    <t>Flotation 11kV Switchboard Panel A01 Earth Switch Opened</t>
  </si>
  <si>
    <t>F16SW011 A01 Earth Sw</t>
  </si>
  <si>
    <t>F16BC001FL3</t>
  </si>
  <si>
    <t>F16BC001_FL3</t>
  </si>
  <si>
    <t>F16-BC-001 48VDC Charger Charger Fail</t>
  </si>
  <si>
    <t>F16BC001 Charger Status</t>
  </si>
  <si>
    <t>F16SW11A15EOS</t>
  </si>
  <si>
    <t>F16SW011A15EO</t>
  </si>
  <si>
    <t>Flotation 11kV Switchboard Panel A15 Earth Switch Opened</t>
  </si>
  <si>
    <t>F16SW011 A15 Earth Sw</t>
  </si>
  <si>
    <t>F16SW11A13CLS</t>
  </si>
  <si>
    <t>F16SW011A13CL</t>
  </si>
  <si>
    <t>Flotation 11kV Switchboard Panel A13 Circuit Breaker Closed</t>
  </si>
  <si>
    <t>F16SW011 A13 CB</t>
  </si>
  <si>
    <t>F16SW11A11EOS</t>
  </si>
  <si>
    <t>F16SW011A11EO</t>
  </si>
  <si>
    <t>Flotation 11kV Switchboard Panel A11 Earth Switch Opened</t>
  </si>
  <si>
    <t>F16SW011 A11 Earth Sw</t>
  </si>
  <si>
    <t>F16SW11A16EOS</t>
  </si>
  <si>
    <t>F16SW011A16EO</t>
  </si>
  <si>
    <t>Flotation 11kV Switchboard Panel A16 Earth Switch Opened</t>
  </si>
  <si>
    <t>F16SW011 A16 Earth Sw</t>
  </si>
  <si>
    <t>F16SW11A09ECS</t>
  </si>
  <si>
    <t>F16SW011A09EC</t>
  </si>
  <si>
    <t>Flotation 11kV Switchboard Panel A09 Earth Switch Closed</t>
  </si>
  <si>
    <t>F16SW011 A09 Earth Sw</t>
  </si>
  <si>
    <t>F16SW11A08TSS</t>
  </si>
  <si>
    <t>F16SW011A08TS</t>
  </si>
  <si>
    <t>Flotation 11kV Switchboard Panel A08 Truck In Service</t>
  </si>
  <si>
    <t>F16SW011 A08 Truck Serv</t>
  </si>
  <si>
    <t>F16SW11A07OPS</t>
  </si>
  <si>
    <t>F16SW011A07OP</t>
  </si>
  <si>
    <t>Flotation 11kV Switchboard Panel A07 Contactor Opened</t>
  </si>
  <si>
    <t>F16SW011 A07 Contactor</t>
  </si>
  <si>
    <t>F16SW11A05TTS</t>
  </si>
  <si>
    <t>F16SW011A05TT</t>
  </si>
  <si>
    <t>Flotation 11kV Switchboard Panel A05 Truck In Test</t>
  </si>
  <si>
    <t>F16SW011 A05 Truck Test</t>
  </si>
  <si>
    <t>F16SW11A04CLS</t>
  </si>
  <si>
    <t>F16SW011A04CL</t>
  </si>
  <si>
    <t>Flotation 11kV Switchboard Panel A04 Contactor Closed</t>
  </si>
  <si>
    <t>F16SW011 A04 Contactor</t>
  </si>
  <si>
    <t>F16SW11A02EOS</t>
  </si>
  <si>
    <t>F16SW011A02EO</t>
  </si>
  <si>
    <t>Flotation 11kV Switchboard Panel A02 Earth Switch Opened</t>
  </si>
  <si>
    <t>F16SW011 A02 Earth Sw</t>
  </si>
  <si>
    <t>F16SW11A01FHS</t>
  </si>
  <si>
    <t>F16SW011A01FH</t>
  </si>
  <si>
    <t>Flotation 11kV Switchboard Panel A01 Fuse Healthy</t>
  </si>
  <si>
    <t>F16SW011 A01 Fuse</t>
  </si>
  <si>
    <t>F16SW011SD</t>
  </si>
  <si>
    <t>F16SW011_SD</t>
  </si>
  <si>
    <t>Flotation 11kV Switchboard Incomer Surge Diverter Healthy</t>
  </si>
  <si>
    <t>F16SW011 Surge Diverter</t>
  </si>
  <si>
    <t>F16SW11A15TRS</t>
  </si>
  <si>
    <t>F16SW011A15TR</t>
  </si>
  <si>
    <t>Flotation 11kV Switchboard Panel A15 Circuit Breaker Tripped</t>
  </si>
  <si>
    <t>F16SW011 A15 CB</t>
  </si>
  <si>
    <t>F16SW11A12EOS</t>
  </si>
  <si>
    <t>F16SW011A12EO</t>
  </si>
  <si>
    <t>Flotation 11kV Switchboard Panel A12 Earth Switch Opened</t>
  </si>
  <si>
    <t>F16SW011 A12 Earth Sw</t>
  </si>
  <si>
    <t>F16SW11A11FHS</t>
  </si>
  <si>
    <t>F16SW011A11FH</t>
  </si>
  <si>
    <t>Flotation 11kV Switchboard Panel A11 Fuse Healthy</t>
  </si>
  <si>
    <t>F16SW011 A11 Fuse</t>
  </si>
  <si>
    <t>F16SW11A17ECS</t>
  </si>
  <si>
    <t>F16SW011A17EC</t>
  </si>
  <si>
    <t>Flotation 11kV Switchboard Panel A17 Earth Switch Closed</t>
  </si>
  <si>
    <t>F16SW011 A17 Earth Sw</t>
  </si>
  <si>
    <t>F16SW11A11OPS</t>
  </si>
  <si>
    <t>F16SW011A11OP</t>
  </si>
  <si>
    <t>Flotation 11kV Switchboard Panel A11 Contactor Opened</t>
  </si>
  <si>
    <t>F16SW011 A11 Contactor</t>
  </si>
  <si>
    <t>F16SW11A09TTS</t>
  </si>
  <si>
    <t>F16SW011A09TT</t>
  </si>
  <si>
    <t>Flotation 11kV Switchboard Panel A09 Truck In Test</t>
  </si>
  <si>
    <t>F16SW011 A09 Truck Test</t>
  </si>
  <si>
    <t>F16SW11A08CLS</t>
  </si>
  <si>
    <t>F16SW011A08CL</t>
  </si>
  <si>
    <t>Flotation 11kV Switchboard Panel A08 Contactor Closed</t>
  </si>
  <si>
    <t>F16SW011 A08 Contactor</t>
  </si>
  <si>
    <t>F16SW11A06EOS</t>
  </si>
  <si>
    <t>F16SW011A06EO</t>
  </si>
  <si>
    <t>Flotation 11kV Switchboard Panel A06 Earth Switch Opened</t>
  </si>
  <si>
    <t>F16SW011 A06 Earth Sw</t>
  </si>
  <si>
    <t>F16SW11A05FHS</t>
  </si>
  <si>
    <t>F16SW011A05FH</t>
  </si>
  <si>
    <t>Flotation 11kV Switchboard Panel A05 Fuse Healthy</t>
  </si>
  <si>
    <t>F16SW011 A05 Fuse</t>
  </si>
  <si>
    <t>F16SW11A03ECS</t>
  </si>
  <si>
    <t>F16SW011A03EC</t>
  </si>
  <si>
    <t>Flotation 11kV Switchboard Panel A03 Earth Switch Closed</t>
  </si>
  <si>
    <t>F16SW011 A03 Earth Sw</t>
  </si>
  <si>
    <t>F16SW11A02TSS</t>
  </si>
  <si>
    <t>F16SW011A02TS</t>
  </si>
  <si>
    <t>Flotation 11kV Switchboard Panel A02 Truck In Service</t>
  </si>
  <si>
    <t>F16SW011 A02 Truck Serv</t>
  </si>
  <si>
    <t>F16SW011AF</t>
  </si>
  <si>
    <t>F16SW011_AF</t>
  </si>
  <si>
    <t>Flotation 11kV Switchboard Arc Flash protection System Power Healthy</t>
  </si>
  <si>
    <t>F16SW011 ARC FLASH</t>
  </si>
  <si>
    <t>F16SW11A16TSS</t>
  </si>
  <si>
    <t>F16SW011A16TS</t>
  </si>
  <si>
    <t>Flotation 11kV Switchboard Panel A16 Truck In Service</t>
  </si>
  <si>
    <t>F16SW011 A16 Truck Serv</t>
  </si>
  <si>
    <t>F16SW11A15OPS</t>
  </si>
  <si>
    <t>F16SW011A15OP</t>
  </si>
  <si>
    <t>Flotation 11kV Switchboard Panel A15 Circuit Breaker Opened</t>
  </si>
  <si>
    <t>F16SW11A12TSS</t>
  </si>
  <si>
    <t>F16SW011A12TS</t>
  </si>
  <si>
    <t>Flotation 11kV Switchboard Panel A12 Truck In Service</t>
  </si>
  <si>
    <t>F16SW011 A12 Truck Serv</t>
  </si>
  <si>
    <t>F16SW11A17TTS</t>
  </si>
  <si>
    <t>F16SW011A17TT</t>
  </si>
  <si>
    <t>Flotation 11kV Switchboard Panel A17 Truck In Test</t>
  </si>
  <si>
    <t>F16SW011 A17 Truck Test</t>
  </si>
  <si>
    <t>F16SW11A10EOS</t>
  </si>
  <si>
    <t>F16SW011A10EO</t>
  </si>
  <si>
    <t>Flotation 11kV Switchboard Panel A10 Earth Switch Opened</t>
  </si>
  <si>
    <t>F16SW011 A10 Earth Sw</t>
  </si>
  <si>
    <t>F16SW11A09TRS</t>
  </si>
  <si>
    <t>F16SW011A09TR</t>
  </si>
  <si>
    <t>Flotation 11kV Switchboard Panel A09 Circuit Breaker Tripped</t>
  </si>
  <si>
    <t>F16SW11A07ECS</t>
  </si>
  <si>
    <t>F16SW011A07EC</t>
  </si>
  <si>
    <t>Flotation 11kV Switchboard Panel A07 Earth Switch Closed</t>
  </si>
  <si>
    <t>F16SW11A06TSS</t>
  </si>
  <si>
    <t>F16SW011A06TS</t>
  </si>
  <si>
    <t>Flotation 11kV Switchboard Panel A06 Truck In Service</t>
  </si>
  <si>
    <t>F16SW011 A06 Truck Serv</t>
  </si>
  <si>
    <t>F16SW11A05OPS</t>
  </si>
  <si>
    <t>F16SW011A05OP</t>
  </si>
  <si>
    <t>Flotation 11kV Switchboard Panel A05 Contactor Opened</t>
  </si>
  <si>
    <t>F16SW011 A05 Contactor</t>
  </si>
  <si>
    <t>F16SW11A03TTS</t>
  </si>
  <si>
    <t>F16SW011A03TT</t>
  </si>
  <si>
    <t>Flotation 11kV Switchboard Panel A03 Truck In Test</t>
  </si>
  <si>
    <t>F16SW011 A03 Truck Test</t>
  </si>
  <si>
    <t>F16SW11A02CLS</t>
  </si>
  <si>
    <t>F16SW011A02CL</t>
  </si>
  <si>
    <t>Flotation 11kV Switchboard Panel A02 Contactor Closed</t>
  </si>
  <si>
    <t>F16FIP002ALM</t>
  </si>
  <si>
    <t>F16FIP002_ALM</t>
  </si>
  <si>
    <t>F16-FIP-002 Alarm</t>
  </si>
  <si>
    <t>F16FIP002 Alarm</t>
  </si>
  <si>
    <t>F16SW11A16CLS</t>
  </si>
  <si>
    <t>F16SW011A16CL</t>
  </si>
  <si>
    <t>Flotation 11kV Switchboard Panel A16 Contactor Closed</t>
  </si>
  <si>
    <t>F16SW11A13EOS</t>
  </si>
  <si>
    <t>F16SW011A13EO</t>
  </si>
  <si>
    <t>Flotation 11kV Switchboard Panel A13 Earth Switch Opened</t>
  </si>
  <si>
    <t>F16SW011 A13 Earth Sw</t>
  </si>
  <si>
    <t>F16SW11A12CLS</t>
  </si>
  <si>
    <t>F16SW011A12CL</t>
  </si>
  <si>
    <t>Flotation 11kV Switchboard Panel A12 Circuit Breaker Closed</t>
  </si>
  <si>
    <t>F16SW11A17OPS</t>
  </si>
  <si>
    <t>F16SW011A17OP</t>
  </si>
  <si>
    <t>Flotation 11kV Switchboard Panel A17 Contactor Opened</t>
  </si>
  <si>
    <t>F16SW11A10CLS</t>
  </si>
  <si>
    <t>F16SW011A10CL</t>
  </si>
  <si>
    <t>Flotation 11kV Switchboard Panel A10 Contactor Closed</t>
  </si>
  <si>
    <t>F16SW011 A10 Contactor</t>
  </si>
  <si>
    <t>F16SW11A08EOS</t>
  </si>
  <si>
    <t>F16SW011A08EO</t>
  </si>
  <si>
    <t>Flotation 11kV Switchboard Panel A08 Earth Switch Opened</t>
  </si>
  <si>
    <t>F16SW11A07FHS</t>
  </si>
  <si>
    <t>F16SW011A07FH</t>
  </si>
  <si>
    <t>Flotation 11kV Switchboard Panel A07 Fuse Healthy</t>
  </si>
  <si>
    <t>F16SW011 A07 Fuse</t>
  </si>
  <si>
    <t>F16SW11A05ECS</t>
  </si>
  <si>
    <t>F16SW011A05EC</t>
  </si>
  <si>
    <t>Flotation 11kV Switchboard Panel A05 Earth Switch Closed</t>
  </si>
  <si>
    <t>F16SW011 A05 Earth Sw</t>
  </si>
  <si>
    <t>F16SW11A04TSS</t>
  </si>
  <si>
    <t>F16SW011A04TS</t>
  </si>
  <si>
    <t>Flotation 11kV Switchboard Panel A04 Truck In Service</t>
  </si>
  <si>
    <t>F16SW011 A04 Truck Serv</t>
  </si>
  <si>
    <t>F16SW11A03OPS</t>
  </si>
  <si>
    <t>F16SW011A03OP</t>
  </si>
  <si>
    <t>Flotation 11kV Switchboard Panel A03 Contactor Opened</t>
  </si>
  <si>
    <t>F16SW11A01TTS</t>
  </si>
  <si>
    <t>F16SW011A01TT</t>
  </si>
  <si>
    <t>Flotation 11kV Switchboard Panel A01 Truck In Test</t>
  </si>
  <si>
    <t>F16SW011 A01 Truck Test</t>
  </si>
  <si>
    <t>F16BC001FL2</t>
  </si>
  <si>
    <t>F16BC001_FL2</t>
  </si>
  <si>
    <t>F16-BC-001 48VDC Charger Battery Fail</t>
  </si>
  <si>
    <t>F16BC001 Charger Battery</t>
  </si>
  <si>
    <t>F16SW11A15TTS</t>
  </si>
  <si>
    <t>F16SW011A15TT</t>
  </si>
  <si>
    <t>Flotation 11kV Switchboard Panel A15 Truck In Test</t>
  </si>
  <si>
    <t>F16SW011 A15 Truck Test</t>
  </si>
  <si>
    <t>F16SW11A13OPS</t>
  </si>
  <si>
    <t>F16SW011A13OP</t>
  </si>
  <si>
    <t>Flotation 11kV Switchboard Panel A13 Circuit Breaker Opened</t>
  </si>
  <si>
    <t>F16SW11A11TTS</t>
  </si>
  <si>
    <t>F16SW011A11TT</t>
  </si>
  <si>
    <t>Flotation 11kV Switchboard Panel A11 Truck In Test</t>
  </si>
  <si>
    <t>F16SW011 A11 Truck Test</t>
  </si>
  <si>
    <t>F16SW11A16ECS</t>
  </si>
  <si>
    <t>F16SW011A16EC</t>
  </si>
  <si>
    <t>Flotation 11kV Switchboard Panel A16 Earth Switch Closed</t>
  </si>
  <si>
    <t>F16SW11A10OPS</t>
  </si>
  <si>
    <t>F16SW011A10OP</t>
  </si>
  <si>
    <t>Flotation 11kV Switchboard Panel A10 Contactor Opened</t>
  </si>
  <si>
    <t>F16SW11A08TTS</t>
  </si>
  <si>
    <t>F16SW011A08TT</t>
  </si>
  <si>
    <t>Flotation 11kV Switchboard Panel A08 Truck In Test</t>
  </si>
  <si>
    <t>F16SW011 A08 Truck Test</t>
  </si>
  <si>
    <t>F16SW11A07CLS</t>
  </si>
  <si>
    <t>F16SW011A07CL</t>
  </si>
  <si>
    <t>Flotation 11kV Switchboard Panel A07 Contactor Closed</t>
  </si>
  <si>
    <t>F16SW11A05EOS</t>
  </si>
  <si>
    <t>F16SW011A05EO</t>
  </si>
  <si>
    <t>Flotation 11kV Switchboard Panel A05 Earth Switch Opened</t>
  </si>
  <si>
    <t>F16SW11A04FHS</t>
  </si>
  <si>
    <t>F16SW011A04FH</t>
  </si>
  <si>
    <t>Flotation 11kV Switchboard Panel A04 Fuse Healthy</t>
  </si>
  <si>
    <t>F16SW011 A04 Fuse</t>
  </si>
  <si>
    <t>F16SW11A02ECS</t>
  </si>
  <si>
    <t>F16SW011A02EC</t>
  </si>
  <si>
    <t>Flotation 11kV Switchboard Panel A02 Earth Switch Closed</t>
  </si>
  <si>
    <t>F16SW11A01TSS</t>
  </si>
  <si>
    <t>F16SW011A01TS</t>
  </si>
  <si>
    <t>Flotation 11kV Switchboard Panel A01 Truck In Service</t>
  </si>
  <si>
    <t>F16SW011 A01 Truck Serv</t>
  </si>
  <si>
    <t>F16BC001FL1</t>
  </si>
  <si>
    <t>F16BC001_FL1</t>
  </si>
  <si>
    <t>F16-BC-001 48VDC Charger Mains Fail</t>
  </si>
  <si>
    <t>F16BC001 Charger Mains</t>
  </si>
  <si>
    <t>F16SW11A15TSS</t>
  </si>
  <si>
    <t>F16SW011A15TS</t>
  </si>
  <si>
    <t>Flotation 11kV Switchboard Panel A15 Truck In Service</t>
  </si>
  <si>
    <t>F16SW011 A15 Truck Serv</t>
  </si>
  <si>
    <t>F16SW11A12ECS</t>
  </si>
  <si>
    <t>F16SW011A12EC</t>
  </si>
  <si>
    <t>Flotation 11kV Switchboard Panel A12 Earth Switch Closed</t>
  </si>
  <si>
    <t>F16SW11A11TSS</t>
  </si>
  <si>
    <t>F16SW011A11TS</t>
  </si>
  <si>
    <t>Flotation 11kV Switchboard Panel A11 Truck In Service</t>
  </si>
  <si>
    <t>F16SW011 A11 Truck Serv</t>
  </si>
  <si>
    <t>F16SW11A16TTS</t>
  </si>
  <si>
    <t>F16SW011A16TT</t>
  </si>
  <si>
    <t>Flotation 11kV Switchboard Panel A16 Truck In Test</t>
  </si>
  <si>
    <t>F16SW011 A16 Truck Test</t>
  </si>
  <si>
    <t>F16SW11A09EOS</t>
  </si>
  <si>
    <t>F16SW011A09EO</t>
  </si>
  <si>
    <t>Flotation 11kV Switchboard Panel A09 Earth Switch Opened</t>
  </si>
  <si>
    <t>F16SW11A08FHS</t>
  </si>
  <si>
    <t>F16SW011A08FH</t>
  </si>
  <si>
    <t>Flotation 11kV Switchboard Panel A08 Fuse Healthy</t>
  </si>
  <si>
    <t>F16SW011 A08 Fuse</t>
  </si>
  <si>
    <t>F16SW11A06ECS</t>
  </si>
  <si>
    <t>F16SW011A06EC</t>
  </si>
  <si>
    <t>Flotation 11kV Switchboard Panel A06 Earth Switch Closed</t>
  </si>
  <si>
    <t>F16SW11A05TSS</t>
  </si>
  <si>
    <t>F16SW011A05TS</t>
  </si>
  <si>
    <t>Flotation 11kV Switchboard Panel A05 Truck In Service</t>
  </si>
  <si>
    <t>F16SW011 A05 Truck Serv</t>
  </si>
  <si>
    <t>F16SW11A04OPS</t>
  </si>
  <si>
    <t>F16SW011A04OP</t>
  </si>
  <si>
    <t>Flotation 11kV Switchboard Panel A04 Contactor Opened</t>
  </si>
  <si>
    <t>F16SW11A02TTS</t>
  </si>
  <si>
    <t>F16SW011A02TT</t>
  </si>
  <si>
    <t>Flotation 11kV Switchboard Panel A02 Truck In Test</t>
  </si>
  <si>
    <t>F16SW011 A02 Truck Test</t>
  </si>
  <si>
    <t>F16SW011TRP</t>
  </si>
  <si>
    <t>F16SW011_TRP</t>
  </si>
  <si>
    <t>Flotation 11kV Switchboard Circuit Breaker Tripped</t>
  </si>
  <si>
    <t>F16SW011 Breaker</t>
  </si>
  <si>
    <t>F16SW11A15CLS</t>
  </si>
  <si>
    <t>F16SW011A15CL</t>
  </si>
  <si>
    <t>Flotation 11kV Switchboard Panel A15 Circuit Breaker Closed</t>
  </si>
  <si>
    <t>F16SW11A12TTS</t>
  </si>
  <si>
    <t>F16SW011A12TT</t>
  </si>
  <si>
    <t>Flotation 11kV Switchboard Panel A12 Truck In Test</t>
  </si>
  <si>
    <t>F16SW011 A12 Truck Test</t>
  </si>
  <si>
    <t>F16SW11A11CLS</t>
  </si>
  <si>
    <t>F16SW011A11CL</t>
  </si>
  <si>
    <t>Flotation 11kV Switchboard Panel A11 Contactor Closed</t>
  </si>
  <si>
    <t>F16SW11A17FHS</t>
  </si>
  <si>
    <t>F16SW011A17FH</t>
  </si>
  <si>
    <t>Flotation 11kV Switchboard Panel A17 Fuse Healthy</t>
  </si>
  <si>
    <t>F16SW011 A17 Fuse</t>
  </si>
  <si>
    <t>F16SW11A10TSS</t>
  </si>
  <si>
    <t>F16SW011A10TS</t>
  </si>
  <si>
    <t>Flotation 11kV Switchboard Panel A10 Truck In Service</t>
  </si>
  <si>
    <t>F16SW011 A10 Truck Serv</t>
  </si>
  <si>
    <t>F16SW11A09OPS</t>
  </si>
  <si>
    <t>F16SW011A09OP</t>
  </si>
  <si>
    <t>Flotation 11kV Switchboard Panel A09 Circuit Breaker Opened</t>
  </si>
  <si>
    <t>F16SW11A07TTS</t>
  </si>
  <si>
    <t>F16SW011A07TT</t>
  </si>
  <si>
    <t>Flotation 11kV Switchboard Panel A07 Truck In Test</t>
  </si>
  <si>
    <t>F16SW011 A07 Truck Test</t>
  </si>
  <si>
    <t>F16SW11A06CLS</t>
  </si>
  <si>
    <t>F16SW011A06CL</t>
  </si>
  <si>
    <t>Flotation 11kV Switchboard Panel A06 Contactor Closed</t>
  </si>
  <si>
    <t>F16SW11A04EOS</t>
  </si>
  <si>
    <t>F16SW011A04EO</t>
  </si>
  <si>
    <t>Flotation 11kV Switchboard Panel A04 Earth Switch Opened</t>
  </si>
  <si>
    <t>F16SW11A03FHS</t>
  </si>
  <si>
    <t>F16SW011A03FH</t>
  </si>
  <si>
    <t>Flotation 11kV Switchboard Panel A03 Fuse Healthy</t>
  </si>
  <si>
    <t>F16SW011 A03 Fuse</t>
  </si>
  <si>
    <t>F16SW11A01ECS</t>
  </si>
  <si>
    <t>F16SW011A01EC</t>
  </si>
  <si>
    <t>Flotation 11kV Switchboard Panel A01 Earth Switch Closed</t>
  </si>
  <si>
    <t>F16BC001FL4</t>
  </si>
  <si>
    <t>F16BC001_FL4</t>
  </si>
  <si>
    <t>F16-BC-001 48VDC Charger Earth Fault</t>
  </si>
  <si>
    <t>F16BC001 Charger Earth</t>
  </si>
  <si>
    <t>F16SW11A15ECS</t>
  </si>
  <si>
    <t>F16SW011A15EC</t>
  </si>
  <si>
    <t>Flotation 11kV Switchboard Panel A15 Earth Switch Closed</t>
  </si>
  <si>
    <t>F16SW11A13TSS</t>
  </si>
  <si>
    <t>F16SW011A13TS</t>
  </si>
  <si>
    <t>Flotation 11kV Switchboard Panel A13 Truck In Service</t>
  </si>
  <si>
    <t>F16SW011 A13 Truck Serv</t>
  </si>
  <si>
    <t>F16SW11A11ECS</t>
  </si>
  <si>
    <t>F16SW011A11EC</t>
  </si>
  <si>
    <t>Flotation 11kV Switchboard Panel A11 Earth Switch Closed</t>
  </si>
  <si>
    <t>F16SW11A17EOS</t>
  </si>
  <si>
    <t>F16SW011A17EO</t>
  </si>
  <si>
    <t>Flotation 11kV Switchboard Panel A17 Earth Switch Opened</t>
  </si>
  <si>
    <t>F16SW11A10ECS</t>
  </si>
  <si>
    <t>F16SW011A10EC</t>
  </si>
  <si>
    <t>Flotation 11kV Switchboard Panel A10 Earth Switch Closed</t>
  </si>
  <si>
    <t>F16SW11A09TSS</t>
  </si>
  <si>
    <t>F16SW011A09TS</t>
  </si>
  <si>
    <t>Flotation 11kV Switchboard Panel A09 Truck In Service</t>
  </si>
  <si>
    <t>F16SW011 A09 Truck Serv</t>
  </si>
  <si>
    <t>F16SW11A08OPS</t>
  </si>
  <si>
    <t>F16SW011A08OP</t>
  </si>
  <si>
    <t>Flotation 11kV Switchboard Panel A08 Contactor Opened</t>
  </si>
  <si>
    <t>F16SW11A06TTS</t>
  </si>
  <si>
    <t>F16SW011A06TT</t>
  </si>
  <si>
    <t>Flotation 11kV Switchboard Panel A06 Truck In Test</t>
  </si>
  <si>
    <t>F16SW011 A06 Truck Test</t>
  </si>
  <si>
    <t>F16SW11A05CLS</t>
  </si>
  <si>
    <t>F16SW011A05CL</t>
  </si>
  <si>
    <t>Flotation 11kV Switchboard Panel A05 Contactor Closed</t>
  </si>
  <si>
    <t>F16SW11A03EOS</t>
  </si>
  <si>
    <t>F16SW011A03EO</t>
  </si>
  <si>
    <t>Flotation 11kV Switchboard Panel A03 Earth Switch Opened</t>
  </si>
  <si>
    <t>F16SW11A02FHS</t>
  </si>
  <si>
    <t>F16SW011A02FH</t>
  </si>
  <si>
    <t>Flotation 11kV Switchboard Panel A02 Fuse Healthy</t>
  </si>
  <si>
    <t>F16SW011 A02 Fuse</t>
  </si>
  <si>
    <t>F16FIP002FLT</t>
  </si>
  <si>
    <t>F16FIP002_FLT</t>
  </si>
  <si>
    <t>F16-FIP-001 Fault</t>
  </si>
  <si>
    <t>F16FIP002 Fault</t>
  </si>
  <si>
    <t>F16SW11A16FHS</t>
  </si>
  <si>
    <t>F16SW011A16FH</t>
  </si>
  <si>
    <t>Flotation 11kV Switchboard Panel A16 Fuse Healthy</t>
  </si>
  <si>
    <t>F16SW011 A16 Fuse</t>
  </si>
  <si>
    <t>F16SW11A13ECS</t>
  </si>
  <si>
    <t>F16SW011A13EC</t>
  </si>
  <si>
    <t>Flotation 11kV Switchboard Panel A13 Earth Switch Closed</t>
  </si>
  <si>
    <t>F16SW11A12TRS</t>
  </si>
  <si>
    <t>F16SW011A12TR</t>
  </si>
  <si>
    <t>Flotation 11kV Switchboard Panel A12 Circuit Breaker Tripped</t>
  </si>
  <si>
    <t>F16SW11A18OPS</t>
  </si>
  <si>
    <t>F16SW011A18OP</t>
  </si>
  <si>
    <t>Flotation 11kV Switchboard Panel A18 Contactor Opened</t>
  </si>
  <si>
    <t>F16SW011 A18 Contactor</t>
  </si>
  <si>
    <t>F16SW11A18CLS</t>
  </si>
  <si>
    <t>F16SW011A18CL</t>
  </si>
  <si>
    <t>Flotation 11kV Switchboard Panel A18 Contactor Closed</t>
  </si>
  <si>
    <t>F16SW11A18FHS</t>
  </si>
  <si>
    <t>F16SW011A18FH</t>
  </si>
  <si>
    <t>Flotation 11kV Switchboard Panel A18 Fuse Healthy</t>
  </si>
  <si>
    <t>F16SW011 A18 Fuse</t>
  </si>
  <si>
    <t>F16SW11A18TTS</t>
  </si>
  <si>
    <t>F16SW011A18TT</t>
  </si>
  <si>
    <t>Flotation 11kV Switchboard Panel A18 Truck In Test</t>
  </si>
  <si>
    <t>F16SW011 A18 Truck Test</t>
  </si>
  <si>
    <t>F16SW11A18TSS</t>
  </si>
  <si>
    <t>F16SW011A18TS</t>
  </si>
  <si>
    <t>Flotation 11kV Switchboard Panel A18 Truck In Service</t>
  </si>
  <si>
    <t>F16SW011 A18 Truck Serv</t>
  </si>
  <si>
    <t>F16SW11A20EOS</t>
  </si>
  <si>
    <t>F16SW011A20EO</t>
  </si>
  <si>
    <t>Flotation 11kV Switchboard Panel A20 Earth Switch Opened</t>
  </si>
  <si>
    <t>F16SW011 A20 Earth Sw</t>
  </si>
  <si>
    <t>F16SW008PS1</t>
  </si>
  <si>
    <t>F16SW008_PS1</t>
  </si>
  <si>
    <t>F16-SW-008 PS 24VDC HEALTHY</t>
  </si>
  <si>
    <t>F16SW008 PS1 24VDC OK</t>
  </si>
  <si>
    <t>F16SW008SD</t>
  </si>
  <si>
    <t>F16SW008_SD</t>
  </si>
  <si>
    <t>F16-SW-008 INCOMER SURGE DIVERTER OK</t>
  </si>
  <si>
    <t>F16SW008 INC SURGEDIVERT</t>
  </si>
  <si>
    <t>F16SW008CL</t>
  </si>
  <si>
    <t>F16SW008_CL</t>
  </si>
  <si>
    <t>F16-SW-008 CIRCUIT BREAKER CLOSED</t>
  </si>
  <si>
    <t>F16SW008 BREAKER CLOSE</t>
  </si>
  <si>
    <t>F16SW008TRP</t>
  </si>
  <si>
    <t>F16SW008_TRP</t>
  </si>
  <si>
    <t>F16-SW-008 CIRCUIT BREAKER TRIPPED</t>
  </si>
  <si>
    <t>F16SW008 BREAKER TRIP</t>
  </si>
  <si>
    <t>F16SW008OP</t>
  </si>
  <si>
    <t>F16SW008_OP</t>
  </si>
  <si>
    <t>F16-SW-008 CIRCUIT BREAKER OPENED</t>
  </si>
  <si>
    <t>F16SW008 BREAKER OPEN</t>
  </si>
  <si>
    <t>F16SW008AF</t>
  </si>
  <si>
    <t>F16SW008_AF</t>
  </si>
  <si>
    <t>F16-SW-008 ARC FLASH DETECTION SYSTEM ALARM</t>
  </si>
  <si>
    <t>F16SW008 ARC FLASH</t>
  </si>
  <si>
    <t>F16SW008PS</t>
  </si>
  <si>
    <t>F16SW008_PS</t>
  </si>
  <si>
    <t>F16-SW-008 ACB SHUNT TRIP 24VDC OK</t>
  </si>
  <si>
    <t>F16SW008ACB SHUNT24VDCOK</t>
  </si>
  <si>
    <t>F16SW005PS2</t>
  </si>
  <si>
    <t>F16SW005_PS2</t>
  </si>
  <si>
    <t>F16-SW-005 PS2 24VDC HEALTHY</t>
  </si>
  <si>
    <t>F16SW005 PS2 24VDC OK</t>
  </si>
  <si>
    <t>F16SW005PS1</t>
  </si>
  <si>
    <t>F16SW005_PS1</t>
  </si>
  <si>
    <t>F16-SW-005 PS1 24VDC HEALTHY</t>
  </si>
  <si>
    <t>F16SW005 PS1 24VDC OK</t>
  </si>
  <si>
    <t>F16SW005SD</t>
  </si>
  <si>
    <t>F16SW005_SD</t>
  </si>
  <si>
    <t>F16-SW-005 INCOMER SURGE DIVERTER OK</t>
  </si>
  <si>
    <t>F16SW005 INCOMER DIV OK</t>
  </si>
  <si>
    <t>F16SW005CL</t>
  </si>
  <si>
    <t>F16SW005_CL</t>
  </si>
  <si>
    <t>F16-SW-005 CIRCUIT BREAKER CLOSED</t>
  </si>
  <si>
    <t>F16SW005 BREAKER CLOSE</t>
  </si>
  <si>
    <t>F16SW005TRP</t>
  </si>
  <si>
    <t>F16SW005_TRP</t>
  </si>
  <si>
    <t>F16-SW-005 CIRCUIT BREAKER TRIPPED</t>
  </si>
  <si>
    <t>F16SW005 BREAKER TRIP</t>
  </si>
  <si>
    <t>F16SW005OP</t>
  </si>
  <si>
    <t>F16SW005_OP</t>
  </si>
  <si>
    <t>F16-SW-005 CIRCUIT BREAKER OPENED</t>
  </si>
  <si>
    <t>F16SW005 BREAKER OPEN</t>
  </si>
  <si>
    <t>F16SW005AF</t>
  </si>
  <si>
    <t>F16SW005_AF</t>
  </si>
  <si>
    <t>F16-SW-005 ARC FLASH DETECTION SYSTEM ALARM</t>
  </si>
  <si>
    <t>F16SW005 ARC FLASH</t>
  </si>
  <si>
    <t>F16SW005PS</t>
  </si>
  <si>
    <t>F16SW005_PS</t>
  </si>
  <si>
    <t>F16-SW-005 ACB SHUNT TRIP 24VDC OK</t>
  </si>
  <si>
    <t>F16SW005ACB SHUNT24VDCOK</t>
  </si>
  <si>
    <t>F16SW004PS2</t>
  </si>
  <si>
    <t>F16SW004_PS2</t>
  </si>
  <si>
    <t>F16-SW-004 PS2 24VDC HEALTHY</t>
  </si>
  <si>
    <t>F16SW004 PS2 24VDC OK</t>
  </si>
  <si>
    <t>F16SW004PS1</t>
  </si>
  <si>
    <t>F16SW004_PS1</t>
  </si>
  <si>
    <t>F16-SW-004 PS1 24VDC HEALTHY</t>
  </si>
  <si>
    <t>F16SW004 PS1 24VDC OK</t>
  </si>
  <si>
    <t>F16SW004TRP</t>
  </si>
  <si>
    <t>F16SW004_TRP</t>
  </si>
  <si>
    <t>F16-SW-004 CIRCUIT BREAKER TRIPPED</t>
  </si>
  <si>
    <t>F16SW004 BREAKER TRIP</t>
  </si>
  <si>
    <t>F16SW004SD</t>
  </si>
  <si>
    <t>F16SW004_SD</t>
  </si>
  <si>
    <t>F16-SW-004 INCOMER SURGE DIVERTER OK</t>
  </si>
  <si>
    <t>F16 MCC Incomer Healthy</t>
  </si>
  <si>
    <t>F16SW004CL</t>
  </si>
  <si>
    <t>F16SW004_CL</t>
  </si>
  <si>
    <t>F16-SW-004 CIRCUIT BREAKER CLOSED</t>
  </si>
  <si>
    <t>F16SW001 MCC Breakr Clsd</t>
  </si>
  <si>
    <t>F16SW004OP</t>
  </si>
  <si>
    <t>F16SW004_OP</t>
  </si>
  <si>
    <t>F16-SW-004 CIRCUIT BREAKER OPENED</t>
  </si>
  <si>
    <t>F16SW001 MCC Breakr Opn</t>
  </si>
  <si>
    <t>F16SW004AF</t>
  </si>
  <si>
    <t>F16SW004_AF</t>
  </si>
  <si>
    <t>F16-SW-004 ARC FLASH DETECTION SYSTEM ALARM</t>
  </si>
  <si>
    <t>F16SW004 ARC FLASH</t>
  </si>
  <si>
    <t>F16SW004PS</t>
  </si>
  <si>
    <t>F16SW004_PS</t>
  </si>
  <si>
    <t>F16-SW-004 ACB SHUNT TRIP 24VDC OK</t>
  </si>
  <si>
    <t>F16SW004 ACB SHUNT TRIP</t>
  </si>
  <si>
    <t>YE16017S</t>
  </si>
  <si>
    <t>YE16017</t>
  </si>
  <si>
    <t>F16-CF-411 Rougher Flotation Cell 1 Froth Camera</t>
  </si>
  <si>
    <t>F16CF411 Froth Camera</t>
  </si>
  <si>
    <t>Part of ME001.4 Package.
PoE. 
Refer to: 2000-ME001.4-F11-50001</t>
  </si>
  <si>
    <t>LSH16041</t>
  </si>
  <si>
    <t>LAH16041</t>
  </si>
  <si>
    <t>F16-PS-411 Flotation Area Sump Pump 1 Level Switch High</t>
  </si>
  <si>
    <t>F16PS411 Flot Sump 1</t>
  </si>
  <si>
    <t>Switch to turn on respective sump pump in Auto mode. Refer to Drives for further information.
(Wired to motor starter)</t>
  </si>
  <si>
    <t>F16AN403S6NES</t>
  </si>
  <si>
    <t>F16AN403S6NE</t>
  </si>
  <si>
    <t>F16-AN-403 Onstream Sulphur Analyser Stream 6 Sample Not Executable</t>
  </si>
  <si>
    <t>F16AN403 S6 Not Exec</t>
  </si>
  <si>
    <t>Status bit = 05
Bit map for analyser status word. Tag naming convention to be replicated for all streams.
Refer to 2000-SPC-CS-11001 Onstream Sulphur Analyser Modbus Map for details.</t>
  </si>
  <si>
    <t>F16AN403S7NES</t>
  </si>
  <si>
    <t>F16AN403S7NE</t>
  </si>
  <si>
    <t>F16-AN-403 Onstream Sulphur Analyser Stream 7 Sample Not Executable</t>
  </si>
  <si>
    <t>F16AN403 S7 Not Exec</t>
  </si>
  <si>
    <t>F16AN403S4NES</t>
  </si>
  <si>
    <t>F16AN403S4NE</t>
  </si>
  <si>
    <t>F16-AN-403 Onstream Sulphur Analyser Stream 4 Sample Not Executable</t>
  </si>
  <si>
    <t>F16AN403 S4 Not Exec</t>
  </si>
  <si>
    <t>F16AN403S2NES</t>
  </si>
  <si>
    <t>F16AN403S2NE</t>
  </si>
  <si>
    <t>F16-AN-403 Onstream Sulphur Analyser Stream 2 Sample Not Executable</t>
  </si>
  <si>
    <t>F16AN403 S2 Not Exec</t>
  </si>
  <si>
    <t>F16AN403S8NES</t>
  </si>
  <si>
    <t>F16AN403S8NE</t>
  </si>
  <si>
    <t>F16-AN-403 Onstream Sulphur Analyser Stream 8 Sample Not Executable</t>
  </si>
  <si>
    <t>F16AN403 S8 Not Exec</t>
  </si>
  <si>
    <t>YE16067S</t>
  </si>
  <si>
    <t>YE16067</t>
  </si>
  <si>
    <t>F16-CF-413 Rougher Flotation Cell 3 Froth Camera</t>
  </si>
  <si>
    <t>F16CF413 Froth Camera</t>
  </si>
  <si>
    <t>YE16057S</t>
  </si>
  <si>
    <t>YE16057</t>
  </si>
  <si>
    <t>F16-CF-412 Rougher Flotation Cell 2 Froth Camera</t>
  </si>
  <si>
    <t>F16CF412 Froth Camera</t>
  </si>
  <si>
    <t>YE16087S</t>
  </si>
  <si>
    <t>YE16087</t>
  </si>
  <si>
    <t>F16-CF-414 Scavenger Flotation Cell 1 Froth Camera</t>
  </si>
  <si>
    <t>F16CF414 Froth Camera</t>
  </si>
  <si>
    <t>YE16097S</t>
  </si>
  <si>
    <t>YE16097</t>
  </si>
  <si>
    <t>F16-CF-415 Scavenger Flotation Cell 2 Froth Camera</t>
  </si>
  <si>
    <t>F16CF415 Froth Camera</t>
  </si>
  <si>
    <t>F16FIP001FLT</t>
  </si>
  <si>
    <t>F16FIP001_FLT</t>
  </si>
  <si>
    <t>Flotation 11kV Switchroom Fire Indicator Panel Fault</t>
  </si>
  <si>
    <t>Flot 11kV SR Fire Fault</t>
  </si>
  <si>
    <t>F16AN403S5MRS</t>
  </si>
  <si>
    <t>F16AN403S5MR</t>
  </si>
  <si>
    <t>F16-AN-403 Onstream Sulphur Analyser Stream 5 Sample Measurement Result Not Ok</t>
  </si>
  <si>
    <t>F16AN403 S5 Results Flt</t>
  </si>
  <si>
    <t>F16AN403S9MRS</t>
  </si>
  <si>
    <t>F16AN403S9MR</t>
  </si>
  <si>
    <t>F16-AN-403 Onstream Sulphur Analyser Stream 9 Sample Measurement Result Not Ok</t>
  </si>
  <si>
    <t>F16AN403 S9 Results Flt</t>
  </si>
  <si>
    <t>F16AN403S8MRS</t>
  </si>
  <si>
    <t>F16AN403S8MR</t>
  </si>
  <si>
    <t>F16-AN-403 Onstream Sulphur Analyser Stream 8 Sample Measurement Result Not Ok</t>
  </si>
  <si>
    <t>F16AN403 S8 Results Flt</t>
  </si>
  <si>
    <t>LSL16035</t>
  </si>
  <si>
    <t>LAL16035</t>
  </si>
  <si>
    <t>F16-GE-001 Flotation Emergency Supply 11kV Generator Fuel Level Switch Low</t>
  </si>
  <si>
    <t>F16GE001 Fuel Level</t>
  </si>
  <si>
    <t>XI16175S</t>
  </si>
  <si>
    <t>XI16175</t>
  </si>
  <si>
    <t>F16-AN-403 Onstream Sulphur Analyser Normal</t>
  </si>
  <si>
    <t>F16AN403 Analyser Normal</t>
  </si>
  <si>
    <t>Status bit = 01
From general analyser bit status F16AN403ST.
Refer to 2000-SPC-CS-11001 Onstream Sulphur Analyser Modbus Map for details.</t>
  </si>
  <si>
    <t>XA16177S</t>
  </si>
  <si>
    <t>XA16177</t>
  </si>
  <si>
    <t>F16-AN-403  Onstream Sulphur Analyser Alarm</t>
  </si>
  <si>
    <t>F16AN403 Analyser Alarm</t>
  </si>
  <si>
    <t>Status bit = 03
From general analyser bit status F16AN403ST.
Refer to 2000-SPC-CS-11001 Onstream Sulphur Analyser Modbus Map for details.</t>
  </si>
  <si>
    <t>XA16176S</t>
  </si>
  <si>
    <t>XA16176</t>
  </si>
  <si>
    <t>F16-AN-403  Onstream Sulphur Analyser Warning</t>
  </si>
  <si>
    <t>F16AN403 Analyser Warn</t>
  </si>
  <si>
    <t>Status bit = 02
From general analyser bit status F16AN403ST.
Refer to 2000-SPC-CS-11001 Onstream Sulphur Analyser Modbus Map for details.</t>
  </si>
  <si>
    <t>XI16178S</t>
  </si>
  <si>
    <t>XI16178</t>
  </si>
  <si>
    <t>F16-AN-403  Onstream Sulphur Analyser Standby</t>
  </si>
  <si>
    <t>F16AN403 Analyser Stby</t>
  </si>
  <si>
    <t>Status bit = 04
From general analyser bit status F16AN403ST.
Refer to 2000-SPC-CS-11001 Onstream Sulphur Analyser Modbus Map for details.</t>
  </si>
  <si>
    <t>F16RIO001PS2</t>
  </si>
  <si>
    <t>F16RIO001_PS2</t>
  </si>
  <si>
    <t>F16-RIO-001 PS2 24VDC HEALTHY</t>
  </si>
  <si>
    <t>F16RIO001 PS2 24VDC</t>
  </si>
  <si>
    <t>F16RIO001PS1</t>
  </si>
  <si>
    <t>F16RIO001_PS1</t>
  </si>
  <si>
    <t>F16-RIO-001 PS1 24VDC HEALTHY</t>
  </si>
  <si>
    <t>F16RIO001 PS1 24VDC</t>
  </si>
  <si>
    <t>F16FIP001ALM</t>
  </si>
  <si>
    <t>F16FIP001_ALM</t>
  </si>
  <si>
    <t>Flotation 11kV Switchroom Fire Indicator Panel Alarm</t>
  </si>
  <si>
    <t>Flot 11kV SR Fire Alarm</t>
  </si>
  <si>
    <t>LSHH16035</t>
  </si>
  <si>
    <t>LAHH16035</t>
  </si>
  <si>
    <t>F16-GE-001 Flotation Emergency Supply 11kV Generator Fuel Level Switch High High</t>
  </si>
  <si>
    <t>LSH16035</t>
  </si>
  <si>
    <t>LAH16035</t>
  </si>
  <si>
    <t>F16-GE-001 Flotation Emergency Supply 11kV Generator Fuel Level Switch High</t>
  </si>
  <si>
    <t>F16SR002ESTP</t>
  </si>
  <si>
    <t>F16SR002_ESTP</t>
  </si>
  <si>
    <t>F16-SR-002 SWITCHROOM EMERGENCY SHUTDOWN DCS INPUT</t>
  </si>
  <si>
    <t>F16SR002 Estop</t>
  </si>
  <si>
    <t>F16DCS408PS1</t>
  </si>
  <si>
    <t>F16DCS408_PS1</t>
  </si>
  <si>
    <t>F16-DCS-408 PS1 24VDC HEALTHY</t>
  </si>
  <si>
    <t>F16DCS408 PS1 24VDC</t>
  </si>
  <si>
    <t>F16DCS408PS2</t>
  </si>
  <si>
    <t>F16DCS408_PS2</t>
  </si>
  <si>
    <t>F16-DCS-408 PS2 24VDC HEALTHY</t>
  </si>
  <si>
    <t>F16DCS408 PS2 24VDC</t>
  </si>
  <si>
    <t>F16SW104Q2TRP</t>
  </si>
  <si>
    <t>F16SW104Q2_TR</t>
  </si>
  <si>
    <t>F16-SW-104 Generator Supply CB Tripped</t>
  </si>
  <si>
    <t>F16SW104 Gen CB Trip</t>
  </si>
  <si>
    <t>F16BC001ALM</t>
  </si>
  <si>
    <t>F16BC001_ALM</t>
  </si>
  <si>
    <t>Flotation 11kV Switchroom 48V Charger Alarm</t>
  </si>
  <si>
    <t>Flot 11kV SR 48V Charger</t>
  </si>
  <si>
    <t>F16SW011SPS</t>
  </si>
  <si>
    <t>F16SW011_SPS</t>
  </si>
  <si>
    <t>Flot 11kV SB Arc Flash</t>
  </si>
  <si>
    <t>F16SW011SSD</t>
  </si>
  <si>
    <t>F16SW011_SSD</t>
  </si>
  <si>
    <t>Flot 11kV SB Inc Surge</t>
  </si>
  <si>
    <t>F16SW011STR</t>
  </si>
  <si>
    <t>F16SW011_STR</t>
  </si>
  <si>
    <t>Flot 11kV SB Break Trip</t>
  </si>
  <si>
    <t>F16AN403S7MRS</t>
  </si>
  <si>
    <t>F16AN403S7MR</t>
  </si>
  <si>
    <t>F16-AN-403 Onstream Sulphur Analyser Stream 7 Sample Measurement Result Not Ok</t>
  </si>
  <si>
    <t>F16AN403 S7 Results Flt</t>
  </si>
  <si>
    <t>F16AN403S6MRS</t>
  </si>
  <si>
    <t>F16AN403S6MR</t>
  </si>
  <si>
    <t>F16-AN-403 Onstream Sulphur Analyser Stream 6 Sample Measurement Result Not Ok</t>
  </si>
  <si>
    <t>F16AN403 S6 Results Flt</t>
  </si>
  <si>
    <t>F16AN403S2MRS</t>
  </si>
  <si>
    <t>F16AN403S2MR</t>
  </si>
  <si>
    <t>F16-AN-403 Onstream Sulphur Analyser Stream 2 Sample Measurement Result Not Ok</t>
  </si>
  <si>
    <t>F16AN403 S2 Results Flt</t>
  </si>
  <si>
    <t>F16AN403S1NMS</t>
  </si>
  <si>
    <t>F16AN403S1NM</t>
  </si>
  <si>
    <t>F16-AN-403 Onstream Sulphur Analyser Stream 1 Sample Not Measurable</t>
  </si>
  <si>
    <t>F16AN403 S1 Not Meas</t>
  </si>
  <si>
    <t>F16AN403S12ES</t>
  </si>
  <si>
    <t>F16AN403S12E</t>
  </si>
  <si>
    <t>F16-AN-403 Onstream Sulphur Analyser Stream 12 Sample Not Executable</t>
  </si>
  <si>
    <t>F16AN403 S12 Not Exec</t>
  </si>
  <si>
    <t>F16AN403S11ES</t>
  </si>
  <si>
    <t>F16AN403S11E</t>
  </si>
  <si>
    <t>F16-AN-403 Onstream Sulphur Analyser Stream 11 Sample Not Executable</t>
  </si>
  <si>
    <t>F16AN403 S11 Not Exec</t>
  </si>
  <si>
    <t>F16AN403S10ES</t>
  </si>
  <si>
    <t>F16AN403S10E</t>
  </si>
  <si>
    <t>F16-AN-403 Onstream Sulphur Analyser Stream 10 Sample Not Executable</t>
  </si>
  <si>
    <t>F16AN403 S10 Not Exec</t>
  </si>
  <si>
    <t>F16SW011SCL</t>
  </si>
  <si>
    <t>F16SW011_SCL</t>
  </si>
  <si>
    <t>Flotation 11kV Switchboard Circuit Breaker Closed</t>
  </si>
  <si>
    <t>Flot 11kV SB Break Close</t>
  </si>
  <si>
    <t>F16SW011SOP</t>
  </si>
  <si>
    <t>F16SW011_SOP</t>
  </si>
  <si>
    <t>Flotation 11kV Switchboard Circuit Breaker Opened</t>
  </si>
  <si>
    <t>Flot 11kV SB Break Open</t>
  </si>
  <si>
    <t>F16AN403S5NES</t>
  </si>
  <si>
    <t>F16AN403S5NE</t>
  </si>
  <si>
    <t>F16-AN-403 Onstream Sulphur Analyser Stream 5 Sample Not Executable</t>
  </si>
  <si>
    <t>F16AN403 S5 Not Exec</t>
  </si>
  <si>
    <t>F16AN403S3NES</t>
  </si>
  <si>
    <t>F16AN403S3NE</t>
  </si>
  <si>
    <t>F16-AN-403 Onstream Sulphur Analyser Stream 3 Sample Not Executable</t>
  </si>
  <si>
    <t>F16AN403 S3 Not Exec</t>
  </si>
  <si>
    <t>F18RIO002PS1</t>
  </si>
  <si>
    <t>F18RIO002_PS1</t>
  </si>
  <si>
    <t>F18-RIO-002 PS1 24VDC HEALTHY</t>
  </si>
  <si>
    <t>F18RIO002 PS1 24VDC</t>
  </si>
  <si>
    <t>F16RIO100PS2</t>
  </si>
  <si>
    <t>F16RIO100_PS2</t>
  </si>
  <si>
    <t>F16-RIO-100 PS2 24VDC HEALTHY</t>
  </si>
  <si>
    <t>F16RIO100 PS2 24VDC</t>
  </si>
  <si>
    <t>F16RIO100PS1</t>
  </si>
  <si>
    <t>F16RIO100_PS1</t>
  </si>
  <si>
    <t>F16-RIO-100 PS1 24VDC HEALTHY</t>
  </si>
  <si>
    <t>F16RIO100 PS1 24VDC</t>
  </si>
  <si>
    <t>F18RIO002PS2</t>
  </si>
  <si>
    <t>F18RIO002_PS2</t>
  </si>
  <si>
    <t>F18-RIO-002 PS2 24VDC HEALTHY</t>
  </si>
  <si>
    <t>F18RIO002 PS2 24VDC</t>
  </si>
  <si>
    <t>LSH16036</t>
  </si>
  <si>
    <t>LAH16036</t>
  </si>
  <si>
    <t>F16-GE-104 Flotation Essential Supply 415V Generator Fuel Level Switch High</t>
  </si>
  <si>
    <t>F16GE104 Fuel Level</t>
  </si>
  <si>
    <t>LSHH16036</t>
  </si>
  <si>
    <t>LAHH16036</t>
  </si>
  <si>
    <t>F16-GE-104 Flotation Essential Supply 415V Generator Fuel Level Switch High High</t>
  </si>
  <si>
    <t>LSL16036</t>
  </si>
  <si>
    <t>LAL16036</t>
  </si>
  <si>
    <t>F16-GE-104 Flotation Essential Supply 415V Generator Fuel Level Switch Low</t>
  </si>
  <si>
    <t>F16AN403S9NES</t>
  </si>
  <si>
    <t>F16AN403S9NE</t>
  </si>
  <si>
    <t>F16-AN-403 Onstream Sulphur Analyser Stream 9 Sample Not Executable</t>
  </si>
  <si>
    <t>F16AN403 S9 Not Exec</t>
  </si>
  <si>
    <t>F16SW11A20ECS</t>
  </si>
  <si>
    <t>F16SW011A20EC</t>
  </si>
  <si>
    <t>Flotation 11kV Switchboard Panel A20 Earth Switch Closed</t>
  </si>
  <si>
    <t>F16AN403S11BS</t>
  </si>
  <si>
    <t>F16AN403S11B</t>
  </si>
  <si>
    <t>F16-AN-403 Onstream Sulphur Analyser Stream 11 Sample Bypass On</t>
  </si>
  <si>
    <t>F16AN403 S11 Bypass</t>
  </si>
  <si>
    <t>Status bit = 04
Bit map for analyser status word. Tag naming convention to be replicated for all streams.
Refer to 2000-SPC-CS-11001 Onstream Sulphur Analyser Modbus Map for details.</t>
  </si>
  <si>
    <t>F16AN403S10BS</t>
  </si>
  <si>
    <t>F16AN403S10B</t>
  </si>
  <si>
    <t>F16-AN-403 Onstream Sulphur Analyser Stream 10 Sample Bypass On</t>
  </si>
  <si>
    <t>F16AN403 S10 Bypass</t>
  </si>
  <si>
    <t>F16AN403S9BYS</t>
  </si>
  <si>
    <t>F16AN403S9BY</t>
  </si>
  <si>
    <t>F16-AN-403 Onstream Sulphur Analyser Stream 9 Sample Bypass On</t>
  </si>
  <si>
    <t>F16AN403 S9 Bypass</t>
  </si>
  <si>
    <t>F16AN403S12BS</t>
  </si>
  <si>
    <t>F16AN403S12B</t>
  </si>
  <si>
    <t>F16-AN-403 Onstream Sulphur Analyser Stream 12 Sample Bypass On</t>
  </si>
  <si>
    <t>F16AN403 S12 Bypass</t>
  </si>
  <si>
    <t>F16AN403S1NES</t>
  </si>
  <si>
    <t>F16AN403S1NE</t>
  </si>
  <si>
    <t>F16-AN-403 Onstream Sulphur Analyser Stream 1 Sample Not Executable</t>
  </si>
  <si>
    <t>F16AN403 S1 Not Exec</t>
  </si>
  <si>
    <t>F16AN403S7BYS</t>
  </si>
  <si>
    <t>F16AN403S7BY</t>
  </si>
  <si>
    <t>F16-AN-403 Onstream Sulphur Analyser Stream 7 Sample Bypass On</t>
  </si>
  <si>
    <t>F16AN403 S7 Bypass</t>
  </si>
  <si>
    <t>F16AN403S8BYS</t>
  </si>
  <si>
    <t>F16AN403S8BY</t>
  </si>
  <si>
    <t>F16-AN-403 Onstream Sulphur Analyser Stream 8 Sample Bypass On</t>
  </si>
  <si>
    <t>F16AN403 S8 Bypass</t>
  </si>
  <si>
    <t>F16AN403S4BYS</t>
  </si>
  <si>
    <t>F16AN403S4BY</t>
  </si>
  <si>
    <t>F16-AN-403 Onstream Sulphur Analyser Stream 4 Sample Bypass On</t>
  </si>
  <si>
    <t>F16AN403 S4 Bypass</t>
  </si>
  <si>
    <t>F16AN403S3BYS</t>
  </si>
  <si>
    <t>F16AN403S3BY</t>
  </si>
  <si>
    <t>F16-AN-403 Onstream Sulphur Analyser Stream 3 Sample Bypass On</t>
  </si>
  <si>
    <t>F16AN403 S3 Bypass</t>
  </si>
  <si>
    <t>F16AN403S2BYS</t>
  </si>
  <si>
    <t>F16AN403S2BY</t>
  </si>
  <si>
    <t>F16-AN-403 Onstream Sulphur Analyser Stream 2 Sample Bypass On</t>
  </si>
  <si>
    <t>F16AN403 S2 Bypass</t>
  </si>
  <si>
    <t>F16AN403S5BYS</t>
  </si>
  <si>
    <t>F16AN403S5BY</t>
  </si>
  <si>
    <t>F16-AN-403 Onstream Sulphur Analyser Stream 5 Sample Bypass On</t>
  </si>
  <si>
    <t>F16AN403 S5 Bypass</t>
  </si>
  <si>
    <t>F16AN403S6BYS</t>
  </si>
  <si>
    <t>F16AN403S6BY</t>
  </si>
  <si>
    <t>F16-AN-403 Onstream Sulphur Analyser Stream 6 Sample Bypass On</t>
  </si>
  <si>
    <t>F16AN403 S6 Bypass</t>
  </si>
  <si>
    <t>F16AN403S12LS</t>
  </si>
  <si>
    <t>F16AN403S12A</t>
  </si>
  <si>
    <t>F16-AN-403 Onstream Sulphur Analyser Stream 12 Sample Alarm</t>
  </si>
  <si>
    <t>F16AN403 S12 Alarm</t>
  </si>
  <si>
    <t>Status bit = 03
Bit map for analyser status word. Tag naming convention to be replicated for all streams.
Refer to 2000-SPC-CS-11001 Onstream Sulphur Analyser Modbus Map for details.</t>
  </si>
  <si>
    <t>F16AN403S1BYS</t>
  </si>
  <si>
    <t>F16AN403S1BY</t>
  </si>
  <si>
    <t>F16-AN-403 Onstream Sulphur Analyser Stream 1 Sample Bypass On</t>
  </si>
  <si>
    <t>F16AN403 S1 Bypass</t>
  </si>
  <si>
    <t>F16AN403S9ALS</t>
  </si>
  <si>
    <t>F16AN403S9AL</t>
  </si>
  <si>
    <t>F16-AN-403 Onstream Sulphur Analyser Stream 9 Sample Alarm</t>
  </si>
  <si>
    <t>F16AN403 S9 Alarm</t>
  </si>
  <si>
    <t>F16AN403S8ALS</t>
  </si>
  <si>
    <t>F16AN403S8AL</t>
  </si>
  <si>
    <t>F16-AN-403 Onstream Sulphur Analyser Stream 8 Sample Alarm</t>
  </si>
  <si>
    <t>F16AN403 S8 Alarm</t>
  </si>
  <si>
    <t>F16AN403S7ALS</t>
  </si>
  <si>
    <t>F16AN403S7AL</t>
  </si>
  <si>
    <t>F16-AN-403 Onstream Sulphur Analyser Stream 7 Sample Alarm</t>
  </si>
  <si>
    <t>F16AN403 S7 Alarm</t>
  </si>
  <si>
    <t>F16AN403S10LS</t>
  </si>
  <si>
    <t>F16AN403S10A</t>
  </si>
  <si>
    <t>F16-AN-403 Onstream Sulphur Analyser Stream 10 Sample Alarm</t>
  </si>
  <si>
    <t>F16AN403 S10 Alarm</t>
  </si>
  <si>
    <t>F16AN403S11LS</t>
  </si>
  <si>
    <t>F16AN403S11A</t>
  </si>
  <si>
    <t>F16-AN-403 Onstream Sulphur Analyser Stream 11 Sample Alarm</t>
  </si>
  <si>
    <t>F16AN403 S11 Alarm</t>
  </si>
  <si>
    <t>F16AN403S5ALS</t>
  </si>
  <si>
    <t>F16AN403S5AL</t>
  </si>
  <si>
    <t>F16-AN-403 Onstream Sulphur Analyser Stream 5 Sample Alarm</t>
  </si>
  <si>
    <t>F16AN403 S5 Alarm</t>
  </si>
  <si>
    <t>F16AN403S6ALS</t>
  </si>
  <si>
    <t>F16AN403S6AL</t>
  </si>
  <si>
    <t>F16-AN-403 Onstream Sulphur Analyser Stream 6 Sample Alarm</t>
  </si>
  <si>
    <t>F16AN403 S6 Alarm</t>
  </si>
  <si>
    <t>F16AN403S2ALS</t>
  </si>
  <si>
    <t>F16AN403S2AL</t>
  </si>
  <si>
    <t>F16-AN-403 Onstream Sulphur Analyser Stream 2 Sample Alarm</t>
  </si>
  <si>
    <t>F16AN403 S2 Alarm</t>
  </si>
  <si>
    <t>F16AN403S1ALS</t>
  </si>
  <si>
    <t>F16AN403S1AL</t>
  </si>
  <si>
    <t>F16-AN-403 Onstream Sulphur Analyser Stream 1 Sample Alarm</t>
  </si>
  <si>
    <t>F16AN403 S1 Alarm</t>
  </si>
  <si>
    <t>F16-AN-403 Onstream Sulphur Analyser Stream 12 Sample Warning</t>
  </si>
  <si>
    <t>F16AN403 S12 Warning</t>
  </si>
  <si>
    <t>Status bit = 02
Bit map for analyser status word. Tag naming convention to be replicated for all streams.
Refer to 2000-SPC-CS-11001 Onstream Sulphur Analyser Modbus Map for details.</t>
  </si>
  <si>
    <t>F16AN403S3ALS</t>
  </si>
  <si>
    <t>F16AN403S3AL</t>
  </si>
  <si>
    <t>F16-AN-403 Onstream Sulphur Analyser Stream 3 Sample Alarm</t>
  </si>
  <si>
    <t>F16AN403 S3 Alarm</t>
  </si>
  <si>
    <t>F16AN403S4ALS</t>
  </si>
  <si>
    <t>F16AN403S4AL</t>
  </si>
  <si>
    <t>F16-AN-403 Onstream Sulphur Analyser Stream 4 Sample Alarm</t>
  </si>
  <si>
    <t>F16AN403 S4 Alarm</t>
  </si>
  <si>
    <t>F16-AN-403 Onstream Sulphur Analyser Stream 10 Sample Warning</t>
  </si>
  <si>
    <t>F16AN403 S10 Warning</t>
  </si>
  <si>
    <t>F16-AN-403 Onstream Sulphur Analyser Stream 11 Sample Warning</t>
  </si>
  <si>
    <t>F16AN403 S11 Warning</t>
  </si>
  <si>
    <t>F16-AN-403 Onstream Sulphur Analyser Stream 7 Sample Warning</t>
  </si>
  <si>
    <t>F16AN403 S7 Warning</t>
  </si>
  <si>
    <t>F16-AN-403 Onstream Sulphur Analyser Stream 6 Sample Warning</t>
  </si>
  <si>
    <t>F16AN403 S6 Warning</t>
  </si>
  <si>
    <t>F16-AN-403 Onstream Sulphur Analyser Stream 5 Sample Warning</t>
  </si>
  <si>
    <t>F16AN403 S5 Warning</t>
  </si>
  <si>
    <t>F16-AN-403 Onstream Sulphur Analyser Stream 8 Sample Warning</t>
  </si>
  <si>
    <t>F16AN403 S8 Warning</t>
  </si>
  <si>
    <t>F16-AN-403 Onstream Sulphur Analyser Stream 9 Sample Warning</t>
  </si>
  <si>
    <t>F16AN403 S9 Warning</t>
  </si>
  <si>
    <t>F16-AN-403 Onstream Sulphur Analyser Stream 3 Sample Warning</t>
  </si>
  <si>
    <t>F16AN403 S3 Warning</t>
  </si>
  <si>
    <t>F16-AN-403 Onstream Sulphur Analyser Stream 4 Sample Warning</t>
  </si>
  <si>
    <t>F16AN403 S4 Warning</t>
  </si>
  <si>
    <t>F16AN403S12OS</t>
  </si>
  <si>
    <t>F16AN403S12N</t>
  </si>
  <si>
    <t>F16-AN-403 Onstream Sulphur Analyser Stream 12 Sample Normal</t>
  </si>
  <si>
    <t>F16AN403 S12 Normal</t>
  </si>
  <si>
    <t>Status bit = 01
Bit map for analyser status word. Tag naming convention to be replicated for all streams.
Refer to 2000-SPC-CS-11001 Onstream Sulphur Analyser Modbus Map for details.</t>
  </si>
  <si>
    <t>F16AN403S11OS</t>
  </si>
  <si>
    <t>F16AN403S11N</t>
  </si>
  <si>
    <t>F16-AN-403 Onstream Sulphur Analyser Stream 11 Sample Normal</t>
  </si>
  <si>
    <t>F16AN403 S11 Normal</t>
  </si>
  <si>
    <t>F16AN403S10OS</t>
  </si>
  <si>
    <t>F16AN403S10N</t>
  </si>
  <si>
    <t>F16-AN-403 Onstream Sulphur Analyser Stream 10 Sample Normal</t>
  </si>
  <si>
    <t>F16AN403 S10 Normal</t>
  </si>
  <si>
    <t>F16-AN-403 Onstream Sulphur Analyser Stream 1 Sample Warning</t>
  </si>
  <si>
    <t>F16AN403 S1 Warning</t>
  </si>
  <si>
    <t>F16-AN-403 Onstream Sulphur Analyser Stream 2 Sample Warning</t>
  </si>
  <si>
    <t>F16AN403 S2 Warning</t>
  </si>
  <si>
    <t>F16AN403S8NS</t>
  </si>
  <si>
    <t>F16AN403S8N</t>
  </si>
  <si>
    <t>F16-AN-403 Onstream Sulphur Analyser Stream 8 Sample Normal</t>
  </si>
  <si>
    <t>F16AN403 S8 Normal</t>
  </si>
  <si>
    <t>F16AN403S9NS</t>
  </si>
  <si>
    <t>F16AN403S9N</t>
  </si>
  <si>
    <t>F16-AN-403 Onstream Sulphur Analyser Stream 9 Sample Normal</t>
  </si>
  <si>
    <t>F16AN403 S9 Normal</t>
  </si>
  <si>
    <t>F16AN403S5NS</t>
  </si>
  <si>
    <t>F16AN403S5N</t>
  </si>
  <si>
    <t>F16-AN-403 Onstream Sulphur Analyser Stream 5 Sample Normal</t>
  </si>
  <si>
    <t>F16AN403 S5 Normal</t>
  </si>
  <si>
    <t>F16AN403S4NS</t>
  </si>
  <si>
    <t>F16AN403S4N</t>
  </si>
  <si>
    <t>F16-AN-403 Onstream Sulphur Analyser Stream 4 Sample Normal</t>
  </si>
  <si>
    <t>F16AN403 S4 Normal</t>
  </si>
  <si>
    <t>F16AN403S3NS</t>
  </si>
  <si>
    <t>F16AN403S3N</t>
  </si>
  <si>
    <t>F16-AN-403 Onstream Sulphur Analyser Stream 3 Sample Normal</t>
  </si>
  <si>
    <t>F16AN403 S3 Normal</t>
  </si>
  <si>
    <t>F16AN403S6NS</t>
  </si>
  <si>
    <t>F16AN403S6N</t>
  </si>
  <si>
    <t>F16-AN-403 Onstream Sulphur Analyser Stream 6 Sample Normal</t>
  </si>
  <si>
    <t>F16AN403 S6 Normal</t>
  </si>
  <si>
    <t>F16AN403S7NS</t>
  </si>
  <si>
    <t>F16AN403S7N</t>
  </si>
  <si>
    <t>F16-AN-403 Onstream Sulphur Analyser Stream 7 Sample Normal</t>
  </si>
  <si>
    <t>F16AN403 S7 Normal</t>
  </si>
  <si>
    <t>F16AN403S1NS</t>
  </si>
  <si>
    <t>F16AN403S1N</t>
  </si>
  <si>
    <t>F16-AN-403 Onstream Sulphur Analyser Stream 1 Sample Normal</t>
  </si>
  <si>
    <t>F16AN403 S1 Normal</t>
  </si>
  <si>
    <t>F16AN403S2NS</t>
  </si>
  <si>
    <t>F16AN403S2N</t>
  </si>
  <si>
    <t>F16-AN-403 Onstream Sulphur Analyser Stream 2 Sample Normal</t>
  </si>
  <si>
    <t>F16AN403 S2 Normal</t>
  </si>
  <si>
    <t>F16AN403S10QS</t>
  </si>
  <si>
    <t>F16AN403S10Q</t>
  </si>
  <si>
    <t>F16-AN-403 Onstream Sulphur Analyser Stream 10 Sample in Use</t>
  </si>
  <si>
    <t>F16AN403 S10 On</t>
  </si>
  <si>
    <t>Status bit = 00
Bit map for analyser status word. Tag naming convention to be replicated for all streams.
Refer to 2000-SPC-CS-11001 Onstream Sulphur Analyser Modbus Map for details.</t>
  </si>
  <si>
    <t>F16AN403S9QS</t>
  </si>
  <si>
    <t>F16AN403S9Q</t>
  </si>
  <si>
    <t>F16-AN-403 Onstream Sulphur Analyser Stream 9 Sample in Use</t>
  </si>
  <si>
    <t>F16AN403 S9 On</t>
  </si>
  <si>
    <t>F16AN403S8QS</t>
  </si>
  <si>
    <t>F16AN403S8Q</t>
  </si>
  <si>
    <t>F16-AN-403 Onstream Sulphur Analyser Stream 8 Sample in Use</t>
  </si>
  <si>
    <t>F16AN403 S8 On</t>
  </si>
  <si>
    <t>F16AN403S11QS</t>
  </si>
  <si>
    <t>F16AN403S11Q</t>
  </si>
  <si>
    <t>F16-AN-403 Onstream Sulphur Analyser Stream 11 Sample in Use</t>
  </si>
  <si>
    <t>F16AN403 S11 On</t>
  </si>
  <si>
    <t>F16AN403S12QS</t>
  </si>
  <si>
    <t>F16AN403S12Q</t>
  </si>
  <si>
    <t>F16-AN-403 Onstream Sulphur Analyser Stream 12 Sample in Use</t>
  </si>
  <si>
    <t>F16AN403 S12 On</t>
  </si>
  <si>
    <t>F16AN403S6QS</t>
  </si>
  <si>
    <t>F16AN403S6Q</t>
  </si>
  <si>
    <t>F16-AN-403 Onstream Sulphur Analyser Stream 6 Sample in Use</t>
  </si>
  <si>
    <t>F16AN403 S6 On</t>
  </si>
  <si>
    <t>F16AN403S7QS</t>
  </si>
  <si>
    <t>F16AN403S7Q</t>
  </si>
  <si>
    <t>F16-AN-403 Onstream Sulphur Analyser Stream 7 Sample in Use</t>
  </si>
  <si>
    <t>F16AN403 S7 On</t>
  </si>
  <si>
    <t>F16AN403S5QS</t>
  </si>
  <si>
    <t>F16AN403S5Q</t>
  </si>
  <si>
    <t>F16-AN-403 Onstream Sulphur Analyser Stream 5 Sample in Use</t>
  </si>
  <si>
    <t>F16AN403 S5 On</t>
  </si>
  <si>
    <t>F16AN403S2QS</t>
  </si>
  <si>
    <t>F16AN403S2Q</t>
  </si>
  <si>
    <t>F16-AN-403 Onstream Sulphur Analyser Stream 2 Sample in Use</t>
  </si>
  <si>
    <t>F16AN403 S2 On</t>
  </si>
  <si>
    <t>F16AN403S1QS</t>
  </si>
  <si>
    <t>F16AN403S1Q</t>
  </si>
  <si>
    <t>F16-AN-403 Onstream Sulphur Analyser Stream 1 Sample in Use</t>
  </si>
  <si>
    <t>F16AN403 S1 On</t>
  </si>
  <si>
    <t>F16AN403S3QS</t>
  </si>
  <si>
    <t>F16AN403S3Q</t>
  </si>
  <si>
    <t>F16-AN-403 Onstream Sulphur Analyser Stream 3 Sample in Use</t>
  </si>
  <si>
    <t>F16AN403 S3 On</t>
  </si>
  <si>
    <t>F16AN403S4QS</t>
  </si>
  <si>
    <t>F16AN403S4Q</t>
  </si>
  <si>
    <t>F16-AN-403 Onstream Sulphur Analyser Stream 4 Sample in Use</t>
  </si>
  <si>
    <t>F16AN403 S4 On</t>
  </si>
  <si>
    <t>F16AN402FL9</t>
  </si>
  <si>
    <t>F16AN402_FL9</t>
  </si>
  <si>
    <t>F16-AN-402 Flotation Feed PSA Assay 9 Invalid</t>
  </si>
  <si>
    <t>F16AN402 Assy9 Alarm</t>
  </si>
  <si>
    <t>Refer to 2000-SPC-CS-11011 Flotation Feed PSA for details.</t>
  </si>
  <si>
    <t>F16AN402FL10</t>
  </si>
  <si>
    <t>F16AN402_FL10</t>
  </si>
  <si>
    <t>F16-AN-402 Flotation Feed PSA Assay 10 Invalid</t>
  </si>
  <si>
    <t>F16AN402 Assy10 Alarm</t>
  </si>
  <si>
    <t>F16AN402FL6</t>
  </si>
  <si>
    <t>F16AN402_FL6</t>
  </si>
  <si>
    <t>F16-AN-402 Flotation Feed PSA Assay 6 Invalid</t>
  </si>
  <si>
    <t>F16AN402 Assy6 Alarm</t>
  </si>
  <si>
    <t>F16AN402FL5</t>
  </si>
  <si>
    <t>F16AN402_FL5</t>
  </si>
  <si>
    <t>F16-AN-402 Flotation Feed PSA Assay 5 Invalid</t>
  </si>
  <si>
    <t>F16AN402 Assy5 Alarm</t>
  </si>
  <si>
    <t>F16AN402FL4</t>
  </si>
  <si>
    <t>F16AN402_FL4</t>
  </si>
  <si>
    <t>F16-AN-402 Flotation Feed PSA Assay 4 Invalid</t>
  </si>
  <si>
    <t>F16AN402 Assy4 Alarm</t>
  </si>
  <si>
    <t>F16AN402FL7</t>
  </si>
  <si>
    <t>F16AN402_FL7</t>
  </si>
  <si>
    <t>F16-AN-402 Flotation Feed PSA Assay 7 Invalid</t>
  </si>
  <si>
    <t>F16AN402 Assy7 Alarm</t>
  </si>
  <si>
    <t>F16AN402FL8</t>
  </si>
  <si>
    <t>F16AN402_FL8</t>
  </si>
  <si>
    <t>F16-AN-402 Flotation Feed PSA Assay 8 Invalid</t>
  </si>
  <si>
    <t>F16AN402 Assy8 Alarm</t>
  </si>
  <si>
    <t>F16AN402FL2</t>
  </si>
  <si>
    <t>F16AN402_FL2</t>
  </si>
  <si>
    <t>F16-AN-402 Flotation Feed PSA Assay 2 Invalid</t>
  </si>
  <si>
    <t>F16AN402 Assy2 Alarm</t>
  </si>
  <si>
    <t>F16AN402FL3</t>
  </si>
  <si>
    <t>F16AN402_FL3</t>
  </si>
  <si>
    <t>F16-AN-402 Flotation Feed PSA Assay 3 Invalid</t>
  </si>
  <si>
    <t>F16AN402 Assy3 Alarm</t>
  </si>
  <si>
    <t>XI16169S</t>
  </si>
  <si>
    <t>XI16169</t>
  </si>
  <si>
    <t>F16-AN-402 Flotation Feed PSA Measurement Running</t>
  </si>
  <si>
    <t>F16AN402 Measurement</t>
  </si>
  <si>
    <t>Stopped</t>
  </si>
  <si>
    <t>Running</t>
  </si>
  <si>
    <t>F16AN402CRUN</t>
  </si>
  <si>
    <t>F16AN402_CRUN</t>
  </si>
  <si>
    <t>F16-AN-402 Flotation Feed PSA Composite Sample Running</t>
  </si>
  <si>
    <t>F16AN402 Comp Sample</t>
  </si>
  <si>
    <t>XA16168S</t>
  </si>
  <si>
    <t>XA16168</t>
  </si>
  <si>
    <t>F16-AN-402 Flotation Feed PSA General Alarm</t>
  </si>
  <si>
    <t>F16AN402 General Alarm</t>
  </si>
  <si>
    <t>F16AN402ZRUN</t>
  </si>
  <si>
    <t>F16AN402_ZRUN</t>
  </si>
  <si>
    <t>F16-AN-402 Flotation Feed PSA Zero Check Running</t>
  </si>
  <si>
    <t>F16AN402 Zero Check</t>
  </si>
  <si>
    <t>F16AN402FL1</t>
  </si>
  <si>
    <t>F16AN402_FL1</t>
  </si>
  <si>
    <t>F16-AN-402 Flotation Feed PSA Assay 1 Invalid</t>
  </si>
  <si>
    <t>F16AN402 Assy1 Alarm</t>
  </si>
  <si>
    <t>FSL18533</t>
  </si>
  <si>
    <t>FAL18533</t>
  </si>
  <si>
    <t>F18-PP-513 Cleaner Scavenger Flotation Cell Tails Pump 1 Gland Water Flow Indicating Transmitter</t>
  </si>
  <si>
    <t>F18PP513 Gland</t>
  </si>
  <si>
    <t>Hardwired to PCS</t>
  </si>
  <si>
    <t>Alarm enabled delay of 10 seconds on gland water pump start-up (duration to be confirmed during commissioning).</t>
  </si>
  <si>
    <t>FSL18537</t>
  </si>
  <si>
    <t>FAL18537</t>
  </si>
  <si>
    <t>F18-PP-514 Cleaner Scavenger Flotation Cell Tails Pump 2 Gland Water Flow Indicating Transmitter</t>
  </si>
  <si>
    <t>F18PP514 Gland</t>
  </si>
  <si>
    <t>FSL18529</t>
  </si>
  <si>
    <t>FAL18529</t>
  </si>
  <si>
    <t>F18-PP-512 Cleaner Scavenger Flotation Cell Recirculation Pump 2 Gland Water Flow Indicating Transmitter</t>
  </si>
  <si>
    <t>F18PP512 Gland</t>
  </si>
  <si>
    <t>FSL18509</t>
  </si>
  <si>
    <t>FAL18509</t>
  </si>
  <si>
    <t>F18-PP-501 Cleaner Flotation Cell Recirculation Pump 1 Gland Water Flow Indicating Transmitter</t>
  </si>
  <si>
    <t>F18PP501 Gland</t>
  </si>
  <si>
    <t>FSL18505</t>
  </si>
  <si>
    <t>FAL18505</t>
  </si>
  <si>
    <t>F18-PP-408 Final Concentrate Pump 2 Gland Water Flow Indicating Transmitter</t>
  </si>
  <si>
    <t>F18PP408 Gland</t>
  </si>
  <si>
    <t>FSL18513</t>
  </si>
  <si>
    <t>FAL18513</t>
  </si>
  <si>
    <t>F18-PP-502 Cleaner Flotation Cell Recirculation Pump 2 Gland Water Flow Indicating Transmitter</t>
  </si>
  <si>
    <t>F18PP502 Gland</t>
  </si>
  <si>
    <t>FSL18525</t>
  </si>
  <si>
    <t>FAL18525</t>
  </si>
  <si>
    <t>F18-PP-511 Cleaner Scavenger Flotation Cell Recirculation Pump 1 Gland Water Flow Indicating Transmitter</t>
  </si>
  <si>
    <t>F18PP511 Gland</t>
  </si>
  <si>
    <t>YE18271S</t>
  </si>
  <si>
    <t>YE18271</t>
  </si>
  <si>
    <t>F18-PP-502 Cleaner Flotation Cell Froth Camera</t>
  </si>
  <si>
    <t>F18CF511 Froth Camera</t>
  </si>
  <si>
    <t>Instrument list to be updated to be FT</t>
  </si>
  <si>
    <t>FSL18501</t>
  </si>
  <si>
    <t>FAL18501</t>
  </si>
  <si>
    <t>F18-PP-407 Final Concentrate Pump 1 Gland Water Flow Indicating Transmitter</t>
  </si>
  <si>
    <t>F18PP407 Gland</t>
  </si>
  <si>
    <t>LSH17081</t>
  </si>
  <si>
    <t>LAH17081</t>
  </si>
  <si>
    <t>F17-PS-427 Flotation Tailings Thickener Area Sump Pump 1 Level Switch High</t>
  </si>
  <si>
    <t>F17PS427 Thicknr Sump</t>
  </si>
  <si>
    <t>PDSH17051</t>
  </si>
  <si>
    <t>PDAH17051</t>
  </si>
  <si>
    <t>F17-HU-414 Flotation Tailings Thickener Rake Lift HPU Return Filter Pressure Differential Switch High</t>
  </si>
  <si>
    <t>F17HU414 Rtrn Fltr Dlta</t>
  </si>
  <si>
    <t>Source: 2000-ME001.5-M02-50001</t>
  </si>
  <si>
    <t>LSH18041</t>
  </si>
  <si>
    <t>LAH18041</t>
  </si>
  <si>
    <t>F18-PS-501 Cleaner Area Sump Pump Level Switch High</t>
  </si>
  <si>
    <t>F18PS501 Cleaner Sump</t>
  </si>
  <si>
    <t>YE18091S</t>
  </si>
  <si>
    <t>YE18091</t>
  </si>
  <si>
    <t>F18-PP-501 Cleaner Flotation Cell Froth Camera</t>
  </si>
  <si>
    <t>F18CF501 Froth Camera</t>
  </si>
  <si>
    <t>LSLL17043</t>
  </si>
  <si>
    <t>LALL17043</t>
  </si>
  <si>
    <t>F17-HU-414 Flotation Tailings Thickener Rake Lift HPU Oil Tank Level Switch Low Low</t>
  </si>
  <si>
    <t>F17HU414 Rake Lift HPU</t>
  </si>
  <si>
    <t>TSHH17044</t>
  </si>
  <si>
    <t>TAHH17044</t>
  </si>
  <si>
    <t>F17-HU-414 Flotation Tailings Thickener Rake Lift HPU Oil Tank Temperature Switch High High</t>
  </si>
  <si>
    <t>TSH17042</t>
  </si>
  <si>
    <t>TAH17042</t>
  </si>
  <si>
    <t>F17-HU-414 Flotation Tailings Thickener Rake Lift HPU Oil Tank Temperature Switch High</t>
  </si>
  <si>
    <t>PDSH17031</t>
  </si>
  <si>
    <t>PDAH17031</t>
  </si>
  <si>
    <t>F17-HU-406 Flotation Tailings Thickener Rake Drive HPU Outlet Differential Pressure Switch High</t>
  </si>
  <si>
    <t>F17HU406 Outlet Delta</t>
  </si>
  <si>
    <t>PDSH17037</t>
  </si>
  <si>
    <t>PDAH17037</t>
  </si>
  <si>
    <t>F17-HU-406 Flotation Tailings Thickener Rake Drive HPU Return Filter Differential Pressure Switch High (Standby)</t>
  </si>
  <si>
    <t>F17HU406 Rtrn Fltr Dlta</t>
  </si>
  <si>
    <t>ZSO17026</t>
  </si>
  <si>
    <t>ZAO17026</t>
  </si>
  <si>
    <t>F17-PO-408 Thickener Rake Drive Pump Suction Valve Position Switch Opened</t>
  </si>
  <si>
    <t>F17PO408 Inlet Valve Opn</t>
  </si>
  <si>
    <t>Open</t>
  </si>
  <si>
    <t>N_Open</t>
  </si>
  <si>
    <t>Mask if F17PO408 Not Running</t>
  </si>
  <si>
    <t>To alarm when switch is NOT active. Valve must normally be in Open position (switch active). Operator to be informed if valve is not open via logging alarm.
Source: 2000-ME001.5-M02-50001</t>
  </si>
  <si>
    <t>LSL17041</t>
  </si>
  <si>
    <t>LAL17041</t>
  </si>
  <si>
    <t>F17-HU-414 Flotation Tailings Thickener Rake Lift HPU Oil Tank Level Switch Low</t>
  </si>
  <si>
    <t>PDSH17028</t>
  </si>
  <si>
    <t>PDAH17028</t>
  </si>
  <si>
    <t>F17-HU-406 Flotation Tailings Thickener Rake Drive HPU Pump Outlet Filter Differential Pressure Switch High</t>
  </si>
  <si>
    <t>F17PO408 D/C Fltr Dlta</t>
  </si>
  <si>
    <t>PDSH17036</t>
  </si>
  <si>
    <t>PDAH17036</t>
  </si>
  <si>
    <t>F17-HU-406 Flotation Tailings Thickener Rake Drive HPU Return Filter Differential Pressure Switch High (Working)</t>
  </si>
  <si>
    <t>LSLL17023</t>
  </si>
  <si>
    <t>LALL17023</t>
  </si>
  <si>
    <t>F17-HU-406 Flotation Tailings Thickener Rake Drive HPU Oil Tank Level Switch Low Low</t>
  </si>
  <si>
    <t>F17HU406 Rake Drive HPU</t>
  </si>
  <si>
    <t>See Drives for interlock to Rake Drive Pump.
Source: 2000-ME001.5-M02-50001</t>
  </si>
  <si>
    <t>TSH17022</t>
  </si>
  <si>
    <t>TAH17022</t>
  </si>
  <si>
    <t>F17-HU-406 Flotation Tailings Thickener Rake Drive HPU Oil Tank Temperature Switch High</t>
  </si>
  <si>
    <t>LSL17021</t>
  </si>
  <si>
    <t>LAL17021</t>
  </si>
  <si>
    <t>F17-HU-406 Flotation Tailings Thickener Rake Drive HPU Oil Tank Level Switch Low</t>
  </si>
  <si>
    <t>TSHH17024</t>
  </si>
  <si>
    <t>TAHH17024</t>
  </si>
  <si>
    <t>F17-HU-406 Flotation Tailings Thickener Rake Drive HPU Oil Tank Temperature Switch High High</t>
  </si>
  <si>
    <t>TSH17025</t>
  </si>
  <si>
    <t>TAH17025</t>
  </si>
  <si>
    <t>F17-HU-406 Flotation Tailings Thickener Rake Drive HPU Oil Tank Cooling Fan Temperature Switch High</t>
  </si>
  <si>
    <t>F17HU406 HPU Cooling Fan</t>
  </si>
  <si>
    <t>When switch is active, start Thickener Rake Drive Oil Tank Cooling Fan (on-delay 2.5s).
Alarm if switch is active after 5 minutes signifying faulty fan and sustained temperatures above 50C.
Source: 2000-ME001.5-M02-50001</t>
  </si>
  <si>
    <t>HS17065A</t>
  </si>
  <si>
    <t>HS17065ASTT</t>
  </si>
  <si>
    <t>F17TH401-CP Flotation Tailings Thickener Control Panel Raise Rake Request Push Button</t>
  </si>
  <si>
    <t>F17TH401 Raise Rake</t>
  </si>
  <si>
    <t>Activated</t>
  </si>
  <si>
    <t>F17TH401 must be in LOCAL mode for local control panel button to have effect. Please see 12. Misc for further information.
When HS17065A Activated:
Energise SV17048 AND Start F17PO409.
When HS17065A De-Activated / Released (Falling Edge):
De-Energise SV17048.
DCS Graphic button to be programmed to raise rake remotely by CRO.</t>
  </si>
  <si>
    <t>HS17065B</t>
  </si>
  <si>
    <t>HS17065BSTT</t>
  </si>
  <si>
    <t>F17TH401-CP Flotation Tailings Thickener Control Panel Lower Rake Request Push Button</t>
  </si>
  <si>
    <t>F17TH401 Lower Rake</t>
  </si>
  <si>
    <t>F17TH401 must be in LOCAL mode for local control panel button to have effect. Please see 12. Misc for further information.
When HS17065B Activated:
Energise SV17047 AND Start F17PO409.
When HS17065B De-Activated / Released (Falling Edge):
De-Energise SV17047.
DCS Graphic button to be programmed to lower rake remotely by CRO.</t>
  </si>
  <si>
    <t>HS17061</t>
  </si>
  <si>
    <t>HS17061STT</t>
  </si>
  <si>
    <t>F17TH401-CP Flotation Tailings Thickener Control Panel Rake Drive Local Start Request Push Button</t>
  </si>
  <si>
    <t>F17TH401 Fwd Local Start</t>
  </si>
  <si>
    <r>
      <t xml:space="preserve">F17TH401 </t>
    </r>
    <r>
      <rPr>
        <b/>
        <sz val="11"/>
        <color rgb="FF0000FF"/>
        <rFont val="Arial"/>
        <family val="2"/>
      </rPr>
      <t>must</t>
    </r>
    <r>
      <rPr>
        <sz val="11"/>
        <color rgb="FF0000FF"/>
        <rFont val="Arial"/>
        <family val="2"/>
      </rPr>
      <t xml:space="preserve"> be in LOCAL mode for local control panel button to have effect. Please see 12. Misc for further information.
1. If F17TH401 in LOCAL mode (F17TH401_LCL Active) AND HS17061 Active AND Reverse Enable Not Active (F17TH401_REV Not Active):
- Start F17PO408
- Energise SV17033
2. If F17TH401 in LOCAL mode (F17TH401_LCL Active) and HS17061 Active AND Reverse Enable Active (F17TH401_REV Active):
- Start F17PO408
- Energise SV17034
Lock-out timers exist for Reverse Jogging. Please refer to 12. Misc for details.</t>
    </r>
  </si>
  <si>
    <t>HS17060</t>
  </si>
  <si>
    <t>XA17060</t>
  </si>
  <si>
    <t>F17TH401-CP Flotation Tailings Thickener Control Panel Emergency Stop Switch</t>
  </si>
  <si>
    <t>F17TH401 EStop</t>
  </si>
  <si>
    <t>Additional contact to MCC for motor interlock. Indication only.</t>
  </si>
  <si>
    <t>HS17063</t>
  </si>
  <si>
    <t>HS17063STT</t>
  </si>
  <si>
    <t>F17TH401-CP Flotation Tailings Thickener Control Panel Reverse Jog Request Push Button</t>
  </si>
  <si>
    <t>F17TH401 Reverse Jog</t>
  </si>
  <si>
    <r>
      <t xml:space="preserve">F17TH401 must be in LOCAL mode (F17TH401_LCL Active) AND Reverse Enable (F17TH401_REV Active) </t>
    </r>
    <r>
      <rPr>
        <b/>
        <sz val="11"/>
        <color rgb="FF0000FF"/>
        <rFont val="Arial"/>
        <family val="2"/>
      </rPr>
      <t>must</t>
    </r>
    <r>
      <rPr>
        <sz val="11"/>
        <color rgb="FF0000FF"/>
        <rFont val="Arial"/>
        <family val="2"/>
      </rPr>
      <t xml:space="preserve"> be active for local control panel button (HS17063) to have effect. Please see 12. Misc for further information.
When HS17063 Activated:
Energise SV17034 and Start F17PO408. 
When HS17063 De-Activated / Released (Falling Edge):
De-Energise SV17034.
Lock-out timers exist for Reverse Jogging. Please refer to 12. Misc for details.
</t>
    </r>
  </si>
  <si>
    <t>HS17064</t>
  </si>
  <si>
    <t>HS17064STT</t>
  </si>
  <si>
    <t>F17TH401-CP Flotation Tailings Thickener Control Panel Rake Drive Local Stop Push Button</t>
  </si>
  <si>
    <t>F17TH401 Local Stop</t>
  </si>
  <si>
    <t>F17TH401 must be in LOCAL mode (F17TH401_LCL Active) for local control panel button to have effect. Please see 12. Misc for further information.
When HS17064 Active:
Stop F17PO408 AND F17PO409.
De-Energise SV17033, SV17034, SV17047, SV17048.</t>
  </si>
  <si>
    <t>LSL17017</t>
  </si>
  <si>
    <t>LAL17017</t>
  </si>
  <si>
    <t>F17-TH-401 Flotation Tailings Thickener Gear Reducer Oil Level Switch Low 1</t>
  </si>
  <si>
    <t>F17TH401 Gear Redcr Oil1</t>
  </si>
  <si>
    <t>Source: 2000-ME001.5-M02-50001.</t>
  </si>
  <si>
    <t>LSL17018</t>
  </si>
  <si>
    <t>LAL17018</t>
  </si>
  <si>
    <t>F17-TH-401 Flotation Tailings Thickener Gear Reducer Oil Level Switch Low 2</t>
  </si>
  <si>
    <t>F17TH401 Gear Redcr Oil2</t>
  </si>
  <si>
    <t>ZSH17014</t>
  </si>
  <si>
    <t>ZAH17014</t>
  </si>
  <si>
    <t>F17-TH-401 Flotation Tailings Thickener Rake Lift Position Switch High</t>
  </si>
  <si>
    <t>F17TH401 Rake High Limit</t>
  </si>
  <si>
    <t>Inductive proximity sensor.
Closes Rake Raise Solenoid Valve. Refer to On/Off valves.
Alarm if switch active.
Source: 2000-ME001.5-M02-50001.</t>
  </si>
  <si>
    <t>XS17038</t>
  </si>
  <si>
    <t>XA17038</t>
  </si>
  <si>
    <t>F17-XM-572 Manta Sub Sensor Failed to Return Home Fault</t>
  </si>
  <si>
    <t>F17XM572 Sensor N_Rtrn</t>
  </si>
  <si>
    <t>Sensor Failed to Return Home. Flotation Tailings Thickener Rakes will interlock to stop when alarm active.
Manta Sub Documentation: 2000-ME001.5-D02-50002</t>
  </si>
  <si>
    <t>XS17038B</t>
  </si>
  <si>
    <t>XI17038B</t>
  </si>
  <si>
    <t>F17-XM-572 Manta Sub Fault Feedback</t>
  </si>
  <si>
    <t>F17XM572 Manta Fault</t>
  </si>
  <si>
    <t>Soft-tag. Modbus connection to Manta Sub PLC.
Manta Sub Documentation: 2000-ME001.5-D02-50002</t>
  </si>
  <si>
    <t>ZSL17015</t>
  </si>
  <si>
    <t>ZAL17015</t>
  </si>
  <si>
    <t>F17-TH-401 Flotation Tailings Thickener Rake Lift Position Switch Low</t>
  </si>
  <si>
    <t>F17TH401 Rake Low Limit</t>
  </si>
  <si>
    <t>Inductive proximity sensor.
Closes Rake Lower Solenoid Valve. Refer to On/Off valves.
Alarm if switch active.
Source: 2000-ME001.5-M02-50001.</t>
  </si>
  <si>
    <t>SSL17016</t>
  </si>
  <si>
    <t>SAL17016</t>
  </si>
  <si>
    <t>F17-TH-401 Flotation Tailings Thickener Rake Underspeed Switch</t>
  </si>
  <si>
    <t>F17TH401 Rake Speed</t>
  </si>
  <si>
    <t>Zero speed sensor activates when not detecting pulses from rotating rake drive when in operation.
Criteria: No pulses detected for 20 seconds from SSL17016 then active/alarm switch.
Source: 2000-ME001.5-M02-50001.</t>
  </si>
  <si>
    <t>XS17008</t>
  </si>
  <si>
    <t>XAH17008</t>
  </si>
  <si>
    <t>F16-PP-634 Final Tails Sample Pump Hose Leak Detection Switch</t>
  </si>
  <si>
    <t>F16PP634 Hose Leak</t>
  </si>
  <si>
    <t>Part of Vendor Package. ME042.</t>
  </si>
  <si>
    <t>XS17038A</t>
  </si>
  <si>
    <t>XI17038A</t>
  </si>
  <si>
    <t>F17-XM-572 Manta Sub Running Feedback</t>
  </si>
  <si>
    <t>F17XM572 Manta Running</t>
  </si>
  <si>
    <t>XS17066</t>
  </si>
  <si>
    <t>XI17066</t>
  </si>
  <si>
    <t>F17TH401-CP Flotation Tailings Thickener Control Panel 24VDC Power Healthy Indicator Light</t>
  </si>
  <si>
    <t>F17TH401 Pwr Healthy</t>
  </si>
  <si>
    <t>24V DCS Power Healthy</t>
  </si>
  <si>
    <t>FSL16156</t>
  </si>
  <si>
    <t>FAL16156</t>
  </si>
  <si>
    <t>F16-PP-638 Sample Return Pump 1 Gland Water Flow Indicating Transmitter</t>
  </si>
  <si>
    <t>F16PP638 Gland</t>
  </si>
  <si>
    <t>XS16046</t>
  </si>
  <si>
    <t>XAH16046</t>
  </si>
  <si>
    <t>2000-F16-PID-PR-10004</t>
  </si>
  <si>
    <t>F16-PP-633 Scavenger Tails Sample Pump Hose Leak Detection Switch</t>
  </si>
  <si>
    <t>F16PP633 Hose Leak</t>
  </si>
  <si>
    <t>XS16045</t>
  </si>
  <si>
    <t>XAH16045</t>
  </si>
  <si>
    <t>F16-PP-632 Scavenger Concentrate Sample Pump Hose Leak Detection Switch</t>
  </si>
  <si>
    <t>F16PP632 Hose Leak</t>
  </si>
  <si>
    <t>FSL16166</t>
  </si>
  <si>
    <t>FAL16166</t>
  </si>
  <si>
    <t>F16-PP-639 Sample Return Pump 2 Gland Water Flow Indicating Transmitter</t>
  </si>
  <si>
    <t>F16PP639 Gland</t>
  </si>
  <si>
    <t>FSL16358</t>
  </si>
  <si>
    <t>FAL16358</t>
  </si>
  <si>
    <t>F16-PP-515 Flotation Cell Drain Pump Gland Water Flow Switch</t>
  </si>
  <si>
    <t>F16PP515 Gland</t>
  </si>
  <si>
    <t>LSH16121</t>
  </si>
  <si>
    <t>LAH16121</t>
  </si>
  <si>
    <t>F16-PS-412 Flotation Area Sump Pump 2 Level Switch High</t>
  </si>
  <si>
    <t>F16PS412 Flot Sump 2</t>
  </si>
  <si>
    <t>LSH16141</t>
  </si>
  <si>
    <t>LAH16141</t>
  </si>
  <si>
    <t>F16-PS-413 Flotation Area Sump Pump 3 Level Switch High</t>
  </si>
  <si>
    <t>F16PS413 Flot Sump 3</t>
  </si>
  <si>
    <t>XS16044</t>
  </si>
  <si>
    <t>XAH16044</t>
  </si>
  <si>
    <t>F16-PP-631 Rougher 2 &amp; 3 Concentrate Sample Pump Hose Leak Detection Switch</t>
  </si>
  <si>
    <t>F16PP631 Hose Leak</t>
  </si>
  <si>
    <t>YE16117S</t>
  </si>
  <si>
    <t>YE16117</t>
  </si>
  <si>
    <t>F16-CF-417 Scavenger Flotation Cell 4 Froth Camera</t>
  </si>
  <si>
    <t>F16CF417 Froth Camera</t>
  </si>
  <si>
    <t>YE16107S</t>
  </si>
  <si>
    <t>YE16107</t>
  </si>
  <si>
    <t>F16-CF-416 Scavenger Flotation Cell 3 Froth Camera</t>
  </si>
  <si>
    <t>F16CF416 Froth Camera</t>
  </si>
  <si>
    <t>XS16042</t>
  </si>
  <si>
    <t>XAH16042</t>
  </si>
  <si>
    <t>F16-PP-629 Rougher 1 Concentrate Cleaner Feed Sample Pump Hose Leak Detection Switch</t>
  </si>
  <si>
    <t>F16PP629 Hose Leak</t>
  </si>
  <si>
    <t>XS16043</t>
  </si>
  <si>
    <t>XAH16043</t>
  </si>
  <si>
    <t>F16-PP-630 Rougher 1 Concentrate Sample Pump Hose Leak Detection Switch</t>
  </si>
  <si>
    <t>F16PP630 Hose Leak</t>
  </si>
  <si>
    <t>F16SW011HTY</t>
  </si>
  <si>
    <t>F16SW011_HTY</t>
  </si>
  <si>
    <t>F16-SW-011 Fuse Healthy</t>
  </si>
  <si>
    <t>F16SW011 Fuse Healthy</t>
  </si>
  <si>
    <t>F16SW011ESCL</t>
  </si>
  <si>
    <t>F16SW011_ESCL</t>
  </si>
  <si>
    <t>F16-SW-011 Earth Switch Closed</t>
  </si>
  <si>
    <t>F16SW011 ES Closed</t>
  </si>
  <si>
    <t>N_Activated</t>
  </si>
  <si>
    <t>F16SW011ESOP</t>
  </si>
  <si>
    <t>F16SW011_ESOP</t>
  </si>
  <si>
    <t>F16-SW-011 Earth Switch Opened</t>
  </si>
  <si>
    <t>F16SW011 ES Open</t>
  </si>
  <si>
    <t>ZSC16037</t>
  </si>
  <si>
    <t>ZAC16037</t>
  </si>
  <si>
    <t>F16-TR-004 Flotation 415V MCC Transformer Enclosure Door Position Switch Closed</t>
  </si>
  <si>
    <t>F16TR004 415VMCC Door CL</t>
  </si>
  <si>
    <t>ZSC16038</t>
  </si>
  <si>
    <t>ZAC16038</t>
  </si>
  <si>
    <t>F16-TR-005 Flotation Blowers And Compressors 415V MCC Transformer Enclosure Door Position Switch Closed</t>
  </si>
  <si>
    <t>F16TR005 415VMCC Door CL</t>
  </si>
  <si>
    <t>ZSC16039</t>
  </si>
  <si>
    <t>ZAC16039</t>
  </si>
  <si>
    <t>F16-TR-008 Thickener Emergency Power 415V MCC Transformer Enclosure Door Position Switch Closed</t>
  </si>
  <si>
    <t>F16TR008 415VMCC Door CL</t>
  </si>
  <si>
    <t>F16CAM101STS1</t>
  </si>
  <si>
    <t>F16CAM101VSTS</t>
  </si>
  <si>
    <t>F16-CAM-101 Rougher Flotation Cell 1 Froth Camera Velocity Status</t>
  </si>
  <si>
    <t>F16CAM101 VelocityStatus</t>
  </si>
  <si>
    <t>SoftTag</t>
  </si>
  <si>
    <t>SoftTag
From FLS OPC Server</t>
  </si>
  <si>
    <t>F16CAM101STS2</t>
  </si>
  <si>
    <t>F16CAM101CSTS</t>
  </si>
  <si>
    <t>F16-CAM-101 Rougher Flotation Cell 1 Froth Camera Colour Status</t>
  </si>
  <si>
    <t>F16CAM101 Colour Status</t>
  </si>
  <si>
    <t>F16CAM101STS3</t>
  </si>
  <si>
    <t>F16CAM101BSTS</t>
  </si>
  <si>
    <t>F16-CAM-101 Rougher Flotation Cell 1 Froth Camera Bubble Size Status</t>
  </si>
  <si>
    <t>F16CAM101 Bubble Status</t>
  </si>
  <si>
    <t>F16CAM101STS4</t>
  </si>
  <si>
    <t>F16CAM101LSTS</t>
  </si>
  <si>
    <t>F16-CAM-101 Rougher Flotation Cell 1 Froth Camera Lidar Status</t>
  </si>
  <si>
    <t>F16CAM101 Lidar Status</t>
  </si>
  <si>
    <t>F16CAM102STS1</t>
  </si>
  <si>
    <t>F16CAM102VSTS</t>
  </si>
  <si>
    <t>F16-CAM-102 Rougher Flotation Cell 2 Froth Camera Velocity Status</t>
  </si>
  <si>
    <t>F16CAM102 VelocityStatus</t>
  </si>
  <si>
    <t>F16CAM102STS2</t>
  </si>
  <si>
    <t>F16CAM102CSTS</t>
  </si>
  <si>
    <t>F16-CAM-102 Rougher Flotation Cell 2 Froth Camera Colour Status</t>
  </si>
  <si>
    <t>F16CAM102 Colour Status</t>
  </si>
  <si>
    <t>F16CAM102STS3</t>
  </si>
  <si>
    <t>F16CAM102BSTS</t>
  </si>
  <si>
    <t>F16-CAM-102 Rougher Flotation Cell 2 Froth Camera Bubble Size Status</t>
  </si>
  <si>
    <t>F16CAM102 Bubble Status</t>
  </si>
  <si>
    <t>F16CAM102STS4</t>
  </si>
  <si>
    <t>F16CAM102LSTS</t>
  </si>
  <si>
    <t>F16-CAM-102 Rougher Flotation Cell 2 Froth Camera Lidar Status</t>
  </si>
  <si>
    <t>F16CAM102 Lidar Status</t>
  </si>
  <si>
    <t>F16CAM103STS1</t>
  </si>
  <si>
    <t>F16CAM103VSTS</t>
  </si>
  <si>
    <t>F16-CAM-103 Rougher Flotation Cell 3 Froth Camera Velocity Status</t>
  </si>
  <si>
    <t>F16CAM103 VelocityStatus</t>
  </si>
  <si>
    <t>F16CAM103STS2</t>
  </si>
  <si>
    <t>F16CAM103CSTS</t>
  </si>
  <si>
    <t>F16-CAM-103 Rougher Flotation Cell 3 Froth Camera Colour Status</t>
  </si>
  <si>
    <t>F16CAM103 Colour Status</t>
  </si>
  <si>
    <t>F16CAM103STS3</t>
  </si>
  <si>
    <t>F16CAM103BSTS</t>
  </si>
  <si>
    <t>F16-CAM-103 Rougher Flotation Cell 3 Froth Camera Bubble Size Status</t>
  </si>
  <si>
    <t>F16CAM103 Bubble Status</t>
  </si>
  <si>
    <t>F16CAM103STS4</t>
  </si>
  <si>
    <t>F16CAM103LSTS</t>
  </si>
  <si>
    <t>F16-CAM-103 Rougher Flotation Cell 3 Froth Camera Lidar Status</t>
  </si>
  <si>
    <t>F16CAM103 Lidar Status</t>
  </si>
  <si>
    <t>F16CAM104STS1</t>
  </si>
  <si>
    <t>F16CAM104VSTS</t>
  </si>
  <si>
    <t>F16-CAM-104 Scavenger Flotation Cell 1 Froth Camera Velocity Status</t>
  </si>
  <si>
    <t>F16CAM104 VelocityStatus</t>
  </si>
  <si>
    <t>F16CAM104STS2</t>
  </si>
  <si>
    <t>F16CAM104CSTS</t>
  </si>
  <si>
    <t>F16-CAM-104 Scavenger Flotation Cell 1 Froth Camera Colour Status</t>
  </si>
  <si>
    <t>F16CAM104 Colour Status</t>
  </si>
  <si>
    <t>F16CAM104STS3</t>
  </si>
  <si>
    <t>F16CAM104BSTS</t>
  </si>
  <si>
    <t>F16-CAM-104 Scavenger Flotation Cell 1 Froth Camera Bubble Size Status</t>
  </si>
  <si>
    <t>F16CAM104 Bubble Status</t>
  </si>
  <si>
    <t>F16CAM104STS4</t>
  </si>
  <si>
    <t>F16CAM104LSTS</t>
  </si>
  <si>
    <t>F16-CAM-104 Scavenger Flotation Cell 1 Froth Camera Lidar Status</t>
  </si>
  <si>
    <t>F16CAM104 Lidar Status</t>
  </si>
  <si>
    <t>F16CAM105STS1</t>
  </si>
  <si>
    <t>F16CAM105VSTS</t>
  </si>
  <si>
    <t>F16-CAM-105 Scavenger Flotation Cell 2 Froth Camera Velocity Status</t>
  </si>
  <si>
    <t>F16CAM105 VelocityStatus</t>
  </si>
  <si>
    <t>F16CAM105STS2</t>
  </si>
  <si>
    <t>F16CAM105CSTS</t>
  </si>
  <si>
    <t>F16-CAM-105 Scavenger Flotation Cell 2 Froth Camera Colour Status</t>
  </si>
  <si>
    <t>F16CAM105 Colour Status</t>
  </si>
  <si>
    <t>F16CAM105STS3</t>
  </si>
  <si>
    <t>F16CAM105BSTS</t>
  </si>
  <si>
    <t>F16-CAM-105 Scavenger Flotation Cell 2 Froth Camera Bubble Size Status</t>
  </si>
  <si>
    <t>F16CAM105 Bubble Status</t>
  </si>
  <si>
    <t>F16CAM105STS4</t>
  </si>
  <si>
    <t>F16CAM105LSTS</t>
  </si>
  <si>
    <t>F16-CAM-105 Scavenger Flotation Cell 2 Froth Camera Lidar Status</t>
  </si>
  <si>
    <t>F16CAM105 Lidar Status</t>
  </si>
  <si>
    <t>F16CAM106STS1</t>
  </si>
  <si>
    <t>F16CAM106VSTS</t>
  </si>
  <si>
    <t>F16-CAM-106 Scavenger Flotation Cell 3 Froth Camera Velocity Status</t>
  </si>
  <si>
    <t>F16CAM106 VelocityStatus</t>
  </si>
  <si>
    <t>F16CAM106STS2</t>
  </si>
  <si>
    <t>F16CAM106CSTS</t>
  </si>
  <si>
    <t>F16-CAM-106 Scavenger Flotation Cell 3 Froth Camera Colour Status</t>
  </si>
  <si>
    <t>F16CAM106 Colour Status</t>
  </si>
  <si>
    <t>F16CAM106STS3</t>
  </si>
  <si>
    <t>F16CAM106BSTS</t>
  </si>
  <si>
    <t>F16-CAM-106 Scavenger Flotation Cell 3 Froth Camera Bubble Size Status</t>
  </si>
  <si>
    <t>F16CAM106 Bubble Status</t>
  </si>
  <si>
    <t>F16CAM106STS4</t>
  </si>
  <si>
    <t>F16CAM106LSTS</t>
  </si>
  <si>
    <t>F16-CAM-106 Scavenger Flotation Cell 3 Froth Camera Lidar Status</t>
  </si>
  <si>
    <t>F16CAM106 Lidar Status</t>
  </si>
  <si>
    <t>F16CAM107STS1</t>
  </si>
  <si>
    <t>F16CAM107VSTS</t>
  </si>
  <si>
    <t>F16-CAM-107 Scavenger Flotation Cell 4 Froth Camera Velocity Status</t>
  </si>
  <si>
    <t>F16CAM107 VelocityStatus</t>
  </si>
  <si>
    <t>F16CAM107STS2</t>
  </si>
  <si>
    <t>F16CAM107CSTS</t>
  </si>
  <si>
    <t>F16-CAM-107 Scavenger Flotation Cell 4 Froth Camera Colour Status</t>
  </si>
  <si>
    <t>F16CAM107 Colour Status</t>
  </si>
  <si>
    <t>F16CAM107STS3</t>
  </si>
  <si>
    <t>F16CAM107BSTS</t>
  </si>
  <si>
    <t>F16-CAM-107 Scavenger Flotation Cell 4 Froth Camera Bubble Size Status</t>
  </si>
  <si>
    <t>F16CAM107 Bubble Status</t>
  </si>
  <si>
    <t>F16CAM107STS4</t>
  </si>
  <si>
    <t>F16CAM107LSTS</t>
  </si>
  <si>
    <t>F16-CAM-107 Scavenger Flotation Cell 4 Froth Camera Lidar Status</t>
  </si>
  <si>
    <t>F16CAM107 Lidar Status</t>
  </si>
  <si>
    <t>F18CAM101STS1</t>
  </si>
  <si>
    <t>F18CAM101VSTS</t>
  </si>
  <si>
    <t>F18-CAM-101 Cleaner Flotation Cell Froth Camera Velocity Status</t>
  </si>
  <si>
    <t>F18CAM101 VelocityStatus</t>
  </si>
  <si>
    <t>F18CAM101STS2</t>
  </si>
  <si>
    <t>F18CAM101CSTS</t>
  </si>
  <si>
    <t>F18-CAM-101 Cleaner Flotation Cell Froth Camera Colour Status</t>
  </si>
  <si>
    <t>F18CAM101 Colour Status</t>
  </si>
  <si>
    <t>F18CAM101STS3</t>
  </si>
  <si>
    <t>F18CAM101BSTS</t>
  </si>
  <si>
    <t>F18-CAM-101 Cleaner Flotation Cell Froth Camera Bubble Size Status</t>
  </si>
  <si>
    <t>F18CAM101 Bubble Status</t>
  </si>
  <si>
    <t>F18CAM101STS4</t>
  </si>
  <si>
    <t>F18CAM101LSTS</t>
  </si>
  <si>
    <t>F18-CAM-101 Cleaner Flotation Cell Froth Camera Lidar Status</t>
  </si>
  <si>
    <t>F18CAM101 Lidar Status</t>
  </si>
  <si>
    <t>F18CAM102STS1</t>
  </si>
  <si>
    <t>F18CAM102VSTS</t>
  </si>
  <si>
    <t>F18-CAM-102 Cleaner Flotation Cell Froth Camera Velocity Status</t>
  </si>
  <si>
    <t>F18CAM102 VelocityStatus</t>
  </si>
  <si>
    <t>F18CAM102STS2</t>
  </si>
  <si>
    <t>F18CAM102CSTS</t>
  </si>
  <si>
    <t>F18-CAM-102 Cleaner Flotation Cell Froth Camera Colour Status</t>
  </si>
  <si>
    <t>F18CAM102 Colour Status</t>
  </si>
  <si>
    <t>F18CAM102STS3</t>
  </si>
  <si>
    <t>F18CAM102BSTS</t>
  </si>
  <si>
    <t>F18-CAM-102 Cleaner Flotation Cell Froth Camera Bubble Size Status</t>
  </si>
  <si>
    <t>F18CAM102 Bubble Status</t>
  </si>
  <si>
    <t>F18CAM102STS4</t>
  </si>
  <si>
    <t>F18CAM102LSTS</t>
  </si>
  <si>
    <t>F18-CAM-102 Cleaner Flotation Cell Froth Camera Lidar Status</t>
  </si>
  <si>
    <t>F18CAM102 Lidar Status</t>
  </si>
  <si>
    <t>F17XM572CSALS</t>
  </si>
  <si>
    <t>F17XM572CSALM</t>
  </si>
  <si>
    <t>F17XM572 Manta Sub Cable Too Short</t>
  </si>
  <si>
    <t>F17XM572 CableShortAlm</t>
  </si>
  <si>
    <t>SoftTag
Manta Ref: Manta_Sub.CableShortAlm
Details TBC by vendor.
Refer to Manta Sub Modbus Tags Register Without Thickener Cube (05-REG-500)</t>
  </si>
  <si>
    <t>F17XM572CRALS</t>
  </si>
  <si>
    <t>F17XM572CRALM</t>
  </si>
  <si>
    <t>F17XM572 Manta Sub Setup Data Required</t>
  </si>
  <si>
    <t>F17XM572 CfgReqAlm</t>
  </si>
  <si>
    <t>SoftTag
Manta Ref: Manta_Sub.CfgReqAlm
Details TBC by vendor.
Refer to Manta Sub Modbus Tags Register Without Thickener Cube (05-REG-500)</t>
  </si>
  <si>
    <t>F17XM572DTALS</t>
  </si>
  <si>
    <t>F17XM572DTALM</t>
  </si>
  <si>
    <t>F17XM572 Manta Sub Dive Time Exceeded</t>
  </si>
  <si>
    <t>F17XM572 DiveTimeExAlm</t>
  </si>
  <si>
    <t>SoftTag
Manta Ref: Manta_Sub.DiveTimeExAlm
Details TBC by vendor.
Refer to Manta Sub Modbus Tags Register Without Thickener Cube (05-REG-500)</t>
  </si>
  <si>
    <t>F17XM572MSFTS</t>
  </si>
  <si>
    <t>F17XM572MSFLT</t>
  </si>
  <si>
    <t>F17XM572 Manta Sub HM Switch on during Raise or Home</t>
  </si>
  <si>
    <t>F17XM572 HeavyMudSwFlt</t>
  </si>
  <si>
    <t>SoftTag
Manta Ref: Manta_Sub.HeavyMudSwFlt
Details TBC by vendor.
Refer to Manta Sub Modbus Tags Register Without Thickener Cube (05-REG-500)</t>
  </si>
  <si>
    <t>F17XM572DRALS</t>
  </si>
  <si>
    <t>F17XM572DRALM</t>
  </si>
  <si>
    <t>F17XM572 Manta Sub Drive Fault</t>
  </si>
  <si>
    <t>F17XM572 DrvFltAlm</t>
  </si>
  <si>
    <t>SoftTag
Manta Ref: Manta_Sub.DrvFltAlm
Details TBC by vendor.
Refer to Manta Sub Modbus Tags Register Without Thickener Cube (05-REG-500)</t>
  </si>
  <si>
    <t>F17XM572OFALS</t>
  </si>
  <si>
    <t>F17XM572OFALM</t>
  </si>
  <si>
    <t>F17XM572 Manta Sub Prox Off Fault</t>
  </si>
  <si>
    <t>F17XM572 ProxOffFltAlm</t>
  </si>
  <si>
    <t>SoftTag
Manta Ref: Manta_Sub.ProxOffFltAlm
Details TBC by vendor.
Refer to Manta Sub Modbus Tags Register Without Thickener Cube (05-REG-500)</t>
  </si>
  <si>
    <t>F17XM572ONALS</t>
  </si>
  <si>
    <t>F17XM572ONALM</t>
  </si>
  <si>
    <t>F17XM572 Manta Sub Prox On Fault</t>
  </si>
  <si>
    <t>F17XM572 ProxOnFltAlm</t>
  </si>
  <si>
    <t>SoftTag
Manta Ref: Manta_Sub.ProxOnFltAlm
Details TBC by vendor.
Refer to Manta Sub Modbus Tags Register Without Thickener Cube (05-REG-500)</t>
  </si>
  <si>
    <t>F17XM572ESALS</t>
  </si>
  <si>
    <t>F17XM572ESALM</t>
  </si>
  <si>
    <t>F17XM572 Manta Sub Rake Switch Early</t>
  </si>
  <si>
    <t>F17XM572 RakeSwEarlyAlm</t>
  </si>
  <si>
    <t>SoftTag
Manta Ref: Manta_Sub.RakeSwEarlyAlm
Details TBC by vendor.
Refer to Manta Sub Modbus Tags Register Without Thickener Cube (05-REG-500)</t>
  </si>
  <si>
    <t>F17XM572LSALS</t>
  </si>
  <si>
    <t>F17XM572LSALM</t>
  </si>
  <si>
    <t>F17XM572 Manta Sub Rake Switch Late</t>
  </si>
  <si>
    <t>F17XM572 RakeSwLateAlm</t>
  </si>
  <si>
    <t>SoftTag
Manta Ref: Manta_Sub.RakeSwLateAlm
Details TBC by vendor.
Refer to Manta Sub Modbus Tags Register Without Thickener Cube (05-REG-500)</t>
  </si>
  <si>
    <t>F17XM572SDALS</t>
  </si>
  <si>
    <t>F17XM572SDALM</t>
  </si>
  <si>
    <t>F17XM572 Manta Sub Sensor Dirty</t>
  </si>
  <si>
    <t>F17XM572 SenDirtyAlm</t>
  </si>
  <si>
    <t>SoftTag
Manta Ref: Manta_Sub.SenDirtyAlm
Details TBC by vendor.
Refer to Manta Sub Modbus Tags Register Without Thickener Cube (05-REG-500)</t>
  </si>
  <si>
    <t>F17XM572SFALS</t>
  </si>
  <si>
    <t>F17XM572SFALM</t>
  </si>
  <si>
    <t>F17XM572 Manta Sub Sensor Fault</t>
  </si>
  <si>
    <t>F17XM572 SenFltAlm</t>
  </si>
  <si>
    <t>SoftTag
Manta Ref: Manta_Sub.SenFltAlm
Details TBC by vendor.
Refer to Manta Sub Modbus Tags Register Without Thickener Cube (05-REG-500)</t>
  </si>
  <si>
    <t>F17XM572SHALS</t>
  </si>
  <si>
    <t>F17XM572 Manta Sub Sensor Failed to Return Home</t>
  </si>
  <si>
    <t>F17XM572 SenHomeFailAlm</t>
  </si>
  <si>
    <t>SoftTag
Manta Ref: Manta_Sub.SenHomeFailedAlm
Details TBC by vendor. Sensor Failed to Return Home. Flotation Tailings Thickener Rakes will interlock to stop when alarm active.
Manta Sub Documentation: 2000-ME001.5-D02-50002
Refer to Manta Sub Modbus Tags Register Without Thickener Cube (05-REG-500)</t>
  </si>
  <si>
    <t>F17XM572SJALS</t>
  </si>
  <si>
    <t>F17XM572SJALM</t>
  </si>
  <si>
    <t>F17XM572 Manta Sub Prox On During Dive / Sensor Jammed</t>
  </si>
  <si>
    <t>F17XM572 SenJamAlm</t>
  </si>
  <si>
    <t>SoftTag
Manta Ref: Manta_Sub.SenJamAlm
Details TBC by vendor.
Refer to Manta Sub Modbus Tags Register Without Thickener Cube (05-REG-500)</t>
  </si>
  <si>
    <t>F17XM572SRFAS</t>
  </si>
  <si>
    <t>F17XM572SRFAL</t>
  </si>
  <si>
    <t>F17XM572 Manta Sub Sensor Recovery Failed</t>
  </si>
  <si>
    <t>F17XM572 SenRecFailedAlm</t>
  </si>
  <si>
    <t>SoftTag
Manta Ref: Manta_Sub.SenRecFailedAlm
Details TBC by vendor.
Refer to Manta Sub Modbus Tags Register Without Thickener Cube (05-REG-500)</t>
  </si>
  <si>
    <t>F17XM572SRLAS</t>
  </si>
  <si>
    <t>F17XM572SRLAL</t>
  </si>
  <si>
    <t>F17XM572 Manta Sub Prox On During Recovery Lower</t>
  </si>
  <si>
    <t>F17XM572 SenRecLowerAlm</t>
  </si>
  <si>
    <t>SoftTag
Manta Ref: Manta_Sub.SenRecLowerAlm
Details TBC by vendor.
Refer to Manta Sub Modbus Tags Register Without Thickener Cube (05-REG-500)</t>
  </si>
  <si>
    <t>F17XM572SOLAS</t>
  </si>
  <si>
    <t>F17XM572SOLAL</t>
  </si>
  <si>
    <t>F17XM572 Manta Sub Rake Switch On Too Long</t>
  </si>
  <si>
    <t>F17XM572 RakeSwOnLongAlm</t>
  </si>
  <si>
    <t>SoftTag
Manta Ref: Manta_Sub.RakeSwOnLongAlm
Details TBC by vendor.
Refer to Manta Sub Modbus Tags Register Without Thickener Cube (05-REG-500)</t>
  </si>
  <si>
    <t>F17XM572DIVES</t>
  </si>
  <si>
    <t>F17XM572DIVE</t>
  </si>
  <si>
    <t>F17XM572 Manta Sub Dive In (Rake Detected)</t>
  </si>
  <si>
    <t>F17XM572 DiveInSta</t>
  </si>
  <si>
    <t>SoftTag
Manta Ref: Manta_Sub.DiveInSta
Details TBC by vendor.
Refer to Manta Sub Modbus Tags Register Without Thickener Cube (05-REG-500)</t>
  </si>
  <si>
    <t>F17XM572FWDS</t>
  </si>
  <si>
    <t>F17XM572FWD</t>
  </si>
  <si>
    <t>F17XM572 Manta Sub Drive Enable On</t>
  </si>
  <si>
    <t>F17XM572 DrvEnSta</t>
  </si>
  <si>
    <t>SoftTag
Manta Ref: Manta_Sub.DrvEnSta
Details TBC by vendor.
Refer to Manta Sub Modbus Tags Register Without Thickener Cube (05-REG-500)</t>
  </si>
  <si>
    <t>F17XM572REVS</t>
  </si>
  <si>
    <t>F17XM572REV</t>
  </si>
  <si>
    <t>F17XM572 Manta Sub Drive Reverse On</t>
  </si>
  <si>
    <t>F17XM572 DrvRevSta</t>
  </si>
  <si>
    <t>SoftTag
Manta Ref: Manta_Sub.DrvRevSta
Details TBC by vendor.
Refer to Manta Sub Modbus Tags Register Without Thickener Cube (05-REG-500)</t>
  </si>
  <si>
    <t>F17XM572LSTTS</t>
  </si>
  <si>
    <t>F17XM572LSTT</t>
  </si>
  <si>
    <t>F17XM572 Manta Sub Local Start PB</t>
  </si>
  <si>
    <t>F17XM572 PbStSta</t>
  </si>
  <si>
    <t>SoftTag
Manta Ref: Manta_Sub.PbStSta
Details TBC by vendor.
Refer to Manta Sub Modbus Tags Register Without Thickener Cube (05-REG-500)</t>
  </si>
  <si>
    <t>F17XM572LSTPS</t>
  </si>
  <si>
    <t>F17XM572LSTP</t>
  </si>
  <si>
    <t>F17XM572 Manta Sub Local Stop PB</t>
  </si>
  <si>
    <t>F17XM572 PbStpSta</t>
  </si>
  <si>
    <t>SoftTag
Manta Ref: Manta_Sub.PbStpSta
Details TBC by vendor.
Refer to Manta Sub Modbus Tags Register Without Thickener Cube (05-REG-500)</t>
  </si>
  <si>
    <t>F17XM572DOCKS</t>
  </si>
  <si>
    <t>F17XM572DOCK</t>
  </si>
  <si>
    <t>F17XM572 Manta Sub Probe Docked</t>
  </si>
  <si>
    <t>F17XM572 ProbDckSta</t>
  </si>
  <si>
    <t>SoftTag
Manta Ref: Manta_Sub.ProbDckSta
Details TBC by vendor.
Refer to Manta Sub Modbus Tags Register Without Thickener Cube (05-REG-500)</t>
  </si>
  <si>
    <t>F17XM572PRAOS</t>
  </si>
  <si>
    <t>F17XM572PRAO</t>
  </si>
  <si>
    <t>F17XM572 Manta Sub Dock Prox A On</t>
  </si>
  <si>
    <t>F17XM572 ProxASta</t>
  </si>
  <si>
    <t>SoftTag
Manta Ref: Manta_Sub.ProxASta
Details TBC by vendor.
Refer to Manta Sub Modbus Tags Register Without Thickener Cube (05-REG-500)</t>
  </si>
  <si>
    <t>F17XM572PRBOS</t>
  </si>
  <si>
    <t>F17XM572PRBO</t>
  </si>
  <si>
    <t>F17XM572 Manta Sub Dock Prox B On</t>
  </si>
  <si>
    <t>F17XM572 ProxBSta</t>
  </si>
  <si>
    <t>SoftTag
Manta Ref: Manta_Sub.ProxBSta
Details TBC by vendor.
Refer to Manta Sub Modbus Tags Register Without Thickener Cube (05-REG-500)</t>
  </si>
  <si>
    <t>F17XM572RSOS</t>
  </si>
  <si>
    <t>F17XM572RSO</t>
  </si>
  <si>
    <t>F17XM572 Manta Sub Rake Switch On</t>
  </si>
  <si>
    <t>F17XM572 RakeSwSta</t>
  </si>
  <si>
    <t>SoftTag
Manta Ref: Manta_Sub.RakeSwSta
Details TBC by vendor.
Refer to Manta Sub Modbus Tags Register Without Thickener Cube (05-REG-500)</t>
  </si>
  <si>
    <t>F17XM572WDTS</t>
  </si>
  <si>
    <t>F17XM572WDT</t>
  </si>
  <si>
    <t>F17XM572 Manta Sub Running / Watch Dog Timer</t>
  </si>
  <si>
    <t>F17XM572 RunSta</t>
  </si>
  <si>
    <t>SoftTag
Manta Ref: Manta_Sub.RunSta
Details TBC by vendor.
Refer to Manta Sub Modbus Tags Register Without Thickener Cube (05-REG-500)</t>
  </si>
  <si>
    <t>F17XM572RUNS</t>
  </si>
  <si>
    <t>F17XM572 Manta Sub Running</t>
  </si>
  <si>
    <t>F17XM572 Running</t>
  </si>
  <si>
    <t>SoftTag
Manta Ref: Manta_Sub.Running
Details TBC by vendor.
Refer to Manta Sub Modbus Tags Register Without Thickener Cube (05-REG-500)</t>
  </si>
  <si>
    <t>F17XM572VALS</t>
  </si>
  <si>
    <t>F17XM572VAL</t>
  </si>
  <si>
    <t>F17XM572 Manta Sub Values Updating</t>
  </si>
  <si>
    <t>F17XM572 ValUpdOk</t>
  </si>
  <si>
    <t>SoftTag
Manta Ref: Manta_Sub.ValUpdOk
Details TBC by vendor.
Refer to Manta Sub Modbus Tags Register Without Thickener Cube (05-REG-500)</t>
  </si>
  <si>
    <t>F17XM572ESTPS</t>
  </si>
  <si>
    <t>F17XM572ESTP</t>
  </si>
  <si>
    <t>F17XM572 Manta Sub Emergency Stop On</t>
  </si>
  <si>
    <t>F17XM572 EStop</t>
  </si>
  <si>
    <t>SoftTag
Manta Ref: Manta_Sub.EStop
Details TBC by vendor.
Refer to Manta Sub Modbus Tags Register Without Thickener Cube (05-REG-500)</t>
  </si>
  <si>
    <t>F17XM572CBSOS</t>
  </si>
  <si>
    <t>F17XM572CBSO</t>
  </si>
  <si>
    <t>F17XM572 Manta Sub Bed Switch On</t>
  </si>
  <si>
    <t>F17XM572 CompactBedSwtch</t>
  </si>
  <si>
    <t>SoftTag
Manta Ref: Manta_Sub.CompactedBedSwitch
Details TBC by vendor.
Refer to Manta Sub Modbus Tags Register Without Thickener Cube (05-REG-500)</t>
  </si>
  <si>
    <t>F17XM572SVOS</t>
  </si>
  <si>
    <t>F17XM572SVO</t>
  </si>
  <si>
    <t>F17XM572 Manta Sub Water Solenoid On</t>
  </si>
  <si>
    <t>F17XM572 WtrSolSta</t>
  </si>
  <si>
    <t>SoftTag
Manta Ref: Manta_Sub.WtrSolSta
Details TBC by vendor.
Refer to Manta Sub Modbus Tags Register Without Thickener Cube (05-REG-500)</t>
  </si>
  <si>
    <t>F17XM572WARNS</t>
  </si>
  <si>
    <t>F17XM572WARN</t>
  </si>
  <si>
    <t>F17XM572 Manta Sub Warning</t>
  </si>
  <si>
    <t>F17XM572 Warning</t>
  </si>
  <si>
    <t>SoftTag
Manta Ref: Manta_Sub.Warning
Details TBC by vendor.
Refer to Manta Sub Modbus Tags Register Without Thickener Cube (05-REG-500)</t>
  </si>
  <si>
    <t>F17XM572FLTS</t>
  </si>
  <si>
    <t>F17XM572 Manta Sub Fault</t>
  </si>
  <si>
    <t>F17XM572 Fault</t>
  </si>
  <si>
    <t>SoftTag
Manta Ref: Manta_Sub.Fault
Details TBC by vendor.
Refer to Manta Sub Modbus Tags Register Without Thickener Cube (05-REG-500)</t>
  </si>
  <si>
    <t>DIGITAL INSTRUMENTS (DO)</t>
  </si>
  <si>
    <t>XY17066</t>
  </si>
  <si>
    <t>YI17117A</t>
  </si>
  <si>
    <t>YA17117A</t>
  </si>
  <si>
    <t>F17-FN-504 Flotation Tailings Thickener Underflow Tunnel Ventilation Fan Not Running Signal 1</t>
  </si>
  <si>
    <t>F17FN504 Not Running 1</t>
  </si>
  <si>
    <t>Activate when:
- F17FN504 Not Running
Digital output to activate two beacons and sirens located inside the Flotation Tailings Thickener Underflow Tunnel.</t>
  </si>
  <si>
    <t>YI17117B</t>
  </si>
  <si>
    <t>YA17117B</t>
  </si>
  <si>
    <t>F17-FN-504 Flotation Tailings Thickener Underflow Tunnel Ventilation Fan Not Running Signal 2</t>
  </si>
  <si>
    <t>F17FN504 Not Running 2</t>
  </si>
  <si>
    <t>XY17076</t>
  </si>
  <si>
    <t>XC17076</t>
  </si>
  <si>
    <t>F17TH401-CP Flotation Tailings Thickener Control Panel Rake Drive Running Status to LCP Control Signal</t>
  </si>
  <si>
    <t>F17TH401 Rake Drive Rng</t>
  </si>
  <si>
    <t>Source: 2000-ME001.5-F17-50001.
Activate when F17PO408 = RUNNING</t>
  </si>
  <si>
    <t>XY17079</t>
  </si>
  <si>
    <t>XC17079</t>
  </si>
  <si>
    <t>F17TH401-CP Flotation Tailings Thickener Control Panel 85% Torque Request frrom DCS to LCP Control Signal</t>
  </si>
  <si>
    <t>F17TH401 85% Torque</t>
  </si>
  <si>
    <t>NI17030 &gt;= A_HH == TRUE</t>
  </si>
  <si>
    <t xml:space="preserve">Activate on NI17030 &gt;= A_HH.
Source: 2000-ME001.5-F17-50001.
Must activate Torque Cut - Out on LCP - XI17030A. </t>
  </si>
  <si>
    <t>XY17083</t>
  </si>
  <si>
    <t>XC17083</t>
  </si>
  <si>
    <t>F17TH401-CP Flotation Tailings Thickener Control Panel 50% Torque Request frrom DCS to LCP Control Signal</t>
  </si>
  <si>
    <t xml:space="preserve">F17TH401 50% Torque </t>
  </si>
  <si>
    <t>NI17030 &gt;= A_Hi == TRUE</t>
  </si>
  <si>
    <t>Activate on NI17030 A_Hi.
Source: 2000-ME001.5-F17-50001.</t>
  </si>
  <si>
    <t>XY17080</t>
  </si>
  <si>
    <t>XC17080</t>
  </si>
  <si>
    <t>F17TH401-CP Flotation Tailings Thickener Control Panel 40% Torque Request frrom DCS to LCP Control Signal</t>
  </si>
  <si>
    <t xml:space="preserve">F17TH401 40% Torque </t>
  </si>
  <si>
    <t>NI17030 &gt;= P_Hi == TRUE</t>
  </si>
  <si>
    <t>Activate on NI17030 &gt;= P_Hi. 
Will activate horn and beacon.
Source: 2000-ME001.5-F17-50001.</t>
  </si>
  <si>
    <t>XY17084</t>
  </si>
  <si>
    <t>XC17084</t>
  </si>
  <si>
    <t>F17TH401-CP Flotation Tailings Thickener Control Panel 30% Torque Request frrom DCS to LCP Control Signal</t>
  </si>
  <si>
    <t>F17TH401 30% Torque</t>
  </si>
  <si>
    <t>NI17030 &lt;= P_Lo == TRUE</t>
  </si>
  <si>
    <t>Activate on NI18030 P_Lo.
Source: 2000-ME001.5-F17-50001.</t>
  </si>
  <si>
    <t>XY17062</t>
  </si>
  <si>
    <t>XC17062</t>
  </si>
  <si>
    <t>F17TH401-CP Flotation Tailings Thickener Control Panel Reverse Jog Enable Feedback</t>
  </si>
  <si>
    <t>F17TH401 Rev Jog Enable</t>
  </si>
  <si>
    <r>
      <t xml:space="preserve">Source: 2000-ME001.5-F17-50001.
</t>
    </r>
    <r>
      <rPr>
        <b/>
        <sz val="11"/>
        <color rgb="FF0000FF"/>
        <rFont val="Arial"/>
        <family val="2"/>
      </rPr>
      <t xml:space="preserve">Activate when:
</t>
    </r>
    <r>
      <rPr>
        <sz val="11"/>
        <color rgb="FF0000FF"/>
        <rFont val="Arial"/>
        <family val="2"/>
      </rPr>
      <t>Control Room Operator selects button in DCS "Reverse Jog Enable" (F17TH401_REV Active). Clicking this button will activate XC17057 and place the following equipment in LOCAL (F17TH401_LCL Active):
- F17PO408, SV17033, SV17034
- F17PO409, SV17047, SV17048
Please refer to 12. Misc for further details on F17TH401 LOCAL mode.</t>
    </r>
  </si>
  <si>
    <t>XY17057</t>
  </si>
  <si>
    <t>XC17057</t>
  </si>
  <si>
    <t>F17TH401-CP Flotation Tailings Thickener Control Panel Local Mode Enable Feedback</t>
  </si>
  <si>
    <t>F17TH401 Local Mode</t>
  </si>
  <si>
    <t>Disabled</t>
  </si>
  <si>
    <t>Enabled</t>
  </si>
  <si>
    <r>
      <t xml:space="preserve">Source: 2000-ME001.5-F17-50001.
</t>
    </r>
    <r>
      <rPr>
        <b/>
        <sz val="11"/>
        <color rgb="FF0000FF"/>
        <rFont val="Arial"/>
        <family val="2"/>
      </rPr>
      <t>Activate when:</t>
    </r>
    <r>
      <rPr>
        <sz val="11"/>
        <color rgb="FF0000FF"/>
        <rFont val="Arial"/>
        <family val="2"/>
      </rPr>
      <t xml:space="preserve">
Thickener Faceplate placed into Local mode in DCS.
F17TH401 to be constructed as a singular object. Placing into LOCAL mode will place the following equipment into LOCAL (F17TH401_LCL Active):
- F17PO408, SV17033, SV17034
- F17PO409, SV17047, SV17048
Please refer to 12. Misc for further details on F17TH401 LOCAL mode.</t>
    </r>
  </si>
  <si>
    <t>XY17082</t>
  </si>
  <si>
    <t>XC17082</t>
  </si>
  <si>
    <t>F17TH401-CP Flotation Tailings Thickener Control Panel Horn Acknowledge Control Signal</t>
  </si>
  <si>
    <t>F17TH401 Horn Ackwldge</t>
  </si>
  <si>
    <t>Source: 2000-ME001.5-F17-50001.
Horn is activated on torque level greater than 40% by XC17080. Horn will continue to sound until physical switch is depressed on local control board or a graphical user-interface button "Horn Acknowledge" is pressed by Control Room Operator. Clicking graphical user-interface button will de-activate horn via activation of this digital output.</t>
  </si>
  <si>
    <t>HS17038</t>
  </si>
  <si>
    <t>HS17038STT</t>
  </si>
  <si>
    <t>F17XM572 Manta Sub Start/Stop Command</t>
  </si>
  <si>
    <t>F17XM572 Manta Run</t>
  </si>
  <si>
    <t>N_Running</t>
  </si>
  <si>
    <t>F17XM572CSTTS</t>
  </si>
  <si>
    <t>F17XM572 Manta Sub Communication Start</t>
  </si>
  <si>
    <t>F17XM572 Remote Start</t>
  </si>
  <si>
    <t>Start</t>
  </si>
  <si>
    <t>SoftTag
Manta Ref: Manta_Sub.CommsStSta
Details TBC by vendor.
Refer to Manta Sub Modbus Tags Register Without Thickener Cube (05-REG-500)</t>
  </si>
  <si>
    <t>F17XM572STPS</t>
  </si>
  <si>
    <t>HS17038STP</t>
  </si>
  <si>
    <t>F17XM572 Manta Sub Exetrnal Stop Request</t>
  </si>
  <si>
    <t>F17XM572 Remote Stop</t>
  </si>
  <si>
    <t>Stop</t>
  </si>
  <si>
    <t>SoftTag
Manta Ref: Manta_Sub.ExtStopRequest
Details TBC by vendor.
Refer to Manta Sub Modbus Tags Register Without Thickener Cube (05-REG-500)</t>
  </si>
  <si>
    <t>F16SW011OP1</t>
  </si>
  <si>
    <t>F16SW011_OP1</t>
  </si>
  <si>
    <t>Flotation 11kV Switchboard Remote Switching Panel Open Breaker Incomer 1</t>
  </si>
  <si>
    <t>Flot 11kV Rem O Break1</t>
  </si>
  <si>
    <t>F16SW011CL1</t>
  </si>
  <si>
    <t>F16SW011_CL1</t>
  </si>
  <si>
    <t>Flotation 11kV Switchboard Remote Switching Panel Close Breaker Incomer 1</t>
  </si>
  <si>
    <t>Flot 11kV Rem C Break1</t>
  </si>
  <si>
    <t>F16SW011OP2</t>
  </si>
  <si>
    <t>F16SW011_OP2</t>
  </si>
  <si>
    <t>Flotation 11kV Switchboard Remote Switching Panel Open Breaker Incomer 2</t>
  </si>
  <si>
    <t>Flot 11kV Rem O Break2</t>
  </si>
  <si>
    <t>F16SW011CL2</t>
  </si>
  <si>
    <t>F16SW011_CL2</t>
  </si>
  <si>
    <t>Flotation 11kV Switchboard Remote Switching Panel Close Breaker Incomer 2</t>
  </si>
  <si>
    <t>Flot 11kV Rem C Break2</t>
  </si>
  <si>
    <t>TOTALISERS</t>
  </si>
  <si>
    <t>Reset Period</t>
  </si>
  <si>
    <t>Units</t>
  </si>
  <si>
    <t>Shift</t>
  </si>
  <si>
    <t>Day</t>
  </si>
  <si>
    <t>Cont</t>
  </si>
  <si>
    <t>WQI17121</t>
  </si>
  <si>
    <t>WQI</t>
  </si>
  <si>
    <t xml:space="preserve"> F17-PP-455/456 Flotation Tailings Thickener Underflow Pumps Solids Mass Totaliser</t>
  </si>
  <si>
    <t>F17TH401 U/F Solids Mass</t>
  </si>
  <si>
    <t>X</t>
  </si>
  <si>
    <t>WQI17130</t>
  </si>
  <si>
    <t xml:space="preserve"> F17-PP-455/456 Flotation Tailings Thickener Underflow to Final Tails Tank Solids Mass Totaliser</t>
  </si>
  <si>
    <t>F17TH401 UF-Final Tails</t>
  </si>
  <si>
    <t>See 11. Calculation sheet for further information.</t>
  </si>
  <si>
    <t>WQI18027</t>
  </si>
  <si>
    <t>F18-PP-407/408 Final Concentrate Pumps Discharge Solids Mass Totaliser</t>
  </si>
  <si>
    <t>F18PP407/8 Solids Mass</t>
  </si>
  <si>
    <t>WQI18237</t>
  </si>
  <si>
    <t>F18PP513/4 Solids Mass</t>
  </si>
  <si>
    <t>OPEN-CLOSE VALVES</t>
  </si>
  <si>
    <t>Permissives and Trips</t>
  </si>
  <si>
    <t>Valve Description</t>
  </si>
  <si>
    <t>Valve Type</t>
  </si>
  <si>
    <t>Fail Position
(Loss of Power)</t>
  </si>
  <si>
    <t>Manual</t>
  </si>
  <si>
    <t>Auto</t>
  </si>
  <si>
    <t>Open Condition (Auto Mode)</t>
  </si>
  <si>
    <t>Close Condition (Auto Mode)</t>
  </si>
  <si>
    <t>#</t>
  </si>
  <si>
    <t>Condition</t>
  </si>
  <si>
    <t>Description (Faceplate)</t>
  </si>
  <si>
    <t>Delay On</t>
  </si>
  <si>
    <t>Delay Off</t>
  </si>
  <si>
    <t>Open Permissive</t>
  </si>
  <si>
    <t>Close Permissive</t>
  </si>
  <si>
    <t>Open Interlock</t>
  </si>
  <si>
    <t>Close Interlock</t>
  </si>
  <si>
    <t>Bypass</t>
  </si>
  <si>
    <t>Reset Required</t>
  </si>
  <si>
    <t>XV16025</t>
  </si>
  <si>
    <t>F16-GA-425 Rougher 1 Concentrate Cleaner Feed Launder Gate Cleaner Flotation Feed Valve</t>
  </si>
  <si>
    <t>F16GA425 Rgh1 Clnr Con</t>
  </si>
  <si>
    <t>Detail 3</t>
  </si>
  <si>
    <t>Manually opened by Operator</t>
  </si>
  <si>
    <t>Manually closed by Operator</t>
  </si>
  <si>
    <t>XV16026</t>
  </si>
  <si>
    <t>F16-GA-426 Rougher 1 Final Concentrate Launder Gate Final Concentrate Feed Valve</t>
  </si>
  <si>
    <t>F16GA426 Rgh1 Final Con</t>
  </si>
  <si>
    <t>SV16357</t>
  </si>
  <si>
    <t>F16-PP-515 Flotation Cells Drain Pump Gland Water Solenoid Valve</t>
  </si>
  <si>
    <t>F16PP515 Gland Supply</t>
  </si>
  <si>
    <t>Detail 11</t>
  </si>
  <si>
    <t>OT1</t>
  </si>
  <si>
    <t>F16PP515 RUNNING</t>
  </si>
  <si>
    <t>Flotation Cells Drain Pump Rung</t>
  </si>
  <si>
    <t>XV16152</t>
  </si>
  <si>
    <t>F16-PP-638 Sample Return Pump 1 Suction Valve</t>
  </si>
  <si>
    <t>F16PP638 Suction</t>
  </si>
  <si>
    <t>XV16153</t>
  </si>
  <si>
    <t>F16-PP-638 Sample Return Pump 1 Drain Valve</t>
  </si>
  <si>
    <t>F16PP638 Suction Drain</t>
  </si>
  <si>
    <t>Detail 4</t>
  </si>
  <si>
    <t>CT1</t>
  </si>
  <si>
    <t>F16PP638 RUNNING</t>
  </si>
  <si>
    <t>Sample Return Pump 1 is Running</t>
  </si>
  <si>
    <t>SV16155</t>
  </si>
  <si>
    <t>F16-PP-638 Sample Return Pump 1 Gland Water Solenoid Valve</t>
  </si>
  <si>
    <t>F16PP638 Gland Supply</t>
  </si>
  <si>
    <t>XV16162</t>
  </si>
  <si>
    <t>F16-PP-639 Sample Return Pump 2 Suction Valve</t>
  </si>
  <si>
    <t>F16PP639 Suction</t>
  </si>
  <si>
    <t>XV16163</t>
  </si>
  <si>
    <t>F16-PP-639 Sample Return Pump 2 Suction Drain Valve</t>
  </si>
  <si>
    <t>F16PP639 Suction Drain</t>
  </si>
  <si>
    <t>F16PP639 RUNNING</t>
  </si>
  <si>
    <t>Sample Return Pump 2 is Running</t>
  </si>
  <si>
    <t>SV16165</t>
  </si>
  <si>
    <t>F16-PP-639 Sample Return Pump 2 Gland Water Solenoid Valve</t>
  </si>
  <si>
    <t>F16PP639 Gland Supply</t>
  </si>
  <si>
    <t>Shorter than Drive Interlock to maintain operation.</t>
  </si>
  <si>
    <t>XV17005</t>
  </si>
  <si>
    <t>F16-PP-634 Final Tails Sample Pump Suction Valve</t>
  </si>
  <si>
    <t>F16PP634 Suction</t>
  </si>
  <si>
    <t>XV17006</t>
  </si>
  <si>
    <t>F16-PP-634 Final Tails Sample Pump Suction Drain Valve</t>
  </si>
  <si>
    <t>F16PP634 Suction Drain</t>
  </si>
  <si>
    <t>Detail 7</t>
  </si>
  <si>
    <t>F16PP634 RUNNING</t>
  </si>
  <si>
    <t>Final Tails Sample Pump Running</t>
  </si>
  <si>
    <t>XV17007</t>
  </si>
  <si>
    <t>F16-PP-634 Final Tails Sample Pump Discharge Drain Valve</t>
  </si>
  <si>
    <t>F16PP634 Discharge Drain</t>
  </si>
  <si>
    <t>XV17009</t>
  </si>
  <si>
    <t>F17-BX-410 Flotation Tailings Thickener Recirculation Feed Box Feed Valve</t>
  </si>
  <si>
    <t>F17BX410 Feed Valve</t>
  </si>
  <si>
    <t>Detail 5</t>
  </si>
  <si>
    <t>SV17033</t>
  </si>
  <si>
    <t>F17-HU-406 Flotation Tailings Thickener Rake Drive HPU Rake Forward Solenoid Valve</t>
  </si>
  <si>
    <t>F17HU406 Rake Forward</t>
  </si>
  <si>
    <t>Vendor</t>
  </si>
  <si>
    <t xml:space="preserve">Rexroth </t>
  </si>
  <si>
    <t>F18-SEQ-0003</t>
  </si>
  <si>
    <t>F17TH401_STOP</t>
  </si>
  <si>
    <t>OP1</t>
  </si>
  <si>
    <t>SV17034 NOT ENERGISED</t>
  </si>
  <si>
    <t>Rev Solenoid N_Energised</t>
  </si>
  <si>
    <t>DCS user-interface button "Stop Thickener in Forward Mode" when activated will de-energise SV17033.</t>
  </si>
  <si>
    <t>F17TH401_STRT Active</t>
  </si>
  <si>
    <t>F17TH401_REV Active.</t>
  </si>
  <si>
    <t>XA17038 Active</t>
  </si>
  <si>
    <t>Manta Sub Not in Home Posn</t>
  </si>
  <si>
    <t>Manta Sub Sensor not returned to home position. Thickener rakes will stop to prevent sensor contacting with rakes.
DCS user-interface button "Enable Reverse Jog Mode in LOCAL" will de-energise SV17033 if activated AND start F17TH401_T3. Please see 12. Misc for further information.</t>
  </si>
  <si>
    <t>F17TH401_LCL Active AND HS17061 Start Button Pressed AND F17TH401_REV Not Active</t>
  </si>
  <si>
    <t>F17TH401_LCL Active AND HS17064 Stop Button Active</t>
  </si>
  <si>
    <t>CT2</t>
  </si>
  <si>
    <t>SSL17016 Alarm</t>
  </si>
  <si>
    <t>F17TH401 Zero Speed Active</t>
  </si>
  <si>
    <t>Zero speed switch active.</t>
  </si>
  <si>
    <t>SV17034</t>
  </si>
  <si>
    <t>F17-HU-406 Flotation Tailings Thickener Rake Drive HPU Rake Reverse Solenoid Valve</t>
  </si>
  <si>
    <t>F17HU406 Rake Reverse</t>
  </si>
  <si>
    <t>F17TH401_LCL Active AND HS17063 Reverse Jog Button Active AND F17TH401_REV Active AND F17TH401_T3 Not Active AND F17TH401_T2 Not Active</t>
  </si>
  <si>
    <t>F17TH401_T1 Elapsed</t>
  </si>
  <si>
    <t>SV17033 NOT ENERGISED</t>
  </si>
  <si>
    <t>Fwd Solenoid N_Energised</t>
  </si>
  <si>
    <r>
      <t xml:space="preserve">HS17063 must be depressed (active) for SV17034 to remain energised when in LOCAL mode. When SV17034 is energised, F17TH401_T1 is started. Maximum energised duration applies as per timer. Please refer to 12. Misc for further details.
Reverse Enable </t>
    </r>
    <r>
      <rPr>
        <b/>
        <sz val="11"/>
        <color rgb="FF0000FF"/>
        <rFont val="Arial"/>
        <family val="2"/>
      </rPr>
      <t>must be Active</t>
    </r>
    <r>
      <rPr>
        <sz val="11"/>
        <color rgb="FF0000FF"/>
        <rFont val="Arial"/>
        <family val="2"/>
      </rPr>
      <t xml:space="preserve"> to Energise Solenoid. Please refer to 12. Misc - F17TH401_REV for further details.</t>
    </r>
  </si>
  <si>
    <t>F17TH401_LCL Active AND HS17063 Released (Falling Edge)</t>
  </si>
  <si>
    <t>OP2</t>
  </si>
  <si>
    <t>F17TH401_C1 &lt; 3</t>
  </si>
  <si>
    <t>Reverse Jog Hourly Limit</t>
  </si>
  <si>
    <t>Source: 2000-ME001.5-M02-50001.
See 12. Misc for further details.</t>
  </si>
  <si>
    <t>OP3</t>
  </si>
  <si>
    <t>F17TH401_T2 Not Active</t>
  </si>
  <si>
    <t>Reverse Lockout Timer Active</t>
  </si>
  <si>
    <t>SV17047</t>
  </si>
  <si>
    <t>F17-HU-414 Flotation Tailings Thickener Rake Lift HPU Lower Rake Solenoid Valve</t>
  </si>
  <si>
    <t>F17HU414 Rake Lower</t>
  </si>
  <si>
    <t>AUTO MODE Active AND NI17030 &lt; P_Lo AND SV17033 Energised AND F17PO408 Running AND F17TH401_REVC = 0 AND ZAL17015 Not Active AND F17PO409 Running (Runtime &gt; 5 seconds)</t>
  </si>
  <si>
    <t>AUTO MODE Active AND F17TH401_RLWR Elapsed</t>
  </si>
  <si>
    <t>SV17048 NOT ACTIVE</t>
  </si>
  <si>
    <t>Start F17TH401_RLWR when SV17047 Energised AND in AUTO MODE.
To open solenoid in AUTO MODE:
- NI17030 must be less than 30%
- Thickener must be in FORWARD MODE
- Revolution Counter must be equal to zero
- Rake Low Limit Switch Not Active
Control logic to be continually running when Thickener is in FORWARD MODE. Control logic to de-energise solenoid valve if during lowering in AUTO MODE, ZAL17015 becomes active.</t>
  </si>
  <si>
    <t>F17TH401_LCL Active AND HS17065B Active</t>
  </si>
  <si>
    <t>F17TH401_LCL Active AND HS17065B Released (Falling Edge)</t>
  </si>
  <si>
    <t>AUTO MODE: F17-PO-408 RUNNING AND SV17033 ACTIVE</t>
  </si>
  <si>
    <t>Thickener in Forward Mode</t>
  </si>
  <si>
    <t>Unable to lower rake if thickener is not in FORWARD mode.</t>
  </si>
  <si>
    <t>AUTO MODE: F17PO409 Running (Runtime &gt; 5 seconds)</t>
  </si>
  <si>
    <t>F19PO409 Startup Timer</t>
  </si>
  <si>
    <t>Prevent energising solenoid valve if F17PO409 has been started and runtime &lt; 5 seconds. Permissive to allow hydraulic oil pressure to build to operating point.</t>
  </si>
  <si>
    <t>ZAL17015 Active</t>
  </si>
  <si>
    <t>True in LOCAL AND AUTO Modes. Bypass for faulty switch.</t>
  </si>
  <si>
    <t>SV17048</t>
  </si>
  <si>
    <t>F17-HU-414 Flotation Tailings Thickener Rake Lift HPU Raise Rake Solenoid Valve</t>
  </si>
  <si>
    <t>F17HU414 Rake Raise</t>
  </si>
  <si>
    <t>AUTO MODE Active AND NI17030 &gt;= P_Hi AND SV17033 Energised AND F17PO408 Running AND ZAH17014 Not Active AND F17PO409 Running (Runtime &gt; 5 seconds)</t>
  </si>
  <si>
    <t>AUTO MODE Active AND (NI17030 &lt; P_Hi OR ZAH17014 Active)</t>
  </si>
  <si>
    <t>SV17047 NOT ACTIVE</t>
  </si>
  <si>
    <t>Control logic to be continually running when Thickener is in FORWARD MODE. Control logic to de-energise solenoid valve if during raising in AUTO MODE, ZAH17014 becomes active.</t>
  </si>
  <si>
    <t>F17TH401_LCL Active AND HS17065A Active</t>
  </si>
  <si>
    <t>F17TH401_LCL Active AND HS17065A Released (Falling Edge)</t>
  </si>
  <si>
    <t>Unable to raise rake if thickener is not in FORWARD mode. 
Permissive does not apply in LOCAL.</t>
  </si>
  <si>
    <t>ZAH17014 Active</t>
  </si>
  <si>
    <t>XV17091</t>
  </si>
  <si>
    <t>F17-TH-401 Flotation Tailings Thickener Underflow Discharge Valve 1 - F17-PP-455 Suction</t>
  </si>
  <si>
    <t>F17PP455 Suction 1</t>
  </si>
  <si>
    <t>F17-SEQ-0001</t>
  </si>
  <si>
    <t>F17-SEQ-0002</t>
  </si>
  <si>
    <t>XV17095 OPEN AND XV17102 CLOSED</t>
  </si>
  <si>
    <t>Water Hammer Prevention</t>
  </si>
  <si>
    <t>To prevent water hammer on underflow pump start when Thickener Cone Valves are opened. Bypass for dumping of thickener. Suction Flush Valve must be Open and Suction Drain must be Closed.</t>
  </si>
  <si>
    <t>XV17092</t>
  </si>
  <si>
    <t>F17-TH-401 Flotation Tailings Thickener Underflow Discharge Valve 2 - F17-PP-456 Suction</t>
  </si>
  <si>
    <t>F17PP456 Suction 1</t>
  </si>
  <si>
    <t>XV17096 OPEN AND XV17112 CLOSED</t>
  </si>
  <si>
    <t>XV17093</t>
  </si>
  <si>
    <t>F17-TH-401 Flotation Tailings Thickener Underflow Discharge Valve 3 - F17-PP-455 Suction</t>
  </si>
  <si>
    <t>F17PP455 Suction 2</t>
  </si>
  <si>
    <t>XV17094</t>
  </si>
  <si>
    <t>F17-TH-401 Flotation Tailings Thickener Underflow Discharge Valve 4 - F17-PP-456 Suction</t>
  </si>
  <si>
    <t>F17PP456 Suction 2</t>
  </si>
  <si>
    <t>XV17095</t>
  </si>
  <si>
    <t>F17-TH-401 Flotation Tailings Thickener Underflow Discharge Flushing Valve 1</t>
  </si>
  <si>
    <t>F17PP455 Suction Flush</t>
  </si>
  <si>
    <t>F17-SEQ-0001 / F17-SEQ-0002</t>
  </si>
  <si>
    <t>XV17096</t>
  </si>
  <si>
    <t>F17-TH-401 Flotation Tailings Thickener Underflow Discharge Flushing Valve 2</t>
  </si>
  <si>
    <t>F17PP456 Suction Flush</t>
  </si>
  <si>
    <t>XV17101</t>
  </si>
  <si>
    <t>F17-PP-455 Flotation Tailings Thickener Underflow Pump 1 Flushing Water Valve</t>
  </si>
  <si>
    <t>F17PP455 Discharge Flush</t>
  </si>
  <si>
    <t>XV17102</t>
  </si>
  <si>
    <t>F17-PP-455 Flotation Tailings Thickener Underflow Pump 1 Drain Valve</t>
  </si>
  <si>
    <t>F17PP455 Suction Drain</t>
  </si>
  <si>
    <t>F17PP455 RUNNING</t>
  </si>
  <si>
    <t>F17TH401 U/F Pump 1 Running</t>
  </si>
  <si>
    <t>Flotation Tailings Thickener Underflow Pump 1 is Running.</t>
  </si>
  <si>
    <t>XV17091 CLOSED AND XV17093 CLOSED</t>
  </si>
  <si>
    <t>Thickener D/C Valves Closed</t>
  </si>
  <si>
    <t>Prevent opening of the suction-drain valve until the thickener cone valves are closed. Bypass for dumping of thickener.</t>
  </si>
  <si>
    <t>XV17103</t>
  </si>
  <si>
    <t>F17-PP-455 Flotation Tailings Thickener Underflow Pump 1 Discharge Valve</t>
  </si>
  <si>
    <t>F17PP455 Discharge</t>
  </si>
  <si>
    <t>F17PP456 RUNNING</t>
  </si>
  <si>
    <t>F17TH401 U/F Pump 2 Running</t>
  </si>
  <si>
    <t>SV17104</t>
  </si>
  <si>
    <t>2000-F24-PID-PR-10004</t>
  </si>
  <si>
    <t>F17-PP-455 Flotation Tailings Thickener Underflow Pump 1 Gland Water Solenoid Valve</t>
  </si>
  <si>
    <t>F17PP455 Gland Water</t>
  </si>
  <si>
    <t>Prevent closing of solenoid valve if pump is running. Open trip prevents CRO from selecting "close" on solenoid valve, tripping pump and upsetting process.</t>
  </si>
  <si>
    <t>XV17111</t>
  </si>
  <si>
    <t>F17-PP-456 Flotation Tailings Thickener Underflow Pump 2 Flushing Water Valve</t>
  </si>
  <si>
    <t>F17PP456 Discharge Flush</t>
  </si>
  <si>
    <t>XV17112</t>
  </si>
  <si>
    <t>F17-PP-456 Flotation Tailings Thickener Underflow Pump 2 Drain Valve</t>
  </si>
  <si>
    <t>F17PP456 Suction Drain</t>
  </si>
  <si>
    <t>Flotation Tailings Thickener Underflow Pump 2 is Running.</t>
  </si>
  <si>
    <t>XV17092 CLOSED AND XV17094 CLOSED</t>
  </si>
  <si>
    <t>XV17113</t>
  </si>
  <si>
    <t>F17-PP-456 Flotation Tailings Thickener Underflow Pump 2 Discharge Valve</t>
  </si>
  <si>
    <t>F17PP456 Discharge</t>
  </si>
  <si>
    <t>SV17114</t>
  </si>
  <si>
    <t>F17-PP-456 Flotation Tailings Thickener Underflow Pump 2 Gland Water Solenoid Valve</t>
  </si>
  <si>
    <t>F17PP456 Gland Water</t>
  </si>
  <si>
    <t>XV17123</t>
  </si>
  <si>
    <t xml:space="preserve"> Flotation Tailings Thickener Underflow Pumps CIL 2, 3, 4, Tails Feed Valve</t>
  </si>
  <si>
    <t>F17TH401 U/F Forward</t>
  </si>
  <si>
    <t>XV17124</t>
  </si>
  <si>
    <t xml:space="preserve"> Flotation Tailings Thickener Underflow Pumps CIL 2, 3, 4, Tails Feed Drain Valve</t>
  </si>
  <si>
    <t>F17TH401 U/F Fwd Drain</t>
  </si>
  <si>
    <t>F17PP455/456 RUNNING</t>
  </si>
  <si>
    <t>F17TH401 U/F Pump 1/2 Running</t>
  </si>
  <si>
    <t>Bypass for line clearing.</t>
  </si>
  <si>
    <t>XV17125</t>
  </si>
  <si>
    <t xml:space="preserve"> Flotation Tailings Thickener Underflow Pumps  Recirculation Feed Box Valve</t>
  </si>
  <si>
    <t>F17TH401 U/F Recirc</t>
  </si>
  <si>
    <t>F17PP455/456 RUNNING AND XV17126 OPEN</t>
  </si>
  <si>
    <t>F17PP455/6 Rung &amp; RecircDrainOpn</t>
  </si>
  <si>
    <t>Flotation Tailings Thickener Underflow Pump 1/2 is Running and Recirculation Line Drain Valve is Open.
Bypass for line clearing.</t>
  </si>
  <si>
    <t>DUTY F17PP455/456 RUNNING AND XV17123 CLOSED</t>
  </si>
  <si>
    <t>F17PP455/6 Rung &amp; D/C Closed</t>
  </si>
  <si>
    <t>Flotation Tailings Thickener Underflow Pump 1/2 is Running and Common Discharge Valve is Closed.
Place thickener into recirculation mode before tripping duty underflow pumps.</t>
  </si>
  <si>
    <t>XV17126</t>
  </si>
  <si>
    <t xml:space="preserve"> Flotation Tailings Thickener Underflow Pumps  Recirculation Feed Box Drain Valve</t>
  </si>
  <si>
    <t>F17TH401 U/F RecircDrain</t>
  </si>
  <si>
    <t>XV17131</t>
  </si>
  <si>
    <t>F17TH401 U/F Fwd Flush</t>
  </si>
  <si>
    <t>XV17132</t>
  </si>
  <si>
    <t xml:space="preserve"> Flotation Tailings Thickener Underflow Pumps Final Tails Feed Valve</t>
  </si>
  <si>
    <t>F17TH401 UF to FinTails</t>
  </si>
  <si>
    <t>XV18012</t>
  </si>
  <si>
    <t>F18-HP-414 Final Concentrate Hopper Process Water Valve</t>
  </si>
  <si>
    <t>F18HP414 Water Isolation</t>
  </si>
  <si>
    <t>F18-SEQ-0001</t>
  </si>
  <si>
    <t>F18-SEQ-0002</t>
  </si>
  <si>
    <t>LIC18001A &gt;= A_HH</t>
  </si>
  <si>
    <t>F18HP414 Level High High</t>
  </si>
  <si>
    <t>Close off Mill Water addition to hopper if Level High High</t>
  </si>
  <si>
    <t>XV18013</t>
  </si>
  <si>
    <t>F18-HP-501 Cleaner Flotation Cell Feed Hopper Process Water Valve</t>
  </si>
  <si>
    <t>F18HP501 Water Isolation</t>
  </si>
  <si>
    <t>F18-SEQ-0004</t>
  </si>
  <si>
    <t>LIC18011A &gt;= A_HH</t>
  </si>
  <si>
    <t>F18HP501 Level High High</t>
  </si>
  <si>
    <t>XV18021</t>
  </si>
  <si>
    <t>F18-PP-407 Final Concentrate Pump 1 Suction Valve</t>
  </si>
  <si>
    <t>F18PP407 Suction</t>
  </si>
  <si>
    <t>XV18022</t>
  </si>
  <si>
    <t>F18-PP-407 Final Concentrate Pump 1 Drain Valve</t>
  </si>
  <si>
    <t>F18PP407 Suction Drain</t>
  </si>
  <si>
    <t>F18PP407 RUNNING</t>
  </si>
  <si>
    <t>Final Concentrate Pump 1 Running</t>
  </si>
  <si>
    <t>XV18023</t>
  </si>
  <si>
    <t>F18-PP-407 Final Concentrate Pump 1 Discharge Valve</t>
  </si>
  <si>
    <t>F18PP407 Discharge</t>
  </si>
  <si>
    <t>F18PP408 RUNNING</t>
  </si>
  <si>
    <t>Final Concentrate Pump 2 Running</t>
  </si>
  <si>
    <t>XV18024</t>
  </si>
  <si>
    <t>F18-PP-408 Final Concentrate Pump 2 Suction Valve</t>
  </si>
  <si>
    <t>F18PP408 Suction</t>
  </si>
  <si>
    <t>XV18025</t>
  </si>
  <si>
    <t>F18-PP-408 Final Concentrate Pump 2 Drain Valve</t>
  </si>
  <si>
    <t>F18PP408 Suction Drain</t>
  </si>
  <si>
    <t>XV18026</t>
  </si>
  <si>
    <t>F18-PP-408 Final Concentrate Pump 2 Discharge Valve</t>
  </si>
  <si>
    <t>F18PP408 Discharge</t>
  </si>
  <si>
    <t>XV18028</t>
  </si>
  <si>
    <t>F18-SA-403 Final Concentrate Sampler Discharge Valve</t>
  </si>
  <si>
    <t>F18SA403 Discharge</t>
  </si>
  <si>
    <t>XV18029</t>
  </si>
  <si>
    <t>F18SA403 Sample Flush</t>
  </si>
  <si>
    <t>XV18028 CLOSED</t>
  </si>
  <si>
    <t>F18SA403 Discharge Valve Closed.</t>
  </si>
  <si>
    <t>Bypass for operator discretion &amp; low sample flow.</t>
  </si>
  <si>
    <t>XV18031</t>
  </si>
  <si>
    <t>F18-PP-501 Cleaner Flotation Cell Recirculation Pump 1 Suction Valve</t>
  </si>
  <si>
    <t>F18PP501 Suction</t>
  </si>
  <si>
    <t>XV18032</t>
  </si>
  <si>
    <t>F18-PP-501 Cleaner Flotation Cell Recirculation Pump 1 Drain Valve</t>
  </si>
  <si>
    <t>F18PP501 Suction Drain</t>
  </si>
  <si>
    <t>F18PP501 RUNNING</t>
  </si>
  <si>
    <t>Cleaner Recirc Pump 1 Running</t>
  </si>
  <si>
    <t>XV18033</t>
  </si>
  <si>
    <t>F18-PP-501 Cleaner Flotation Cell Recirculation Pump 1 Discharge Valve</t>
  </si>
  <si>
    <t>F18PP501 Discharge</t>
  </si>
  <si>
    <t>F18PP502 RUNNING</t>
  </si>
  <si>
    <t>Cleaner Recirc Pump 2 Running</t>
  </si>
  <si>
    <t>XV18034</t>
  </si>
  <si>
    <t>F18-PP-502 Cleaner Flotation Cell Recirculation Pump 2 Suction Valve</t>
  </si>
  <si>
    <t>F18PP502 Suction</t>
  </si>
  <si>
    <t>XV18035</t>
  </si>
  <si>
    <t>F18-PP-502 Cleaner Flotation Cell Recirculation Pump 2 Drain Valve</t>
  </si>
  <si>
    <t>F18PP502 Suction Drain</t>
  </si>
  <si>
    <t>XV18036</t>
  </si>
  <si>
    <t>F18-PP-502 Cleaner Flotation Cell Recirculation Pump 2 Discharge Valve</t>
  </si>
  <si>
    <t>F18PP502 Discharge</t>
  </si>
  <si>
    <t>XV18038</t>
  </si>
  <si>
    <t>F16-SA-405 Cleaner Feed Sampler Discharge Valve</t>
  </si>
  <si>
    <t>F18SA405 Discharge</t>
  </si>
  <si>
    <t>XV18039</t>
  </si>
  <si>
    <t>Cleaner Feed Discharge Process Water Valve</t>
  </si>
  <si>
    <t>F18SA405 Sample Flush</t>
  </si>
  <si>
    <t>XV18038 CLOSED</t>
  </si>
  <si>
    <t>F18SA405 Discharge Valve Closed.</t>
  </si>
  <si>
    <t>XV18014</t>
  </si>
  <si>
    <t>F18-HP-511 Cleaner Scavenger Flotation Cell Feed Hopper Process Water Valve</t>
  </si>
  <si>
    <t>F18HP511 Water Isolation</t>
  </si>
  <si>
    <t>F18-SEQ-0005</t>
  </si>
  <si>
    <t>F18-SEQ-0006</t>
  </si>
  <si>
    <t>LIC18201A &gt;= A_HH</t>
  </si>
  <si>
    <t>F18HP511 Level High High</t>
  </si>
  <si>
    <t>XV18015</t>
  </si>
  <si>
    <t>F18-HP-513 Cleaner Scavenger Flotation Cell Tails Hopper Process Water Valve</t>
  </si>
  <si>
    <t>F18HP513 Water Isolation</t>
  </si>
  <si>
    <t>F18-SEQ-0007</t>
  </si>
  <si>
    <t>F18-SEQ-0008</t>
  </si>
  <si>
    <t>LIC18211A &gt;= A_HH</t>
  </si>
  <si>
    <t>F18HP513 Level High High</t>
  </si>
  <si>
    <t>XV18221</t>
  </si>
  <si>
    <t>F18-PP-511 Cleaner Scavenger Flotation Cell Recirculation Pump 1 Suction Valve</t>
  </si>
  <si>
    <t>F18PP511 Suction</t>
  </si>
  <si>
    <t>XV18222</t>
  </si>
  <si>
    <t>F18-PP-511 Cleaner Scavenger Flotation Cell Recirculation Pump 1 Drain Valve</t>
  </si>
  <si>
    <t>F18PP511 Suction Drain</t>
  </si>
  <si>
    <t>F18PP511 RUNNING</t>
  </si>
  <si>
    <t>Cleaner-Scav  Recirc Pump 1 Rung</t>
  </si>
  <si>
    <t>XV18223</t>
  </si>
  <si>
    <t>F18-PP-511 Cleaner Scavenger Flotation Cell Recirculation Pump 1 Discharge Valve</t>
  </si>
  <si>
    <t>F18PP511 Discharge</t>
  </si>
  <si>
    <t>F18PP512 RUNNING</t>
  </si>
  <si>
    <t>Cleaner-Scav  Pump 2 Rung.</t>
  </si>
  <si>
    <t>XV18224</t>
  </si>
  <si>
    <t>F18-PP-512 Cleaner Scavenger Flotation Cell Recirculation Pump 2 Suction Valve</t>
  </si>
  <si>
    <t>F18PP512 Suction</t>
  </si>
  <si>
    <t>XV18225</t>
  </si>
  <si>
    <t>F18-PP-512 Cleaner Scavenger Flotation Cell Recirculation Pump 2 Drain Valve</t>
  </si>
  <si>
    <t>F18PP512 Suction Drain</t>
  </si>
  <si>
    <t>Cleaner-Scav  Recirc Pump 2 Rung</t>
  </si>
  <si>
    <t>XV18226</t>
  </si>
  <si>
    <t>F18-PP-512 Cleaner Scavenger Flotation Cell Recirculation Pump 2 Discharge Valve</t>
  </si>
  <si>
    <t>F18PP512 Discharge</t>
  </si>
  <si>
    <t>Cleaner-Scav Recirc Pump 1 Rung.</t>
  </si>
  <si>
    <t>XV18231</t>
  </si>
  <si>
    <t>F18-PP-513 Cleaner Scavenger Flotation Cell Tails Pump 1 Suction Valve</t>
  </si>
  <si>
    <t>F18PP513 Suction</t>
  </si>
  <si>
    <t>XV18232</t>
  </si>
  <si>
    <t>F18-PP-513 Cleaner Scavenger Flotation Cell Tails Pump 1 Drain Valve</t>
  </si>
  <si>
    <t>F18PP513 Suction Drain</t>
  </si>
  <si>
    <t>F18PP513 RUNNING</t>
  </si>
  <si>
    <t>Cleaner-Scav Tails Pump 1 Rung</t>
  </si>
  <si>
    <t>XV18233</t>
  </si>
  <si>
    <t>F18-PP-513 Cleaner Scavenger Flotation Cell Tails Pump 1 Discharge Valve</t>
  </si>
  <si>
    <t>F18PP513 Discharge</t>
  </si>
  <si>
    <t>F18PP514 RUNNING</t>
  </si>
  <si>
    <t>Cleaner-Scav Tails Pump 2 Rung</t>
  </si>
  <si>
    <t>XV18234</t>
  </si>
  <si>
    <t>F18-PP-514 Cleaner Scavenger Flotation Cell Tails Pump 2 Suction Valve</t>
  </si>
  <si>
    <t>F18PP514 Suction</t>
  </si>
  <si>
    <t>XV18235</t>
  </si>
  <si>
    <t>F18-PP-514 Cleaner Scavenger Flotation Cell Tails Pump 2 Drain Valve</t>
  </si>
  <si>
    <t>F18PP514 Suction Drain</t>
  </si>
  <si>
    <t>XV18236</t>
  </si>
  <si>
    <t>F18-PP-514 Cleaner Scavenger Flotation Cell Tails Pump 2 Discharge Valve</t>
  </si>
  <si>
    <t>F18PP514 Discharge</t>
  </si>
  <si>
    <t>Cleaner-Scav Tails Pump 1 Rung.</t>
  </si>
  <si>
    <t>XV18239</t>
  </si>
  <si>
    <t>F18-SA-404 Cleaner-Scavenger Tails Sampler Discharge Valve</t>
  </si>
  <si>
    <t>F18SA404 Discharge</t>
  </si>
  <si>
    <t>XV18229</t>
  </si>
  <si>
    <t>F18-SA-404 Cleaner-Scavenger Tails Sampler Flush Valve</t>
  </si>
  <si>
    <t>F18SA404 Discharge Flush</t>
  </si>
  <si>
    <t>XV18239 CLOSED</t>
  </si>
  <si>
    <t>F18SA404 Discharge Valve Closed.</t>
  </si>
  <si>
    <t>Bypass for Operator discretion and low sample flow.</t>
  </si>
  <si>
    <t>XV18241</t>
  </si>
  <si>
    <t xml:space="preserve"> Cleaner Scavenger Tails Discharge to Flotation Tailings Thickener Valve</t>
  </si>
  <si>
    <t>ClnrScav Tail to F17TH401</t>
  </si>
  <si>
    <t>NI17030 &gt;= A_HH</t>
  </si>
  <si>
    <t>F17TH401 Torque High High</t>
  </si>
  <si>
    <t>SV17033 Not Energised AND F17PO408 Not Running</t>
  </si>
  <si>
    <t>F17TH401 Not Running</t>
  </si>
  <si>
    <t>XV18242</t>
  </si>
  <si>
    <t xml:space="preserve"> Cleaner Scavenger Tails Discharge to Scavenger Flotation Valve</t>
  </si>
  <si>
    <t>Clnr Scv Tail to Scav C1</t>
  </si>
  <si>
    <t>XV18243</t>
  </si>
  <si>
    <t xml:space="preserve"> Cleaner Scavenger Tails Discharge to Flotation Tailings Thickener Drain Valve</t>
  </si>
  <si>
    <t>Clnr Scv Tail Drain 1</t>
  </si>
  <si>
    <t>XV18241 OPEN</t>
  </si>
  <si>
    <t>F17TH401 Destination Valve Open</t>
  </si>
  <si>
    <t>Cleaner Scav Tail to Flotation Tailings Thickener Valve Open. Bypass for dumping and flushing at operator discretion.</t>
  </si>
  <si>
    <t>XV18244</t>
  </si>
  <si>
    <t xml:space="preserve"> Cleaner Scavenger Tails Discharge to Scavenger Flotation Drain Valve</t>
  </si>
  <si>
    <t>Clnr Scv Tail Drain 2</t>
  </si>
  <si>
    <t>XV18242 OPEN</t>
  </si>
  <si>
    <t>F16CF414 Destination Valve Open</t>
  </si>
  <si>
    <t>Cleaner Scav Tail to Scavenger Flotation Cell 1 Valve Open. Bypass for dumping and flushing at operator discretion.</t>
  </si>
  <si>
    <t>SV18500</t>
  </si>
  <si>
    <t>F18-PP-407 Final Concentrate Pump 1 Gland Water Solenoid Valve</t>
  </si>
  <si>
    <t>F18PP407 Gland Supply</t>
  </si>
  <si>
    <t>F17PP407 RUNNING</t>
  </si>
  <si>
    <t>SV18504</t>
  </si>
  <si>
    <t>F18-PP-408 Final Concentrate Pump 2 Gland Water Solenoid Valve</t>
  </si>
  <si>
    <t>F18PP408 Gland Supply</t>
  </si>
  <si>
    <t>F17PP408 RUNNING</t>
  </si>
  <si>
    <t>Final Concentrate Pump 2 Rung</t>
  </si>
  <si>
    <t>SV18508</t>
  </si>
  <si>
    <t>F18-PP-501 Cleaner Flotation Cell Recirculation Pump 1 Gland Water Solenoid Valve</t>
  </si>
  <si>
    <t>F18PP501 Gland Supply</t>
  </si>
  <si>
    <t>F17PP501 RUNNING</t>
  </si>
  <si>
    <t>Cleaner Recirc Pump 1 Rung</t>
  </si>
  <si>
    <t>SV18512</t>
  </si>
  <si>
    <t>F18-PP-502 Cleaner Flotation Cell Recirculation Pump 2 Gland Water Solenoid Valve</t>
  </si>
  <si>
    <t>F18PP502 Gland Supply</t>
  </si>
  <si>
    <t>F17PP502 RUNNING</t>
  </si>
  <si>
    <t>Cleaner Recirc Pump 2 Rung</t>
  </si>
  <si>
    <t>SV18524</t>
  </si>
  <si>
    <t>F18-PP-511 Cleaner Scavenger Flotation Cell Recirculation Pump 1 Gland Water Solenoid Valve</t>
  </si>
  <si>
    <t>F18PP511 Gland Supply</t>
  </si>
  <si>
    <t>F17PP511 RUNNING</t>
  </si>
  <si>
    <t>Cleaner Scav Recirc Pump 1 Rung</t>
  </si>
  <si>
    <t>SV18528</t>
  </si>
  <si>
    <t>F18-PP-512 Cleaner Scavenger Flotation Cell Recirculation Pump 2 Gland Water Solenoid Valve</t>
  </si>
  <si>
    <t>F18PP512 Gland Supply</t>
  </si>
  <si>
    <t>F17PP512 RUNNING</t>
  </si>
  <si>
    <t>Cleaner Scav Recirc Pump 2 Rung</t>
  </si>
  <si>
    <t>SV18532</t>
  </si>
  <si>
    <t>F18-PP-513 Cleaner Scavenger Flotation Cell Tails Pump 1 Gland Water Solenoid Valve</t>
  </si>
  <si>
    <t>F18PP513 Gland Supply</t>
  </si>
  <si>
    <t>F17PP513 RUNNING</t>
  </si>
  <si>
    <t>Cleaner Scav Tails Pump 1 Rung</t>
  </si>
  <si>
    <t>SV18536</t>
  </si>
  <si>
    <t>F18-PP-514 Cleaner Scavenger Flotation Cell Tails Pump 2 Gland Water Solenoid Valve</t>
  </si>
  <si>
    <t>F18PP514 Gland Supply</t>
  </si>
  <si>
    <t>F17PP514 RUNNING</t>
  </si>
  <si>
    <t>Cleaner Scav Tails Pump 2 Rung</t>
  </si>
  <si>
    <t xml:space="preserve">
</t>
  </si>
  <si>
    <t>CONTROL VALVES</t>
  </si>
  <si>
    <t>Permissive and Trips</t>
  </si>
  <si>
    <t>Fail Position</t>
  </si>
  <si>
    <t>FCV16011</t>
  </si>
  <si>
    <t>F16-CF-411 Rougher Flotation Cell 1 Low Pressure Air Flow Control Valve</t>
  </si>
  <si>
    <t>F16CF11 Blower Air</t>
  </si>
  <si>
    <t>FIC16011</t>
  </si>
  <si>
    <t>FCV16051</t>
  </si>
  <si>
    <t>F16-CF-412 Rougher Flotation Cell 2 Low Pressure Air Flow Control Valve</t>
  </si>
  <si>
    <t>FIC16051</t>
  </si>
  <si>
    <t>LCV16013A</t>
  </si>
  <si>
    <t>F16-CF-412 Rougher Flotation Cell 2 Level Control Valve A</t>
  </si>
  <si>
    <t>F16CF412 Dart Valve A</t>
  </si>
  <si>
    <t>LIC16013A</t>
  </si>
  <si>
    <t>Vendor specified operating range: 50 - 80% stroke.
To be primary valve adjusting level when in Auto. 
To be confirmed during commissioning.
Source: 2000-ME001.4-M02-50001.</t>
  </si>
  <si>
    <t>LCV16013B</t>
  </si>
  <si>
    <t>F16-CF-412 Rougher Flotation Cell 2 Level Control Valve B</t>
  </si>
  <si>
    <t>F16CF412 Dart Valve B</t>
  </si>
  <si>
    <t>LIC16013B</t>
  </si>
  <si>
    <t>Vendor specified operating range: 50 - 80% stroke.
To be held at constant setpoint when in Auto. 
To be confirmed during commissioning.
Source: 2000-ME001.4-M02-50001.</t>
  </si>
  <si>
    <t>FCV16061</t>
  </si>
  <si>
    <t>F16-CF-413 Rougher Flotation Cell 3 Low Pressure Air Flow Control Valve</t>
  </si>
  <si>
    <t>FIC16061</t>
  </si>
  <si>
    <t>Source: 2000-ME001.4-M02-50001.</t>
  </si>
  <si>
    <t>LCV16053A</t>
  </si>
  <si>
    <t>F16-CF-413 Rougher Flotation Cell 3 Level Control Valve A</t>
  </si>
  <si>
    <t>F16CF413 Dart Valve A</t>
  </si>
  <si>
    <t>LIC16053A</t>
  </si>
  <si>
    <t>LCV16053B</t>
  </si>
  <si>
    <t>F16-CF-413 Rougher Flotation Cell 3 Level Control Valve B</t>
  </si>
  <si>
    <t>F16CF413 Dart Valve B</t>
  </si>
  <si>
    <t>LIC16053B</t>
  </si>
  <si>
    <t>FCV16081</t>
  </si>
  <si>
    <t>F16-CF-414 Scavenger Flotation Cell 1 Low Pressure Air Flow Control Valve</t>
  </si>
  <si>
    <t>FIC16081</t>
  </si>
  <si>
    <t>LCV16063A</t>
  </si>
  <si>
    <t>F16-CF-414 Scavenger Flotation Cell 1 Level Control Valve A</t>
  </si>
  <si>
    <t>F16CF414 Dart Valve A</t>
  </si>
  <si>
    <t>LIC16063A</t>
  </si>
  <si>
    <t>LCV16063B</t>
  </si>
  <si>
    <t>F16-CF-414 Scavenger Flotation Cell 1 Level Control Valve B</t>
  </si>
  <si>
    <t>F16CF414 Dart Valve B</t>
  </si>
  <si>
    <t>LIC16063B</t>
  </si>
  <si>
    <t>FCV16091</t>
  </si>
  <si>
    <t>F16-CF-415 Scavenger Flotation Cell 2 Low Pressure Air Flow Control Valve</t>
  </si>
  <si>
    <t>FIC16091</t>
  </si>
  <si>
    <t>LCV16083A</t>
  </si>
  <si>
    <t>F16-CF-415 Scavenger Flotation Cell 2 Level Control Valve A</t>
  </si>
  <si>
    <t>F16CF415 Dart Valve A</t>
  </si>
  <si>
    <t>LIC16083A</t>
  </si>
  <si>
    <t>LCV16083B</t>
  </si>
  <si>
    <t>F16-CF-415 Scavenger Flotation Cell 2 Level Control Valve B</t>
  </si>
  <si>
    <t>F16CF415 Dart Valve B</t>
  </si>
  <si>
    <t>LIC16083B</t>
  </si>
  <si>
    <t>FCV16101</t>
  </si>
  <si>
    <t>F16-CF-416 Scavenger Flotation Cell 3 Low Pressure Air Flow Control Valve</t>
  </si>
  <si>
    <t>FIC16101</t>
  </si>
  <si>
    <t>LCV16093A</t>
  </si>
  <si>
    <t>F16-CF-416 Scavenger Flotation Cell 3 Level Control Valve A</t>
  </si>
  <si>
    <t>F16CF416 Dart Valve A</t>
  </si>
  <si>
    <t>LIC16093A</t>
  </si>
  <si>
    <t>LCV16093B</t>
  </si>
  <si>
    <t>F16-CF-416 Scavenger Flotation Cell 3 Level Control Valve B</t>
  </si>
  <si>
    <t>F16CF416 Dart Valve B</t>
  </si>
  <si>
    <t>LIC16093B</t>
  </si>
  <si>
    <t>FCV16111</t>
  </si>
  <si>
    <t>F16-CF-417 Scavenger Flotation Cell 4 Low Pressure Air Flow Control Valve</t>
  </si>
  <si>
    <t>FIC16111</t>
  </si>
  <si>
    <t>LCV16103A</t>
  </si>
  <si>
    <t>F16-CF-417 Scavenger Flotation Cell 4 Level Control Valve A</t>
  </si>
  <si>
    <t>F16CF417 Dart Valve A</t>
  </si>
  <si>
    <t>LIC16103A</t>
  </si>
  <si>
    <t>LCV16103B</t>
  </si>
  <si>
    <t>F16-CF-417 Scavenger Flotation Cell 4 Level Control Valve B</t>
  </si>
  <si>
    <t>F16CF417 Dart Valve B</t>
  </si>
  <si>
    <t>LIC16103B</t>
  </si>
  <si>
    <t>LCV16113A</t>
  </si>
  <si>
    <t>F16-BX-412 Flotation Discharge Box Level Control Valve A</t>
  </si>
  <si>
    <t>F16BX412 Discharge Box A</t>
  </si>
  <si>
    <t>LIC16113A</t>
  </si>
  <si>
    <t>LCV16113B</t>
  </si>
  <si>
    <t>F16-BX-412 Flotation Discharge Box Level Control Valve B</t>
  </si>
  <si>
    <t>F16BX412 Discharge Box B</t>
  </si>
  <si>
    <t>LIC16113B</t>
  </si>
  <si>
    <t>FCV17001</t>
  </si>
  <si>
    <t>F17-XM-413 Pre-Leach Thickener Flocculant In-Line Mixer Process Water Flow Control Valve</t>
  </si>
  <si>
    <t>F17XM413 Flocc PW Diln</t>
  </si>
  <si>
    <t>Detail 1</t>
  </si>
  <si>
    <t>FIC17001</t>
  </si>
  <si>
    <t>FCV17127</t>
  </si>
  <si>
    <t xml:space="preserve"> Flotation Tailings Thickener Underflow Pumps CIL2 Feed Flow Control Valve</t>
  </si>
  <si>
    <t>F17TH401 UF to CIL3</t>
  </si>
  <si>
    <t>Detail 2</t>
  </si>
  <si>
    <t>FIC17127</t>
  </si>
  <si>
    <t>FCV17128</t>
  </si>
  <si>
    <t xml:space="preserve"> Flotation Tailings Thickener Underflow Pumps CIL3 Feed Flow Control Valve</t>
  </si>
  <si>
    <t>F17TH401 UF to CIL2</t>
  </si>
  <si>
    <t>FIC17128</t>
  </si>
  <si>
    <t>FCV17130</t>
  </si>
  <si>
    <t xml:space="preserve"> Flotation Tailings Thickener Underflow Pumps Final Tails Tank Flow Control Valve</t>
  </si>
  <si>
    <t>Manually set by CRO via ZC17130</t>
  </si>
  <si>
    <t>LCV18001</t>
  </si>
  <si>
    <t>F18-HP-414 Final Concentrate Hopper Process Water Feed Level Control Valve</t>
  </si>
  <si>
    <t>F18HP414 Water Addition</t>
  </si>
  <si>
    <t>LIC18001A</t>
  </si>
  <si>
    <t>LCV18011A</t>
  </si>
  <si>
    <t>F18-HP-501 Cleaner Flotation Cell Feed Hopper Process Water Feed Level Control Valve</t>
  </si>
  <si>
    <t>F18HP501 Water Addition</t>
  </si>
  <si>
    <t>LIC18011A</t>
  </si>
  <si>
    <t>LCV18051</t>
  </si>
  <si>
    <t>F18-CF-501 Cleaner Flotation Cell Tank Slurry Level Control Valve</t>
  </si>
  <si>
    <t>F18-SEQ-0009</t>
  </si>
  <si>
    <t>LIC18051</t>
  </si>
  <si>
    <t>FCV18056</t>
  </si>
  <si>
    <t>F18-CF-501 Cleaner Flotation Cell Air Flow Control Valve</t>
  </si>
  <si>
    <t>F18CF501 Air</t>
  </si>
  <si>
    <t>FIC18056</t>
  </si>
  <si>
    <t>FCV18057</t>
  </si>
  <si>
    <t>F18-CF-501 Cleaner Flotation Cell Wash Water Flow Flow Control Valve</t>
  </si>
  <si>
    <t>F18CF501 Con Wash Water</t>
  </si>
  <si>
    <t>FIC18057</t>
  </si>
  <si>
    <t>LCV18011B</t>
  </si>
  <si>
    <t>F18-BX-501 Cleaner Flotation ERM Recycle Level Control Valve</t>
  </si>
  <si>
    <t>F18CF501 Recycle</t>
  </si>
  <si>
    <t>LCV18201A</t>
  </si>
  <si>
    <t>F18-HP-511 Cleaner Scavenger Flotation Cell Feed Hopper Level Control Valve</t>
  </si>
  <si>
    <t>F18HP511 Process Water</t>
  </si>
  <si>
    <t>LIC18201A</t>
  </si>
  <si>
    <t>LCV18211</t>
  </si>
  <si>
    <t>F18-HP-513 Cleaner Scavenger Flotation Cell Tails Hopper Level Control Valve</t>
  </si>
  <si>
    <t>F18HP513 Process Water</t>
  </si>
  <si>
    <t>LIC18211A</t>
  </si>
  <si>
    <t>LCV18251</t>
  </si>
  <si>
    <t>F18-CF-511 Cleaner-Scavenger Flotation Cell Tank Slurry Level Control Valve</t>
  </si>
  <si>
    <t>F18-SEQ-0010</t>
  </si>
  <si>
    <t>LIC18251</t>
  </si>
  <si>
    <t>FCV18256</t>
  </si>
  <si>
    <t>F18-CF-511 Cleaner-Scavenger Flotation Cell Air Flow Control Valve</t>
  </si>
  <si>
    <t>F18CF511 Air</t>
  </si>
  <si>
    <t>FIC18256</t>
  </si>
  <si>
    <t>FCV18257</t>
  </si>
  <si>
    <t>F18-CF-511 Cleaner-Scavenger Flotation Cell Wash Water Flow Flow Control Valve</t>
  </si>
  <si>
    <t>F18CF511 Con Wash Water</t>
  </si>
  <si>
    <t>FIC18257</t>
  </si>
  <si>
    <t>LCV18201B</t>
  </si>
  <si>
    <t>F18-CF-511 Cleaner-Scavenger Flotation Cell Recycle Valve</t>
  </si>
  <si>
    <t>F18CF511 Recycle</t>
  </si>
  <si>
    <t>LIC18201B</t>
  </si>
  <si>
    <t>Modes</t>
  </si>
  <si>
    <t>Setpoint</t>
  </si>
  <si>
    <t>Controlled/Manipulated Variable</t>
  </si>
  <si>
    <t>Comment</t>
  </si>
  <si>
    <t>Controller Description</t>
  </si>
  <si>
    <t>Normal Operating Mode</t>
  </si>
  <si>
    <t>Cascade</t>
  </si>
  <si>
    <t>Process Value Tag</t>
  </si>
  <si>
    <t>Range Min</t>
  </si>
  <si>
    <t>Range Max</t>
  </si>
  <si>
    <t>Lower Limit</t>
  </si>
  <si>
    <t>Upper Limit</t>
  </si>
  <si>
    <t>Destination Description</t>
  </si>
  <si>
    <t>Destination (Output) Tag</t>
  </si>
  <si>
    <t>Direct / Reverse Acting</t>
  </si>
  <si>
    <t>P</t>
  </si>
  <si>
    <t>I</t>
  </si>
  <si>
    <t>D</t>
  </si>
  <si>
    <t>FT16011</t>
  </si>
  <si>
    <t>F16-CF-411 Rougher Flotation Cell 1 Low Pressure Air Flow Transmitter</t>
  </si>
  <si>
    <t>F16CF411 Blower Air Ctrl</t>
  </si>
  <si>
    <r>
      <t>m</t>
    </r>
    <r>
      <rPr>
        <vertAlign val="superscript"/>
        <sz val="11"/>
        <color rgb="FF0000FF"/>
        <rFont val="Arial"/>
        <family val="2"/>
      </rPr>
      <t>3</t>
    </r>
    <r>
      <rPr>
        <sz val="11"/>
        <color rgb="FF0000FF"/>
        <rFont val="Arial"/>
        <family val="2"/>
      </rPr>
      <t>/min</t>
    </r>
  </si>
  <si>
    <t>% Open (valve)</t>
  </si>
  <si>
    <t>Reverse</t>
  </si>
  <si>
    <t>Alarm setpoints based on the design cell superficial gas velocity:
Superficial Gas Velocity, Design (Jg) = 1.5 cm/s
Air Flow Rate, Design = 71.9 m3/h
Superficial Gas Velocity, Max (Jg)= 2 cm/s
Air Flow Rate, Max = 95.7 m3/h
(Design as per 2000-ME001.4-F13-50002).
Flowrate variable on varying temperature and pressure. 
Design and Max flowrates calculated on:
T = 100C 
P = 100kPa(g)
Sources: 2000-ME001.4-F16-50001 &amp; 2000-ME001.4-F13-50002.
Alarm setpoints to be confirmed during commissioning.
Instrument to be ranged greater than 2000-ME001.4-F16-50002 due to additional blower capacity.</t>
  </si>
  <si>
    <t>LIT16013</t>
  </si>
  <si>
    <t>LIC16013</t>
  </si>
  <si>
    <t>F16-CF-411 Rougher Flotation Cell 1 Level Transmitter</t>
  </si>
  <si>
    <t>F16CF411 Level Ctrl</t>
  </si>
  <si>
    <t>Vendor specified operating philosophy is to maintain Valve B at a static position and Valve A to control the level, reducing variability in PID loop.
For fine control, programme actuators such that Valve A moves its full stroke (range) before adjusting Valve B position.
Functional Description: 2000-ME001.4-M02-50001
IO List: 2000-ME001.4-F16-50001.
Instrument Range: 0 - 6000 mm.
Instrument range to be reversed such that 0mm means no froth depth (20mA) and 500mm is the maximum froth depth (0mA).
PID loop control to be confirmed during commissioning. 
Alarm setpoints to be confirmed during commissioning.</t>
  </si>
  <si>
    <t>As per above comments.</t>
  </si>
  <si>
    <t>FT16051</t>
  </si>
  <si>
    <t>F16-CF-412 Rougher Flotation Cell 2 Low Pressure Air Flow Transmitter</t>
  </si>
  <si>
    <t>F16CF412 Blower Air Ctrl</t>
  </si>
  <si>
    <t>LIT16053</t>
  </si>
  <si>
    <t>LIC16053</t>
  </si>
  <si>
    <t>F16-CF-412 Rougher Flotation Cell 2 Level Transmitter</t>
  </si>
  <si>
    <t>F16CF412 Level Ctrl</t>
  </si>
  <si>
    <t>FT16061</t>
  </si>
  <si>
    <t>F16-CF-413 Rougher Flotation Cell 3 Low Pressure Air Flow Transmitter</t>
  </si>
  <si>
    <t>F16CF413 Blower Air Ctrl</t>
  </si>
  <si>
    <t>LIT16063</t>
  </si>
  <si>
    <t>LIC16063</t>
  </si>
  <si>
    <t>F16-CF-413 Rougher Flotation Cell 3 Level Indicating Transmitter</t>
  </si>
  <si>
    <t>F16CF413 Level Ctrl</t>
  </si>
  <si>
    <t>FT16081</t>
  </si>
  <si>
    <t>F16-CF-414 Scavenger Flotation Cell 1 Low Pressure Air Flow Transmitter</t>
  </si>
  <si>
    <t>F16CF414 Blower Air Ctrl</t>
  </si>
  <si>
    <t>LIT16083</t>
  </si>
  <si>
    <t>LIC16083</t>
  </si>
  <si>
    <t>F16-CF-414 Scavenger Flotation Cell 1 Level Indicating Transmitter</t>
  </si>
  <si>
    <t>F16CF414 Level Ctrl</t>
  </si>
  <si>
    <t>FT16091</t>
  </si>
  <si>
    <t>F16-CF-415 Scavenger Flotation Cell 2 Low Pressure Air Flow Transmitter</t>
  </si>
  <si>
    <t>F16CF415 Blower Air Ctrl</t>
  </si>
  <si>
    <t>LIT16093</t>
  </si>
  <si>
    <t>LIC16093</t>
  </si>
  <si>
    <t>F16-CF-415 Scavenger Flotation Cell 2 Level Indicating Transmitter</t>
  </si>
  <si>
    <t>F16CF415 Level Ctrl</t>
  </si>
  <si>
    <t>FT16101</t>
  </si>
  <si>
    <t>F16-CF-416 Scavenger Flotation Cell 3 Low Pressure Air Flow Transmitter</t>
  </si>
  <si>
    <t>F16CF416 Blower Air Ctrl</t>
  </si>
  <si>
    <t>LIT16103</t>
  </si>
  <si>
    <t>LIC16103</t>
  </si>
  <si>
    <t>F16-CF-416 Scavenger Flotation Cell 3 Level Indicating Transmitter</t>
  </si>
  <si>
    <t>F16CF416 Level Ctrl</t>
  </si>
  <si>
    <t>FT16111</t>
  </si>
  <si>
    <t>F16-CF-417 Scavenger Flotation Cell 4 Low Pressure Air Flow Transmitter</t>
  </si>
  <si>
    <t>F16CF417 Blower Air Ctrl</t>
  </si>
  <si>
    <t>LIT16113</t>
  </si>
  <si>
    <t>LIC16113</t>
  </si>
  <si>
    <t>F16-CF-417 Scavenger Flotation Cell 4 Level Indicating Transmitter</t>
  </si>
  <si>
    <t>F16CF417 Level Ctrl</t>
  </si>
  <si>
    <t>LT16161</t>
  </si>
  <si>
    <t>LIC16161</t>
  </si>
  <si>
    <t>F16-HP-452 Sample Return Hopper 2 Level Indicating Transmitter</t>
  </si>
  <si>
    <t>F16HP452 Level Ctrl</t>
  </si>
  <si>
    <t>% Speed VSD</t>
  </si>
  <si>
    <t>Sample Return Pump 2 VSD</t>
  </si>
  <si>
    <t>F16-PP-639 VSD</t>
  </si>
  <si>
    <t>Direct</t>
  </si>
  <si>
    <t>A_LL = Trip F16-PP-639
Setpoint ranges and alarm setpoints to be confirmed during commissioning.</t>
  </si>
  <si>
    <t>LT16151</t>
  </si>
  <si>
    <t>LIC16151</t>
  </si>
  <si>
    <t>F16-HP-451 Sample Return Hopper 1 Level Indicating Transmitter</t>
  </si>
  <si>
    <t>F16HP451 Level Ctrl</t>
  </si>
  <si>
    <t>Sample Return Pump 1 VSD</t>
  </si>
  <si>
    <t>F16-PP-638 VSD</t>
  </si>
  <si>
    <t>A_LL = Trip F16-PP-638
Setpoint ranges and alarm setpoints to be confirmed during commissioning.</t>
  </si>
  <si>
    <t>PT16199</t>
  </si>
  <si>
    <t>PIC16199</t>
  </si>
  <si>
    <t>F16-BW-401 Flotation Blower 1 Outlet Pressure Indicating Transmitter</t>
  </si>
  <si>
    <t>F16BW401 Pressure Ctrl</t>
  </si>
  <si>
    <t>Flotation Blower 1 VSD</t>
  </si>
  <si>
    <t>F16-BW-401</t>
  </si>
  <si>
    <t>Source: Vendor document 2000-ME001.4-M02-50001.
Nominal pressure: 8,688m3/h @ 102.5 kPa per blower (4 blowers). Maximum pressure: 8,688m3/h @ 119.7 kPa per blower (3 blowers).
Design intent - three duty blowers, one standby.
A_Hi = Alarm
A_HH = Trip F16-BW-401
Setpoing range to be confirmed during commissioning.
Alarm setpoints to be confirmed during commissioning.</t>
  </si>
  <si>
    <t>PT16209</t>
  </si>
  <si>
    <t>PIC16209</t>
  </si>
  <si>
    <t>F16-BW-402 Flotation Blower 2 Outlet Pressure Indicating Transmitter</t>
  </si>
  <si>
    <t>F16BW402 Pressure Ctrl</t>
  </si>
  <si>
    <t>Flotation Blower 2 VSD</t>
  </si>
  <si>
    <t>F16-BW-402</t>
  </si>
  <si>
    <t>Source: Vendor document 2000-ME001.4-M02-50001.
Nominal pressure: 8,688m3/h @ 102.5 kPa per blower (4 blowers). Maximum pressure: 8,688m3/h @ 119.7 kPa per blower (3 blowers).
Design intent - three duty blowers, one standby.
A_Hi = Alarm
A_HH = Trip F16-BW-402
Setpoing range to be confirmed during commissioning.
Alarm setpoints to be confirmed during commissioning.</t>
  </si>
  <si>
    <t>PT16219</t>
  </si>
  <si>
    <t>PIC16219</t>
  </si>
  <si>
    <t>F16-BW-403 Flotation Blower 3 Outlet Pressure Indicating Transmitter</t>
  </si>
  <si>
    <t>F16BW403 Pressure Ctrl</t>
  </si>
  <si>
    <t>Flotation Blower 3 VSD</t>
  </si>
  <si>
    <t>F16-BW-403</t>
  </si>
  <si>
    <t>Source: Vendor document 2000-ME001.4-M02-50001.
Nominal pressure: 8,688m3/h @ 102.5 kPa per blower (4 blowers). Maximum pressure: 8,688m3/h @ 119.7 kPa per blower (3 blowers).
Design intent - three duty blowers, one standby.
A_Hi = Alarm
A_HH = Trip F16-BW-403
Setpoing range to be confirmed during commissioning.
Alarm setpoints to be confirmed during commissioning.</t>
  </si>
  <si>
    <t>PT16229</t>
  </si>
  <si>
    <t>PIC16229</t>
  </si>
  <si>
    <t>F16-BW-404 Flotation Blower 4 Outlet Pressure Indicating Transmitter</t>
  </si>
  <si>
    <t>F16BW404 Pressure Ctrl</t>
  </si>
  <si>
    <t>Flotation Blower 4 VSD</t>
  </si>
  <si>
    <t>F16-BW-404</t>
  </si>
  <si>
    <t>Source: Vendor document 2000-ME001.4-M02-50001.
Nominal pressure: 8,688m3/h @ 102.5 kPa per blower (4 blowers). Maximum pressure: 8,688m3/h @ 119.7 kPa per blower (3 blowers).
Design intent - three duty blowers, one standby.
A_Hi = Alarm
A_HH = Trip F16-BW-404
Setpoing range to be confirmed during commissioning.
Alarm setpoints to be confirmed during commissioning.</t>
  </si>
  <si>
    <t>FIT17001</t>
  </si>
  <si>
    <t>F17-XM-413 Pre-Leach Thickener Flocculant In-Line Mixer Process Water Flow Indicating Transmitter</t>
  </si>
  <si>
    <t>F17TH401 Flocc Diln Ctrl</t>
  </si>
  <si>
    <t>DV - 10%</t>
  </si>
  <si>
    <t>DV + 10%</t>
  </si>
  <si>
    <t>Mask A_Lo when F72PP691 AND 692 are Not Running</t>
  </si>
  <si>
    <t>28.35 Mtpa Case 4: 45.5 m3/h Nominal.
In CASCADE: F17CALC0001 provides the SP for FIC17001.
Alarm setpoints to be confirmed during commissioning.
Deviation Alarm (DV) to be respective to Controller Setpoint.</t>
  </si>
  <si>
    <t>FIT17003</t>
  </si>
  <si>
    <t>FIC17003A</t>
  </si>
  <si>
    <t>F17-XM-413 Pre-Leach Thickener Flocculant In-Line Mixer Flocculant Flow Indicating Transmitter</t>
  </si>
  <si>
    <t>F17TH401 Flocc Dosg Ctrl</t>
  </si>
  <si>
    <t>Duty Flocculant Dosing Pump 1/2 VSD via Hand Switches 17003A and 17003B</t>
  </si>
  <si>
    <t>F72-PP-691/692 VSD via HS17003A &amp; HS17003B</t>
  </si>
  <si>
    <t>In CASCADE: LIC17012 provides SP for FIC17003A.
Alarms based on: 2000-F00-CAL-PR-10001.
Alarm setpoints to be confirmed during commissioning.</t>
  </si>
  <si>
    <t>LIC17012</t>
  </si>
  <si>
    <t>F17-TH-401 Flotation Tailings Thickener Bed Level Indicating Transmitter</t>
  </si>
  <si>
    <t>F17TH401 Bed Intfce Ctrl</t>
  </si>
  <si>
    <t>m</t>
  </si>
  <si>
    <r>
      <t>m</t>
    </r>
    <r>
      <rPr>
        <b/>
        <vertAlign val="superscript"/>
        <sz val="11"/>
        <color rgb="FF0000FF"/>
        <rFont val="Arial"/>
        <family val="2"/>
      </rPr>
      <t>3</t>
    </r>
    <r>
      <rPr>
        <b/>
        <sz val="11"/>
        <color rgb="FF0000FF"/>
        <rFont val="Arial"/>
        <family val="2"/>
      </rPr>
      <t>/hr</t>
    </r>
  </si>
  <si>
    <t>SoftTag
Manta Ref: Manta_Sub.IF35Raw
Details TBC by vendor.
If signal is BAD, hold last known value and alarm.
Refer to Manta Sub Modbus Tags Register Without Thickener Cube (05-REG-500)
Alarm setpoints from: 2000-ME001.5-M02-50001.
Alarm setpoints to be confirmed during commissioning.</t>
  </si>
  <si>
    <t>PIT17011</t>
  </si>
  <si>
    <t>PIC17011</t>
  </si>
  <si>
    <t>F17-TH-401 Flotation Tailings Thickener Bed Mass Pressure Indicating Transmitter</t>
  </si>
  <si>
    <t>F17TH401 Bed Ctrl</t>
  </si>
  <si>
    <t xml:space="preserve"> Flotation Tailings Thickener Underflow Pumps Discharge Flow Indicating Controller</t>
  </si>
  <si>
    <t>FIC17121</t>
  </si>
  <si>
    <t>Analogue input over comms.
Cascade to provide SP for flow controller FIC17121. Range based on 20/18 AH pump curve.</t>
  </si>
  <si>
    <t>LT17004</t>
  </si>
  <si>
    <t>LIC17004</t>
  </si>
  <si>
    <t>F16-HP-456 Final Tails Sample Hopper Level Indicating Transmitter</t>
  </si>
  <si>
    <t>F16HP456 Level Ctrl</t>
  </si>
  <si>
    <t>F16-PP-634 Final Tails Sample Pump</t>
  </si>
  <si>
    <t>F16-PP-634 VSD</t>
  </si>
  <si>
    <t>F17CALC0007</t>
  </si>
  <si>
    <t>DIC17121</t>
  </si>
  <si>
    <t>F17-PP-455/456 Discharge Density Indicating Transmitter</t>
  </si>
  <si>
    <t>F17PP455/6 Density Ctrl</t>
  </si>
  <si>
    <t>F17-PP-455/456 NOT RUNNING</t>
  </si>
  <si>
    <t>FIC17121 Flotation Tailings Thickener Underflow Pump 1/2 Flow Indicator Controller</t>
  </si>
  <si>
    <t>Alarm enabled delay of 10 seconds during pump start-up. Alarm setpoints to be confirmed during commissioning.</t>
  </si>
  <si>
    <t>FIT17121</t>
  </si>
  <si>
    <t xml:space="preserve"> Flotation Tailings Thickener Underflow Pumps Discharge Flow Indicating Transmitter</t>
  </si>
  <si>
    <t>F17PP455/6 Flow Ctrl</t>
  </si>
  <si>
    <t>DL = - 600</t>
  </si>
  <si>
    <t>DL = + 600</t>
  </si>
  <si>
    <t>F17-PP-455/456 Flotation Tailings Thickener Underflow Pump 1/2</t>
  </si>
  <si>
    <t>Duty F17-PP-455/456 VSD</t>
  </si>
  <si>
    <t>Controller normally slave controller for DIC17121 or PIC17011 (as per HS17121).
Deviation alarm for +/- 20% Controller SP.
Alarm enabled delay of 10 seconds during pump start-up. Alarm setpoints to be confirmed during commissioning.</t>
  </si>
  <si>
    <t>FIT17127</t>
  </si>
  <si>
    <t xml:space="preserve"> Flotation Tailings Thickener Underflow Pumps CIL2 Feed Valve Flow Indicating Transmitter</t>
  </si>
  <si>
    <t>Alarm setpoints to be confirmed during commissioning. 
Nominal (Case 1): 1924 m3/h for CIL2 &amp; 3 feed.</t>
  </si>
  <si>
    <t>FIT17128</t>
  </si>
  <si>
    <t xml:space="preserve"> Flotation Tailings Thickener Underflow Pumps CIL4 Feed Valve Flow Indicating Transmitter</t>
  </si>
  <si>
    <t>LT18001</t>
  </si>
  <si>
    <t>F18-HP-414 Final Concentrate Hopper Level Indicating Transmitter</t>
  </si>
  <si>
    <t>F18HP414 Pump Ctrl</t>
  </si>
  <si>
    <t xml:space="preserve">F18-PP-407/408 Duty Final Concentrate Pump 1/2 </t>
  </si>
  <si>
    <t>Duty F18PP407/408 VSD via HS18027</t>
  </si>
  <si>
    <t>Dual hopper control. See 2000-F00-REP-PR-10001 for further information.
Operator to ensure Level Controller B setpoint is less than Level Controller A setpoint.</t>
  </si>
  <si>
    <t>LIC18001B</t>
  </si>
  <si>
    <t>F18HP414 Water Ctrl</t>
  </si>
  <si>
    <t xml:space="preserve">
Dual hopper control. See 2000-F00-REP-PR-10001 for further information.
Operator to ensure Level Controller B setpoint is less than Level Controller A setpoint.
Alarm setpoints to be confirmed during commissioning.</t>
  </si>
  <si>
    <t>LT18011</t>
  </si>
  <si>
    <t>LIC18011B</t>
  </si>
  <si>
    <t>F18-HP-501 Cleaner Flotation Cell Feed Hopper Level Indicating Transmitter</t>
  </si>
  <si>
    <t>F18HP501 Water Ctrl</t>
  </si>
  <si>
    <t>Dual hopper control. See 2000-F00-REP-PR-10001 for further information.
Operator to ensure Level Controller B setpoint is less than Level Controller A setpoint.
Alarm setpoints to be confirmed during commissioning.</t>
  </si>
  <si>
    <t>F18CF501 Recycle Ctrl</t>
  </si>
  <si>
    <t>FIT18037</t>
  </si>
  <si>
    <t>FIC18037</t>
  </si>
  <si>
    <t>F18-PP-501/502 Cleaner Flotation Cell Recirculation Pumps Discharge Flow Indicating Transmitter</t>
  </si>
  <si>
    <t>F18PP501/2 Ctrl</t>
  </si>
  <si>
    <t>DUTY F18PP501/502 NOT RUNNING</t>
  </si>
  <si>
    <t>Cleaner Flotation Cell Recirculation Pump 1/2</t>
  </si>
  <si>
    <t>Duty F18PP501/502 VSD via Handswitch HS18037</t>
  </si>
  <si>
    <t>Nominal and maximum 1993 m3/hr.
Alarm setpoints to be confirmed during commissioning. Alarm enabled delay of 10 seconds on pump start-up.</t>
  </si>
  <si>
    <t>FIT18057</t>
  </si>
  <si>
    <t>F18-CF-501 Cleaner Flotation Cell Wash Water Flow  Indicating Transmitter</t>
  </si>
  <si>
    <t>F18CF501 Conc Water Ctrl</t>
  </si>
  <si>
    <t>DUTY F18PP501/502 NOT RUNNING AND
FCV18056 CLOSED</t>
  </si>
  <si>
    <t>In CASCADE Mode, the setpoint for FIC18057 is provided by F18CALC0001.
Alarms to be confirmed during commissioning.
Alarm enabled delay of 10 seconds during F18PP501/502 Start-Up.
Source: 2000-ME073-M01-10002.</t>
  </si>
  <si>
    <t>FIT18056</t>
  </si>
  <si>
    <t>F18-CF-501 Cleaner Flotation Cell Air Flow Indicating Transmitter</t>
  </si>
  <si>
    <t>F18CF501 Air Ctrl</t>
  </si>
  <si>
    <r>
      <t>Sm</t>
    </r>
    <r>
      <rPr>
        <vertAlign val="superscript"/>
        <sz val="11"/>
        <color rgb="FF0000FF"/>
        <rFont val="Arial"/>
        <family val="2"/>
      </rPr>
      <t>3</t>
    </r>
    <r>
      <rPr>
        <sz val="11"/>
        <color rgb="FF0000FF"/>
        <rFont val="Arial"/>
        <family val="2"/>
      </rPr>
      <t>/hr</t>
    </r>
  </si>
  <si>
    <t>Operator Configurable</t>
  </si>
  <si>
    <t>High and Low alarms configurable by Operator.
Alarm setpoints to be confirmed during commissioning.
Alarm enabled delay of 10 seconds during F18PP501/502 Start-Up.
Source: 2000-ME073-M01-10002.</t>
  </si>
  <si>
    <t>F18CF501 Froth</t>
  </si>
  <si>
    <t xml:space="preserve">Please refer to 2000-ME073-M01-10001 Page 8 and 11. Calculation for dual level transmitter setup.
Bottom-range is zero for manual shutdown sequence.
High and Low alarms configurable by Operator.
Alarm setpoints to be confirmed during commissioning.
Source: 2000-ME073-M01-10002.
</t>
  </si>
  <si>
    <t>LT18201</t>
  </si>
  <si>
    <t>F18-HP-511 Cleaner Scavenger Flotation Cell Feed Hopper Level Indicating Transmitter</t>
  </si>
  <si>
    <t xml:space="preserve">
F18HP511 Water Ctrl</t>
  </si>
  <si>
    <t>Dual hopper control. See 2000-F00-REP-PR-10001 for further information.
Operator to ensure Level Controller A setpoint is less than Level Controller B setpoint.
Alarm setpoints to be confirmed during commissioning.</t>
  </si>
  <si>
    <t>F18CF511 Recycle Ctrl</t>
  </si>
  <si>
    <t>F18-BX-511 Cleaner Scavenger Flotation ERM Recycle Level Control Valve</t>
  </si>
  <si>
    <t>Dual hopper control. See 2000-F00-REP-PR-10001 for further information.
Operator to ensure Level Controller A setpoint is less than Level Controller B setpoint.</t>
  </si>
  <si>
    <t>FIT18227</t>
  </si>
  <si>
    <t>FIC18227</t>
  </si>
  <si>
    <t>F18-PP-511/512 Cleaner Scavenger Flotation Cell Recirculation Pumps Discharge Flow Indicating Transmitter</t>
  </si>
  <si>
    <t>F18PP511/2 Ctrl</t>
  </si>
  <si>
    <t>Cleaner Flotation Cell Recirculation Pump 1/2 via Handswitch 18227</t>
  </si>
  <si>
    <t>Duty F18PP511/512 VSD via HS18227</t>
  </si>
  <si>
    <t>Maximum 2018 m3/hr. Pumps designed to 2242 m3/hr. 
Alarm setpoints to be confirmed during commissioning.
Alarm enabled delay of 10 seconds during pump start-up.</t>
  </si>
  <si>
    <t>LT18211</t>
  </si>
  <si>
    <t>LIC18211B</t>
  </si>
  <si>
    <t>F18-HP-513 Cleaner Scavenger Flotation Cell Tails Hopper Level Indicating Transmitter</t>
  </si>
  <si>
    <t>F18HP511 Pump Ctrl</t>
  </si>
  <si>
    <t>Cleaner Scavenger Flotation Cell Tails Pump 1/2 via Handswitch 18237</t>
  </si>
  <si>
    <t>Duty F18PP513/514 VSD via HS18237</t>
  </si>
  <si>
    <t>F18HP513 Water Ctrl</t>
  </si>
  <si>
    <t>Dual hopper control. See 2000-F00-REP-PR-10001 for further information.
Operator to ensure Level Controller A setpoint is less than Level Controller B setpoint.
Alarms to be confirmed during commissioning.</t>
  </si>
  <si>
    <t>FIT18257</t>
  </si>
  <si>
    <t>F26-CF-511 Cleaner-Scavenger Flotation Cell Wash Water Flow Flow Indicating Transmitter</t>
  </si>
  <si>
    <t>F18CF511 Conc Water Ctrl</t>
  </si>
  <si>
    <t>Mask when FCV18257 is Closed</t>
  </si>
  <si>
    <t>In CASCADE Mode, the setpoint for FIC18257 is provided by F18CALC0006.
Alarms to be confirmed during commissioning.
Alarm enabled delay of 10 seconds during F18PP513/514 Start-Up.
Source: 2000-ME073-M01-10001.</t>
  </si>
  <si>
    <t>FIT18256</t>
  </si>
  <si>
    <t>F26-CF-511 Cleaner-Scavenger Flotation Cell Air Flow Indicating Transmitter</t>
  </si>
  <si>
    <t>F18CF511 Air Ctrl</t>
  </si>
  <si>
    <t>DUTY F18PP511/512 NOT RUNNING AND
FCV18256 CLOSED</t>
  </si>
  <si>
    <t>High and Low alarms configurable by Operator.
Alarm setpoints to be confirmed during commissioning.
Alarm enabled delay of 10 seconds during F18PP513/514 Start-Up.
Source: 2000-ME073-M01-10001.</t>
  </si>
  <si>
    <t>F18CF511 Froth</t>
  </si>
  <si>
    <t xml:space="preserve">Please refer to 2000-ME073-M01-10001 Page 8 and 11. Calculation for dual level transmitter setup.
Bottom-range is zero for manual shutdown sequence.
High and Low alarms configurable by Operator. Default Values provided.
Alarm setpoints to be confirmed during commissioning.
Alarm enabled delay of 10 seconds during F18PP513/514 Start-Up.
Source: 2000-ME073-M01-10001.
</t>
  </si>
  <si>
    <t>DRIVE INTERLOCKS AND CONTROL</t>
  </si>
  <si>
    <t>Description (Unhealthy Interlocks and Healthy Permissives)</t>
  </si>
  <si>
    <t>Interlocks</t>
  </si>
  <si>
    <t>Name</t>
  </si>
  <si>
    <t>Drive Type</t>
  </si>
  <si>
    <t>Speed Min</t>
  </si>
  <si>
    <t>Speed Max</t>
  </si>
  <si>
    <t>Speed Units</t>
  </si>
  <si>
    <t>SP Lower Limit</t>
  </si>
  <si>
    <t>SP Upper Limit</t>
  </si>
  <si>
    <t>Current  Max</t>
  </si>
  <si>
    <t>Start Condition (Auto Mode)</t>
  </si>
  <si>
    <t>Stop Condition (Auto Mode)</t>
  </si>
  <si>
    <t>Start Permissive</t>
  </si>
  <si>
    <t>Process</t>
  </si>
  <si>
    <t>Critical</t>
  </si>
  <si>
    <t>Hardwired to Drive</t>
  </si>
  <si>
    <t>F16-AG-421</t>
  </si>
  <si>
    <t>ROUGHER FLOTATION CELL 1 AGITATOR</t>
  </si>
  <si>
    <t>VSD</t>
  </si>
  <si>
    <t>Manually started by CRO</t>
  </si>
  <si>
    <t>Manually stopped by CRO</t>
  </si>
  <si>
    <t>F16-AG-421 Comms Failure</t>
  </si>
  <si>
    <t>F16-AG-421 Fail to Start / Stop</t>
  </si>
  <si>
    <t>F16-AG-421 Drive Fault</t>
  </si>
  <si>
    <t>F16-AG-421 E-Stop</t>
  </si>
  <si>
    <t>F16-AG-421 MCC Unhealthy</t>
  </si>
  <si>
    <t>F16-AG-421 Drive Out of Service</t>
  </si>
  <si>
    <t>F16-AG-421 Drive Ready</t>
  </si>
  <si>
    <t>TI16014 &gt;= A_HH</t>
  </si>
  <si>
    <t>Protection for gear unit.</t>
  </si>
  <si>
    <t>PI16015 &lt;= A_LL</t>
  </si>
  <si>
    <t>VI16019 &gt;= A_HH</t>
  </si>
  <si>
    <t>Gearbox Vibration Alarm High High</t>
  </si>
  <si>
    <t>VI16020 &gt;= A_HH</t>
  </si>
  <si>
    <t>Motor Vibration Alarm High High</t>
  </si>
  <si>
    <t>F16-AG-422</t>
  </si>
  <si>
    <t>ROUGHER FLOTATION CELL 2 AGITATOR</t>
  </si>
  <si>
    <t>F16-AG-422 Comms Failure</t>
  </si>
  <si>
    <t>F16-AG-422 Fail to Start / Stop</t>
  </si>
  <si>
    <t>F16-AG-422 Drive Fault</t>
  </si>
  <si>
    <t>F16-AG-422 E-Stop</t>
  </si>
  <si>
    <t>F16-AG-422 MCC Unhealthy</t>
  </si>
  <si>
    <t>F16-AG-422 Drive Out of Service</t>
  </si>
  <si>
    <t>F16-AG-422 Drive Ready</t>
  </si>
  <si>
    <t>TI16054 &gt;= A_HH</t>
  </si>
  <si>
    <t>PI16055 &lt;= A_LL</t>
  </si>
  <si>
    <t>VI16059 &gt;= A_HH</t>
  </si>
  <si>
    <t>VI16060 &gt;= A_HH</t>
  </si>
  <si>
    <t>F16-AG-423</t>
  </si>
  <si>
    <t>ROUGHER FLOTATION CELL 3 AGITATOR</t>
  </si>
  <si>
    <t>F16-AG-423 Comms Failure</t>
  </si>
  <si>
    <t>F16-AG-423 Fail to Start / Stop</t>
  </si>
  <si>
    <t>F16-AG-423 Drive Fault</t>
  </si>
  <si>
    <t>F16-AG-423 E-Stop</t>
  </si>
  <si>
    <t>F16-AG-423 MCC Unhealthy</t>
  </si>
  <si>
    <t>F16-AG-423 Drive Out of Service</t>
  </si>
  <si>
    <t>F16-AG-423 Drive Ready</t>
  </si>
  <si>
    <t>TI16064 &gt;= A_HH</t>
  </si>
  <si>
    <t>PI16065 &lt;= A_LL</t>
  </si>
  <si>
    <t>VI16069 &gt;= A_HH</t>
  </si>
  <si>
    <t>VI16070 &gt;= A_HH</t>
  </si>
  <si>
    <t>F16-FN-497</t>
  </si>
  <si>
    <t>ROUGHER FLOTATION CELL 1 GEARBOX COOLING FAN</t>
  </si>
  <si>
    <t>DOL</t>
  </si>
  <si>
    <r>
      <t xml:space="preserve">TI16014 </t>
    </r>
    <r>
      <rPr>
        <u/>
        <sz val="11"/>
        <color rgb="FF0000FF"/>
        <rFont val="Arial"/>
        <family val="2"/>
      </rPr>
      <t>&gt;</t>
    </r>
    <r>
      <rPr>
        <sz val="11"/>
        <color rgb="FF0000FF"/>
        <rFont val="Arial"/>
        <family val="2"/>
      </rPr>
      <t xml:space="preserve"> P_HH</t>
    </r>
  </si>
  <si>
    <r>
      <t xml:space="preserve">TI16014 </t>
    </r>
    <r>
      <rPr>
        <u/>
        <sz val="11"/>
        <color rgb="FF0000FF"/>
        <rFont val="Arial"/>
        <family val="2"/>
      </rPr>
      <t>&lt;</t>
    </r>
    <r>
      <rPr>
        <sz val="11"/>
        <color rgb="FF0000FF"/>
        <rFont val="Arial"/>
        <family val="2"/>
      </rPr>
      <t xml:space="preserve"> P_Hi</t>
    </r>
  </si>
  <si>
    <t>F16-FN-497 Comms Failure</t>
  </si>
  <si>
    <t>F16-FN-497 Fail to Start / Stop</t>
  </si>
  <si>
    <t>F16-FN-497 Drive Fault</t>
  </si>
  <si>
    <t>F16-FN-497 E-Stop</t>
  </si>
  <si>
    <t>F16-HT-562 MCC Unhealthy</t>
  </si>
  <si>
    <t>F16-FN-497 Drive Out of Service</t>
  </si>
  <si>
    <t>F16-FN-497 Drive Ready</t>
  </si>
  <si>
    <t>F16-HT-562X</t>
  </si>
  <si>
    <t>ROUGHER FLOTATION CELL 1 GEARBOX HEATER 1 &amp; 2</t>
  </si>
  <si>
    <t>FE</t>
  </si>
  <si>
    <r>
      <t xml:space="preserve">TI16014 </t>
    </r>
    <r>
      <rPr>
        <u/>
        <sz val="11"/>
        <color rgb="FF0000FF"/>
        <rFont val="Arial"/>
        <family val="2"/>
      </rPr>
      <t>&lt;</t>
    </r>
    <r>
      <rPr>
        <sz val="11"/>
        <color rgb="FF0000FF"/>
        <rFont val="Arial"/>
        <family val="2"/>
      </rPr>
      <t xml:space="preserve"> P_LL</t>
    </r>
  </si>
  <si>
    <r>
      <t xml:space="preserve">TI16014 </t>
    </r>
    <r>
      <rPr>
        <u/>
        <sz val="11"/>
        <color rgb="FF0000FF"/>
        <rFont val="Arial"/>
        <family val="2"/>
      </rPr>
      <t>&gt;</t>
    </r>
    <r>
      <rPr>
        <sz val="11"/>
        <color rgb="FF0000FF"/>
        <rFont val="Arial"/>
        <family val="2"/>
      </rPr>
      <t xml:space="preserve"> P_Lo</t>
    </r>
  </si>
  <si>
    <t>F16-HT-562 &amp; F16-HT-563 controlled by a common DOL starter.</t>
  </si>
  <si>
    <t>F16-HT-562 Comms Failure</t>
  </si>
  <si>
    <t>F16-HT-562 Fail to Start / Stop</t>
  </si>
  <si>
    <t>F16-HT-562 Drive Fault</t>
  </si>
  <si>
    <t>F16-HT-562 E-Stop</t>
  </si>
  <si>
    <t>F16-HT-562 Drive Out of Service</t>
  </si>
  <si>
    <t>F16-HT-562 Drive Ready</t>
  </si>
  <si>
    <t>TI16014 &gt;= A_Hi</t>
  </si>
  <si>
    <t>F16-FN-498</t>
  </si>
  <si>
    <t>ROUGHER FLOTATION CELL 2 GEARBOX COOLING FAN</t>
  </si>
  <si>
    <r>
      <t xml:space="preserve">TI16054 </t>
    </r>
    <r>
      <rPr>
        <u/>
        <sz val="11"/>
        <color rgb="FF0000FF"/>
        <rFont val="Arial"/>
        <family val="2"/>
      </rPr>
      <t>&gt;</t>
    </r>
    <r>
      <rPr>
        <sz val="11"/>
        <color rgb="FF0000FF"/>
        <rFont val="Arial"/>
        <family val="2"/>
      </rPr>
      <t xml:space="preserve"> P_HH</t>
    </r>
  </si>
  <si>
    <r>
      <t xml:space="preserve">TI16054 </t>
    </r>
    <r>
      <rPr>
        <u/>
        <sz val="11"/>
        <color rgb="FF0000FF"/>
        <rFont val="Arial"/>
        <family val="2"/>
      </rPr>
      <t>&lt;</t>
    </r>
    <r>
      <rPr>
        <sz val="11"/>
        <color rgb="FF0000FF"/>
        <rFont val="Arial"/>
        <family val="2"/>
      </rPr>
      <t xml:space="preserve"> P_Hi</t>
    </r>
  </si>
  <si>
    <t>F16-FN-498 Comms Failure</t>
  </si>
  <si>
    <t>F16-FN-498 Fail to Start / Stop</t>
  </si>
  <si>
    <t>F16-FN-498 Drive Fault</t>
  </si>
  <si>
    <t>F16-FN-498 E-Stop</t>
  </si>
  <si>
    <t>F16-FN-498 MCC Unhealthy</t>
  </si>
  <si>
    <t>F16-FN-498 Drive Out of Service</t>
  </si>
  <si>
    <t>F16-FN-498 Drive Ready</t>
  </si>
  <si>
    <t>F16-HT-564X</t>
  </si>
  <si>
    <t>ROUGHER FLOTATION CELL 2 GEARBOX HEATER 1 &amp; 2</t>
  </si>
  <si>
    <r>
      <t xml:space="preserve">TI16054 </t>
    </r>
    <r>
      <rPr>
        <u/>
        <sz val="11"/>
        <color rgb="FF0000FF"/>
        <rFont val="Arial"/>
        <family val="2"/>
      </rPr>
      <t>&lt;</t>
    </r>
    <r>
      <rPr>
        <sz val="11"/>
        <color rgb="FF0000FF"/>
        <rFont val="Arial"/>
        <family val="2"/>
      </rPr>
      <t xml:space="preserve"> P_LL</t>
    </r>
  </si>
  <si>
    <r>
      <t xml:space="preserve">TI16054 </t>
    </r>
    <r>
      <rPr>
        <u/>
        <sz val="11"/>
        <color rgb="FF0000FF"/>
        <rFont val="Arial"/>
        <family val="2"/>
      </rPr>
      <t>&gt;</t>
    </r>
    <r>
      <rPr>
        <sz val="11"/>
        <color rgb="FF0000FF"/>
        <rFont val="Arial"/>
        <family val="2"/>
      </rPr>
      <t xml:space="preserve"> P_Lo</t>
    </r>
  </si>
  <si>
    <t>F16-HT-564 &amp; F16-HT-565 controlled by a common DOL starter.</t>
  </si>
  <si>
    <t>F16-HT-564 Comms Failure</t>
  </si>
  <si>
    <t>F16-HT-564 Fail to Start / Stop</t>
  </si>
  <si>
    <t>F16-HT-564 Drive Fault</t>
  </si>
  <si>
    <t>F16-HT-564 E-Stop</t>
  </si>
  <si>
    <t>F16-HT-564 MCC Unhealthy</t>
  </si>
  <si>
    <t>F16-HT-564 Drive Out of Service</t>
  </si>
  <si>
    <t>F16-HT-564 Drive Ready</t>
  </si>
  <si>
    <t>TI16054 &gt;= A_Hi</t>
  </si>
  <si>
    <t>F16-FN-499</t>
  </si>
  <si>
    <t>ROUGHER FLOTATION CELL 3 GEARBOX COOLING FAN</t>
  </si>
  <si>
    <r>
      <t xml:space="preserve">TI16064 </t>
    </r>
    <r>
      <rPr>
        <u/>
        <sz val="11"/>
        <color rgb="FF0000FF"/>
        <rFont val="Arial"/>
        <family val="2"/>
      </rPr>
      <t>&gt;</t>
    </r>
    <r>
      <rPr>
        <sz val="11"/>
        <color rgb="FF0000FF"/>
        <rFont val="Arial"/>
        <family val="2"/>
      </rPr>
      <t xml:space="preserve"> P_HH</t>
    </r>
  </si>
  <si>
    <r>
      <t xml:space="preserve">TI16064 </t>
    </r>
    <r>
      <rPr>
        <u/>
        <sz val="11"/>
        <color rgb="FF0000FF"/>
        <rFont val="Arial"/>
        <family val="2"/>
      </rPr>
      <t>&lt;</t>
    </r>
    <r>
      <rPr>
        <sz val="11"/>
        <color rgb="FF0000FF"/>
        <rFont val="Arial"/>
        <family val="2"/>
      </rPr>
      <t xml:space="preserve"> P_Hi</t>
    </r>
  </si>
  <si>
    <t>F16-FN-499 Comms Failure</t>
  </si>
  <si>
    <t>F16-FN-499 Fail to Start / Stop</t>
  </si>
  <si>
    <t>F16-FN-499 Drive Fault</t>
  </si>
  <si>
    <t>F16-FN-499 E-Stop</t>
  </si>
  <si>
    <t>F16-FN-499 MCC Unhealthy</t>
  </si>
  <si>
    <t>F16-FN-499 Drive Out of Service</t>
  </si>
  <si>
    <t>F16-FN-499 Drive Ready</t>
  </si>
  <si>
    <t>F16-HT-566X</t>
  </si>
  <si>
    <t>ROUGHER FLOTATION CELL 3 GEARBOX HEATER 1 &amp; 2</t>
  </si>
  <si>
    <r>
      <t xml:space="preserve">TI16064 </t>
    </r>
    <r>
      <rPr>
        <u/>
        <sz val="11"/>
        <color rgb="FF0000FF"/>
        <rFont val="Arial"/>
        <family val="2"/>
      </rPr>
      <t>&lt;</t>
    </r>
    <r>
      <rPr>
        <sz val="11"/>
        <color rgb="FF0000FF"/>
        <rFont val="Arial"/>
        <family val="2"/>
      </rPr>
      <t xml:space="preserve"> P_LL</t>
    </r>
  </si>
  <si>
    <r>
      <t xml:space="preserve">TI16064 </t>
    </r>
    <r>
      <rPr>
        <u/>
        <sz val="11"/>
        <color rgb="FF0000FF"/>
        <rFont val="Arial"/>
        <family val="2"/>
      </rPr>
      <t>&gt;</t>
    </r>
    <r>
      <rPr>
        <sz val="11"/>
        <color rgb="FF0000FF"/>
        <rFont val="Arial"/>
        <family val="2"/>
      </rPr>
      <t xml:space="preserve"> P_Lo</t>
    </r>
  </si>
  <si>
    <t>F16-HT-566 &amp; F16-HT-567 controlled by a common DOL starter.</t>
  </si>
  <si>
    <t>F16-HT-566 Comms Failure</t>
  </si>
  <si>
    <t>F16-HT-566 Fail to Start / Stop</t>
  </si>
  <si>
    <t>F16-HT-566 Drive Fault</t>
  </si>
  <si>
    <t>F16-HT-566 E-Stop</t>
  </si>
  <si>
    <t>F16-HT-566 MCC Unhealthy</t>
  </si>
  <si>
    <t>F16-HT-566 Drive Out of Service</t>
  </si>
  <si>
    <t>F16-HT-566 Drive Ready</t>
  </si>
  <si>
    <t>TI16064 &gt;= A_Hi</t>
  </si>
  <si>
    <t>F16-AG-424</t>
  </si>
  <si>
    <t>SCAVENGER FLOTATION CELL 1 AGITATOR</t>
  </si>
  <si>
    <t>F16-AG-424 Comms Failure</t>
  </si>
  <si>
    <t>F16-AG-424 Fail to Start / Stop</t>
  </si>
  <si>
    <t>F16-AG-424 Drive Fault</t>
  </si>
  <si>
    <t>F16-AG-424 E-Stop</t>
  </si>
  <si>
    <t>F16-AG-424 MCC Unhealthy</t>
  </si>
  <si>
    <t>F16-AG-424 Drive Out of Service</t>
  </si>
  <si>
    <t>F16-AG-424 Drive Ready</t>
  </si>
  <si>
    <t>TI16084 &gt;= A_HH</t>
  </si>
  <si>
    <t>PI16085 &lt;= A_LL</t>
  </si>
  <si>
    <t>VI16089 &gt;= A_HH</t>
  </si>
  <si>
    <t>VI16090 &gt;= A_HH</t>
  </si>
  <si>
    <t>F16-AG-425</t>
  </si>
  <si>
    <t>SCAVENGER FLOTATION CELL 2 AGITATOR</t>
  </si>
  <si>
    <t>F16-AG-425 Comms Failure</t>
  </si>
  <si>
    <t>F16-AG-425 Fail to Start / Stop</t>
  </si>
  <si>
    <t>F16-AG-425 Drive Fault</t>
  </si>
  <si>
    <t>F16-AG-425 E-Stop</t>
  </si>
  <si>
    <t>F16-AG-425 MCC Unhealthy</t>
  </si>
  <si>
    <t>F16-AG-425 Drive Out of Service</t>
  </si>
  <si>
    <t>F16-AG-425 Drive Ready</t>
  </si>
  <si>
    <t>TI16094 &gt;= A_HH</t>
  </si>
  <si>
    <t>PI16095 &lt;= A_LL</t>
  </si>
  <si>
    <t>VI16099 &gt;= A_HH</t>
  </si>
  <si>
    <t>VI16100 &gt;= A_HH</t>
  </si>
  <si>
    <t>F16-AG-426</t>
  </si>
  <si>
    <t>SCAVENGER FLOTATION CELL 3 AGITATOR</t>
  </si>
  <si>
    <t>F16-AG-426 Comms Failure</t>
  </si>
  <si>
    <t>F16-AG-426 Fail to Start / Stop</t>
  </si>
  <si>
    <t>F16-AG-426 Drive Fault</t>
  </si>
  <si>
    <t>F16-AG-426 E-Stop</t>
  </si>
  <si>
    <t>F16-AG-426 MCC Unhealthy</t>
  </si>
  <si>
    <t>F16-AG-426 Drive Out of Service</t>
  </si>
  <si>
    <t>F16-AG-426 Drive Ready</t>
  </si>
  <si>
    <t>TI16104 &gt;= A_HH</t>
  </si>
  <si>
    <t>PI16105 &lt;= A_LL</t>
  </si>
  <si>
    <t>VI16109 &gt;= A_HH</t>
  </si>
  <si>
    <t>VI16110 &gt;= A_HH</t>
  </si>
  <si>
    <t>F16-FN-500</t>
  </si>
  <si>
    <t>SCAVENGER FLOTATION CELL 1 GEARBOX COOLING FAN</t>
  </si>
  <si>
    <r>
      <t xml:space="preserve">TI16084 </t>
    </r>
    <r>
      <rPr>
        <u/>
        <sz val="11"/>
        <color rgb="FF0000FF"/>
        <rFont val="Arial"/>
        <family val="2"/>
      </rPr>
      <t>&gt;</t>
    </r>
    <r>
      <rPr>
        <sz val="11"/>
        <color rgb="FF0000FF"/>
        <rFont val="Arial"/>
        <family val="2"/>
      </rPr>
      <t xml:space="preserve"> P_HH</t>
    </r>
  </si>
  <si>
    <r>
      <t xml:space="preserve">TI16084 </t>
    </r>
    <r>
      <rPr>
        <u/>
        <sz val="11"/>
        <color rgb="FF0000FF"/>
        <rFont val="Arial"/>
        <family val="2"/>
      </rPr>
      <t>&lt;</t>
    </r>
    <r>
      <rPr>
        <sz val="11"/>
        <color rgb="FF0000FF"/>
        <rFont val="Arial"/>
        <family val="2"/>
      </rPr>
      <t xml:space="preserve"> P_Hi</t>
    </r>
  </si>
  <si>
    <t>F16-FN-500 Comms Failure</t>
  </si>
  <si>
    <t>F16-FN-500 Fail to Start / Stop</t>
  </si>
  <si>
    <t>F16-FN-500 Drive Fault</t>
  </si>
  <si>
    <t>F16-FN-500 E-Stop</t>
  </si>
  <si>
    <t>F16-FN-500 MCC Unhealthy</t>
  </si>
  <si>
    <t>F16-FN-500 Drive Out of Service</t>
  </si>
  <si>
    <t>F16-FN-500 Drive Ready</t>
  </si>
  <si>
    <t>F16-HT-568X</t>
  </si>
  <si>
    <t>SCAVENGER FLOTATION CELL 1 GEARBOX HEATER 1 &amp; 2</t>
  </si>
  <si>
    <r>
      <t xml:space="preserve">TI16084 </t>
    </r>
    <r>
      <rPr>
        <u/>
        <sz val="11"/>
        <color rgb="FF0000FF"/>
        <rFont val="Arial"/>
        <family val="2"/>
      </rPr>
      <t>&lt;</t>
    </r>
    <r>
      <rPr>
        <sz val="11"/>
        <color rgb="FF0000FF"/>
        <rFont val="Arial"/>
        <family val="2"/>
      </rPr>
      <t xml:space="preserve"> P_LL</t>
    </r>
  </si>
  <si>
    <r>
      <t xml:space="preserve">TI16084 </t>
    </r>
    <r>
      <rPr>
        <u/>
        <sz val="11"/>
        <color rgb="FF0000FF"/>
        <rFont val="Arial"/>
        <family val="2"/>
      </rPr>
      <t>&gt;</t>
    </r>
    <r>
      <rPr>
        <sz val="11"/>
        <color rgb="FF0000FF"/>
        <rFont val="Arial"/>
        <family val="2"/>
      </rPr>
      <t xml:space="preserve"> P_Lo</t>
    </r>
  </si>
  <si>
    <t>F16-HT-568 &amp; F16-HT-569 controlled by a common DOL starter.</t>
  </si>
  <si>
    <t>F16-HT-568 Comms Failure</t>
  </si>
  <si>
    <t>F16-HT-568 Fail to Start / Stop</t>
  </si>
  <si>
    <t>F16-HT-568 Drive Fault</t>
  </si>
  <si>
    <t>F16-HT-568 E-Stop</t>
  </si>
  <si>
    <t>F16-HT-568 MCC Unhealthy</t>
  </si>
  <si>
    <t>F16-HT-568 Drive Out of Service</t>
  </si>
  <si>
    <t>F16-HT-568 Drive Ready</t>
  </si>
  <si>
    <t>TI16084 &gt;= A_Hi</t>
  </si>
  <si>
    <t>F16-FN-501</t>
  </si>
  <si>
    <t>SCAVENGER FLOTATION CELL 2 GEARBOX COOLING FAN</t>
  </si>
  <si>
    <t>F16-FN-501 Comms Failure</t>
  </si>
  <si>
    <t>F16-FN-501 Fail to Start / Stop</t>
  </si>
  <si>
    <t>F16-FN-501 Drive Fault</t>
  </si>
  <si>
    <t>F16-FN-501 E-Stop</t>
  </si>
  <si>
    <t>F16-FN-501 MCC Unhealthy</t>
  </si>
  <si>
    <t>F16-FN-501 Drive Out of Service</t>
  </si>
  <si>
    <t>F16-FN-501 Drive Ready</t>
  </si>
  <si>
    <t>F16-HT-570X</t>
  </si>
  <si>
    <t>SCAVENGER FLOTATION CELL 2 GEARBOX HEATER 1 &amp; 2</t>
  </si>
  <si>
    <r>
      <t xml:space="preserve">TI16094 </t>
    </r>
    <r>
      <rPr>
        <u/>
        <sz val="11"/>
        <color rgb="FF0000FF"/>
        <rFont val="Arial"/>
        <family val="2"/>
      </rPr>
      <t>&lt;</t>
    </r>
    <r>
      <rPr>
        <sz val="11"/>
        <color rgb="FF0000FF"/>
        <rFont val="Arial"/>
        <family val="2"/>
      </rPr>
      <t xml:space="preserve"> P_LL</t>
    </r>
  </si>
  <si>
    <r>
      <t xml:space="preserve">TI16094 </t>
    </r>
    <r>
      <rPr>
        <u/>
        <sz val="11"/>
        <color rgb="FF0000FF"/>
        <rFont val="Arial"/>
        <family val="2"/>
      </rPr>
      <t>&gt;</t>
    </r>
    <r>
      <rPr>
        <sz val="11"/>
        <color rgb="FF0000FF"/>
        <rFont val="Arial"/>
        <family val="2"/>
      </rPr>
      <t xml:space="preserve"> P_Lo</t>
    </r>
  </si>
  <si>
    <t>F16-HT-570 &amp; F16-HT-571 controlled by a common DOL starter.</t>
  </si>
  <si>
    <t>F16-HT-570 Comms Failure</t>
  </si>
  <si>
    <t>F16-HT-570 Fail to Start / Stop</t>
  </si>
  <si>
    <t>F16-HT-570 Drive Fault</t>
  </si>
  <si>
    <t>F16-HT-570 E-Stop</t>
  </si>
  <si>
    <t>F16-HT-570 MCC Unhealthy</t>
  </si>
  <si>
    <t>F16-HT-570 Drive Out of Service</t>
  </si>
  <si>
    <t>F16-HT-570 Drive Ready</t>
  </si>
  <si>
    <t>TI16094 &gt;= A_Hi</t>
  </si>
  <si>
    <t>F16-FN-502</t>
  </si>
  <si>
    <t>SCAVENGER FLOTATION CELL 3 GEARBOX COOLING FAN</t>
  </si>
  <si>
    <t>TI16104 P_HH</t>
  </si>
  <si>
    <t>TI16104 P_Hi</t>
  </si>
  <si>
    <t>F16-FN-502 Comms Failure</t>
  </si>
  <si>
    <t>F16-FN-502 Fail to Start / Stop</t>
  </si>
  <si>
    <t>F16-FN-502 Drive Fault</t>
  </si>
  <si>
    <t>F16-FN-502 E-Stop</t>
  </si>
  <si>
    <t>F16-FN-502 MCC Unhealthy</t>
  </si>
  <si>
    <t>F16-FN-502 Drive Out of Service</t>
  </si>
  <si>
    <t>F16-FN-502 Drive Ready</t>
  </si>
  <si>
    <t>F16-HT-572X</t>
  </si>
  <si>
    <t>SCAVENGER FLOTATION CELL 3 GEARBOX HEATER 1 &amp; 2</t>
  </si>
  <si>
    <r>
      <t xml:space="preserve">TI16104 </t>
    </r>
    <r>
      <rPr>
        <u/>
        <sz val="11"/>
        <color rgb="FF0000FF"/>
        <rFont val="Arial"/>
        <family val="2"/>
      </rPr>
      <t>&lt;</t>
    </r>
    <r>
      <rPr>
        <sz val="11"/>
        <color rgb="FF0000FF"/>
        <rFont val="Arial"/>
        <family val="2"/>
      </rPr>
      <t xml:space="preserve"> P_LL</t>
    </r>
  </si>
  <si>
    <r>
      <t xml:space="preserve">TI16104 </t>
    </r>
    <r>
      <rPr>
        <u/>
        <sz val="11"/>
        <color rgb="FF0000FF"/>
        <rFont val="Arial"/>
        <family val="2"/>
      </rPr>
      <t>&gt;</t>
    </r>
    <r>
      <rPr>
        <sz val="11"/>
        <color rgb="FF0000FF"/>
        <rFont val="Arial"/>
        <family val="2"/>
      </rPr>
      <t xml:space="preserve"> P_Lo</t>
    </r>
  </si>
  <si>
    <t>F16-HT-572 &amp; F16-HT-573 controlled by a common DOL starter.</t>
  </si>
  <si>
    <t>F16-HT-572 Comms Failure</t>
  </si>
  <si>
    <t>F16-HT-572 Fail to Start / Stop</t>
  </si>
  <si>
    <t>F16-HT-572 Drive Fault</t>
  </si>
  <si>
    <t>F16-HT-572 E-Stop</t>
  </si>
  <si>
    <t>F16-HT-572 MCC Unhealthy</t>
  </si>
  <si>
    <t>F16-HT-572 Drive Out of Service</t>
  </si>
  <si>
    <t>F16-HT-572 Drive Ready</t>
  </si>
  <si>
    <t>TI16104 &gt;= A_Hi</t>
  </si>
  <si>
    <t>F16-AG-427</t>
  </si>
  <si>
    <t>SCAVENGER FLOTATION CELL 4 AGITATOR</t>
  </si>
  <si>
    <t>F16-AG-427 Comms Failure</t>
  </si>
  <si>
    <t>F16-AG-427 Fail to Start / Stop</t>
  </si>
  <si>
    <t>F16-AG-427 Drive Fault</t>
  </si>
  <si>
    <t>F16-AG-427 E-Stop</t>
  </si>
  <si>
    <t>F16-AG-427 MCC Unhealthy</t>
  </si>
  <si>
    <t>F16-AG-427 Drive Out of Service</t>
  </si>
  <si>
    <t>F16-AG-427 Drive Ready</t>
  </si>
  <si>
    <t>TI16114 &gt;= A_HH</t>
  </si>
  <si>
    <t>PI16115 &lt;= A_LL</t>
  </si>
  <si>
    <t>VI16119 &gt;= A_HH</t>
  </si>
  <si>
    <t>VI16120 &gt;= A_HH</t>
  </si>
  <si>
    <t>F16-FN-503</t>
  </si>
  <si>
    <t>SCAVENGER FLOTATION CELL 4 GEARBOX COOLING FAN</t>
  </si>
  <si>
    <r>
      <t xml:space="preserve">TI16184 </t>
    </r>
    <r>
      <rPr>
        <u/>
        <sz val="11"/>
        <color rgb="FF0000FF"/>
        <rFont val="Arial"/>
        <family val="2"/>
      </rPr>
      <t>&gt;</t>
    </r>
    <r>
      <rPr>
        <sz val="11"/>
        <color rgb="FF0000FF"/>
        <rFont val="Arial"/>
        <family val="2"/>
      </rPr>
      <t xml:space="preserve"> P_HH</t>
    </r>
  </si>
  <si>
    <r>
      <t xml:space="preserve">TI16184 </t>
    </r>
    <r>
      <rPr>
        <u/>
        <sz val="11"/>
        <color rgb="FF0000FF"/>
        <rFont val="Arial"/>
        <family val="2"/>
      </rPr>
      <t>&lt;</t>
    </r>
    <r>
      <rPr>
        <sz val="11"/>
        <color rgb="FF0000FF"/>
        <rFont val="Arial"/>
        <family val="2"/>
      </rPr>
      <t xml:space="preserve"> P_Hi</t>
    </r>
  </si>
  <si>
    <t>F16-FN-503 Comms Failure</t>
  </si>
  <si>
    <t>F16-FN-503 Fail to Start / Stop</t>
  </si>
  <si>
    <t>F16-FN-503 Drive Fault</t>
  </si>
  <si>
    <t>F16-FN-503 E-Stop</t>
  </si>
  <si>
    <t>F16-FN-503 MCC Unhealthy</t>
  </si>
  <si>
    <t>F16-FN-503 Drive Out of Service</t>
  </si>
  <si>
    <t>F16-FN-503 Drive Ready</t>
  </si>
  <si>
    <t>F16-HT-574X</t>
  </si>
  <si>
    <t>SCAVENGER FLOTATION CELL 4 GEARBOX HEATER 1 &amp; 2</t>
  </si>
  <si>
    <r>
      <t xml:space="preserve">TI16114 </t>
    </r>
    <r>
      <rPr>
        <u/>
        <sz val="11"/>
        <color rgb="FF0000FF"/>
        <rFont val="Arial"/>
        <family val="2"/>
      </rPr>
      <t>&lt;</t>
    </r>
    <r>
      <rPr>
        <sz val="11"/>
        <color rgb="FF0000FF"/>
        <rFont val="Arial"/>
        <family val="2"/>
      </rPr>
      <t xml:space="preserve"> P_LL</t>
    </r>
  </si>
  <si>
    <r>
      <t xml:space="preserve">TI16114 </t>
    </r>
    <r>
      <rPr>
        <u/>
        <sz val="11"/>
        <color rgb="FF0000FF"/>
        <rFont val="Arial"/>
        <family val="2"/>
      </rPr>
      <t>&gt;</t>
    </r>
    <r>
      <rPr>
        <sz val="11"/>
        <color rgb="FF0000FF"/>
        <rFont val="Arial"/>
        <family val="2"/>
      </rPr>
      <t xml:space="preserve"> P_Lo</t>
    </r>
  </si>
  <si>
    <t>F16-HT-574 &amp; F16-HT-575 controlled by a common DOL starter.</t>
  </si>
  <si>
    <t>F16-HT-574 Comms Failure</t>
  </si>
  <si>
    <t>F16-HT-574 Fail to Start / Stop</t>
  </si>
  <si>
    <t>F16-HT-574 Drive Fault</t>
  </si>
  <si>
    <t>F16-HT-574 E-Stop</t>
  </si>
  <si>
    <t>F16-HT-574 MCC Unhealthy</t>
  </si>
  <si>
    <t>F16-HT-574 Drive Out of Service</t>
  </si>
  <si>
    <t>F16-HT-574 Drive Ready</t>
  </si>
  <si>
    <t>TI16114 &gt;= A_Hi</t>
  </si>
  <si>
    <t>FLOTATION AIR BLOWER 1</t>
  </si>
  <si>
    <t>F16-BW-401 Comms Failure</t>
  </si>
  <si>
    <t>VSD ramp up from standstill to minimum speed must be greater than 5-6 seconds. VSD ramping up or down during normal operation &lt; 1Hz/s.
Source: 2000-ME001.4-M02-50001</t>
  </si>
  <si>
    <t>F16-BW-401 Fail to Start / Stop</t>
  </si>
  <si>
    <t>F16-BW-401 Drive Fault</t>
  </si>
  <si>
    <t>F16-BW-401 E-Stop</t>
  </si>
  <si>
    <t>F16-BW-401 MCC Unhealthy</t>
  </si>
  <si>
    <t>F16-BW-401 Drive Out of Service</t>
  </si>
  <si>
    <t>F16-BW-401 Drive Ready</t>
  </si>
  <si>
    <t>PI16261 &lt;= A_LL</t>
  </si>
  <si>
    <t>Inlet air pressure low low</t>
  </si>
  <si>
    <t>PIC16199 &gt;= A_HH</t>
  </si>
  <si>
    <t>Outlet air pressure high high</t>
  </si>
  <si>
    <t>TI16265 &gt;= A_HH</t>
  </si>
  <si>
    <t>Blower enclosure temperature</t>
  </si>
  <si>
    <t>TI16263 &gt;= A_HH</t>
  </si>
  <si>
    <t>Blower outlet temperature</t>
  </si>
  <si>
    <t>TI16264 &gt;= A_HH</t>
  </si>
  <si>
    <t>Blower gearbox oil temperature (drive end)</t>
  </si>
  <si>
    <t>TI16198A &gt;= A_HH</t>
  </si>
  <si>
    <t>RTD Phase U. Resistance Thermocouple Detector to trip drive on temperature high high.</t>
  </si>
  <si>
    <t>TI16198B &gt;= A_HH</t>
  </si>
  <si>
    <t>RTD Phase V. Resistance Thermocouple Detector to trip drive on temperature high high.</t>
  </si>
  <si>
    <t>TI16198C &gt;= A_HH</t>
  </si>
  <si>
    <t>RTD Phase W. Resistance Thermocouple Detector to trip drive on temperature high high.</t>
  </si>
  <si>
    <t>TI16198D &gt;= A_HH</t>
  </si>
  <si>
    <t>DE Bearing. Drive-End bearing temperature high high</t>
  </si>
  <si>
    <t>TI16198E &gt;= A_HH</t>
  </si>
  <si>
    <t>NDE Bearing. Non-Drive End bearing temperature high high.</t>
  </si>
  <si>
    <t>Blower Max Start P/Hour Exceeded</t>
  </si>
  <si>
    <t>Logic: F16BW401_C1 = 10
Prevent drive start if 10 starts per hour has been reached. Refer to Misc. tab.</t>
  </si>
  <si>
    <t>F16-FN-487</t>
  </si>
  <si>
    <t>FLOTATION AIR BLOWER 1 MOTOR COOLING FAN</t>
  </si>
  <si>
    <t>STARTS WHEN F16-BW-401 RUNNING</t>
  </si>
  <si>
    <t>15 MINUTE TIMER ELAPSED SINCE F16-BW-401 STOPPED RUNNING</t>
  </si>
  <si>
    <t>F16-FN-487 Comms Failure</t>
  </si>
  <si>
    <t>F16-FN-487 Fail to Start / Stop</t>
  </si>
  <si>
    <t>F16-FN-487 Drive Fault</t>
  </si>
  <si>
    <t>F16-FN-487 E-Stop</t>
  </si>
  <si>
    <t>F16-FN-487 MCC Unhealthy</t>
  </si>
  <si>
    <t>F16-FN-487 Drive Out of Service</t>
  </si>
  <si>
    <t>F16-FN-487 Drive Ready</t>
  </si>
  <si>
    <t>F16-FN-493</t>
  </si>
  <si>
    <t>FLOTATION AIR BLOWER 1 VENTILATION FAN</t>
  </si>
  <si>
    <t>F16-FN-493 Comms Failure</t>
  </si>
  <si>
    <t>F16-FN-493 Fail to Start / Stop</t>
  </si>
  <si>
    <t>F16-FN-493 Drive Fault</t>
  </si>
  <si>
    <t>F16-FN-493 E-Stop</t>
  </si>
  <si>
    <t>F16-FN-493 MCC Unhealthy</t>
  </si>
  <si>
    <t>F16-FN-493 Drive Out of Service</t>
  </si>
  <si>
    <t>F16-FN-493 Drive Ready</t>
  </si>
  <si>
    <t>FLOTATION AIR BLOWER 2</t>
  </si>
  <si>
    <t>F16-BW-402 Comms Failure</t>
  </si>
  <si>
    <t>F16-BW-402 Fail to Start / Stop</t>
  </si>
  <si>
    <t>F16-BW-402 Drive Fault</t>
  </si>
  <si>
    <t>F16-BW-402 E-Stop</t>
  </si>
  <si>
    <t>F16-BW-402 MCC Unhealthy</t>
  </si>
  <si>
    <t>F16-BW-402 Drive Out of Service</t>
  </si>
  <si>
    <t>F16-BW-402 Drive Ready</t>
  </si>
  <si>
    <t>PI16271 &lt;= A_LL</t>
  </si>
  <si>
    <t>PIC16209 &gt;= A_HH</t>
  </si>
  <si>
    <t>TI16275 &gt;= A_HH</t>
  </si>
  <si>
    <t>TI16273 &gt;= A_HH</t>
  </si>
  <si>
    <t>TI16274 &gt;= A_HH</t>
  </si>
  <si>
    <t>TI16208A &gt;= A_HH</t>
  </si>
  <si>
    <t>TI16208B &gt;= A_HH</t>
  </si>
  <si>
    <t>TI16208C &gt;= A_HH</t>
  </si>
  <si>
    <t>TI16208D &gt;= A_HH</t>
  </si>
  <si>
    <t>TI16208E &gt;= A_HH</t>
  </si>
  <si>
    <t>F16BW402_C1 = 10
Prevent drive start if 10 starts per hour has been reached. Refer to Misc. tab.</t>
  </si>
  <si>
    <t>F16-FN-488</t>
  </si>
  <si>
    <t>FLOTATION AIR BLOWER 2 MOTOR COOLING FAN</t>
  </si>
  <si>
    <t>STARTS WHEN F16-BW-402 RUNNING</t>
  </si>
  <si>
    <t>15 MINUTE TIMER ELAPSED SINCE F16-BW-402 STOPPED RUNNING</t>
  </si>
  <si>
    <t>F16-FN-488 Comms Failure</t>
  </si>
  <si>
    <t>F16-FN-488 Fail to Start / Stop</t>
  </si>
  <si>
    <t>F16-FN-488 Drive Fault</t>
  </si>
  <si>
    <t>F16-FN-488 E-Stop</t>
  </si>
  <si>
    <t>F16-FN-488 MCC Unhealthy</t>
  </si>
  <si>
    <t>F16-FN-488 Drive Out of Service</t>
  </si>
  <si>
    <t>F16-FN-488 Drive Ready</t>
  </si>
  <si>
    <t>F16-FN-494</t>
  </si>
  <si>
    <t>FLOTATION AIR BLOWER 2 VENTILATION FAN</t>
  </si>
  <si>
    <t>F16-FN-494 Comms Failure</t>
  </si>
  <si>
    <t>F16-FN-494 Fail to Start / Stop</t>
  </si>
  <si>
    <t>F16-FN-494 Drive Fault</t>
  </si>
  <si>
    <t>F16-FN-494 E-Stop</t>
  </si>
  <si>
    <t>F16-FN-494 MCC Unhealthy</t>
  </si>
  <si>
    <t>F16-FN-494 Drive Out of Service</t>
  </si>
  <si>
    <t>F16-FN-494 Drive Ready</t>
  </si>
  <si>
    <t>FLOTATION AIR BLOWER 3</t>
  </si>
  <si>
    <t>F16-BW-403 Comms Failure</t>
  </si>
  <si>
    <t>F16-BW-403 Fail to Start / Stop</t>
  </si>
  <si>
    <t>F16-BW-403 Drive Fault</t>
  </si>
  <si>
    <t>F16-BW-403 E-Stop</t>
  </si>
  <si>
    <t>F16-BW-403 MCC Unhealthy</t>
  </si>
  <si>
    <t>F16-BW-403 Drive Out of Service</t>
  </si>
  <si>
    <t>F16-BW-403 Drive Ready</t>
  </si>
  <si>
    <t>PI16281 &lt;= A_LL</t>
  </si>
  <si>
    <t>PIC16219 &gt;= A_HH</t>
  </si>
  <si>
    <t>TI16285 &gt;= A_HH</t>
  </si>
  <si>
    <t>TI16283 &gt;= A_HH</t>
  </si>
  <si>
    <t>TI16284 &gt;= A_HH</t>
  </si>
  <si>
    <t>TI16218A &gt;= A_HH</t>
  </si>
  <si>
    <t>TI16218B &gt;= A_HH</t>
  </si>
  <si>
    <t>TI16218C &gt;= A_HH</t>
  </si>
  <si>
    <t>TI16218D &gt;= A_HH</t>
  </si>
  <si>
    <t>TI16218E &gt;= A_HH</t>
  </si>
  <si>
    <t>F16BW403_C1 = 10
Prevent drive start if 10 starts per hour has been reached. Refer to Misc. tab.</t>
  </si>
  <si>
    <t>F16-FN-489</t>
  </si>
  <si>
    <t>FLOTATION AIR BLOWER 3 MOTOR COOLING FAN</t>
  </si>
  <si>
    <t>STARTS WHEN F16-BW-403 RUNNING</t>
  </si>
  <si>
    <t>15 MINUTE TIMER ELAPSED SINCE F16-BW-403 STOPPED RUNNING</t>
  </si>
  <si>
    <t>F16-FN-489 Comms Failure</t>
  </si>
  <si>
    <t>F16-FN-489 Fail to Start / Stop</t>
  </si>
  <si>
    <t>F16-FN-489 Drive Fault</t>
  </si>
  <si>
    <t>F16-FN-489 E-Stop</t>
  </si>
  <si>
    <t>F16-FN-489 MCC Unhealthy</t>
  </si>
  <si>
    <t>F16-FN-489 Drive Out of Service</t>
  </si>
  <si>
    <t>F16-FN-489 Drive Ready</t>
  </si>
  <si>
    <t>F16-FN-495</t>
  </si>
  <si>
    <t>FLOTATION AIR BLOWER 3 VENTILATION FAN</t>
  </si>
  <si>
    <t>F16-FN-495 Comms Failure</t>
  </si>
  <si>
    <t>F16-FN-495 Fail to Start / Stop</t>
  </si>
  <si>
    <t>F16-FN-495 Drive Fault</t>
  </si>
  <si>
    <t>F16-FN-495 E-Stop</t>
  </si>
  <si>
    <t>F16-FN-495 MCC Unhealthy</t>
  </si>
  <si>
    <t>F16-FN-495 Drive Out of Service</t>
  </si>
  <si>
    <t>F16-FN-495 Drive Ready</t>
  </si>
  <si>
    <t>FLOTATION AIR BLOWER 4</t>
  </si>
  <si>
    <t>F16-BW-404 Comms Failure</t>
  </si>
  <si>
    <t>F16-BW-404 Fail to Start / Stop</t>
  </si>
  <si>
    <t>F16-BW-404 Drive Fault</t>
  </si>
  <si>
    <t>F16-BW-404 E-Stop</t>
  </si>
  <si>
    <t>F16-BW-404 MCC Unhealthy</t>
  </si>
  <si>
    <t>F16-BW-404 Drive Out of Service</t>
  </si>
  <si>
    <t>F16-BW-404 Drive Ready</t>
  </si>
  <si>
    <t>PI16291 &lt;= A_LL</t>
  </si>
  <si>
    <t>PIC16229 &gt;= A_HH</t>
  </si>
  <si>
    <t>TI16295 &gt;= A_HH</t>
  </si>
  <si>
    <t>TI16293 &gt;= A_HH</t>
  </si>
  <si>
    <t>TI16294 &gt;= A_HH</t>
  </si>
  <si>
    <t>TI16228A &gt;= A_HH</t>
  </si>
  <si>
    <t>TI16228B &gt;= A_HH</t>
  </si>
  <si>
    <t>TI16228C &gt;= A_HH</t>
  </si>
  <si>
    <t>TI16228D &gt;= A_HH</t>
  </si>
  <si>
    <t>TI16228E &gt;= A_HH</t>
  </si>
  <si>
    <t>F16BW404_C1 = 10
Prevent drive start if 10 starts per hour has been reached. Refer to Misc. tab.</t>
  </si>
  <si>
    <t>F16-FN-490</t>
  </si>
  <si>
    <t>FLOTATION AIR BLOWER 4 MOTOR COOLING FAN</t>
  </si>
  <si>
    <t>STARTS WHEN F16-BW-404 RUNNING</t>
  </si>
  <si>
    <t>15 MINUTE TIMER ELAPSED SINCE F16-BW-404 STOPPED RUNNING</t>
  </si>
  <si>
    <t>F16-FN-490 Comms Failure</t>
  </si>
  <si>
    <t>F16-FN-490 Fail to Start / Stop</t>
  </si>
  <si>
    <t>F16-FN-490 Drive Fault</t>
  </si>
  <si>
    <t>F16-FN-490 E-Stop</t>
  </si>
  <si>
    <t>F16-FN-490 MCC Unhealthy</t>
  </si>
  <si>
    <t>F16-FN-490 Drive Out of Service</t>
  </si>
  <si>
    <t>F16-FN-490 Drive Ready</t>
  </si>
  <si>
    <t>F16-FN-496</t>
  </si>
  <si>
    <t>FLOTATION AIR BLOWER 4 VENTILATION FAN</t>
  </si>
  <si>
    <t>F16-FN-496 Comms Failure</t>
  </si>
  <si>
    <t>F16-FN-496 Fail to Start / Stop</t>
  </si>
  <si>
    <t>F16-FN-496 Drive Fault</t>
  </si>
  <si>
    <t>F16-FN-496 E-Stop</t>
  </si>
  <si>
    <t>F16-FN-496 MCC Unhealthy</t>
  </si>
  <si>
    <t>F16-FN-496 Drive Out of Service</t>
  </si>
  <si>
    <t>F16-FN-496 Drive Ready</t>
  </si>
  <si>
    <t>F17-PP-459</t>
  </si>
  <si>
    <t>2000-ME001.5-E02-50001</t>
  </si>
  <si>
    <t>FLOTATION TAILINGS THICKENER P-DUC PUMP</t>
  </si>
  <si>
    <t>LI17012 &gt;= P_Hi</t>
  </si>
  <si>
    <t>LI17012 &lt; P_Hi</t>
  </si>
  <si>
    <t>F17-PP-459 Comms Failure</t>
  </si>
  <si>
    <t>F17-PP-459 Fail to Start / Stop</t>
  </si>
  <si>
    <t>F17-PP-459 Drive Fault</t>
  </si>
  <si>
    <t>F17-PP-459 E-Stop</t>
  </si>
  <si>
    <t>F17-PP-459 MCC Unhealthy</t>
  </si>
  <si>
    <t>F17-PP-459 Drive Out of Service</t>
  </si>
  <si>
    <t>F17-PP-459 Drive Ready</t>
  </si>
  <si>
    <t>XA17060 E-Stop Active</t>
  </si>
  <si>
    <t>Flotation Tailings Thickener E-Stop Active</t>
  </si>
  <si>
    <t>P-Duc can start when liquid level is greater than 7m.</t>
  </si>
  <si>
    <t>F17-XM-572</t>
  </si>
  <si>
    <t>2000-ME001.5-E02-50002</t>
  </si>
  <si>
    <t>FLOTATION TAILINGS THICKENER MANTA SUB</t>
  </si>
  <si>
    <t>F17-XM-572 Comms Failure</t>
  </si>
  <si>
    <t>F17-XM-572 Fail to Start / Stop</t>
  </si>
  <si>
    <t>F17-XM-572 Drive Fault</t>
  </si>
  <si>
    <t>F17-XM-572 E-Stop</t>
  </si>
  <si>
    <t>F17-XM-572 MCC Unhealthy</t>
  </si>
  <si>
    <t>F17-XM-572 Drive Out of Service</t>
  </si>
  <si>
    <t>F17-XM-572 Drive Ready</t>
  </si>
  <si>
    <t>F17-FN-492</t>
  </si>
  <si>
    <t>FLOTATION TAILINGS THICKENER RAKE DRIVE OIL COOLING FAN</t>
  </si>
  <si>
    <t>TSH17025 Active</t>
  </si>
  <si>
    <t>TSH17025 Normal And 300 second timer elapsed</t>
  </si>
  <si>
    <t>F17-FN-492 Comms Failure</t>
  </si>
  <si>
    <t>F17-FN-492 Fail to Start / Stop</t>
  </si>
  <si>
    <t>F17-FN-492 Drive Fault</t>
  </si>
  <si>
    <t>F17-FN-492 E-Stop</t>
  </si>
  <si>
    <t>F17-FN-492 MCC Unhealthy</t>
  </si>
  <si>
    <t>F17-FN-492 Drive Out of Service</t>
  </si>
  <si>
    <t>F17-FN-492 Drive Ready</t>
  </si>
  <si>
    <t>F17-PO-408</t>
  </si>
  <si>
    <t>FLOTATION TAILINGS THICKENER RAKE DRIVE PUMP</t>
  </si>
  <si>
    <t>F17TH401_STOP Active</t>
  </si>
  <si>
    <t>F17TH401_LCL Active AND HS17061 Forward Field Start Button Active</t>
  </si>
  <si>
    <t>F17-PO-408 Comms Failure</t>
  </si>
  <si>
    <t xml:space="preserve">F17TH401_LCL Active AND HS17063 Reverse Jog Button Active AND F17TH401_REV Active </t>
  </si>
  <si>
    <t>F17PO408_RT1 Elapsed</t>
  </si>
  <si>
    <t>F17-PO-408 Fail to Start / Stop</t>
  </si>
  <si>
    <t>Started manually by the operator</t>
  </si>
  <si>
    <t>Stopped manually by the operator</t>
  </si>
  <si>
    <t>F17-PO-408 Drive Fault</t>
  </si>
  <si>
    <t>F17-PO-408 E-Stop</t>
  </si>
  <si>
    <t>F17-PO-408 MCC Unhealthy</t>
  </si>
  <si>
    <t>F17-PO-408 Drive Out of Service</t>
  </si>
  <si>
    <t>F17-PO-408 Drive Ready</t>
  </si>
  <si>
    <t>Flotation Tailings Thickener HPU Rake Torque 85%.</t>
  </si>
  <si>
    <t>ZIO17026 INACTIVE</t>
  </si>
  <si>
    <t>Rake Drive Pump Suction/Inlet valve not open.</t>
  </si>
  <si>
    <t>Hydraulic tank level low low.</t>
  </si>
  <si>
    <t>Hydraulic oil tank temperature high high</t>
  </si>
  <si>
    <t>Reverse Jog Cooldown Active</t>
  </si>
  <si>
    <t>Logic: SV17034 ENERGISED AND F17TH401_T2 ACTIVE 
Prevent reverse jog being activated before Reverse Jog Cooldown Timer has elapsed.</t>
  </si>
  <si>
    <t>Logic: SV17034 ENERGISED AND (F17TH401_C1 &gt;= 3)
Prevent reverse jog being activated if Reverse Jog Action Counter is equal to 3 in an hour.</t>
  </si>
  <si>
    <t>Manta Sub: Sensor Failed To Return Home. Critical fault of Manta Sub.
Source: 2000-ME001.5-D02-50002</t>
  </si>
  <si>
    <t>SAL17016 Active</t>
  </si>
  <si>
    <t xml:space="preserve">Speed sensor not detecting pulses from rotating rake drive (value of zero). </t>
  </si>
  <si>
    <t>PAL24651 Active</t>
  </si>
  <si>
    <t>Fire check valve alarm activated.
3-second damper applied to prevent trip due to thermal expansion
Refer to 2000-F24-LST-PR-10001 for fire alarm system details</t>
  </si>
  <si>
    <t>F17-HU-422</t>
  </si>
  <si>
    <t>FLOTATION TAILINGS THICKENER FEED BOX VALVE HYDRAULIC POWER UNIT</t>
  </si>
  <si>
    <t>TBC</t>
  </si>
  <si>
    <t>TBC Vendor Data</t>
  </si>
  <si>
    <t>F17-HU-422 Comms Failure</t>
  </si>
  <si>
    <t>F17-HU-422 Fail to Start / Stop</t>
  </si>
  <si>
    <t>F17-HU-422 Drive Fault</t>
  </si>
  <si>
    <t>F17-HU-422 E-Stop</t>
  </si>
  <si>
    <t>F17-HU-422 MCC Unhealthy</t>
  </si>
  <si>
    <t>F17-HU-422 Drive Out of Service</t>
  </si>
  <si>
    <t>F17-HU-422 Drive Ready</t>
  </si>
  <si>
    <t>F17-HU-406</t>
  </si>
  <si>
    <t>FLOTATION TAILINGS THICKENER RAKE DRIVE HYDRAULIC POWER UNIT</t>
  </si>
  <si>
    <t>F17-FN-492 Drive Unhealthy</t>
  </si>
  <si>
    <t>F17-PO-408 Drive Unhealthy</t>
  </si>
  <si>
    <t>F17-HU-414</t>
  </si>
  <si>
    <t>FLOTATIONS TAILINGS THICKENER RAKE LIFT HYDRAULIC POWER UNIT</t>
  </si>
  <si>
    <t>F17PO409 to be Running 5 seconds prior to energising SV17047 OR SV17048 to ensure adequate hydraulic pressure in hydraulic pack.</t>
  </si>
  <si>
    <t>F17TH401_LCL Active AND (HS17065A Active OR HS17065B Active)</t>
  </si>
  <si>
    <t>F17TH401_LCL Active AND (HS17065A Released (Falling Edge) OR HS17065B Released (Falling Edge))</t>
  </si>
  <si>
    <t>AUTO MODE Active AND (NI17030 &lt; P_Lo OR NI17030 &gt;= P_Hi) AND F17PO408 Running AND SV17033 Energised</t>
  </si>
  <si>
    <t>AUTO MODE: F17PO409_RT1 Elapsed</t>
  </si>
  <si>
    <t>F17-PO-409 Drive Unhealthy</t>
  </si>
  <si>
    <t>F17-PO-409</t>
  </si>
  <si>
    <t>FLOTATION TAILINGS THICKENER RAKE LIFT PUMP</t>
  </si>
  <si>
    <t>F17TH401_LCL Active AND (HS17065A Released (Falling Edge) OR HS17065B Released (Falling Edge)) AND F17PO409_RT1 Elapsed</t>
  </si>
  <si>
    <t>F17-PO-409 Comms Failure</t>
  </si>
  <si>
    <t>F17-PO-409 Fail to Start / Stop</t>
  </si>
  <si>
    <t>F17-PO-409 Drive Fault</t>
  </si>
  <si>
    <t>F17-PO-409 E-Stop</t>
  </si>
  <si>
    <t>F17-PO-409 MCC Unhealthy</t>
  </si>
  <si>
    <t>F17-PO-409 Drive Out of Service</t>
  </si>
  <si>
    <t>F17-PO-409 Drive Ready</t>
  </si>
  <si>
    <t>Hydraulic oil tank level low low switch.</t>
  </si>
  <si>
    <t>Hydraulic oil tank temperature high high switch.</t>
  </si>
  <si>
    <t>F17TH401 Not in Forward Mode</t>
  </si>
  <si>
    <t>Logic: F17PO408 NOT RUNNING AND SV17033 DE-ENERGISED
Disable ability to lower/raise rakes if thickener is not in FORWARD mode and rakes are turning.</t>
  </si>
  <si>
    <t>F16-PS-411</t>
  </si>
  <si>
    <t>FLOTATION AREA SUMP PUMP 1</t>
  </si>
  <si>
    <t>DOL SP</t>
  </si>
  <si>
    <t>LSH16041 Alarm</t>
  </si>
  <si>
    <t>LSH16041 Normal for 5 seconds and 600 second timer elapsed</t>
  </si>
  <si>
    <t>Manually started by Operator</t>
  </si>
  <si>
    <t>Manually stopped by Operator</t>
  </si>
  <si>
    <t>F16-PS-411 Comms Failure</t>
  </si>
  <si>
    <t>F16-PS-411 Fail to Start / Stop</t>
  </si>
  <si>
    <t>F16-PS-411 Drive Fault</t>
  </si>
  <si>
    <t>F16-PS-411 E-Stop</t>
  </si>
  <si>
    <t>F16-PS-411 MCC Unhealthy</t>
  </si>
  <si>
    <t>F16-PS-411 Drive Out of Service</t>
  </si>
  <si>
    <t>F16-PS-411 Drive Ready</t>
  </si>
  <si>
    <t>F16-AG-421 NOT RUNNING</t>
  </si>
  <si>
    <t>Rougher Flotation Cell 1 Not Running.
Bypass if not intended destination.</t>
  </si>
  <si>
    <t>F17TH401 NOT RUNNING</t>
  </si>
  <si>
    <t>Logic: F17PO408 Not Running AND SV17033 Not Energised
Bypass if not intended destination.</t>
  </si>
  <si>
    <t>F17TH401 Torque High High
Bypass if not intended destination.</t>
  </si>
  <si>
    <t>F16-PS-412</t>
  </si>
  <si>
    <t>FLOTATION AREA SUMP PUMP 2</t>
  </si>
  <si>
    <t xml:space="preserve">LSH16121 Alarm </t>
  </si>
  <si>
    <t>LSH16121 Normal for 5 seconds and 600 second timer elapsed</t>
  </si>
  <si>
    <t>F16-PS-412 Comms Failure</t>
  </si>
  <si>
    <t>F16-PS-412 Fail to Start / Stop</t>
  </si>
  <si>
    <t>F16-PS-412 Drive Fault</t>
  </si>
  <si>
    <t>F16-PS-412 E-Stop</t>
  </si>
  <si>
    <t>F16-PS-412 MCC Unhealthy</t>
  </si>
  <si>
    <t>F16-PS-412 Drive Out of Service</t>
  </si>
  <si>
    <t>F16-PS-412 Drive Ready</t>
  </si>
  <si>
    <t>F16-AG-421 Not Running</t>
  </si>
  <si>
    <t>F16-PS-413</t>
  </si>
  <si>
    <t>FLOTATION AREA SUMP PUMP 3</t>
  </si>
  <si>
    <t xml:space="preserve">LSH16141 Alarm </t>
  </si>
  <si>
    <t>LSH16141 Normal for 5 seconds and 600 second timer elapsed</t>
  </si>
  <si>
    <t>F16-PS-413 Comms Failure</t>
  </si>
  <si>
    <t>F16-PS-413 Fail to Start / Stop</t>
  </si>
  <si>
    <t>F16-PS-413 Drive Fault</t>
  </si>
  <si>
    <t>F16-PS-413 E-Stop</t>
  </si>
  <si>
    <t>F16-PS-413 MCC Unhealthy</t>
  </si>
  <si>
    <t>F16-PS-413 Drive Out of Service</t>
  </si>
  <si>
    <t>F16-PS-413 Drive Ready</t>
  </si>
  <si>
    <t>F17-PS-427</t>
  </si>
  <si>
    <t>FLOTATION TAILINGS THICKENER AREA SUMP PUMP</t>
  </si>
  <si>
    <t xml:space="preserve">LSH17081 Alarm </t>
  </si>
  <si>
    <t>LSH17081 Normal for 5 seconds and 600 second timer elapsed</t>
  </si>
  <si>
    <t>F17-PS-427 Comms Failure</t>
  </si>
  <si>
    <t>F17-PS-427 Fail to Start / Stop</t>
  </si>
  <si>
    <t>F17-PS-427 Drive Fault</t>
  </si>
  <si>
    <t>F17-PS-427 E-Stop</t>
  </si>
  <si>
    <t>F17-PS-427 MCC Unhealthy</t>
  </si>
  <si>
    <t>F17-PS-427 Drive Out of Service</t>
  </si>
  <si>
    <t>F17-PS-427 Drive Ready</t>
  </si>
  <si>
    <t>Logic: F17PO408 Not Running AND SV17033 Not Energised
Bypass at discretion of Operator.</t>
  </si>
  <si>
    <t>F17TH401 Torque High High
Bypass at discretion of Operator.</t>
  </si>
  <si>
    <t>F18-PS-501</t>
  </si>
  <si>
    <t>CLEANER AREA SUMP PUMP</t>
  </si>
  <si>
    <t xml:space="preserve">LSH18041 Alarm </t>
  </si>
  <si>
    <t>LSH18041 Normal for 5 seconds and 600 second timer elapsed</t>
  </si>
  <si>
    <t>F18-PS-501 Comms Failure</t>
  </si>
  <si>
    <t>F18-PS-501 Fail to Start / Stop</t>
  </si>
  <si>
    <t>F18-PS-501 Drive Fault</t>
  </si>
  <si>
    <t>F18-PS-501 E-Stop</t>
  </si>
  <si>
    <t>F18-PS-501 MCC Unhealthy</t>
  </si>
  <si>
    <t>F18-PS-501 Drive Out of Service</t>
  </si>
  <si>
    <t>F18-PS-501 Drive Ready</t>
  </si>
  <si>
    <t>F16-PP-629</t>
  </si>
  <si>
    <t>ROUGHER 1 CONCENTRATE CLEANER FEED SAMPLE PUMP</t>
  </si>
  <si>
    <t>F16-PP-629 Comms Failure</t>
  </si>
  <si>
    <t>F16-PP-629 Fail to Start / Stop</t>
  </si>
  <si>
    <t>F16-PP-629 Drive Fault</t>
  </si>
  <si>
    <t>F16-PP-629 E-Stop</t>
  </si>
  <si>
    <t>F16-PP-629 MCC Unhealthy</t>
  </si>
  <si>
    <t>F16-PP-629 Drive Out of Service</t>
  </si>
  <si>
    <t>F16-PP-629 Drive Ready</t>
  </si>
  <si>
    <t>XAH16042 Active</t>
  </si>
  <si>
    <t>Burst hose detection.</t>
  </si>
  <si>
    <t>HS16025 Closed</t>
  </si>
  <si>
    <t>Rougher 1 Final Concentrate Launder Gate Closed</t>
  </si>
  <si>
    <t>F16-PP-630</t>
  </si>
  <si>
    <t>ROUGHER 1 FINAL CONCENTRATE SAMPLE PUMP</t>
  </si>
  <si>
    <t>F16-PP-630 Comms Failure</t>
  </si>
  <si>
    <t>F16-PP-630 Fail to Start / Stop</t>
  </si>
  <si>
    <t>F16-PP-630 Drive Fault</t>
  </si>
  <si>
    <t>F16-PP-630 E-Stop</t>
  </si>
  <si>
    <t>F16-PP-630 MCC Unhealthy</t>
  </si>
  <si>
    <t>F16-PP-630 Drive Out of Service</t>
  </si>
  <si>
    <t>F16-PP-630 Drive Ready</t>
  </si>
  <si>
    <t>XAH16043 Active</t>
  </si>
  <si>
    <t>HS16026 Closed</t>
  </si>
  <si>
    <t>F16-PP-631</t>
  </si>
  <si>
    <t>ROUGHER 2 &amp; 3 CONCENTRATE SAMPLE PUMP</t>
  </si>
  <si>
    <t>F16-PP-631 Comms Failure</t>
  </si>
  <si>
    <t>F16-PP-631 Fail to Start / Stop</t>
  </si>
  <si>
    <t>F16-PP-631 Drive Fault</t>
  </si>
  <si>
    <t>F16-PP-631 E-Stop</t>
  </si>
  <si>
    <t>F16-PP-631 MCC Unhealthy</t>
  </si>
  <si>
    <t>F16-PP-631 Drive Out of Service</t>
  </si>
  <si>
    <t>F16-PP-631 Drive Ready</t>
  </si>
  <si>
    <t>XAH16044 Active</t>
  </si>
  <si>
    <t>F16-PP-515</t>
  </si>
  <si>
    <t>FLOTATION CELLS DRAIN PUMP</t>
  </si>
  <si>
    <t>F16-PP-515 Comms Failure</t>
  </si>
  <si>
    <t>F16-PP-515 Fail to Start / Stop</t>
  </si>
  <si>
    <t>F16-PP-515 Drive Fault</t>
  </si>
  <si>
    <t>F16-PP-515 E-Stop</t>
  </si>
  <si>
    <t>F16-PP-515 MCC Unhealthy</t>
  </si>
  <si>
    <t>F16-PP-515 Drive Out of Service</t>
  </si>
  <si>
    <t>F16-PP-515 Drive Ready</t>
  </si>
  <si>
    <t>SV16357 Closed</t>
  </si>
  <si>
    <t>Gland water valve closed.</t>
  </si>
  <si>
    <t>FAL16358 Active</t>
  </si>
  <si>
    <t>Gland water flow low switch active.
Alarm enabled delay of 10 seconds on gland water pump start-up.
Duration to be confirmed during commissioning.</t>
  </si>
  <si>
    <t>F16-PP-632</t>
  </si>
  <si>
    <t>SCAVENGER CONCENTRATE SAMPLE PUMP</t>
  </si>
  <si>
    <t>F16-PP-632 Comms Failure</t>
  </si>
  <si>
    <t>F16-PP-632 Fail to Start / Stop</t>
  </si>
  <si>
    <t>F16-PP-632 Drive Fault</t>
  </si>
  <si>
    <t>F16-PP-632 E-Stop</t>
  </si>
  <si>
    <t>F16-PP-632 MCC Unhealthy</t>
  </si>
  <si>
    <t>F16-PP-632 Drive Out of Service</t>
  </si>
  <si>
    <t>F16-PP-632 Drive Ready</t>
  </si>
  <si>
    <t>XAH16045 Active</t>
  </si>
  <si>
    <t>F16-PP-633</t>
  </si>
  <si>
    <t>SCAVENGER TAILS SAMPLE PUMP</t>
  </si>
  <si>
    <t>F16-PP-633 Comms Failure</t>
  </si>
  <si>
    <t>F16-PP-633 Fail to Start / Stop</t>
  </si>
  <si>
    <t>F16-PP-633 Drive Fault</t>
  </si>
  <si>
    <t>F16-PP-633 E-Stop</t>
  </si>
  <si>
    <t>F16-PP-633 MCC Unhealthy</t>
  </si>
  <si>
    <t>F16-PP-633 Drive Out of Service</t>
  </si>
  <si>
    <t>F16-PP-633 Drive Ready</t>
  </si>
  <si>
    <t>XAH16046 Active</t>
  </si>
  <si>
    <t>F16-PP-638</t>
  </si>
  <si>
    <t>SAMPLE RETURN PUMP 1</t>
  </si>
  <si>
    <t>F16-PP-638 Comms Failure</t>
  </si>
  <si>
    <t>F16-PP-638 Fail to Start / Stop</t>
  </si>
  <si>
    <t>F16-PP-638 Drive Fault</t>
  </si>
  <si>
    <t>F16-PP-638 E-Stop</t>
  </si>
  <si>
    <t>F16-PP-638 MCC Unhealthy</t>
  </si>
  <si>
    <t>F16-PP-638 Drive Out of Service</t>
  </si>
  <si>
    <t>F16-PP-638 Drive Ready</t>
  </si>
  <si>
    <t>SV16155 Closed</t>
  </si>
  <si>
    <t>FAL16156 Active</t>
  </si>
  <si>
    <t>Gland water flow low switch active.  
Alarm enabled delay of 10 seconds on gland water pump start-up.
Duration to be confirmed during commissioning.</t>
  </si>
  <si>
    <t>XV16152 Closed</t>
  </si>
  <si>
    <t>Suction valve closed</t>
  </si>
  <si>
    <t>XV16153 Open</t>
  </si>
  <si>
    <t>Suction-drain open</t>
  </si>
  <si>
    <t>LIC16151 &lt;= A_LL</t>
  </si>
  <si>
    <t>Sample Return Hopper 1 Level Low Low</t>
  </si>
  <si>
    <t>F16-PP-639</t>
  </si>
  <si>
    <t>SAMPLE RETURN PUMP 2</t>
  </si>
  <si>
    <t>F16-PP-639 Comms Failure</t>
  </si>
  <si>
    <t>F16-PP-639 Fail to Start / Stop</t>
  </si>
  <si>
    <t>F16-PP-639 Drive Fault</t>
  </si>
  <si>
    <t>F16-PP-639 E-Stop</t>
  </si>
  <si>
    <t>F16-PP-639 MCC Unhealthy</t>
  </si>
  <si>
    <t>F16-PP-639 Drive Out of Service</t>
  </si>
  <si>
    <t>F16-PP-639 Drive Ready</t>
  </si>
  <si>
    <t>SV16165 Closed</t>
  </si>
  <si>
    <t>FAL16166 Active</t>
  </si>
  <si>
    <t>XV16162 Closed</t>
  </si>
  <si>
    <t>XV16163 Open</t>
  </si>
  <si>
    <t>LIC16161 &lt;= A_LL</t>
  </si>
  <si>
    <t>Sample Return Hopper 2 Level Low Low</t>
  </si>
  <si>
    <t>F16-FI-433</t>
  </si>
  <si>
    <t>OSA VACUUM FILTER UNIT</t>
  </si>
  <si>
    <t>Vendor PLC</t>
  </si>
  <si>
    <t>F16-FI-433 Comms Failure</t>
  </si>
  <si>
    <t>F16-FI-433 Fail to Start / Stop</t>
  </si>
  <si>
    <t>F16-FI-433 Drive Fault</t>
  </si>
  <si>
    <t>F16-FI-433 E-Stop</t>
  </si>
  <si>
    <t>F16-FI-433 MCC Unhealthy</t>
  </si>
  <si>
    <t>F16-FI-433 Drive Out of Service</t>
  </si>
  <si>
    <t>F16-FI-433 Drive Ready</t>
  </si>
  <si>
    <t>F16-AN-403</t>
  </si>
  <si>
    <t>ONSTREAM ANALYSER</t>
  </si>
  <si>
    <t>F16-AN-403 Comms Failure</t>
  </si>
  <si>
    <t>F16-AN-403 Fail to Start / Stop</t>
  </si>
  <si>
    <t>F16-AN-403 Drive Fault</t>
  </si>
  <si>
    <t>F16-AN-403 E-Stop</t>
  </si>
  <si>
    <t>F16-AN-403 MCC Unhealthy</t>
  </si>
  <si>
    <t>F16-AN-403 Drive Out of Service</t>
  </si>
  <si>
    <t>F16-AN-403 Drive Ready</t>
  </si>
  <si>
    <t>F16-AN-402</t>
  </si>
  <si>
    <t>FLOTATION PARTICLE SIZE ANALYSER</t>
  </si>
  <si>
    <t>F16-AN-402 Comms Failure</t>
  </si>
  <si>
    <t>F16-AN-402 Fail to Start / Stop</t>
  </si>
  <si>
    <t>F16-AN-402 Drive Fault</t>
  </si>
  <si>
    <t>F16-AN-402 E-Stop</t>
  </si>
  <si>
    <t>F16-AN-402 MCC Unhealthy</t>
  </si>
  <si>
    <t>F16-AN-402 Drive Out of Service</t>
  </si>
  <si>
    <t>F16-AN-402 Drive Ready</t>
  </si>
  <si>
    <t>F16-PP-634</t>
  </si>
  <si>
    <t>FINAL TAILS SAMPLE PUMP</t>
  </si>
  <si>
    <t>F16-PP-634 Comms Failure</t>
  </si>
  <si>
    <t>F16-PP-634 Fail to Start / Stop</t>
  </si>
  <si>
    <t>F16-PP-634 Drive Fault</t>
  </si>
  <si>
    <t>F16-PP-634 E-Stop</t>
  </si>
  <si>
    <t>F16-PP-634 MCC Unhealthy</t>
  </si>
  <si>
    <t>F16-PP-634 Drive Out of Service</t>
  </si>
  <si>
    <t>F16-PP-634 Drive Ready</t>
  </si>
  <si>
    <t>XAH17008 Active</t>
  </si>
  <si>
    <t>XV17005 Open</t>
  </si>
  <si>
    <t>Suction Valve Open</t>
  </si>
  <si>
    <t>XV17006 Open</t>
  </si>
  <si>
    <t>Suction Drain Valve Open</t>
  </si>
  <si>
    <t>F17-FN-504</t>
  </si>
  <si>
    <t>FLOTATION TAILINGS THICKENER UNDERFLOW TUNNEL VENTILATION FAN</t>
  </si>
  <si>
    <t>F17-FN-504 Comms Failure</t>
  </si>
  <si>
    <t>F17-FN-504 Fail to Start / Stop</t>
  </si>
  <si>
    <t>F17-FN-504 Drive Fault</t>
  </si>
  <si>
    <t>F17-FN-504 E-Stop</t>
  </si>
  <si>
    <t>F17-FN-504 MCC Unhealthy</t>
  </si>
  <si>
    <t>F17-FN-504 Drive Out of Service</t>
  </si>
  <si>
    <t>F17-FN-504 Drive Ready</t>
  </si>
  <si>
    <t>F17-PP-455</t>
  </si>
  <si>
    <t>FLOTATION TAILINGS THICKENER UNDERFLOW PUMP 1</t>
  </si>
  <si>
    <t>F17-PP-455 Comms Failure</t>
  </si>
  <si>
    <t>F17-PP-455 Fail to Start / Stop</t>
  </si>
  <si>
    <t>F17-PP-455 Drive Fault</t>
  </si>
  <si>
    <t>F17-PP-455 E-Stop</t>
  </si>
  <si>
    <t>F17-PP-455 MCC Unhealthy</t>
  </si>
  <si>
    <t>F17-PP-455 Drive Out of Service</t>
  </si>
  <si>
    <t>F17-PP-455 Drive Ready</t>
  </si>
  <si>
    <t>SV17104 Closed</t>
  </si>
  <si>
    <t>FI17105 &lt;= A_LL</t>
  </si>
  <si>
    <t>Gland water flow low low alarm.
Alarm enabled delay of 10 seconds on gland water pump start-up.
Duration to be confirmed during commissioning.</t>
  </si>
  <si>
    <t>XV17091 Closed OR XV17093 Closed</t>
  </si>
  <si>
    <t>XV17102 Open</t>
  </si>
  <si>
    <t>XV17103 Closed</t>
  </si>
  <si>
    <t>Discharge valve closed</t>
  </si>
  <si>
    <t>XV17123 Closed &amp; XV17125 Closed</t>
  </si>
  <si>
    <t>Common discharge and Recirculation discharge valves closed</t>
  </si>
  <si>
    <t>U/F Destination Valves Closed</t>
  </si>
  <si>
    <t>Logic: 
XV17125 Closed AND FCV17127 Closed AND FCV17128 Closed AND FCV17130 Closed AND XV17132 Closed
All destination valves closed.</t>
  </si>
  <si>
    <t>PI17122 &gt;= A_HH</t>
  </si>
  <si>
    <t>Discharge manifold pressure high high alarm.</t>
  </si>
  <si>
    <t>FI17121 &lt;= A_LL</t>
  </si>
  <si>
    <t>Discharge manifold flow low low alarm.
Mask for 10 seconds during pump start-up. 
Duration to be confirmed during commissioning.</t>
  </si>
  <si>
    <t>F17-PP-456 Running</t>
  </si>
  <si>
    <t>Prevent start-up or interlock pump if standby is running.</t>
  </si>
  <si>
    <t>XV17113 Open</t>
  </si>
  <si>
    <t>Prevent start-up or interlock pump if standby discharge valve is open.</t>
  </si>
  <si>
    <t>F17-PP-456</t>
  </si>
  <si>
    <t>FLOTATION TAILINGS THICKENER UNDERFLOW PUMP 2</t>
  </si>
  <si>
    <t>F17-PP-456 Comms Failure</t>
  </si>
  <si>
    <t>F17-PP-456 Fail to Start / Stop</t>
  </si>
  <si>
    <t>F17-PP-456 Drive Fault</t>
  </si>
  <si>
    <t>F17-PP-456 E-Stop</t>
  </si>
  <si>
    <t>F17-PP-456 MCC Unhealthy</t>
  </si>
  <si>
    <t>F17-PP-456 Drive Out of Service</t>
  </si>
  <si>
    <t>F17-PP-456 Drive Ready</t>
  </si>
  <si>
    <t>SV17114 Closed</t>
  </si>
  <si>
    <t>FI17115 &lt;= A_LL</t>
  </si>
  <si>
    <t>Gland water flow low low alarm</t>
  </si>
  <si>
    <t>XV17092 Closed OR XV17094 Closed</t>
  </si>
  <si>
    <t>XV17112 Open</t>
  </si>
  <si>
    <t>XV17113 Closed</t>
  </si>
  <si>
    <t>Logic:  XV17123 Closed AND XV17125 Closed
Common discharge and Recirculation discharge valves closed</t>
  </si>
  <si>
    <t>F17-PP-455 Running</t>
  </si>
  <si>
    <t>XV17103 Open</t>
  </si>
  <si>
    <t>F18-PP-407</t>
  </si>
  <si>
    <t>FINAL CONCENTRATE PUMP 1</t>
  </si>
  <si>
    <t>F18-PP-407 Comms Failure</t>
  </si>
  <si>
    <t>F18-PP-407 Fail to Start / Stop</t>
  </si>
  <si>
    <t>F18-PP-407 Drive Fault</t>
  </si>
  <si>
    <t>F18-PP-407 E-Stop</t>
  </si>
  <si>
    <t>F18-PP-407 MCC Unhealthy</t>
  </si>
  <si>
    <t>F18-PP-407 Drive Out of Service</t>
  </si>
  <si>
    <t>F18-PP-407 Drive Ready</t>
  </si>
  <si>
    <t>SV18500 Closed</t>
  </si>
  <si>
    <t>FAL18501 Active</t>
  </si>
  <si>
    <t>XV18021 Closed</t>
  </si>
  <si>
    <t>XV18022 Open</t>
  </si>
  <si>
    <t>XV18023 Closed</t>
  </si>
  <si>
    <t>LIC18001A &lt;= A_LL</t>
  </si>
  <si>
    <t>Hopper level low low</t>
  </si>
  <si>
    <t>F30TH61 Bypass and F35TK01A A_HH</t>
  </si>
  <si>
    <t>Logic: ZIO30444 ACTIVE AND LI3502 &gt;= A_HH AND LI3503 &gt;= A_HH
Concentrate Thickener bypass valve open and Filter Feed Tank A Level High High and Filter Feed Tank B Level High-High.</t>
  </si>
  <si>
    <t>F30TH61 Torque High High</t>
  </si>
  <si>
    <t>Logic: NAHH30602 Active AND ZIO30443 Active
Trip Final Concentrate Pump if Concentrate Thickener F30-TH-61 torque High-High is active.</t>
  </si>
  <si>
    <t>FI18027 &lt;= A_LL</t>
  </si>
  <si>
    <t>Final Concentrate Discharge Flow Low Low</t>
  </si>
  <si>
    <t>F18-PP-408</t>
  </si>
  <si>
    <t>FINAL CONCENTRATE PUMP 2</t>
  </si>
  <si>
    <t>F18-PP-408 Comms Failure</t>
  </si>
  <si>
    <t>F18-PP-408 Fail to Start / Stop</t>
  </si>
  <si>
    <t>F18-PP-408 Drive Fault</t>
  </si>
  <si>
    <t>F18-PP-408 E-Stop</t>
  </si>
  <si>
    <t>F18-PP-408 MCC Unhealthy</t>
  </si>
  <si>
    <t>F18-PP-408 Drive Out of Service</t>
  </si>
  <si>
    <t>F18-PP-408 Drive Ready</t>
  </si>
  <si>
    <t>SV18504 Closed</t>
  </si>
  <si>
    <t>FAL18505 Active</t>
  </si>
  <si>
    <t>XV18024 Closed</t>
  </si>
  <si>
    <t>XV18025 Open</t>
  </si>
  <si>
    <t>XV18026 Closed</t>
  </si>
  <si>
    <t>F18-PP-501</t>
  </si>
  <si>
    <t>CLEANER FLOTATION CELL RECIRCULATION PUMP 1</t>
  </si>
  <si>
    <t>F18-PP-501 Comms Failure</t>
  </si>
  <si>
    <t>F18-PP-501 Fail to Start / Stop</t>
  </si>
  <si>
    <t>F18-PP-501 Drive Fault</t>
  </si>
  <si>
    <t>F18-PP-501 E-Stop</t>
  </si>
  <si>
    <t>F18-PP-501 MCC Unhealthy</t>
  </si>
  <si>
    <t>F18-PP-501 Drive Out of Service</t>
  </si>
  <si>
    <t>F18-PP-501 Drive Ready</t>
  </si>
  <si>
    <t>SV18508 Closed</t>
  </si>
  <si>
    <t>FAL18509 Active</t>
  </si>
  <si>
    <t>XV18031 Closed</t>
  </si>
  <si>
    <t>XV18032 Open</t>
  </si>
  <si>
    <t>XV18033 Closed</t>
  </si>
  <si>
    <t>LIC18011A &lt;= A_LL</t>
  </si>
  <si>
    <t>PI18054 &lt;= A_LL</t>
  </si>
  <si>
    <t>Cleaner Flotation Cell Slurry Distributor Pressure Low-Low (indicating the feed line prior to distributor is blocked)</t>
  </si>
  <si>
    <t>PI18054 &gt;= A _HH</t>
  </si>
  <si>
    <t>Cleaner Flotation Cell Slurry Distributor Pressure High-High (indicating distributor is blocked)</t>
  </si>
  <si>
    <t>FIC18037 &lt;= A_LL</t>
  </si>
  <si>
    <t>Cleaner Flotation Cell Recirculation Pump Discharge Flow Low Low</t>
  </si>
  <si>
    <t>LIC18051 &gt;= A_HH</t>
  </si>
  <si>
    <t>Cleaner Flotation Cell Level High High</t>
  </si>
  <si>
    <t>FIC18057 &lt;= A_LL</t>
  </si>
  <si>
    <t>High Pressure Process Water Flow Low Low. No Cell Wash Water</t>
  </si>
  <si>
    <t>TI18542A &gt;= A_HH</t>
  </si>
  <si>
    <t>TI18542B &gt;= A_HH</t>
  </si>
  <si>
    <t>TI18542C &gt;= A_HH</t>
  </si>
  <si>
    <t>TI18542D &gt;= A_HH</t>
  </si>
  <si>
    <t>TI18542E &gt;= A_HH</t>
  </si>
  <si>
    <t>F18-PP-502</t>
  </si>
  <si>
    <t>CLEANER FLOTATION CELL RECIRCULATION PUMP 2</t>
  </si>
  <si>
    <t>F18-PP-502 Comms Failure</t>
  </si>
  <si>
    <t>F18-PP-502 Fail to Start / Stop</t>
  </si>
  <si>
    <t>F18-PP-502 Drive Fault</t>
  </si>
  <si>
    <t>F18-PP-502 E-Stop</t>
  </si>
  <si>
    <t>F18-PP-502 MCC Unhealthy</t>
  </si>
  <si>
    <t>F18-PP-502 Drive Out of Service</t>
  </si>
  <si>
    <t>F18-PP-502 Drive Ready</t>
  </si>
  <si>
    <t>SV18512 Closed</t>
  </si>
  <si>
    <t>FAL18513 Active</t>
  </si>
  <si>
    <t>XV18034 Closed</t>
  </si>
  <si>
    <t>XV18035 Open</t>
  </si>
  <si>
    <t>XV18036 Closed</t>
  </si>
  <si>
    <t>TI18543A &gt;= A_HH</t>
  </si>
  <si>
    <t>TI18543B &gt;= A_HH</t>
  </si>
  <si>
    <t>TI18543C &gt;= A_HH</t>
  </si>
  <si>
    <t>TI18543D &gt;= A_HH</t>
  </si>
  <si>
    <t>TI18543E &gt;= A_HH</t>
  </si>
  <si>
    <t>F18-PP-511</t>
  </si>
  <si>
    <t>CLEANER-SCAVENGER FLOTATION CELL RECIRCULATION PUMP 1</t>
  </si>
  <si>
    <t>F18-PP-511 Comms Failure</t>
  </si>
  <si>
    <t>F18-PP-511 Fail to Start / Stop</t>
  </si>
  <si>
    <t>F18-PP-511 Drive Fault</t>
  </si>
  <si>
    <t>F18-PP-511 E-Stop</t>
  </si>
  <si>
    <t>F18-PP-511 MCC Unhealthy</t>
  </si>
  <si>
    <t>F18-PP-511 Drive Out of Service</t>
  </si>
  <si>
    <t>F18-PP-511 Drive Ready</t>
  </si>
  <si>
    <t>SV18524 Closed</t>
  </si>
  <si>
    <t>FAL18525 Active</t>
  </si>
  <si>
    <t>XV18221 Closed</t>
  </si>
  <si>
    <t>XV18222 Open</t>
  </si>
  <si>
    <t>XV18223 Closed</t>
  </si>
  <si>
    <t>LIC18201B &lt;= A_LL</t>
  </si>
  <si>
    <t>FI18227 &lt;= A_LL</t>
  </si>
  <si>
    <t>Flow alarm low low</t>
  </si>
  <si>
    <t>PI18254 &lt;= A_LL</t>
  </si>
  <si>
    <t>Cleaner-Scavenger Flotation Cell Slurry Distributor Pressure Low-Low (indicating the feed line prior to distributor is blocked)</t>
  </si>
  <si>
    <t>PI18254 &gt;= A_HH</t>
  </si>
  <si>
    <t>Cleaner-Scavenger Flotation Cell Slurry Distributor Pressure High-High (indicating distributor is blocked)</t>
  </si>
  <si>
    <t>TI18546A &gt;= A_HH</t>
  </si>
  <si>
    <t>TI18546B &gt;= A_HH</t>
  </si>
  <si>
    <t>TI18546C &gt;= A_HH</t>
  </si>
  <si>
    <t>TI18546D &gt;= A_HH</t>
  </si>
  <si>
    <t>TI18546E &gt;= A_HH</t>
  </si>
  <si>
    <t>F18-PP-512</t>
  </si>
  <si>
    <t>CLEANER-SCAVENGER FLOTATION CELL RECIRCULATION PUMP 2</t>
  </si>
  <si>
    <t>F18-PP-512 Comms Failure</t>
  </si>
  <si>
    <t>F18-PP-512 Fail to Start / Stop</t>
  </si>
  <si>
    <t>F18-PP-512 Drive Fault</t>
  </si>
  <si>
    <t>F18-PP-512 E-Stop</t>
  </si>
  <si>
    <t>F18-PP-512 MCC Unhealthy</t>
  </si>
  <si>
    <t>F18-PP-512 Drive Out of Service</t>
  </si>
  <si>
    <t>F18-PP-512 Drive Ready</t>
  </si>
  <si>
    <t>SV18528 Closed</t>
  </si>
  <si>
    <t>FAL18529 Active</t>
  </si>
  <si>
    <t>XV18224 Closed</t>
  </si>
  <si>
    <t>XV18225 Open</t>
  </si>
  <si>
    <t>XV18226 Closed</t>
  </si>
  <si>
    <t>TI18547A &gt;= A_HH</t>
  </si>
  <si>
    <t>TI18547B &gt;= A_HH</t>
  </si>
  <si>
    <t>TI18547C &gt;= A_HH</t>
  </si>
  <si>
    <t>TI18547D &gt;= A_HH</t>
  </si>
  <si>
    <t>TI18547E &gt;= A_HH</t>
  </si>
  <si>
    <t>F18-PP-513</t>
  </si>
  <si>
    <t>CLEANER-SCAVENGER FLOTATION CELL TAILS PUMP 1</t>
  </si>
  <si>
    <t>F18-PP-513 Comms Failure</t>
  </si>
  <si>
    <t>F18-PP-513 Fail to Start / Stop</t>
  </si>
  <si>
    <t>F18-PP-513 Drive Fault</t>
  </si>
  <si>
    <t>F18-PP-513 E-Stop</t>
  </si>
  <si>
    <t>F18-PP-513 MCC Unhealthy</t>
  </si>
  <si>
    <t>F18-PP-513 Drive Out of Service</t>
  </si>
  <si>
    <t>F18-PP-513 Drive Ready</t>
  </si>
  <si>
    <t>SV18532 Closed</t>
  </si>
  <si>
    <t>FAL18533 Active</t>
  </si>
  <si>
    <t>XV18231 Closed</t>
  </si>
  <si>
    <t>XV18232 Open</t>
  </si>
  <si>
    <t>XV18233 Closed</t>
  </si>
  <si>
    <t>LIC18211B &lt;= A_LL</t>
  </si>
  <si>
    <t>PI18254 &gt;= A _HH</t>
  </si>
  <si>
    <t>Discharge Locations Closed</t>
  </si>
  <si>
    <t>Logic: XV18241 Closed AND XV18242 Closed
Discharge valve destinations closed.</t>
  </si>
  <si>
    <t>FI18237 &lt;= A_LL</t>
  </si>
  <si>
    <t>LIC18251 &gt;= A_HH</t>
  </si>
  <si>
    <t>Cleaner-Scavenger Flotation Cell Level High High</t>
  </si>
  <si>
    <t>FIC18257 &lt;= A_LL</t>
  </si>
  <si>
    <t>TI18550A &gt;= A_HH</t>
  </si>
  <si>
    <t>TI18550B &gt;= A_HH</t>
  </si>
  <si>
    <t>TI18550C &gt;= A_HH</t>
  </si>
  <si>
    <t>TI18550D &gt;= A_HH</t>
  </si>
  <si>
    <t>TI18550E &gt;= A_HH</t>
  </si>
  <si>
    <t>F18-PP-514</t>
  </si>
  <si>
    <t>CLEANER-SCAVENGER FLOTATION CELL TAILS PUMP 2</t>
  </si>
  <si>
    <t>F18-PP-514 Comms Failure</t>
  </si>
  <si>
    <t>F18-PP-514 Fail to Start / Stop</t>
  </si>
  <si>
    <t>F18-PP-514 Drive Fault</t>
  </si>
  <si>
    <t>F18-PP-514 E-Stop</t>
  </si>
  <si>
    <t>F18-PP-514 MCC Unhealthy</t>
  </si>
  <si>
    <t>F18-PP-514 Drive Out of Service</t>
  </si>
  <si>
    <t>F18-PP-514 Drive Ready</t>
  </si>
  <si>
    <t>SV18536 Closed</t>
  </si>
  <si>
    <t>FAL18537 Active</t>
  </si>
  <si>
    <t>XV18234 Closed</t>
  </si>
  <si>
    <t>XV18235 Open</t>
  </si>
  <si>
    <t>XV18236 Closed</t>
  </si>
  <si>
    <t>TI18551A &gt;= A_HH</t>
  </si>
  <si>
    <t>TI18551B &gt;= A_HH</t>
  </si>
  <si>
    <t>TI18551C &gt;= A_HH</t>
  </si>
  <si>
    <t>TI18551D &gt;= A_HH</t>
  </si>
  <si>
    <t>TI18551E &gt;= A_HH</t>
  </si>
  <si>
    <t>SEQUENCES</t>
  </si>
  <si>
    <t>Seq No.</t>
  </si>
  <si>
    <t>Seq Description</t>
  </si>
  <si>
    <t>Step</t>
  </si>
  <si>
    <t>Action</t>
  </si>
  <si>
    <t>Tag / Item</t>
  </si>
  <si>
    <t>Next Step Delay (s)</t>
  </si>
  <si>
    <t>Step Advance Condition</t>
  </si>
  <si>
    <t>Equipment Permissives</t>
  </si>
  <si>
    <t>Recovery Seq. No if Step Faults</t>
  </si>
  <si>
    <t>PLEASE REFER TO SEQUENCE FLOWCHART DOCUMENT (2000-F16-LST-PR-10002)</t>
  </si>
  <si>
    <t>CALCULATIONS</t>
  </si>
  <si>
    <t>Inputs</t>
  </si>
  <si>
    <t>Operator Input</t>
  </si>
  <si>
    <t>Calc. Value</t>
  </si>
  <si>
    <t>Manual Input</t>
  </si>
  <si>
    <t>Description (Software Tag Only)</t>
  </si>
  <si>
    <t>Tag</t>
  </si>
  <si>
    <t>Nom</t>
  </si>
  <si>
    <t>Calculation</t>
  </si>
  <si>
    <t>F17CALC0001</t>
  </si>
  <si>
    <t>F17TH401 Flocc Dilution Ratio</t>
  </si>
  <si>
    <r>
      <t>m</t>
    </r>
    <r>
      <rPr>
        <vertAlign val="superscript"/>
        <sz val="11"/>
        <color rgb="FF0000FF"/>
        <rFont val="Arial"/>
        <family val="2"/>
      </rPr>
      <t>3</t>
    </r>
    <r>
      <rPr>
        <sz val="11"/>
        <color rgb="FF0000FF"/>
        <rFont val="Arial"/>
        <family val="2"/>
      </rPr>
      <t>/h</t>
    </r>
  </si>
  <si>
    <t>F17XM413_R1</t>
  </si>
  <si>
    <t>Flocculant Dilution Ratio - User Input</t>
  </si>
  <si>
    <t>FIC17001_SP_CALC = F17XM413_R1 * FIC17003A_SP</t>
  </si>
  <si>
    <t>Operator input.</t>
  </si>
  <si>
    <t>FIC17003A_SP</t>
  </si>
  <si>
    <t>Flocculant Flowrate Setpoint</t>
  </si>
  <si>
    <t>Setpoint may be from LIC17012 in Cascade Mode.</t>
  </si>
  <si>
    <t>FIC17001_SP_CALC</t>
  </si>
  <si>
    <t>Mill Water Flowrate Setpoint</t>
  </si>
  <si>
    <t>DNI17121</t>
  </si>
  <si>
    <t>%w/w solids</t>
  </si>
  <si>
    <t>Flotation Tailings Thickener Underflow Density</t>
  </si>
  <si>
    <t>WI17121 = FI17121_PV / ((1 / F17TH401_P1) + ( 1 / (DNI17121 / 100) -  F17TH401_P2))</t>
  </si>
  <si>
    <t>See F17CALC0007</t>
  </si>
  <si>
    <t>FI17121_PV</t>
  </si>
  <si>
    <t>Flotation Tailings Thickener Underflow Flow Rate</t>
  </si>
  <si>
    <t>F17TH401_P1</t>
  </si>
  <si>
    <r>
      <t>t/m</t>
    </r>
    <r>
      <rPr>
        <vertAlign val="superscript"/>
        <sz val="11"/>
        <color rgb="FF0000FF"/>
        <rFont val="Arial"/>
        <family val="2"/>
      </rPr>
      <t>3</t>
    </r>
  </si>
  <si>
    <t>Dry Solids SG (Engineer Input)</t>
  </si>
  <si>
    <t>Engineer input to be input to other calculations around the Flotation Tailings Thickener Underflow, where F17TH401_P1 is specified.</t>
  </si>
  <si>
    <t>F17TH401_P2</t>
  </si>
  <si>
    <t>Liquid SG (Engineer Input)</t>
  </si>
  <si>
    <t>Engineer input to be input to other calculations around the Flotation Tailings Thickener Underflow, where F17TH401_P2 is specified.</t>
  </si>
  <si>
    <t xml:space="preserve">Flotation Tailings Thickener Underflow Dry Solids Mass Flow </t>
  </si>
  <si>
    <t>F17TH401 UF - CIL2 Dry Solids</t>
  </si>
  <si>
    <t>WI17127 = FI17127_PV / ((1 / F17TH401_P1) + ( 1 / (DNI17121 / 100) -  F17TH401_P2))</t>
  </si>
  <si>
    <t>Use same User Input variables from F17CALC0002 above for consistency in mass balance.</t>
  </si>
  <si>
    <t>FI17127_PV</t>
  </si>
  <si>
    <t>Flotation Tailings Thickener Underflow CIL2 Feed Flow rate</t>
  </si>
  <si>
    <t xml:space="preserve">Flotation Tailings Thickener Underflow CIL2 Dry Solids Mass Flow </t>
  </si>
  <si>
    <t>F17TH401 UF - CIL3 Dry Solids</t>
  </si>
  <si>
    <t>WI17128 = FI17128_PV / ((1 / F17TH401_P1) + ( 1 / (DNI17121 / 100) -  F17TH401_P2))</t>
  </si>
  <si>
    <t>FI17128_PV</t>
  </si>
  <si>
    <t>Flotation Tailings Thickener Underflow CIL3 Feed Flow Rate</t>
  </si>
  <si>
    <t xml:space="preserve">Flotation Tailings Thickener Underflow CIL3 Dry Solids Mass Flow </t>
  </si>
  <si>
    <t>F17TH401 UF - Final Tails</t>
  </si>
  <si>
    <t>FI17130_PV</t>
  </si>
  <si>
    <t>Final Tails Slurry Feed Flow Rate</t>
  </si>
  <si>
    <t>FI17130_PV = FI17121_PV - (FI17127_PV + FI17128_PV)</t>
  </si>
  <si>
    <t>Flotation Tailings Thickener Underflow CIL2 Feed Flow Rate</t>
  </si>
  <si>
    <t>WI17130 = FI17130_PV / ((1 / F17TH401_P1) + ( 1 / (DNI17121 / 100) -  F17TH401_P2))</t>
  </si>
  <si>
    <t>Final Tails Feed Flow rate</t>
  </si>
  <si>
    <t xml:space="preserve">Final Tails Dry Solids Mass Flow </t>
  </si>
  <si>
    <t>F17TH401 UF Solids</t>
  </si>
  <si>
    <t>Flotation Tailings Thickener Underflow Feed Slurry SG</t>
  </si>
  <si>
    <t>DNI17121 = [(F17TH401_P1 * F17TH401_P2) - (DIT17121 * F17TH401_P1)] / [(DIT17121 * (F17TH401_P2 - F17TH401_P1)]*100</t>
  </si>
  <si>
    <t>F17TH401_P1 to be a single input specified within F17 Area for input into other calculations within this sheet. Please see F17CALC0002 for specification.</t>
  </si>
  <si>
    <t>Flotation Tailings Thickener Underflow %w/w solids</t>
  </si>
  <si>
    <t>F17TH401_P2 to be a single input specified within F17 Area for input into other calculations within this sheet. Please see F17CALC0002 for specification.</t>
  </si>
  <si>
    <t>F18CALC0001</t>
  </si>
  <si>
    <t>F18CF501 Wash Water Ctrl</t>
  </si>
  <si>
    <t>FIC18057_SP1</t>
  </si>
  <si>
    <t>FIC18057_SP1 = F18CF501_Ratio * FI18027_PV</t>
  </si>
  <si>
    <t>In CASCADE Mode, the setpoint for FIC18057 is provided by this calculation.</t>
  </si>
  <si>
    <t>FI18027_PV</t>
  </si>
  <si>
    <t>Final Concentrate Slurry Flow</t>
  </si>
  <si>
    <t>F18CF501_Ratio</t>
  </si>
  <si>
    <t>Ratio Setpoint</t>
  </si>
  <si>
    <t>F18PP407/408 Solids</t>
  </si>
  <si>
    <t>Final Concentrate Feed Slurry SG</t>
  </si>
  <si>
    <t>DNI18027 = [(F18PP407_Parameter_1 * F18PP407_Parameter_2) - (DIT18027 * F18PP407_Parameter_1)] / [(DIT18027 * (F18PP407_Parameter_2 - F18PP407_Parameter_1)]*100</t>
  </si>
  <si>
    <t>F18PP407_Parameter 1</t>
  </si>
  <si>
    <t>Dry Solids SG for that stream (Engineer Input)</t>
  </si>
  <si>
    <t>Nominal SG 2.89</t>
  </si>
  <si>
    <t>F18PP407_Parameter 2</t>
  </si>
  <si>
    <t>Final Concentrate %w/w solids</t>
  </si>
  <si>
    <t>F18PP513/514 Solids</t>
  </si>
  <si>
    <t>Cleaner Scavenger Tails Feed Slurry SG</t>
  </si>
  <si>
    <t>DNI18237 = [(F18PP513_Parameter_1 * F18PP513_Parameter_2) - (DIT18237 * F18PP513_Parameter_1)] / [(DIT18237 * (F18PP513_Parameter_2 - F18PP513_Parameter_1)]*100</t>
  </si>
  <si>
    <t>F18PP513_Parameter 1</t>
  </si>
  <si>
    <t>F18PP513_Parameter 2</t>
  </si>
  <si>
    <t>Cleaner Scavenger Tails %w/w solids</t>
  </si>
  <si>
    <t>F18PP513/514 Dry Solids tph</t>
  </si>
  <si>
    <t>Cleaner Scavenger Tails Density</t>
  </si>
  <si>
    <t>WI18237= FI18237_PV / ((1 / F18PP513_Parameter 1) + ( 1 / (DNI18237 / 100) -  F18PP513_Parameter 2))</t>
  </si>
  <si>
    <t>FI18237_PV</t>
  </si>
  <si>
    <t>Cleaner Scavenger Tails Feed Flow rate</t>
  </si>
  <si>
    <t xml:space="preserve">Cleaner Scavenger Tails Dry Solids Mass Flow </t>
  </si>
  <si>
    <t>F18PP407/408 Dry Solids tph</t>
  </si>
  <si>
    <t>Final Concentrate Density</t>
  </si>
  <si>
    <t>WI18027= FI18027_PV / ((1 / F18PP407_Parameter 1) + ( 1 / (DNI18027 / 100) -  F18PP407_Parameter 2))</t>
  </si>
  <si>
    <t>Final Concentrate Feed Flow rate</t>
  </si>
  <si>
    <t>Nominal SG 3.99</t>
  </si>
  <si>
    <t xml:space="preserve">Final Concentrate Dry Solids Mass Flow </t>
  </si>
  <si>
    <t>F18CALC0006</t>
  </si>
  <si>
    <t>F18CF511 Wash Water Ctrl</t>
  </si>
  <si>
    <t>FIC18257_SP1</t>
  </si>
  <si>
    <t>FIC18257_SP1 = F18CF511_Ratio * (FIC18227_PV - FI18237_PV)</t>
  </si>
  <si>
    <t>In CASCADE Mode, the setpoint for FIC18257 is provided by this calculation.</t>
  </si>
  <si>
    <t>FIC18227_PV</t>
  </si>
  <si>
    <t>Cleaner-Scavenger Feed Slurry Flow</t>
  </si>
  <si>
    <t>Cleaner-Scavenger Tails Slurry Flow</t>
  </si>
  <si>
    <t>F18CF511_Ratio</t>
  </si>
  <si>
    <t>F18CF501 Level</t>
  </si>
  <si>
    <t>RV = LIT18051A_PV
RV1 = LIT18051B_PV
P01 = Compensated Density
P01 = (RV - RV1) / 700
if (P01 =&lt; 0.5) then
    P02 = 0.5
else
    P02 = P01
end if
P03 = RV / P02
if (P03 =&gt; 1900) then
    P04 = 1900
else
    P04 = P03
end if
LNI18051 = 1900 - P04</t>
  </si>
  <si>
    <t>Refer to 2000-ME073-M01-10002 for description on calculation.</t>
  </si>
  <si>
    <t>LIT18051A_PV</t>
  </si>
  <si>
    <t>Cleaner Froth Depth Transmitter A</t>
  </si>
  <si>
    <t>LIT18051B_PV</t>
  </si>
  <si>
    <t>Cleaner Froth Depth Transmitter B</t>
  </si>
  <si>
    <t>Froth/Level depth.</t>
  </si>
  <si>
    <t>F18CF511 Level</t>
  </si>
  <si>
    <t>RV = LIT18251A_PV
RV1 = LIT18251B_PV
P01 = Compensated Density
P01 = (RV - RV1) / 700
if (P01 =&lt; 0.5) then
    P02 = 0.5
else
    P02 = P01
end if
P03 = RV / PO2
if (P03 =&gt; 1900) then
    P04 = 1900
else
    P04 = P03
end if
LNI18251 = 1900 - P04</t>
  </si>
  <si>
    <t>Refer to 2000-ME073-M01-10001 for description on calculation.</t>
  </si>
  <si>
    <t>LIT18251A_PV</t>
  </si>
  <si>
    <t>LIT18251B_PV</t>
  </si>
  <si>
    <t>MISC. INSTRUMENTS AND CONTROLLERS</t>
  </si>
  <si>
    <t>Normal State</t>
  </si>
  <si>
    <t>Hardwired (y/n)</t>
  </si>
  <si>
    <t>HS17011</t>
  </si>
  <si>
    <t>F17TH401 Control Method Switch</t>
  </si>
  <si>
    <t>DCS Faceplate to select between Density Control or Thickener Bed Pressure Control to manipulate Flotation Tailings Thickener Underflow Pump 1/2 (F17-PP-455/456) VSD via slave controller FIC17121.</t>
  </si>
  <si>
    <t>HS17121</t>
  </si>
  <si>
    <t>F17PP455/6 Duty Selection</t>
  </si>
  <si>
    <t>CRO Selection</t>
  </si>
  <si>
    <t>DCS Graphic Faceplate to select between duty Flotation Tailings Thickener Underflow Pump 1 or 2.</t>
  </si>
  <si>
    <t>F17TH401_T1</t>
  </si>
  <si>
    <t>F17TH401 Reverse Jog Active Timer</t>
  </si>
  <si>
    <t>INACTIVE</t>
  </si>
  <si>
    <t>ACTIVE</t>
  </si>
  <si>
    <r>
      <t xml:space="preserve">Timer duration: 0 - 10 seconds.
Default value: 3 seconds.
</t>
    </r>
    <r>
      <rPr>
        <b/>
        <sz val="11"/>
        <color rgb="FF0000FF"/>
        <rFont val="Arial"/>
        <family val="2"/>
      </rPr>
      <t>Adjustable by Engineer login only.</t>
    </r>
    <r>
      <rPr>
        <sz val="11"/>
        <color rgb="FF0000FF"/>
        <rFont val="Arial"/>
        <family val="2"/>
      </rPr>
      <t xml:space="preserve">
Timer starts if: SV17034 = ENERGISED AND F17PO408 = RUNNING .
</t>
    </r>
    <r>
      <rPr>
        <b/>
        <sz val="11"/>
        <color rgb="FF0000FF"/>
        <rFont val="Arial"/>
        <family val="2"/>
      </rPr>
      <t>On timer elapse:</t>
    </r>
    <r>
      <rPr>
        <sz val="11"/>
        <color rgb="FF0000FF"/>
        <rFont val="Arial"/>
        <family val="2"/>
      </rPr>
      <t xml:space="preserve">
Timer to CLOSE SV17034 AND issue DCS Prompt: "Reverse Jog Exceeds Allowable Time." AND Start F17TH401_T2.
</t>
    </r>
    <r>
      <rPr>
        <b/>
        <sz val="11"/>
        <color rgb="FF0000FF"/>
        <rFont val="Arial"/>
        <family val="2"/>
      </rPr>
      <t xml:space="preserve">Timer to stop if:
</t>
    </r>
    <r>
      <rPr>
        <sz val="11"/>
        <color rgb="FF0000FF"/>
        <rFont val="Arial"/>
        <family val="2"/>
      </rPr>
      <t xml:space="preserve">SV17034 De-Energised
</t>
    </r>
    <r>
      <rPr>
        <b/>
        <sz val="11"/>
        <color rgb="FF0000FF"/>
        <rFont val="Arial"/>
        <family val="2"/>
      </rPr>
      <t xml:space="preserve">Timer applicable in </t>
    </r>
    <r>
      <rPr>
        <b/>
        <u/>
        <sz val="11"/>
        <color rgb="FF0000FF"/>
        <rFont val="Arial"/>
        <family val="2"/>
      </rPr>
      <t>ALL</t>
    </r>
    <r>
      <rPr>
        <b/>
        <sz val="11"/>
        <color rgb="FF0000FF"/>
        <rFont val="Arial"/>
        <family val="2"/>
      </rPr>
      <t xml:space="preserve"> modes of operation of F17PO408: Auto, Manual and Local.</t>
    </r>
  </si>
  <si>
    <t>F17TH401_T2</t>
  </si>
  <si>
    <t>F17TH401 Reverse Jog Lockout Timer</t>
  </si>
  <si>
    <r>
      <t xml:space="preserve">Timer duration: 60 seconds. 
Operator Configurable Range: 30 - 180 seconds.
If F17TH401_T1 is STARTED AND (STOPPED OR ELAPSES), then:
    Start F17TH401_T2.
If F17TH401_T2 = Active / Running then:
        Prevent SV17034 being energised until timer expired AND Issue DCS Prompt if Reverse Jog attempted to be activated: "Reverse Jog Cooldown Timer still active for &lt;&lt; XX &gt;&gt; seconds."
</t>
    </r>
    <r>
      <rPr>
        <b/>
        <sz val="11"/>
        <color rgb="FF0000FF"/>
        <rFont val="Arial"/>
        <family val="2"/>
      </rPr>
      <t>Timer applicable in ALL modes of operation of F17PO408: Auto, Manual and Local.</t>
    </r>
    <r>
      <rPr>
        <sz val="11"/>
        <color rgb="FF0000FF"/>
        <rFont val="Arial"/>
        <family val="2"/>
      </rPr>
      <t xml:space="preserve">
Display timer in DCS graphic.</t>
    </r>
  </si>
  <si>
    <t>F17TH401_C1</t>
  </si>
  <si>
    <t>F17TH401 Reverse Jog Action Counter</t>
  </si>
  <si>
    <t>Increase counter by one when F17TH401_T1 = STARTED 
F17TH401_C1 to prevent further reverse jog activations if counter equals three (3) (Prevent Reverse Jog from being active (SV17034 from being Active)). No more than 3x attempts of reverse jog per 30 minute periods. 
Counter to reset after 30 minutes from elapse of F17TH401_T1.
Display counter on DCS graphic.</t>
  </si>
  <si>
    <t>F17TH401_T3</t>
  </si>
  <si>
    <t>F17TH401 Rake Protection Timer</t>
  </si>
  <si>
    <r>
      <t>Timer duration: 20 seconds.
Engineer Configurable Range: 5 - 30 seconds.
Timer to start when:
1. F17PO408 Running AND SV17033 De-Energised (from Energised state). Timer will lock out and</t>
    </r>
    <r>
      <rPr>
        <b/>
        <sz val="11"/>
        <color rgb="FF0000FF"/>
        <rFont val="Arial"/>
        <family val="2"/>
      </rPr>
      <t xml:space="preserve"> prevent SV17034 being Energised</t>
    </r>
    <r>
      <rPr>
        <sz val="11"/>
        <color rgb="FF0000FF"/>
        <rFont val="Arial"/>
        <family val="2"/>
      </rPr>
      <t xml:space="preserve"> until Timer elapsed. 
2. F17PO408 Running AND SV17034 De-Energised (from Energised State). Timer will lock out and </t>
    </r>
    <r>
      <rPr>
        <b/>
        <sz val="11"/>
        <color rgb="FF0000FF"/>
        <rFont val="Arial"/>
        <family val="2"/>
      </rPr>
      <t>prevent SV17033 being Energised</t>
    </r>
    <r>
      <rPr>
        <sz val="11"/>
        <color rgb="FF0000FF"/>
        <rFont val="Arial"/>
        <family val="2"/>
      </rPr>
      <t xml:space="preserve"> until Timer elapsed. 
Timer intended to prevent damage to rakes when switching from forward to reverse jogging operation (or vice-versa).
</t>
    </r>
    <r>
      <rPr>
        <b/>
        <sz val="11"/>
        <color rgb="FF0000FF"/>
        <rFont val="Arial"/>
        <family val="2"/>
      </rPr>
      <t xml:space="preserve">Timer duration </t>
    </r>
    <r>
      <rPr>
        <b/>
        <u/>
        <sz val="11"/>
        <color rgb="FF0000FF"/>
        <rFont val="Arial"/>
        <family val="2"/>
      </rPr>
      <t>must</t>
    </r>
    <r>
      <rPr>
        <b/>
        <sz val="11"/>
        <color rgb="FF0000FF"/>
        <rFont val="Arial"/>
        <family val="2"/>
      </rPr>
      <t xml:space="preserve"> be confirmed during commissioning and set by Engineer-level login within DCS.</t>
    </r>
  </si>
  <si>
    <t>F17TH401_LCL</t>
  </si>
  <si>
    <t>Placeholder to specify LOCAL mode for the Flotation Tailings Thickener. Place "LOCAL" button in DCS to switch the following equipment to Local mode:
- F17PO408, SV17033, SV17034 (F17HU406)
- F17PO409, SV17047, SV17048 (F17HU414)
The following equipment will remain in its current state (MANUAL / AUTO):
- F17FN492
Local mode applies to list above to activate appropriate Thickener Control Panel buttons. Please see Digital Inputs, OnOff Valves and Drives for further information.</t>
  </si>
  <si>
    <t>F17TH401_REV</t>
  </si>
  <si>
    <t>F17TH401 Reverse Enable</t>
  </si>
  <si>
    <r>
      <rPr>
        <b/>
        <sz val="11"/>
        <color rgb="FF0000FF"/>
        <rFont val="Arial"/>
        <family val="2"/>
      </rPr>
      <t>Reverse Enable Active.</t>
    </r>
    <r>
      <rPr>
        <sz val="11"/>
        <color rgb="FF0000FF"/>
        <rFont val="Arial"/>
        <family val="2"/>
      </rPr>
      <t xml:space="preserve">
DCS user-interface button "Enable Reverse Jog Mode in LOCAL" to be placed alongside F17TH401. When activated/clicked by operator, de-energise SV17033 if activated. Start F17PO408 if not running.
XC17062 will be activated when "Reverse Enable" is activated by Control Room Operator. See Digital Outputs sheet.</t>
    </r>
  </si>
  <si>
    <t>F17TH401_STRT</t>
  </si>
  <si>
    <t>F17TH401 Start Forward Mode</t>
  </si>
  <si>
    <t xml:space="preserve">DCS User-Interface button "Start Thickener In Forward Mode" to reside next to F17TH401 object in DCS.
When activated will energise SV17033 and start F17PO408. See 9. Drives for further information.
Grey-out button if interlocks are active. </t>
  </si>
  <si>
    <t>F17TH401 Stop Forward Mode</t>
  </si>
  <si>
    <t>DCS user-interface button "Stop Thickener in Forward Mode" when activated will de-energise SV17033 and stop F17PO408. 
Issue Prompt when clicked, "Confirm shutdown of thickener?".</t>
  </si>
  <si>
    <t>F17TH401_RLWR</t>
  </si>
  <si>
    <t>F17TH401 Rake Lower Timer</t>
  </si>
  <si>
    <r>
      <t xml:space="preserve">Timer Duration: 30 seconds.
Engineer Configurable Range: 0 - 180 seconds.
</t>
    </r>
    <r>
      <rPr>
        <b/>
        <sz val="11"/>
        <color rgb="FF0000FF"/>
        <rFont val="Arial"/>
        <family val="2"/>
      </rPr>
      <t>Timer to start when:</t>
    </r>
    <r>
      <rPr>
        <sz val="11"/>
        <color rgb="FF0000FF"/>
        <rFont val="Arial"/>
        <family val="2"/>
      </rPr>
      <t xml:space="preserve">
F17PO409 Running AND SV17047 Energised. F17TH401 must be in AUTO MODE.
In LOCAL MODE (F17TH401_LCL), the rake may be lowered via local control panel until lower rake position switch is activated (ZSL17015) as detailed in 9. Drives for F17PO409. Timer </t>
    </r>
    <r>
      <rPr>
        <b/>
        <sz val="11"/>
        <color rgb="FF0000FF"/>
        <rFont val="Arial"/>
        <family val="2"/>
      </rPr>
      <t>does not</t>
    </r>
    <r>
      <rPr>
        <sz val="11"/>
        <color rgb="FF0000FF"/>
        <rFont val="Arial"/>
        <family val="2"/>
      </rPr>
      <t xml:space="preserve"> apply in LOCAL MODE.
Reset timer upon elapse.
Timer duration source: 2000-ME001.5-M02-50001.
Timer </t>
    </r>
    <r>
      <rPr>
        <b/>
        <sz val="11"/>
        <color rgb="FF0000FF"/>
        <rFont val="Arial"/>
        <family val="2"/>
      </rPr>
      <t>must</t>
    </r>
    <r>
      <rPr>
        <sz val="11"/>
        <color rgb="FF0000FF"/>
        <rFont val="Arial"/>
        <family val="2"/>
      </rPr>
      <t xml:space="preserve"> be confirmed during commissioning.</t>
    </r>
  </si>
  <si>
    <t>F17TH401_REVC</t>
  </si>
  <si>
    <t>F17TH401 Rake Rotation Counter</t>
  </si>
  <si>
    <t>Counter to count down from 1 revolution of F17TH401 rake. 
Adjustable Count Down Timer.
Default Timer: 925 seconds (1 rake revolution) OR 
                        SSL17016 = 120 pulses per revolution (whichever comes first).
Engineer Configurable Range: (Timer) 700 - 1200 
                                                  (Pulses) 80 - 200 pulses 
Counter to begin counting down from configured value (equivalent to 1 rake revolution) when:
- AUTO MODE Active AND F17TH401_RLWR Elapsed
Counter resets when:
- SV17047 in AUTO MODE AND Energised AND F17TH401_RLWR Elapsed
Confirm timer during commissioning. 1 rake revolution will be equal to 120 pulses of SSL17016.</t>
  </si>
  <si>
    <t>F17TH401_UFPR</t>
  </si>
  <si>
    <t>F17PP455/6 Suction Prime Timer</t>
  </si>
  <si>
    <t>Timer Duration: 20 seconds (Default)
Operator Configurable Range: 0 - 600 seconds.
Timer to start during F17-SEQ-0001. Please refer to Sequences for further details.
Configurable range to be confirmed during commissioning.</t>
  </si>
  <si>
    <t>F17TH401_UFFL</t>
  </si>
  <si>
    <t>F17PP455/6 Suction Flush Timer</t>
  </si>
  <si>
    <t>Timer Duration: 120 seconds (Default)
Operator Configurable Range: 0 - 600 seconds.
Timer to start during F17-SEQ-0001. Please refer to Sequences for further details.
Configurable range to be confirmed during commissioning.</t>
  </si>
  <si>
    <t>F17PO408_RT1</t>
  </si>
  <si>
    <t>F17PO408 Shutdown Timer</t>
  </si>
  <si>
    <t xml:space="preserve">Timer Duration: 1200 seconds.
Engineer Configurable Range: 0 - 2400 seconds.
Timer to count-down from nominated duration.
Timer to count-down when:
- SV17033 De-Energised AND SV17034 De-Energised AND F17PO408 Running
Timer will reset and stop if: 
- SV17033 OR SV17034 are energised during count-down.
- SV17033 De-Energised AND SV17034 De-Energised AND F17PO408 Not Running
</t>
  </si>
  <si>
    <t>F17PO409_RT1</t>
  </si>
  <si>
    <t>2000-ME001.5-E02-50003</t>
  </si>
  <si>
    <t>F17PO409 Shutdown Timer</t>
  </si>
  <si>
    <t xml:space="preserve">Timer Duration: 300 seconds.
Engineer Configurable Range: 0 - 600 seconds.
Timer to count-down from nominated duration.
Timer to start count-down when:
- SV17047 De-Energised AND SV17048 De-Energised AND F17PO409 Running
Timer will reset and stop if: 
- SV17048 OR SV17047 are energised during count-down.
- SV17047 De-Energised AND SV17048 De-Energised AND F17PO409 Not Running
</t>
  </si>
  <si>
    <t>FIC17121_STT</t>
  </si>
  <si>
    <t>F17PP455/6 Startup</t>
  </si>
  <si>
    <t>Operator-adjustable start-up setpoint variable for Flotation Tailings Thickener Underflow Pumps.
FIC17121_STT [=] m3/h (Engineering Units).
Configurable Range: 2000 - 3000 m3/h.
Setpoint used in F17-SEQ-0001 START.
Range to be confirmed during commissioning.</t>
  </si>
  <si>
    <t>FIC17121_STP</t>
  </si>
  <si>
    <t>F17PP455/6 Shutdown</t>
  </si>
  <si>
    <t>Operator-adjustable shut-up setpoint variable for Flotation Tailings Thickener Underflow Pumps.
FIC17121_STP [=] m3/h (Engineering Units).
Configurable Range: 2000 - 3000 m3/h.
Setpoint used in F17-SEQ-0002 STOP.
Range to be confirmed during commissioning.</t>
  </si>
  <si>
    <t>F18PP4078STT</t>
  </si>
  <si>
    <t>F18PP407/8 Startup Setpoint</t>
  </si>
  <si>
    <t>Operator-adjustable start-up setpoint variable for Final Concentrate Pumps.
F18PP4078STT [=] % VSD (Engineering Units).
Configurable Range: 40 - 60% 
Setpoint used in F18-SEQ-0001 START.
Range to be confirmed during commissioning.</t>
  </si>
  <si>
    <t>F18PP4078_T1</t>
  </si>
  <si>
    <t>F18PP407/8 Startup Timer</t>
  </si>
  <si>
    <t>Timer Duration: 30 seconds.
Operator Configurable Range: 0 - 120 seconds.
Timer to count-down from nominated duration.
Used in F18-SEQ-0001.</t>
  </si>
  <si>
    <t>FIC18037_STT</t>
  </si>
  <si>
    <t>F18PP501/2 Startup</t>
  </si>
  <si>
    <t>Operator-adjustable start-up setpoint variable for Cleaner Flotation Cell Recirculation Pumps.
FIC18037_STT [=] m3/h (Engineering Units).
Configurable Range: 1000 - 2000 m3/h.
Setpoint used in F18-SEQ-0003.
Range to be confirmed during commissioning.</t>
  </si>
  <si>
    <t>FIC18037_T1</t>
  </si>
  <si>
    <t>F18PP501/2 Startup Timer</t>
  </si>
  <si>
    <t>Timer Duration: 30 seconds.
Operator Configurable Range: 0 - 120 seconds.
Timer to count-down from nominated duration.
Used in F18-SEQ-0003.</t>
  </si>
  <si>
    <t>FIC18037_OPP</t>
  </si>
  <si>
    <t>F18PP501/2 Operating Point</t>
  </si>
  <si>
    <t>Operator-adjustable desired running setpoint variable for Cleaner Flotation Cell Recirculation Pumps.
FIC18037_OPP [=] m3/h (Engineering Units).
Configurable Range: 1800 - 2400 m3/h.
Setpoint used in F18-SEQ-0003.
Range to be confirmed during commissioning.</t>
  </si>
  <si>
    <t>FIC18227_STT</t>
  </si>
  <si>
    <t>F18PP511/2 Startup</t>
  </si>
  <si>
    <t>Operator-adjustable start-up setpoint variable for Cleaner-Scavenger Flotation Cell Recirculation Pumps.
FIC18227_STT [=] m3/h (Engineering Units).
Configurable Range: 1500 - 2000 m3/h.
Setpoint used in F18-SEQ-0005.
Range to be confirmed during commissioning.</t>
  </si>
  <si>
    <t>FIC18227_T1</t>
  </si>
  <si>
    <t>F18PP511/2 Startup Timer</t>
  </si>
  <si>
    <t>Timer Duration: 30 seconds.
Operator Configurable Range: 0 - 120 seconds.
Timer to count-down from nominated duration.
Used in F18-SEQ-0005.</t>
  </si>
  <si>
    <t>FIC18227_OPP</t>
  </si>
  <si>
    <t>F18PP511/2 Operating Point</t>
  </si>
  <si>
    <t>Operator-adjustable desired running setpoint variable for Cleaner-Scavenger Flotation Cell Recirculation Pumps.
FIC18227_OPP [=] m3/h (Engineering Units).
Configurable Range: 1800 - 2400 m3/h.
Setpoint used in F18-SEQ-0005.
Range to be confirmed during commissioning.</t>
  </si>
  <si>
    <t>F18PP5134STT</t>
  </si>
  <si>
    <t>F18PP513/4 Startup</t>
  </si>
  <si>
    <t>Operator-adjustable start-up setpoint variable for Cleaner-Scavenger Tails Pumps.
F18PP5134STT [=] % VSD (Engineering Units).
Configurable Range: 40 - 60% 
Setpoint used in F18-SEQ-0007 START.
Range to be confirmed during commissioning.</t>
  </si>
  <si>
    <t>F18PP5134_T1</t>
  </si>
  <si>
    <t>F18PP513/4 Startup Timer</t>
  </si>
  <si>
    <t>Timer Duration: 30 seconds.
Operator Configurable Range: 0 - 120 seconds.
Timer to count-down from nominated duration.
Used in F18-SEQ-0007.</t>
  </si>
  <si>
    <t>LIC18051_OPP</t>
  </si>
  <si>
    <t>F18CF501 Level Setpoint</t>
  </si>
  <si>
    <t>Operator-adjustable desired level setpoint variable for Cleaner Flotation Cell .
LIC18051_OPP [=] MM (Engineering Units).
Configurable Range: 50 - 700MM
Setpoint used in F18-SEQ-0009.
Range to be confirmed during commissioning.</t>
  </si>
  <si>
    <t>LIC18251_OPP</t>
  </si>
  <si>
    <t>F18CF511 Level Setpoint</t>
  </si>
  <si>
    <t>Operator-adjustable desired level setpoint variable for Cleaner-Scavenger Flotation Cell .
LIC18051_OPP [=] MM (Engineering Units).
Configurable Range: 50 - 700MM
Setpoint used in F18-SEQ-0010.
Range to be confirmed during commissioning.</t>
  </si>
  <si>
    <t>HS18027</t>
  </si>
  <si>
    <t>Duty F18PP407/408</t>
  </si>
  <si>
    <t>Handswitch to switch between duty pump F18-PP-407 and 408. To be achieved on faceplate within DCS.</t>
  </si>
  <si>
    <t>HS18037</t>
  </si>
  <si>
    <t>Duty F18PP501/502</t>
  </si>
  <si>
    <t>Handswitch to switch between duty pump F18-PP-501 and 502. To be achieved on faceplate within DCS.</t>
  </si>
  <si>
    <t>HS18227</t>
  </si>
  <si>
    <t>Duty F18PP511/512</t>
  </si>
  <si>
    <t>Handswitch to switch between duty pump F18-PP-511 and 512. To be achieved on faceplate within DCS.</t>
  </si>
  <si>
    <t>HS18237</t>
  </si>
  <si>
    <t>Duty F18PP513/514</t>
  </si>
  <si>
    <t>Handswitch to switch between duty pump F18-PP-513 and 514. To be achieved on faceplate within DCS.</t>
  </si>
  <si>
    <t>F17BW401_C1</t>
  </si>
  <si>
    <t>F17BW401 Start Counter</t>
  </si>
  <si>
    <t>Maximum number of starts per hour is 10 starts.
Increase counter by 1 when drive is activated.
When F17BW401_C1 = 10, interlock drive to prevent starting.
Counter to reset after 1 hour since first start.</t>
  </si>
  <si>
    <t>F17BW402_C1</t>
  </si>
  <si>
    <t>F17BW402 Start Counter</t>
  </si>
  <si>
    <t>Maximum number of starts per hour is 10 starts.
Increase counter by 1 when drive is activated.
When F17BW402_C1 = 10, interlock drive to prevent starting.
Counter to reset after 1 hour since first start.</t>
  </si>
  <si>
    <t>F17BW403_C1</t>
  </si>
  <si>
    <t>F17BW403 Start Counter</t>
  </si>
  <si>
    <t>Maximum number of starts per hour is 10 starts.
Increase counter by 1 when drive is activated.
When F17BW403_C1 = 10, interlock drive to prevent starting.
Counter to reset after 1 hour since first start.</t>
  </si>
  <si>
    <t>F17BW404_C1</t>
  </si>
  <si>
    <t>F17BW404 Start Counter</t>
  </si>
  <si>
    <t>Maximum number of starts per hour is 10 starts.
Increase counter by 1 when drive is activated.
When F17BW404_C1 = 10, interlock drive to prevent starting.
Counter to reset after 1 hour since first start.</t>
  </si>
  <si>
    <t>F18PP5134_IV</t>
  </si>
  <si>
    <t>F18PP513/514 Invalid Circuit</t>
  </si>
  <si>
    <t>Mask when F18PP513 OR 514 Not Running</t>
  </si>
  <si>
    <t>Alarm when:
- XV18242 Open AND XV18243 Open
On-Delay: 5 seconds.</t>
  </si>
  <si>
    <t>ALARM DATABASE</t>
  </si>
  <si>
    <t>Alarm Value</t>
  </si>
  <si>
    <t>Alarm Units</t>
  </si>
  <si>
    <t>On Delay (sec)</t>
  </si>
  <si>
    <t>Alarm Masking 
Condition</t>
  </si>
  <si>
    <t>Impact</t>
  </si>
  <si>
    <t>Urgency</t>
  </si>
  <si>
    <t>Operator Response</t>
  </si>
  <si>
    <t>F18PP513/4 Invld Circuit</t>
  </si>
  <si>
    <t>Digital</t>
  </si>
  <si>
    <t>Financial2: Loss equivalent greater than 1 hour and up to 6 hours production. Repairs costing $50k-$500k.</t>
  </si>
  <si>
    <t>Rapid (&gt;5 to &lt;15 minutes)</t>
  </si>
  <si>
    <t>High</t>
  </si>
  <si>
    <t>Operator to investigate if Cleaner-Scavenger Flotation Cell Tails Pump discharge locations both open is intentional.</t>
  </si>
  <si>
    <t>Analogue</t>
  </si>
  <si>
    <t>m3/hr</t>
  </si>
  <si>
    <t>Financial1: Loss equivalent up to 1 hour production. Repairs costing &lt;$50,000</t>
  </si>
  <si>
    <t>Prompt (&gt;15 to &lt;30 minutes)</t>
  </si>
  <si>
    <t>Low</t>
  </si>
  <si>
    <t>Operator to review process requirements for water addition.</t>
  </si>
  <si>
    <t>Immediate (&lt;5 minutes)</t>
  </si>
  <si>
    <t>Urgent</t>
  </si>
  <si>
    <t>Electrician to investigate</t>
  </si>
  <si>
    <t>Personnel3: Lost Time Injury &gt; 48hrs. Severe, reversible health effects with potential to result in a lost time injury/illness.</t>
  </si>
  <si>
    <t>Switchroom tripped. Electrician to investigate</t>
  </si>
  <si>
    <t>m3/min</t>
  </si>
  <si>
    <t>Operator to review process requirements for blower air consumption flow rate.</t>
  </si>
  <si>
    <t>Operator to review cause of low blower pressure.</t>
  </si>
  <si>
    <t>Operator to review cause of high blower pressure.</t>
  </si>
  <si>
    <t>Operator to review if cell level controller in Automatic mode, valves in correct position and feed is on.</t>
  </si>
  <si>
    <t>Operator to inspect oil supply system before agitator shutdown.</t>
  </si>
  <si>
    <t>Plant Tripped</t>
  </si>
  <si>
    <t>Logging</t>
  </si>
  <si>
    <t>Agitator stopped. Operator to investigate.</t>
  </si>
  <si>
    <t>Operator to inspect unit before agitator shutdown.</t>
  </si>
  <si>
    <t>Operator to review causes of high gearbox oil pressure.</t>
  </si>
  <si>
    <t>Agitator has interlocked to stop. Operator to investigate cause of high-high gearbox oil pressure.</t>
  </si>
  <si>
    <t>Operator to inspect gearbox filter and replace if required.</t>
  </si>
  <si>
    <t xml:space="preserve">Operator to isolate and change filter. Note: Cold ambient temperatures during start-up periods may result in alarm indicating. </t>
  </si>
  <si>
    <t>Operator to inspect gearbox in-field.</t>
  </si>
  <si>
    <t>Operator to inspect motor in-field.</t>
  </si>
  <si>
    <t>Environmental1: Localised environmental impact, contained, with no regulatory reporting</t>
  </si>
  <si>
    <t xml:space="preserve">Plant spillage into bunded area. Operator to review cause of spillage and operation of sump pump. </t>
  </si>
  <si>
    <t>Operator to investigate condition of peristaltic hose and isolate pump if necessary.</t>
  </si>
  <si>
    <t xml:space="preserve">Operator to inspect oil supply system. </t>
  </si>
  <si>
    <t>Operator to inspect unit before shutdown.</t>
  </si>
  <si>
    <t>Operator to verify if cause of hopper low-low is expected in relation to sample collection.</t>
  </si>
  <si>
    <t>Operator to verify if cause of hopper low is expected in relation to sample collection.</t>
  </si>
  <si>
    <t>Operator to investigate pump operation and sampling arrangement as a sub-system.</t>
  </si>
  <si>
    <t>Gland flow low. Operator to review gland delivery and utilise standby pump if available.</t>
  </si>
  <si>
    <t xml:space="preserve">Operator to investigate cause of low air receiver pressure. </t>
  </si>
  <si>
    <t xml:space="preserve">Operator to investigate cause of high air receiver pressure. </t>
  </si>
  <si>
    <t>Operator to inspect unit in field.</t>
  </si>
  <si>
    <t>Operator to consider shutting unit down and inspecting in field.</t>
  </si>
  <si>
    <t>Operator to review if pressure controller is in Automatic mode.</t>
  </si>
  <si>
    <t xml:space="preserve">Operator to inspect unit. </t>
  </si>
  <si>
    <t xml:space="preserve">Operator to inspect unit for blocked inlet filter or foreign material. </t>
  </si>
  <si>
    <t>Operator to investigate cause of low flocculant dilution water.</t>
  </si>
  <si>
    <t>Operator to investigate cause of high flocculant dilution water.</t>
  </si>
  <si>
    <t>Operator to promptly investigate if low flocculant dosing rate is desirable with respect to current operational requirements.</t>
  </si>
  <si>
    <t>Operator to  investigate high flocculant dosing rate is desirable with respect to current operational requirements.</t>
  </si>
  <si>
    <t>Operator to review underflow pump speed or control mode.</t>
  </si>
  <si>
    <t>Operator to review thickener torque, thickener feed rate and/or underflow pump speed.</t>
  </si>
  <si>
    <t>Operator to review plant feed and/or underflow pump control.</t>
  </si>
  <si>
    <t>Operator to review flocculant dosing control, plant feed rate and/or underflow pump control.</t>
  </si>
  <si>
    <t>Operator to ensure rake high is expected given existing process conditions.</t>
  </si>
  <si>
    <t>Not Urgent (&gt;30 minutes)</t>
  </si>
  <si>
    <t>Logging \ Review the alarm for urgency (Incorrect Alarm Ranking)</t>
  </si>
  <si>
    <t>Operator to ensure rake low is expected given existing process conditions.</t>
  </si>
  <si>
    <t>Operator to investigate cause of rake stoppage.</t>
  </si>
  <si>
    <t>Operator to manually check and top off oil level.</t>
  </si>
  <si>
    <t>Operator to review thickener operation &amp; flocculant dosing rate.</t>
  </si>
  <si>
    <t>Operator to investigate cause of high oil temperature.</t>
  </si>
  <si>
    <t>Plant tripped. Operator to investigate cause of low oil level and manually check and top off oil level.</t>
  </si>
  <si>
    <t>Plant tripped. Operator to investigate cause of high oil temperature.</t>
  </si>
  <si>
    <t>Rake Drive Oil Cooling Fan start.</t>
  </si>
  <si>
    <t>F17TH401 Rake Drive HPU Pump Inlet Valve Not Open. Operator to acknowledge alarm and/or open valve for correct operation.</t>
  </si>
  <si>
    <t>Operator to clean/replace oil filter.</t>
  </si>
  <si>
    <t>Rake Raise. Logging.</t>
  </si>
  <si>
    <t>Financial3: Loss equivalent greater than 6 hours production. Repairs costing &gt;$500k</t>
  </si>
  <si>
    <t>Operator to increase underflow pump VSD, lower or halt plant feed, evaluate flocculant dosing control.</t>
  </si>
  <si>
    <t>Operator to increase underflow pump VSD, lower or halt plant feed, evaluate flocculant dosing control. Thickener tripped.</t>
  </si>
  <si>
    <t>Operator to promptly investigate cause of Manta Sub error. Alarm has tripped F17TH401 Thickener Rake.</t>
  </si>
  <si>
    <t xml:space="preserve">Operator to investigate in-field on Manta Sub HMI of cause of fault. </t>
  </si>
  <si>
    <t>Personnel2: Restricted Work Injury, Signficant, reversible health effect with potential to result in a medical treatment.</t>
  </si>
  <si>
    <t>Operator to promptly investigate cause of activation of Emergency Stop.</t>
  </si>
  <si>
    <t>Flotation Tailings Thickener in Reverse. Logging only.</t>
  </si>
  <si>
    <t>Flotation Tailings Thickener stopped in LOCAL. Logging.</t>
  </si>
  <si>
    <t xml:space="preserve">Operator to engage standby pump if available and inspect system in field. </t>
  </si>
  <si>
    <t>Operator to investigate cause of low gland flow.</t>
  </si>
  <si>
    <t>Operator to evaluate process.</t>
  </si>
  <si>
    <t>Operator to take action to reduce discharge density to prevent line sanding.</t>
  </si>
  <si>
    <t>Operator to evaluate discharge line for blockages, closed discharge valves</t>
  </si>
  <si>
    <t>Operator to review discharge flow, pump control method,</t>
  </si>
  <si>
    <t>Operator to evaluate process for invalid conditions.</t>
  </si>
  <si>
    <t>Plant tripped to protect pump. Operator to investigate cause and engage standby pump if available.</t>
  </si>
  <si>
    <t>Operator to review open/close position of destination valves on Flotation Tailings Thickener Underflow Pump discharge.</t>
  </si>
  <si>
    <t>Operator to review valve position.</t>
  </si>
  <si>
    <t>Operator to investigate cause of low-low flow to CIL3.</t>
  </si>
  <si>
    <t>Operator to investigate cause of low flow to CIL3.</t>
  </si>
  <si>
    <t>Operator to review plant feed rate and flotation tailings mass flow destinations.</t>
  </si>
  <si>
    <t>Operator to investigate cause of final concentrate hopper low-low.</t>
  </si>
  <si>
    <t>Operator to review flotation system to ascertain cause of dropping final concentrate hopper level.</t>
  </si>
  <si>
    <t>Operator to review flotation system to ascertain cause of rising final concentrate hopper level.</t>
  </si>
  <si>
    <t>Operator to investigate cause of Cleaner Flotation feed hopper low-low.</t>
  </si>
  <si>
    <t>Operator to review flotation system to ascertain cause of dropping Cleaner Flotation feed hopper level.</t>
  </si>
  <si>
    <t>Operator to review flotation system to ascertain cause of rising Cleaner Flotation feed hopper level.</t>
  </si>
  <si>
    <t>Operator to review process.</t>
  </si>
  <si>
    <t>Operator to take action to reduce pipeline density to prevent line sanding.</t>
  </si>
  <si>
    <t>Operator to promptly review and bring level down to ensure Jameson cell performance is optimal.</t>
  </si>
  <si>
    <t>Operator to promptly review and bring level up to ensure Jameson cell performance is optimal.</t>
  </si>
  <si>
    <t>Operator to investigate Jameson Cell for downcomer blockage, closed downcomer valves. Consult Vendor IOM and/or Functional Description.</t>
  </si>
  <si>
    <t>Operator to investigate cause of low pressure at Jameson Cell Slurry Distributor.</t>
  </si>
  <si>
    <t>Operator Configurable Alarm. Default Listed.
Operator to investigate cause of low feed air pressure.</t>
  </si>
  <si>
    <t>Operator Configurable Alarm. Default Listed.
Operator to investigate cause of high feed air pressure.</t>
  </si>
  <si>
    <t>Sm3/hr</t>
  </si>
  <si>
    <t>Operator to investigate. Jameson Cell operation outside Vendor recommended operation parameters.</t>
  </si>
  <si>
    <t>Operator to investigate operation of High Pressure Process Water Pumps.</t>
  </si>
  <si>
    <t>Operator to investigate operation of High Pressure Process Water Pumps and flow of high pressure process water to Jameson Cell.</t>
  </si>
  <si>
    <t>Operator to investigate control method of Jameson Cell wash water.</t>
  </si>
  <si>
    <t>Operator to investigate cause of Cleaner Scavenger Feed hopper low-low.</t>
  </si>
  <si>
    <t>Operator to review flotation system to ascertain cause of dropping Cleaner Scavenger Feed hopper level.</t>
  </si>
  <si>
    <t>Operator to review flotation system to ascertain cause of rising Cleaner Scavenger Feed hopper level.</t>
  </si>
  <si>
    <t>Operator to investigate cause of Cleaner Scavenger Tails hopper low-low.</t>
  </si>
  <si>
    <t>Operator to review flotation system to ascertain cause of dropping Cleaner Scavenger Tails hopper level.</t>
  </si>
  <si>
    <t>Operator to review flotation system to ascertain cause of rising Cleaner Scavenger Tails hopper level.</t>
  </si>
  <si>
    <t>Plant tripped to protect pump. Operator to investigate cause and engage standby pump is available.</t>
  </si>
  <si>
    <t>Operator to review cause of low flow and respond appropriately.</t>
  </si>
  <si>
    <t>Operator to review cause of high flow and respond appropriately.</t>
  </si>
  <si>
    <t>Operator to review process to prevent line sanding.</t>
  </si>
  <si>
    <t>Operator Configurable alarm setpoint.
Operator to investigate cause of low Jameson Cell Froth Level.</t>
  </si>
  <si>
    <t>Operator to investigate control method of Jameson Cell Froth Level Controller and/or alternate causes of high high level.</t>
  </si>
  <si>
    <t>Concentrate wash water low-low. Operator to review and remediate.</t>
  </si>
  <si>
    <t>Concentrate wash water low. Operator to review and remediate.</t>
  </si>
  <si>
    <t>Concentrate wash water high. Operator to review and remediate.</t>
  </si>
  <si>
    <t>Fire alarm. Follow site specific Fire Emergency Plan.</t>
  </si>
  <si>
    <t>Operator to get electrician to inspect unit for potential failure</t>
  </si>
  <si>
    <t>Operator to cease re-fuelling immediately, likely diesel spillage. Operator to investigat in-field and respond in-line with company combustible material spillage protocol.</t>
  </si>
  <si>
    <t>High fuel level in generator fuel reservoir. Operator to radio local field operator to cease re-fuelling.</t>
  </si>
  <si>
    <t>Operational risk for backup power. Operator to organise re-fuelling.</t>
  </si>
  <si>
    <t>Feeder tripped. Electrician to investigate</t>
  </si>
  <si>
    <t>Fire alarm fault. Follow site specific Fire Emergency Plan.</t>
  </si>
  <si>
    <t>Particle Size Analyser - General Alarm</t>
  </si>
  <si>
    <t>Particle Size Analyser - Assay 1 Invalid</t>
  </si>
  <si>
    <t>Particle Size Analyser - Assay 2 Invalid</t>
  </si>
  <si>
    <t>Particle Size Analyser - Assay 3 Invalid</t>
  </si>
  <si>
    <t>Particle Size Analyser - Assay 4 Invalid</t>
  </si>
  <si>
    <t>Particle Size Analyser - Assay 5 Invalid</t>
  </si>
  <si>
    <t>Particle Size Analyser - Assay 6 Invalid</t>
  </si>
  <si>
    <t>Particle Size Analyser - Assay 7 Invalid</t>
  </si>
  <si>
    <t>Particle Size Analyser - Assay 8 Invalid</t>
  </si>
  <si>
    <t>Particle Size Analyser - Assay 9 Invalid</t>
  </si>
  <si>
    <t>Particle Size Analyser - Assay 10 Invalid</t>
  </si>
  <si>
    <t>Generic Analyser Warning. Onstream Analyser.</t>
  </si>
  <si>
    <t>Generic Analyser Alarm. Onstream Analyser. Operator to consult local OSA HMI and vendor IOM for diagnosis.</t>
  </si>
  <si>
    <t>Sample No. "n" Warning. Operator to consult local OSA HMI for diagnosis.</t>
  </si>
  <si>
    <t>Sample No. "n" Alarm. Operator to consult local OSA HMI for diagnosis.</t>
  </si>
  <si>
    <t>Sample No. "n" Not executable. Operator to consult local OSA HMI and vendor IOM for diagnosis.</t>
  </si>
  <si>
    <t>Sample No. "n" Not Measureable. Operator to consult local OSA HMI and vendor IOM for diagnosis.</t>
  </si>
  <si>
    <t>Sample No. "n" Results Fault. Operator to consult local OSA HMI and vendor IOM for diagnosis.</t>
  </si>
  <si>
    <t>Sample No. "n" Analysis Fault. Operator to consult local OSA HMI and vendor IOM for diagnosis.</t>
  </si>
  <si>
    <t>Restricted work area potential safety breach/issue</t>
  </si>
  <si>
    <t>Electrician / Operator to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</si>
</sst>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_-* #,##0.00_-;\-* #,##0.00_-;_-* &quot;-&quot;??_-;_-@_-"/>
    <numFmt numFmtId="166" formatCode="0.0"/>
    <numFmt numFmtId="167" formatCode="&quot;XV-&quot;0000"/>
    <numFmt numFmtId="168" formatCode="0.00_)"/>
    <numFmt numFmtId="169" formatCode="[$-C09]dd\-mmm\-yy;@"/>
  </numFmts>
  <fonts count="102">
    <font>
      <sz val="8"/>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Arial"/>
      <family val="2"/>
    </font>
    <font>
      <b/>
      <sz val="11"/>
      <name val="Arial"/>
      <family val="2"/>
    </font>
    <font>
      <b/>
      <sz val="14"/>
      <name val="Arial"/>
      <family val="2"/>
    </font>
    <font>
      <sz val="10"/>
      <color indexed="8"/>
      <name val="Arial"/>
      <family val="2"/>
    </font>
    <font>
      <sz val="16"/>
      <name val="Arial"/>
      <family val="2"/>
    </font>
    <font>
      <sz val="10"/>
      <name val="Arial"/>
      <family val="2"/>
    </font>
    <font>
      <b/>
      <sz val="16"/>
      <name val="Arial"/>
      <family val="2"/>
    </font>
    <font>
      <b/>
      <sz val="10"/>
      <name val="Arial"/>
      <family val="2"/>
    </font>
    <font>
      <sz val="10"/>
      <name val="Arial"/>
      <family val="2"/>
    </font>
    <font>
      <sz val="11"/>
      <color indexed="12"/>
      <name val="Arial"/>
      <family val="2"/>
    </font>
    <font>
      <b/>
      <sz val="8"/>
      <name val="Arial"/>
      <family val="2"/>
    </font>
    <font>
      <sz val="16"/>
      <name val="Wingdings"/>
      <charset val="2"/>
    </font>
    <font>
      <sz val="10"/>
      <name val="Arial"/>
      <family val="2"/>
    </font>
    <font>
      <b/>
      <sz val="10"/>
      <color indexed="8"/>
      <name val="Arial"/>
      <family val="2"/>
    </font>
    <font>
      <sz val="11"/>
      <color rgb="FF0000FF"/>
      <name val="Arial"/>
      <family val="2"/>
    </font>
    <font>
      <b/>
      <sz val="11"/>
      <color rgb="FFFF0000"/>
      <name val="Arial"/>
      <family val="2"/>
    </font>
    <font>
      <sz val="11"/>
      <color rgb="FFFF0000"/>
      <name val="Arial"/>
      <family val="2"/>
    </font>
    <font>
      <b/>
      <sz val="11"/>
      <color rgb="FF0000FF"/>
      <name val="Arial"/>
      <family val="2"/>
    </font>
    <font>
      <sz val="10"/>
      <color rgb="FF0000FF"/>
      <name val="Arial"/>
      <family val="2"/>
    </font>
    <font>
      <sz val="10"/>
      <color theme="1"/>
      <name val="Arial"/>
      <family val="2"/>
    </font>
    <font>
      <sz val="11"/>
      <color rgb="FF3F3F76"/>
      <name val="Calibri"/>
      <family val="2"/>
      <scheme val="minor"/>
    </font>
    <font>
      <b/>
      <sz val="11"/>
      <color rgb="FF3F3F3F"/>
      <name val="Calibri"/>
      <family val="2"/>
      <scheme val="minor"/>
    </font>
    <font>
      <sz val="11"/>
      <color rgb="FFFA7D00"/>
      <name val="Calibri"/>
      <family val="2"/>
      <scheme val="minor"/>
    </font>
    <font>
      <sz val="10"/>
      <color rgb="FF3F3F76"/>
      <name val="Arial"/>
      <family val="2"/>
    </font>
    <font>
      <b/>
      <sz val="10"/>
      <color rgb="FF3F3F3F"/>
      <name val="Arial"/>
      <family val="2"/>
    </font>
    <font>
      <sz val="8"/>
      <name val="Arial"/>
      <family val="2"/>
    </font>
    <font>
      <sz val="11"/>
      <color rgb="FF006100"/>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4"/>
      <name val="Arial"/>
      <family val="2"/>
    </font>
    <font>
      <sz val="14"/>
      <color rgb="FF0000FF"/>
      <name val="Arial"/>
      <family val="2"/>
    </font>
    <font>
      <sz val="14"/>
      <name val="Wingdings"/>
      <charset val="2"/>
    </font>
    <font>
      <sz val="8"/>
      <color rgb="FF0000FF"/>
      <name val="Arial"/>
      <family val="2"/>
    </font>
    <font>
      <b/>
      <sz val="8"/>
      <color rgb="FF0000FF"/>
      <name val="Arial"/>
      <family val="2"/>
    </font>
    <font>
      <sz val="10"/>
      <name val="MS Sans Serif"/>
      <family val="2"/>
    </font>
    <font>
      <sz val="14"/>
      <color rgb="FF00B0F0"/>
      <name val="Calibri"/>
      <family val="2"/>
      <scheme val="minor"/>
    </font>
    <font>
      <sz val="8"/>
      <color theme="1"/>
      <name val="Calibri"/>
      <family val="2"/>
      <scheme val="minor"/>
    </font>
    <font>
      <sz val="12"/>
      <color theme="1"/>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sz val="11"/>
      <color rgb="FF171717"/>
      <name val="Calibri"/>
      <family val="2"/>
    </font>
    <font>
      <b/>
      <i/>
      <sz val="11"/>
      <color rgb="FF0000FF"/>
      <name val="Arial"/>
      <family val="2"/>
    </font>
    <font>
      <b/>
      <sz val="8"/>
      <color rgb="FF000000"/>
      <name val="Arial"/>
      <family val="2"/>
    </font>
    <font>
      <sz val="10"/>
      <color rgb="FF000000"/>
      <name val="Arial"/>
      <family val="2"/>
    </font>
    <font>
      <b/>
      <sz val="14"/>
      <color rgb="FFFF0000"/>
      <name val="Arial"/>
      <family val="2"/>
    </font>
    <font>
      <b/>
      <sz val="11"/>
      <color theme="9"/>
      <name val="Arial"/>
      <family val="2"/>
    </font>
    <font>
      <i/>
      <sz val="12"/>
      <color rgb="FFFF0000"/>
      <name val="Arial"/>
      <family val="2"/>
    </font>
    <font>
      <b/>
      <sz val="12"/>
      <color rgb="FFFF0000"/>
      <name val="Arial"/>
      <family val="2"/>
    </font>
    <font>
      <sz val="12"/>
      <color rgb="FFFF0000"/>
      <name val="Arial"/>
      <family val="2"/>
    </font>
    <font>
      <b/>
      <sz val="10"/>
      <color rgb="FF0000FF"/>
      <name val="Arial"/>
      <family val="2"/>
    </font>
    <font>
      <sz val="8"/>
      <name val="Calibri"/>
      <family val="2"/>
      <scheme val="minor"/>
    </font>
    <font>
      <b/>
      <sz val="11"/>
      <color theme="1"/>
      <name val="Arial"/>
      <family val="2"/>
    </font>
    <font>
      <sz val="11"/>
      <color theme="1"/>
      <name val="Arial"/>
      <family val="2"/>
    </font>
    <font>
      <sz val="11"/>
      <color rgb="FF000000"/>
      <name val="Calibri"/>
      <family val="2"/>
    </font>
    <font>
      <sz val="14"/>
      <color rgb="FFFF0000"/>
      <name val="Arial"/>
      <family val="2"/>
    </font>
    <font>
      <sz val="14"/>
      <color theme="1"/>
      <name val="Arial"/>
      <family val="2"/>
    </font>
    <font>
      <b/>
      <sz val="14"/>
      <color theme="1"/>
      <name val="Arial"/>
      <family val="2"/>
    </font>
    <font>
      <strike/>
      <sz val="11"/>
      <name val="Arial"/>
      <family val="2"/>
    </font>
    <font>
      <strike/>
      <sz val="11"/>
      <color rgb="FF0000FF"/>
      <name val="Arial"/>
      <family val="2"/>
    </font>
    <font>
      <b/>
      <sz val="8"/>
      <name val="Calibri"/>
      <family val="2"/>
      <scheme val="minor"/>
    </font>
    <font>
      <sz val="9"/>
      <name val="Calibri"/>
      <family val="2"/>
      <scheme val="minor"/>
    </font>
    <font>
      <sz val="11"/>
      <color rgb="FF0000FF"/>
      <name val="Calibri"/>
      <family val="2"/>
    </font>
    <font>
      <sz val="9.35"/>
      <color rgb="FF0000FF"/>
      <name val="Arial"/>
      <family val="2"/>
    </font>
    <font>
      <vertAlign val="superscript"/>
      <sz val="11"/>
      <color rgb="FF0000FF"/>
      <name val="Arial"/>
      <family val="2"/>
    </font>
    <font>
      <sz val="8"/>
      <color rgb="FFFF0000"/>
      <name val="Arial"/>
      <family val="2"/>
    </font>
    <font>
      <b/>
      <vertAlign val="superscript"/>
      <sz val="11"/>
      <color rgb="FF0000FF"/>
      <name val="Arial"/>
      <family val="2"/>
    </font>
    <font>
      <b/>
      <sz val="20"/>
      <color rgb="FFFF0000"/>
      <name val="Arial"/>
      <family val="2"/>
    </font>
    <font>
      <u/>
      <sz val="11"/>
      <color rgb="FF0000FF"/>
      <name val="Arial"/>
      <family val="2"/>
    </font>
    <font>
      <sz val="11"/>
      <color rgb="FF00B050"/>
      <name val="Arial"/>
      <family val="2"/>
    </font>
    <font>
      <sz val="12"/>
      <color rgb="FFFF0000"/>
      <name val="Calibri"/>
      <family val="2"/>
      <scheme val="minor"/>
    </font>
    <font>
      <sz val="11"/>
      <color theme="6"/>
      <name val="Arial"/>
      <family val="2"/>
    </font>
    <font>
      <sz val="9"/>
      <name val="Arial"/>
      <family val="2"/>
    </font>
    <font>
      <sz val="8"/>
      <color rgb="FF00B050"/>
      <name val="Arial"/>
      <family val="2"/>
    </font>
    <font>
      <b/>
      <u/>
      <sz val="11"/>
      <color rgb="FF0000FF"/>
      <name val="Arial"/>
      <family val="2"/>
    </font>
    <font>
      <sz val="9"/>
      <color rgb="FF00B050"/>
      <name val="Arial"/>
      <family val="2"/>
    </font>
    <font>
      <strike/>
      <sz val="8"/>
      <name val="Arial"/>
      <family val="2"/>
    </font>
    <font>
      <strike/>
      <sz val="8"/>
      <color rgb="FF0000FF"/>
      <name val="Arial"/>
      <family val="2"/>
    </font>
    <font>
      <sz val="11"/>
      <color theme="9" tint="0.59999389629810485"/>
      <name val="Arial"/>
      <family val="2"/>
    </font>
    <font>
      <strike/>
      <sz val="11"/>
      <color theme="1"/>
      <name val="Arial"/>
      <family val="2"/>
    </font>
    <font>
      <strike/>
      <sz val="10"/>
      <color rgb="FF0000FF"/>
      <name val="Arial"/>
      <family val="2"/>
    </font>
    <font>
      <b/>
      <strike/>
      <sz val="11"/>
      <name val="Arial"/>
      <family val="2"/>
    </font>
    <font>
      <b/>
      <strike/>
      <sz val="11"/>
      <color rgb="FFFF0000"/>
      <name val="Arial"/>
      <family val="2"/>
    </font>
  </fonts>
  <fills count="1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theme="0" tint="-0.14999847407452621"/>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hair">
        <color auto="1"/>
      </top>
      <bottom style="thin">
        <color indexed="64"/>
      </bottom>
      <diagonal/>
    </border>
    <border>
      <left style="thin">
        <color indexed="64"/>
      </left>
      <right/>
      <top style="thin">
        <color indexed="64"/>
      </top>
      <bottom style="hair">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hair">
        <color indexed="64"/>
      </top>
      <bottom style="hair">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top style="hair">
        <color indexed="64"/>
      </top>
      <bottom/>
      <diagonal/>
    </border>
    <border>
      <left/>
      <right/>
      <top style="thin">
        <color indexed="64"/>
      </top>
      <bottom style="hair">
        <color indexed="64"/>
      </bottom>
      <diagonal/>
    </border>
    <border>
      <left/>
      <right/>
      <top style="hair">
        <color auto="1"/>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right style="thin">
        <color auto="1"/>
      </right>
      <top style="hair">
        <color auto="1"/>
      </top>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thin">
        <color indexed="64"/>
      </bottom>
      <diagonal/>
    </border>
    <border>
      <left style="thin">
        <color auto="1"/>
      </left>
      <right style="medium">
        <color indexed="64"/>
      </right>
      <top style="hair">
        <color auto="1"/>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style="thin">
        <color auto="1"/>
      </right>
      <top style="hair">
        <color auto="1"/>
      </top>
      <bottom/>
      <diagonal/>
    </border>
    <border>
      <left style="thin">
        <color auto="1"/>
      </left>
      <right style="medium">
        <color indexed="64"/>
      </right>
      <top style="hair">
        <color auto="1"/>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758">
    <xf numFmtId="0" fontId="0" fillId="0" borderId="0"/>
    <xf numFmtId="0" fontId="21" fillId="0" borderId="0"/>
    <xf numFmtId="0" fontId="21" fillId="0" borderId="0"/>
    <xf numFmtId="9" fontId="15" fillId="0" borderId="0" applyFont="0" applyFill="0" applyBorder="0" applyAlignment="0" applyProtection="0"/>
    <xf numFmtId="0" fontId="28" fillId="0" borderId="0"/>
    <xf numFmtId="0" fontId="29" fillId="2" borderId="0"/>
    <xf numFmtId="0" fontId="14" fillId="0" borderId="0"/>
    <xf numFmtId="0" fontId="21" fillId="0" borderId="0"/>
    <xf numFmtId="0" fontId="14" fillId="0" borderId="0"/>
    <xf numFmtId="0" fontId="14" fillId="7" borderId="23" applyNumberFormat="0" applyFont="0" applyAlignment="0" applyProtection="0"/>
    <xf numFmtId="0" fontId="38" fillId="6" borderId="21" applyNumberFormat="0" applyFill="0" applyBorder="0" applyAlignment="0" applyProtection="0"/>
    <xf numFmtId="165" fontId="21" fillId="0" borderId="0" applyFont="0" applyFill="0" applyBorder="0" applyAlignment="0" applyProtection="0"/>
    <xf numFmtId="0" fontId="36" fillId="5" borderId="21" applyNumberFormat="0" applyAlignment="0" applyProtection="0"/>
    <xf numFmtId="0" fontId="39" fillId="5" borderId="21" applyNumberFormat="0" applyAlignment="0" applyProtection="0"/>
    <xf numFmtId="0" fontId="3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xf numFmtId="0" fontId="35" fillId="0" borderId="0"/>
    <xf numFmtId="0" fontId="21" fillId="0" borderId="0"/>
    <xf numFmtId="0" fontId="21" fillId="0" borderId="0"/>
    <xf numFmtId="0" fontId="21" fillId="0" borderId="0"/>
    <xf numFmtId="0" fontId="37" fillId="6" borderId="22" applyNumberFormat="0" applyAlignment="0" applyProtection="0"/>
    <xf numFmtId="0" fontId="40" fillId="6" borderId="22" applyNumberFormat="0" applyAlignment="0" applyProtection="0"/>
    <xf numFmtId="9" fontId="3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5" fillId="0" borderId="0"/>
    <xf numFmtId="165" fontId="41" fillId="0" borderId="0" applyFont="0" applyFill="0" applyBorder="0" applyAlignment="0" applyProtection="0"/>
    <xf numFmtId="0" fontId="21" fillId="0" borderId="0"/>
    <xf numFmtId="0" fontId="13" fillId="0" borderId="0"/>
    <xf numFmtId="0" fontId="13" fillId="0" borderId="0"/>
    <xf numFmtId="0" fontId="13" fillId="7" borderId="23" applyNumberFormat="0" applyFont="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2" fillId="8" borderId="0" applyNumberFormat="0" applyBorder="0" applyAlignment="0" applyProtection="0"/>
    <xf numFmtId="0" fontId="43" fillId="9" borderId="0" applyNumberFormat="0" applyBorder="0" applyAlignment="0" applyProtection="0"/>
    <xf numFmtId="0" fontId="44" fillId="10" borderId="0" applyNumberFormat="0" applyBorder="0" applyAlignment="0" applyProtection="0"/>
    <xf numFmtId="0" fontId="36" fillId="5" borderId="21" applyNumberFormat="0" applyAlignment="0" applyProtection="0"/>
    <xf numFmtId="0" fontId="45" fillId="6" borderId="21" applyNumberFormat="0" applyAlignment="0" applyProtection="0"/>
    <xf numFmtId="0" fontId="38" fillId="0" borderId="24" applyNumberFormat="0" applyFill="0" applyAlignment="0" applyProtection="0"/>
    <xf numFmtId="0" fontId="46" fillId="11" borderId="25" applyNumberFormat="0" applyAlignment="0" applyProtection="0"/>
    <xf numFmtId="0" fontId="41" fillId="7" borderId="23" applyNumberFormat="0" applyFont="0" applyAlignment="0" applyProtection="0"/>
    <xf numFmtId="0" fontId="47" fillId="0" borderId="0" applyNumberFormat="0" applyFill="0" applyBorder="0" applyAlignment="0" applyProtection="0"/>
    <xf numFmtId="0" fontId="12" fillId="0" borderId="0"/>
    <xf numFmtId="9" fontId="11" fillId="0" borderId="0" applyFont="0" applyFill="0" applyBorder="0" applyAlignment="0" applyProtection="0"/>
    <xf numFmtId="9" fontId="35" fillId="0" borderId="0" applyFont="0" applyFill="0" applyBorder="0" applyAlignment="0" applyProtection="0"/>
    <xf numFmtId="168" fontId="21" fillId="0" borderId="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165" fontId="15"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165" fontId="15"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1" fillId="0" borderId="0"/>
    <xf numFmtId="0" fontId="10" fillId="0" borderId="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1" fillId="0" borderId="0"/>
    <xf numFmtId="0" fontId="10" fillId="0" borderId="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7" borderId="23"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9" fillId="0" borderId="0"/>
    <xf numFmtId="0" fontId="9" fillId="0" borderId="0"/>
    <xf numFmtId="0" fontId="9" fillId="7" borderId="23"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7" borderId="23" applyNumberFormat="0" applyFon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0" fontId="9" fillId="7" borderId="23" applyNumberFormat="0" applyFon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21" fillId="0" borderId="0"/>
    <xf numFmtId="0" fontId="21" fillId="0" borderId="0"/>
    <xf numFmtId="0" fontId="21" fillId="0" borderId="0"/>
    <xf numFmtId="0" fontId="21" fillId="0" borderId="0"/>
    <xf numFmtId="0" fontId="19" fillId="0" borderId="0"/>
    <xf numFmtId="0" fontId="19" fillId="0" borderId="0"/>
    <xf numFmtId="0" fontId="21" fillId="0" borderId="0"/>
    <xf numFmtId="0" fontId="21" fillId="0" borderId="0"/>
    <xf numFmtId="0" fontId="21" fillId="0" borderId="0"/>
    <xf numFmtId="0" fontId="8" fillId="0" borderId="0"/>
    <xf numFmtId="0" fontId="8" fillId="0" borderId="0"/>
    <xf numFmtId="0" fontId="8" fillId="0" borderId="0"/>
    <xf numFmtId="0" fontId="8" fillId="0" borderId="0"/>
    <xf numFmtId="0" fontId="15" fillId="0" borderId="0"/>
    <xf numFmtId="9" fontId="15"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165" fontId="15"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7" borderId="2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21" fillId="0" borderId="0"/>
    <xf numFmtId="0" fontId="53" fillId="0" borderId="0"/>
    <xf numFmtId="0" fontId="7" fillId="0" borderId="0"/>
    <xf numFmtId="0" fontId="6" fillId="0" borderId="0"/>
    <xf numFmtId="0" fontId="73" fillId="0" borderId="0"/>
    <xf numFmtId="0" fontId="21" fillId="0" borderId="0"/>
    <xf numFmtId="0" fontId="5" fillId="0" borderId="0"/>
    <xf numFmtId="0" fontId="4" fillId="0" borderId="0"/>
    <xf numFmtId="0" fontId="55" fillId="0" borderId="0"/>
    <xf numFmtId="0" fontId="79" fillId="14" borderId="1" applyNumberFormat="0" applyBorder="0" applyAlignment="0" applyProtection="0">
      <alignment horizontal="left" vertical="center" wrapText="1"/>
    </xf>
    <xf numFmtId="164" fontId="3" fillId="0" borderId="0" applyFont="0" applyFill="0" applyBorder="0" applyAlignment="0" applyProtection="0"/>
    <xf numFmtId="0" fontId="3" fillId="0" borderId="0"/>
    <xf numFmtId="0" fontId="3" fillId="0" borderId="0"/>
    <xf numFmtId="0" fontId="2" fillId="0" borderId="0"/>
    <xf numFmtId="0" fontId="2" fillId="0" borderId="0"/>
    <xf numFmtId="164" fontId="2" fillId="0" borderId="0" applyFont="0" applyFill="0" applyBorder="0" applyAlignment="0" applyProtection="0"/>
    <xf numFmtId="0" fontId="1" fillId="0" borderId="0"/>
  </cellStyleXfs>
  <cellXfs count="1181">
    <xf numFmtId="0" fontId="0" fillId="0" borderId="0" xfId="0"/>
    <xf numFmtId="0" fontId="16" fillId="0" borderId="0" xfId="0" applyFont="1"/>
    <xf numFmtId="0" fontId="16" fillId="0" borderId="0" xfId="0" applyFont="1" applyAlignment="1">
      <alignment vertical="center"/>
    </xf>
    <xf numFmtId="0" fontId="16" fillId="0" borderId="0" xfId="0" applyFont="1" applyAlignment="1">
      <alignment horizontal="center" vertical="center"/>
    </xf>
    <xf numFmtId="0" fontId="16" fillId="0" borderId="0" xfId="0" applyFont="1" applyAlignment="1">
      <alignment horizontal="left" vertical="center"/>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21" fillId="0" borderId="0" xfId="0" applyFont="1"/>
    <xf numFmtId="0" fontId="30" fillId="0" borderId="1" xfId="0" applyFont="1" applyBorder="1" applyAlignment="1">
      <alignment horizontal="left" vertical="center" wrapText="1"/>
    </xf>
    <xf numFmtId="0" fontId="24" fillId="0" borderId="0" xfId="0" applyFont="1" applyAlignment="1">
      <alignment vertical="center"/>
    </xf>
    <xf numFmtId="0" fontId="16" fillId="0" borderId="0" xfId="0" applyFont="1" applyAlignment="1">
      <alignment horizontal="right" vertical="center"/>
    </xf>
    <xf numFmtId="0" fontId="16" fillId="0" borderId="0" xfId="0" applyFont="1" applyAlignment="1">
      <alignment vertical="center" wrapText="1"/>
    </xf>
    <xf numFmtId="0" fontId="30" fillId="0" borderId="1" xfId="0" applyFont="1" applyBorder="1" applyAlignment="1">
      <alignment horizontal="center" vertical="center"/>
    </xf>
    <xf numFmtId="0" fontId="30" fillId="0" borderId="1" xfId="0" applyFont="1" applyBorder="1" applyAlignment="1">
      <alignment horizontal="center" vertical="center" wrapText="1"/>
    </xf>
    <xf numFmtId="0" fontId="30" fillId="0" borderId="0" xfId="0" applyFont="1" applyAlignment="1">
      <alignment horizontal="left" wrapText="1"/>
    </xf>
    <xf numFmtId="0" fontId="0" fillId="0" borderId="0" xfId="0" applyAlignment="1">
      <alignment vertical="center"/>
    </xf>
    <xf numFmtId="0" fontId="16" fillId="3" borderId="0" xfId="0" applyFont="1" applyFill="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3" fontId="16" fillId="0" borderId="0" xfId="0" applyNumberFormat="1" applyFont="1" applyAlignment="1">
      <alignment horizontal="center" vertical="center"/>
    </xf>
    <xf numFmtId="0" fontId="18" fillId="3" borderId="0" xfId="0" applyFont="1" applyFill="1" applyAlignment="1" applyProtection="1">
      <alignment horizontal="left" vertical="center"/>
      <protection locked="0"/>
    </xf>
    <xf numFmtId="0" fontId="18" fillId="3" borderId="3" xfId="0" applyFont="1" applyFill="1" applyBorder="1" applyAlignment="1" applyProtection="1">
      <alignment horizontal="center" vertical="center"/>
      <protection locked="0"/>
    </xf>
    <xf numFmtId="0" fontId="30" fillId="0" borderId="0" xfId="0" applyFont="1" applyAlignment="1">
      <alignment vertical="center"/>
    </xf>
    <xf numFmtId="0" fontId="30" fillId="0" borderId="0" xfId="0" applyFont="1" applyAlignment="1">
      <alignment horizontal="center" vertical="center"/>
    </xf>
    <xf numFmtId="0" fontId="16" fillId="0" borderId="0" xfId="0" applyFont="1" applyAlignment="1">
      <alignment horizontal="center" vertical="center" wrapText="1"/>
    </xf>
    <xf numFmtId="0" fontId="18" fillId="3" borderId="0" xfId="0" applyFont="1" applyFill="1" applyAlignment="1" applyProtection="1">
      <alignment horizontal="center" vertical="center"/>
      <protection locked="0"/>
    </xf>
    <xf numFmtId="0" fontId="48" fillId="3" borderId="0" xfId="2" applyFont="1" applyFill="1" applyAlignment="1">
      <alignment vertical="center"/>
    </xf>
    <xf numFmtId="0" fontId="48" fillId="3" borderId="0" xfId="0" applyFont="1" applyFill="1" applyAlignment="1">
      <alignment horizontal="center" vertical="center"/>
    </xf>
    <xf numFmtId="0" fontId="48" fillId="3" borderId="3" xfId="0" applyFont="1" applyFill="1" applyBorder="1" applyAlignment="1">
      <alignment horizontal="center" vertical="center"/>
    </xf>
    <xf numFmtId="0" fontId="18" fillId="3" borderId="0" xfId="2" applyFont="1" applyFill="1" applyAlignment="1">
      <alignment horizontal="center"/>
    </xf>
    <xf numFmtId="0" fontId="48" fillId="3" borderId="0" xfId="0" applyFont="1" applyFill="1" applyAlignment="1">
      <alignment horizontal="left" vertical="center"/>
    </xf>
    <xf numFmtId="0" fontId="48" fillId="3" borderId="0" xfId="0" applyFont="1" applyFill="1" applyAlignment="1">
      <alignment vertical="center"/>
    </xf>
    <xf numFmtId="0" fontId="48" fillId="3" borderId="0" xfId="0" applyFont="1" applyFill="1" applyAlignment="1">
      <alignment vertical="center" wrapText="1"/>
    </xf>
    <xf numFmtId="0" fontId="18" fillId="3" borderId="0" xfId="0" applyFont="1" applyFill="1" applyAlignment="1" applyProtection="1">
      <alignment horizontal="right" vertical="center"/>
      <protection locked="0"/>
    </xf>
    <xf numFmtId="0" fontId="48" fillId="3" borderId="3" xfId="0" applyFont="1" applyFill="1" applyBorder="1" applyAlignment="1">
      <alignment vertical="center"/>
    </xf>
    <xf numFmtId="0" fontId="18" fillId="3" borderId="0" xfId="0" applyFont="1" applyFill="1" applyAlignment="1" applyProtection="1">
      <alignment vertical="center"/>
      <protection locked="0"/>
    </xf>
    <xf numFmtId="0" fontId="18" fillId="3" borderId="0" xfId="0" applyFont="1" applyFill="1" applyAlignment="1">
      <alignment horizontal="left" vertical="center" wrapText="1"/>
    </xf>
    <xf numFmtId="0" fontId="18" fillId="3" borderId="3" xfId="0" applyFont="1" applyFill="1" applyBorder="1" applyAlignment="1" applyProtection="1">
      <alignment horizontal="left" vertical="center"/>
      <protection locked="0"/>
    </xf>
    <xf numFmtId="0" fontId="18" fillId="3" borderId="3" xfId="0" applyFont="1" applyFill="1" applyBorder="1" applyAlignment="1" applyProtection="1">
      <alignment horizontal="right" vertical="center"/>
      <protection locked="0"/>
    </xf>
    <xf numFmtId="0" fontId="48" fillId="3" borderId="3" xfId="0" applyFont="1" applyFill="1" applyBorder="1" applyAlignment="1">
      <alignment vertical="center" wrapText="1"/>
    </xf>
    <xf numFmtId="3" fontId="48" fillId="3" borderId="0" xfId="0" applyNumberFormat="1" applyFont="1" applyFill="1" applyAlignment="1">
      <alignment vertical="center"/>
    </xf>
    <xf numFmtId="3" fontId="48" fillId="3" borderId="3" xfId="0" applyNumberFormat="1" applyFont="1" applyFill="1" applyBorder="1" applyAlignment="1">
      <alignment vertical="center"/>
    </xf>
    <xf numFmtId="0" fontId="17" fillId="3" borderId="1" xfId="0" applyFont="1" applyFill="1" applyBorder="1" applyAlignment="1">
      <alignment horizontal="center" vertical="center" wrapText="1"/>
    </xf>
    <xf numFmtId="0" fontId="17" fillId="3" borderId="1" xfId="0" applyFont="1" applyFill="1" applyBorder="1" applyAlignment="1">
      <alignment horizontal="center" vertical="center" textRotation="90" wrapText="1"/>
    </xf>
    <xf numFmtId="0" fontId="16" fillId="3" borderId="0" xfId="0" applyFont="1" applyFill="1" applyAlignment="1">
      <alignment vertical="center"/>
    </xf>
    <xf numFmtId="0" fontId="17" fillId="3" borderId="7" xfId="0" applyFont="1" applyFill="1" applyBorder="1" applyAlignment="1">
      <alignment vertical="center"/>
    </xf>
    <xf numFmtId="0" fontId="17" fillId="3" borderId="12" xfId="0" applyFont="1" applyFill="1" applyBorder="1" applyAlignment="1">
      <alignment vertical="center"/>
    </xf>
    <xf numFmtId="0" fontId="17" fillId="3" borderId="1" xfId="0" applyFont="1" applyFill="1" applyBorder="1" applyAlignment="1">
      <alignment horizontal="center" vertical="center"/>
    </xf>
    <xf numFmtId="3" fontId="17" fillId="3" borderId="4" xfId="0" applyNumberFormat="1" applyFont="1" applyFill="1" applyBorder="1" applyAlignment="1">
      <alignment horizontal="center" vertical="center" wrapText="1"/>
    </xf>
    <xf numFmtId="0" fontId="16" fillId="3" borderId="0" xfId="0" applyFont="1" applyFill="1" applyAlignment="1">
      <alignment horizontal="left" vertical="center"/>
    </xf>
    <xf numFmtId="0" fontId="15" fillId="3" borderId="0" xfId="0" applyFont="1" applyFill="1" applyAlignment="1">
      <alignment vertical="center"/>
    </xf>
    <xf numFmtId="0" fontId="17" fillId="3" borderId="1" xfId="0" quotePrefix="1" applyFont="1" applyFill="1" applyBorder="1" applyAlignment="1">
      <alignment horizontal="center" vertical="center" wrapText="1"/>
    </xf>
    <xf numFmtId="0" fontId="17" fillId="3" borderId="0" xfId="0" applyFont="1" applyFill="1" applyAlignment="1">
      <alignment horizontal="center" vertical="center"/>
    </xf>
    <xf numFmtId="0" fontId="0" fillId="3" borderId="0" xfId="0" applyFill="1" applyAlignment="1">
      <alignment vertical="center"/>
    </xf>
    <xf numFmtId="0" fontId="16" fillId="3" borderId="12" xfId="0" applyFont="1" applyFill="1" applyBorder="1" applyAlignment="1">
      <alignment horizontal="left" vertical="center"/>
    </xf>
    <xf numFmtId="0" fontId="17" fillId="3" borderId="0" xfId="0" quotePrefix="1" applyFont="1" applyFill="1" applyAlignment="1">
      <alignment horizontal="center" vertical="center"/>
    </xf>
    <xf numFmtId="0" fontId="17" fillId="3" borderId="0" xfId="0" applyFont="1" applyFill="1" applyAlignment="1">
      <alignment vertical="center"/>
    </xf>
    <xf numFmtId="0" fontId="17" fillId="3" borderId="7" xfId="0" applyFont="1" applyFill="1" applyBorder="1" applyAlignment="1">
      <alignment horizontal="center" vertical="center"/>
    </xf>
    <xf numFmtId="0" fontId="20" fillId="3" borderId="0" xfId="2" applyFont="1" applyFill="1" applyAlignment="1">
      <alignment vertical="center"/>
    </xf>
    <xf numFmtId="0" fontId="22" fillId="3" borderId="0" xfId="2" applyFont="1" applyFill="1" applyAlignment="1">
      <alignment horizontal="center" vertical="center"/>
    </xf>
    <xf numFmtId="0" fontId="0" fillId="3" borderId="0" xfId="0" applyFill="1" applyAlignment="1">
      <alignment horizontal="center" vertical="center"/>
    </xf>
    <xf numFmtId="0" fontId="23" fillId="3" borderId="0" xfId="0" applyFont="1" applyFill="1" applyAlignment="1">
      <alignment vertical="center"/>
    </xf>
    <xf numFmtId="0" fontId="20" fillId="3" borderId="3" xfId="2" applyFont="1" applyFill="1" applyBorder="1" applyAlignment="1">
      <alignment vertical="center"/>
    </xf>
    <xf numFmtId="0" fontId="22" fillId="3" borderId="3" xfId="2" applyFont="1"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vertical="center"/>
    </xf>
    <xf numFmtId="0" fontId="17" fillId="3" borderId="4" xfId="0" quotePrefix="1" applyFont="1" applyFill="1" applyBorder="1" applyAlignment="1">
      <alignment horizontal="center" vertical="center"/>
    </xf>
    <xf numFmtId="0" fontId="49" fillId="3" borderId="0" xfId="0" applyFont="1" applyFill="1" applyAlignment="1">
      <alignment horizontal="center" vertical="center"/>
    </xf>
    <xf numFmtId="0" fontId="30" fillId="0" borderId="0" xfId="0" quotePrefix="1" applyFont="1" applyAlignment="1">
      <alignment horizontal="center" vertical="center" wrapText="1"/>
    </xf>
    <xf numFmtId="0" fontId="51" fillId="0" borderId="0" xfId="0" applyFont="1" applyAlignment="1">
      <alignment vertical="center"/>
    </xf>
    <xf numFmtId="0" fontId="17" fillId="3" borderId="7" xfId="0" applyFont="1" applyFill="1" applyBorder="1" applyAlignment="1">
      <alignment horizontal="left" vertical="center"/>
    </xf>
    <xf numFmtId="0" fontId="17" fillId="3" borderId="12" xfId="0" applyFont="1" applyFill="1" applyBorder="1" applyAlignment="1">
      <alignment horizontal="left" vertical="center"/>
    </xf>
    <xf numFmtId="0" fontId="34" fillId="0" borderId="0" xfId="0" applyFont="1" applyAlignment="1">
      <alignment vertical="center"/>
    </xf>
    <xf numFmtId="0" fontId="30" fillId="0" borderId="0" xfId="0" applyFont="1" applyAlignment="1">
      <alignment vertical="center" wrapText="1"/>
    </xf>
    <xf numFmtId="0" fontId="30" fillId="0" borderId="4" xfId="0" applyFont="1" applyBorder="1" applyAlignment="1">
      <alignment horizontal="center" vertical="center" wrapText="1"/>
    </xf>
    <xf numFmtId="0" fontId="21" fillId="0" borderId="0" xfId="0" applyFont="1" applyAlignment="1">
      <alignment vertical="center"/>
    </xf>
    <xf numFmtId="0" fontId="52" fillId="0" borderId="0" xfId="0" applyFont="1" applyAlignment="1">
      <alignment horizontal="left" vertical="center" wrapText="1"/>
    </xf>
    <xf numFmtId="0" fontId="51" fillId="0" borderId="0" xfId="0" applyFont="1" applyAlignment="1">
      <alignment horizontal="center" vertical="center"/>
    </xf>
    <xf numFmtId="0" fontId="51" fillId="0" borderId="0" xfId="0" applyFont="1" applyAlignment="1">
      <alignment vertical="center" wrapText="1"/>
    </xf>
    <xf numFmtId="0" fontId="30" fillId="0" borderId="0" xfId="0" applyFont="1" applyAlignment="1">
      <alignment horizontal="center" vertical="center" wrapText="1"/>
    </xf>
    <xf numFmtId="0" fontId="30" fillId="0" borderId="1" xfId="0" quotePrefix="1" applyFont="1" applyBorder="1" applyAlignment="1">
      <alignment horizontal="center" vertical="center" wrapText="1"/>
    </xf>
    <xf numFmtId="0" fontId="17" fillId="0" borderId="9" xfId="0" applyFont="1" applyBorder="1" applyAlignment="1">
      <alignment horizontal="center" vertical="center" wrapText="1"/>
    </xf>
    <xf numFmtId="0" fontId="48" fillId="3" borderId="0" xfId="0" applyFont="1" applyFill="1" applyAlignment="1" applyProtection="1">
      <alignment vertical="center"/>
      <protection locked="0"/>
    </xf>
    <xf numFmtId="0" fontId="48" fillId="3" borderId="0" xfId="0" quotePrefix="1" applyFont="1" applyFill="1" applyAlignment="1" applyProtection="1">
      <alignment vertical="center"/>
      <protection locked="0"/>
    </xf>
    <xf numFmtId="0" fontId="49" fillId="3" borderId="0" xfId="0" applyFont="1" applyFill="1" applyAlignment="1">
      <alignment vertical="center"/>
    </xf>
    <xf numFmtId="0" fontId="18" fillId="3" borderId="0" xfId="0" applyFont="1" applyFill="1" applyAlignment="1" applyProtection="1">
      <alignment horizontal="center"/>
      <protection locked="0"/>
    </xf>
    <xf numFmtId="0" fontId="18" fillId="3" borderId="0" xfId="0" applyFont="1" applyFill="1" applyAlignment="1">
      <alignment vertical="center"/>
    </xf>
    <xf numFmtId="0" fontId="18" fillId="3" borderId="0" xfId="0" applyFont="1" applyFill="1" applyAlignment="1">
      <alignment horizontal="left" vertical="center"/>
    </xf>
    <xf numFmtId="0" fontId="16" fillId="3" borderId="1" xfId="55" applyFont="1" applyFill="1" applyBorder="1" applyAlignment="1">
      <alignment horizontal="center" vertical="center"/>
    </xf>
    <xf numFmtId="2" fontId="16" fillId="0" borderId="0" xfId="0" applyNumberFormat="1" applyFont="1" applyAlignment="1">
      <alignment horizontal="right" vertical="center"/>
    </xf>
    <xf numFmtId="0" fontId="17" fillId="3" borderId="1" xfId="0" quotePrefix="1" applyFont="1" applyFill="1" applyBorder="1" applyAlignment="1">
      <alignment horizontal="center" vertical="center"/>
    </xf>
    <xf numFmtId="0" fontId="17" fillId="3" borderId="20" xfId="0" quotePrefix="1" applyFont="1" applyFill="1" applyBorder="1" applyAlignment="1">
      <alignment horizontal="center" vertical="center" wrapText="1"/>
    </xf>
    <xf numFmtId="0" fontId="17" fillId="3" borderId="4" xfId="0" quotePrefix="1" applyFont="1" applyFill="1" applyBorder="1" applyAlignment="1">
      <alignment horizontal="center" vertical="center" wrapText="1"/>
    </xf>
    <xf numFmtId="0" fontId="17" fillId="0" borderId="1" xfId="0" applyFont="1" applyBorder="1" applyAlignment="1">
      <alignment horizontal="center" vertical="center"/>
    </xf>
    <xf numFmtId="0" fontId="33" fillId="0" borderId="0" xfId="0" applyFont="1" applyAlignment="1">
      <alignment vertical="center"/>
    </xf>
    <xf numFmtId="0" fontId="31" fillId="0" borderId="0" xfId="0" applyFont="1" applyAlignment="1">
      <alignment vertical="center"/>
    </xf>
    <xf numFmtId="0" fontId="30" fillId="0" borderId="0" xfId="0" applyFont="1"/>
    <xf numFmtId="0" fontId="21" fillId="0" borderId="0" xfId="0" applyFont="1" applyAlignment="1">
      <alignment horizontal="left"/>
    </xf>
    <xf numFmtId="0" fontId="18" fillId="3" borderId="0" xfId="2" applyFont="1" applyFill="1"/>
    <xf numFmtId="0" fontId="18" fillId="3" borderId="0" xfId="0" applyFont="1" applyFill="1" applyAlignment="1">
      <alignment horizontal="center"/>
    </xf>
    <xf numFmtId="0" fontId="18" fillId="3" borderId="0" xfId="0" applyFont="1" applyFill="1" applyAlignment="1">
      <alignment horizontal="center" vertical="center"/>
    </xf>
    <xf numFmtId="0" fontId="17" fillId="0" borderId="0" xfId="0" applyFont="1"/>
    <xf numFmtId="0" fontId="30" fillId="0" borderId="0" xfId="0" applyFont="1" applyAlignment="1">
      <alignment horizontal="center"/>
    </xf>
    <xf numFmtId="3" fontId="30" fillId="0" borderId="0" xfId="0" applyNumberFormat="1" applyFont="1"/>
    <xf numFmtId="0" fontId="18" fillId="3" borderId="0" xfId="0" applyFont="1" applyFill="1" applyProtection="1">
      <protection locked="0"/>
    </xf>
    <xf numFmtId="0" fontId="17" fillId="0" borderId="0" xfId="0" applyFont="1" applyAlignment="1">
      <alignment vertical="center"/>
    </xf>
    <xf numFmtId="0" fontId="34" fillId="0" borderId="0" xfId="0" applyFont="1" applyAlignment="1">
      <alignment horizontal="center" vertical="center"/>
    </xf>
    <xf numFmtId="0" fontId="18" fillId="3" borderId="0" xfId="2" applyFont="1" applyFill="1" applyAlignment="1">
      <alignment vertical="center"/>
    </xf>
    <xf numFmtId="0" fontId="18" fillId="3" borderId="0" xfId="0" quotePrefix="1" applyFont="1" applyFill="1" applyAlignment="1" applyProtection="1">
      <alignment vertical="center"/>
      <protection locked="0"/>
    </xf>
    <xf numFmtId="0" fontId="49" fillId="3" borderId="0" xfId="0" applyFont="1" applyFill="1" applyAlignment="1">
      <alignment horizontal="left" vertical="center"/>
    </xf>
    <xf numFmtId="167" fontId="18" fillId="3" borderId="0" xfId="0" applyNumberFormat="1" applyFont="1" applyFill="1" applyAlignment="1">
      <alignment horizontal="center" vertical="center"/>
    </xf>
    <xf numFmtId="0" fontId="18" fillId="3" borderId="0" xfId="0" applyFont="1" applyFill="1" applyAlignment="1">
      <alignment vertical="center" wrapText="1"/>
    </xf>
    <xf numFmtId="0" fontId="26" fillId="3" borderId="0" xfId="0" applyFont="1" applyFill="1" applyAlignment="1">
      <alignment vertical="center"/>
    </xf>
    <xf numFmtId="0" fontId="49" fillId="3" borderId="0" xfId="0" applyFont="1" applyFill="1" applyAlignment="1">
      <alignment horizontal="center" vertical="center" wrapText="1"/>
    </xf>
    <xf numFmtId="0" fontId="49" fillId="3" borderId="0" xfId="0" applyFont="1" applyFill="1" applyAlignment="1">
      <alignment vertical="center" wrapText="1"/>
    </xf>
    <xf numFmtId="0" fontId="34" fillId="0" borderId="0" xfId="0" applyFont="1" applyAlignment="1">
      <alignment vertical="center" wrapText="1"/>
    </xf>
    <xf numFmtId="0" fontId="25" fillId="0" borderId="1" xfId="0" applyFont="1" applyBorder="1" applyAlignment="1">
      <alignment horizontal="center" vertical="center"/>
    </xf>
    <xf numFmtId="0" fontId="25" fillId="0" borderId="1" xfId="0" applyFont="1" applyBorder="1" applyAlignment="1">
      <alignment horizontal="justify" vertical="center"/>
    </xf>
    <xf numFmtId="0" fontId="35" fillId="3" borderId="0" xfId="0" applyFont="1" applyFill="1" applyAlignment="1">
      <alignment horizontal="center" vertical="center"/>
    </xf>
    <xf numFmtId="0" fontId="25" fillId="3" borderId="0" xfId="0" applyFont="1" applyFill="1" applyAlignment="1">
      <alignment horizontal="center" vertical="center"/>
    </xf>
    <xf numFmtId="0" fontId="16" fillId="3" borderId="0" xfId="0" quotePrefix="1" applyFont="1" applyFill="1" applyAlignment="1">
      <alignment horizontal="center" vertical="center"/>
    </xf>
    <xf numFmtId="0" fontId="6" fillId="0" borderId="0" xfId="1744"/>
    <xf numFmtId="0" fontId="54" fillId="0" borderId="0" xfId="1744" applyFont="1" applyAlignment="1" applyProtection="1">
      <alignment vertical="center"/>
      <protection locked="0"/>
    </xf>
    <xf numFmtId="0" fontId="6" fillId="0" borderId="0" xfId="1744" applyProtection="1">
      <protection locked="0"/>
    </xf>
    <xf numFmtId="0" fontId="55" fillId="0" borderId="0" xfId="1744" applyFont="1"/>
    <xf numFmtId="0" fontId="56" fillId="0" borderId="0" xfId="1744" applyFont="1" applyProtection="1">
      <protection locked="0"/>
    </xf>
    <xf numFmtId="0" fontId="57" fillId="0" borderId="0" xfId="1744" applyFont="1" applyProtection="1">
      <protection locked="0"/>
    </xf>
    <xf numFmtId="0" fontId="58" fillId="12" borderId="1" xfId="1744" applyFont="1" applyFill="1" applyBorder="1" applyAlignment="1" applyProtection="1">
      <alignment horizontal="center" vertical="center"/>
      <protection locked="0"/>
    </xf>
    <xf numFmtId="0" fontId="17" fillId="3" borderId="28" xfId="0" applyFont="1" applyFill="1" applyBorder="1" applyAlignment="1">
      <alignment vertical="center"/>
    </xf>
    <xf numFmtId="0" fontId="17" fillId="3" borderId="17" xfId="0" applyFont="1" applyFill="1" applyBorder="1" applyAlignment="1">
      <alignment vertical="center"/>
    </xf>
    <xf numFmtId="0" fontId="51" fillId="0" borderId="0" xfId="0" applyFont="1" applyAlignment="1">
      <alignment horizontal="center" vertical="center" wrapText="1"/>
    </xf>
    <xf numFmtId="0" fontId="17" fillId="3" borderId="30" xfId="0" quotePrefix="1" applyFont="1" applyFill="1" applyBorder="1" applyAlignment="1">
      <alignment horizontal="center" vertical="center"/>
    </xf>
    <xf numFmtId="0" fontId="48" fillId="3" borderId="28" xfId="0" applyFont="1" applyFill="1" applyBorder="1" applyAlignment="1">
      <alignment vertical="center"/>
    </xf>
    <xf numFmtId="0" fontId="30" fillId="0" borderId="0" xfId="0" applyFont="1" applyAlignment="1">
      <alignment horizontal="left" vertical="center" wrapText="1"/>
    </xf>
    <xf numFmtId="3" fontId="30" fillId="0" borderId="0" xfId="0" applyNumberFormat="1" applyFont="1" applyAlignment="1">
      <alignment horizontal="center" vertical="center" wrapText="1"/>
    </xf>
    <xf numFmtId="0" fontId="15" fillId="3" borderId="34" xfId="0" applyFont="1" applyFill="1" applyBorder="1" applyAlignment="1">
      <alignment vertical="center" wrapText="1"/>
    </xf>
    <xf numFmtId="0" fontId="60" fillId="0" borderId="0" xfId="0" applyFont="1"/>
    <xf numFmtId="0" fontId="17" fillId="0" borderId="7" xfId="0" applyFont="1" applyBorder="1" applyAlignment="1">
      <alignment horizontal="center" vertical="center" wrapText="1"/>
    </xf>
    <xf numFmtId="0" fontId="15" fillId="3" borderId="0" xfId="0" applyFont="1" applyFill="1" applyAlignment="1">
      <alignment vertical="center" wrapText="1"/>
    </xf>
    <xf numFmtId="0" fontId="16" fillId="3" borderId="0" xfId="0" applyFont="1" applyFill="1" applyAlignment="1" applyProtection="1">
      <alignment horizontal="left" vertical="center"/>
      <protection locked="0"/>
    </xf>
    <xf numFmtId="0" fontId="17" fillId="0" borderId="27" xfId="0" quotePrefix="1" applyFont="1" applyBorder="1" applyAlignment="1">
      <alignment horizontal="center" vertical="center" wrapText="1"/>
    </xf>
    <xf numFmtId="0" fontId="16" fillId="0" borderId="0" xfId="55" applyFont="1" applyAlignment="1">
      <alignment vertical="center"/>
    </xf>
    <xf numFmtId="0" fontId="16" fillId="0" borderId="0" xfId="55" applyFont="1" applyAlignment="1">
      <alignment horizontal="center" vertical="center"/>
    </xf>
    <xf numFmtId="0" fontId="16" fillId="0" borderId="0" xfId="55" applyFont="1" applyAlignment="1">
      <alignment horizontal="left" vertical="center"/>
    </xf>
    <xf numFmtId="0" fontId="30" fillId="0" borderId="0" xfId="55" applyFont="1" applyAlignment="1">
      <alignment horizontal="center" vertical="center"/>
    </xf>
    <xf numFmtId="3" fontId="16" fillId="0" borderId="0" xfId="210" applyNumberFormat="1" applyFont="1" applyAlignment="1">
      <alignment horizontal="center" vertical="center"/>
    </xf>
    <xf numFmtId="0" fontId="25" fillId="0" borderId="0" xfId="55" applyFont="1" applyAlignment="1">
      <alignment vertical="center" wrapText="1"/>
    </xf>
    <xf numFmtId="0" fontId="30" fillId="0" borderId="0" xfId="55" applyFont="1" applyAlignment="1">
      <alignment horizontal="center" vertical="center" wrapText="1"/>
    </xf>
    <xf numFmtId="0" fontId="25" fillId="0" borderId="0" xfId="55" applyFont="1" applyAlignment="1">
      <alignment horizontal="center" vertical="center" wrapText="1"/>
    </xf>
    <xf numFmtId="0" fontId="25" fillId="0" borderId="0" xfId="55" quotePrefix="1" applyFont="1" applyAlignment="1">
      <alignment horizontal="center" vertical="center" wrapText="1"/>
    </xf>
    <xf numFmtId="0" fontId="17" fillId="0" borderId="0" xfId="55" applyFont="1" applyAlignment="1">
      <alignment horizontal="center" vertical="center"/>
    </xf>
    <xf numFmtId="0" fontId="25" fillId="0" borderId="0" xfId="55" applyFont="1" applyAlignment="1">
      <alignment horizontal="left" vertical="center" wrapText="1"/>
    </xf>
    <xf numFmtId="0" fontId="30" fillId="0" borderId="0" xfId="55" quotePrefix="1" applyFont="1" applyAlignment="1">
      <alignment horizontal="left" vertical="center" wrapText="1"/>
    </xf>
    <xf numFmtId="3" fontId="17" fillId="0" borderId="0" xfId="210" applyNumberFormat="1" applyFont="1" applyFill="1" applyAlignment="1">
      <alignment horizontal="left" vertical="center"/>
    </xf>
    <xf numFmtId="0" fontId="16" fillId="3" borderId="0" xfId="55" applyFont="1" applyFill="1" applyAlignment="1">
      <alignment vertical="center"/>
    </xf>
    <xf numFmtId="0" fontId="17" fillId="3" borderId="1" xfId="55" applyFont="1" applyFill="1" applyBorder="1" applyAlignment="1">
      <alignment horizontal="center" vertical="center" textRotation="90" wrapText="1"/>
    </xf>
    <xf numFmtId="0" fontId="17" fillId="3" borderId="1" xfId="55" applyFont="1" applyFill="1" applyBorder="1" applyAlignment="1">
      <alignment horizontal="center" vertical="center" wrapText="1"/>
    </xf>
    <xf numFmtId="0" fontId="16" fillId="4" borderId="0" xfId="55" applyFont="1" applyFill="1" applyAlignment="1">
      <alignment vertical="center"/>
    </xf>
    <xf numFmtId="0" fontId="27" fillId="4" borderId="0" xfId="55" applyFont="1" applyFill="1" applyAlignment="1">
      <alignment vertical="center"/>
    </xf>
    <xf numFmtId="0" fontId="30" fillId="0" borderId="11" xfId="55" applyFont="1" applyBorder="1" applyAlignment="1">
      <alignment horizontal="center" vertical="center"/>
    </xf>
    <xf numFmtId="0" fontId="16" fillId="3" borderId="11" xfId="55" applyFont="1" applyFill="1" applyBorder="1" applyAlignment="1">
      <alignment vertical="center"/>
    </xf>
    <xf numFmtId="3" fontId="48" fillId="3" borderId="9" xfId="210" applyNumberFormat="1" applyFont="1" applyFill="1" applyBorder="1" applyAlignment="1">
      <alignment horizontal="center" vertical="center"/>
    </xf>
    <xf numFmtId="0" fontId="27" fillId="4" borderId="0" xfId="55" applyFont="1" applyFill="1" applyAlignment="1">
      <alignment horizontal="left" vertical="center" wrapText="1"/>
    </xf>
    <xf numFmtId="0" fontId="48" fillId="4" borderId="0" xfId="55" applyFont="1" applyFill="1" applyAlignment="1">
      <alignment vertical="center"/>
    </xf>
    <xf numFmtId="0" fontId="50" fillId="4" borderId="0" xfId="55" applyFont="1" applyFill="1" applyAlignment="1">
      <alignment horizontal="left" vertical="center" wrapText="1"/>
    </xf>
    <xf numFmtId="0" fontId="48" fillId="3" borderId="0" xfId="55" applyFont="1" applyFill="1" applyAlignment="1">
      <alignment horizontal="center" vertical="center"/>
    </xf>
    <xf numFmtId="0" fontId="48" fillId="3" borderId="3" xfId="55" applyFont="1" applyFill="1" applyBorder="1" applyAlignment="1">
      <alignment vertical="center"/>
    </xf>
    <xf numFmtId="0" fontId="49" fillId="3" borderId="3" xfId="55" applyFont="1" applyFill="1" applyBorder="1" applyAlignment="1">
      <alignment horizontal="center" vertical="center"/>
    </xf>
    <xf numFmtId="0" fontId="48" fillId="3" borderId="0" xfId="55" applyFont="1" applyFill="1" applyAlignment="1">
      <alignment vertical="center"/>
    </xf>
    <xf numFmtId="0" fontId="48" fillId="3" borderId="0" xfId="55" quotePrefix="1" applyFont="1" applyFill="1" applyAlignment="1" applyProtection="1">
      <alignment vertical="center"/>
      <protection locked="0"/>
    </xf>
    <xf numFmtId="0" fontId="49" fillId="3" borderId="0" xfId="55" applyFont="1" applyFill="1" applyAlignment="1">
      <alignment vertical="center"/>
    </xf>
    <xf numFmtId="0" fontId="18" fillId="3" borderId="0" xfId="55" applyFont="1" applyFill="1" applyAlignment="1">
      <alignment vertical="center"/>
    </xf>
    <xf numFmtId="0" fontId="49" fillId="3" borderId="0" xfId="55" applyFont="1" applyFill="1" applyAlignment="1">
      <alignment horizontal="center" vertical="center"/>
    </xf>
    <xf numFmtId="0" fontId="48" fillId="3" borderId="0" xfId="55" applyFont="1" applyFill="1" applyAlignment="1">
      <alignment horizontal="left" vertical="center"/>
    </xf>
    <xf numFmtId="0" fontId="18" fillId="3" borderId="0" xfId="55" applyFont="1" applyFill="1" applyAlignment="1" applyProtection="1">
      <alignment horizontal="center" vertical="center"/>
      <protection locked="0"/>
    </xf>
    <xf numFmtId="0" fontId="18" fillId="3" borderId="0" xfId="55" applyFont="1" applyFill="1" applyAlignment="1" applyProtection="1">
      <alignment horizontal="left" vertical="center"/>
      <protection locked="0"/>
    </xf>
    <xf numFmtId="0" fontId="30" fillId="0" borderId="40" xfId="55" applyFont="1" applyBorder="1" applyAlignment="1">
      <alignment horizontal="center" vertical="center" wrapText="1"/>
    </xf>
    <xf numFmtId="0" fontId="30" fillId="0" borderId="2" xfId="55" applyFont="1" applyBorder="1" applyAlignment="1">
      <alignment horizontal="center" vertical="center" wrapText="1"/>
    </xf>
    <xf numFmtId="0" fontId="16" fillId="0" borderId="1" xfId="0" applyFont="1" applyBorder="1" applyAlignment="1">
      <alignment horizontal="left" vertical="center" wrapText="1"/>
    </xf>
    <xf numFmtId="0" fontId="62" fillId="0" borderId="33" xfId="0" applyFont="1" applyBorder="1" applyAlignment="1">
      <alignment vertical="center" wrapText="1"/>
    </xf>
    <xf numFmtId="0" fontId="62" fillId="0" borderId="34" xfId="0" applyFont="1" applyBorder="1" applyAlignment="1">
      <alignment vertical="center" wrapText="1"/>
    </xf>
    <xf numFmtId="0" fontId="62" fillId="0" borderId="42" xfId="0" applyFont="1" applyBorder="1" applyAlignment="1">
      <alignment vertical="center" wrapText="1"/>
    </xf>
    <xf numFmtId="0" fontId="17" fillId="0" borderId="20" xfId="0" quotePrefix="1" applyFont="1" applyBorder="1" applyAlignment="1">
      <alignment horizontal="center" vertical="center" wrapText="1"/>
    </xf>
    <xf numFmtId="0" fontId="17" fillId="3" borderId="19" xfId="0" applyFont="1" applyFill="1" applyBorder="1" applyAlignment="1">
      <alignment vertical="center"/>
    </xf>
    <xf numFmtId="0" fontId="30" fillId="0" borderId="4" xfId="0" applyFont="1" applyBorder="1" applyAlignment="1">
      <alignment horizontal="center" vertical="center"/>
    </xf>
    <xf numFmtId="0" fontId="30" fillId="0" borderId="15" xfId="0" applyFont="1" applyBorder="1" applyAlignment="1">
      <alignment horizontal="center" vertical="center"/>
    </xf>
    <xf numFmtId="0" fontId="30" fillId="0" borderId="6" xfId="0" applyFont="1" applyBorder="1" applyAlignment="1">
      <alignment horizontal="center" vertical="center" wrapText="1"/>
    </xf>
    <xf numFmtId="0" fontId="32" fillId="3" borderId="0" xfId="0" applyFont="1" applyFill="1" applyAlignment="1">
      <alignment horizontal="center" vertical="center"/>
    </xf>
    <xf numFmtId="0" fontId="64" fillId="3" borderId="0" xfId="0" applyFont="1" applyFill="1" applyAlignment="1">
      <alignment horizontal="center" vertical="center"/>
    </xf>
    <xf numFmtId="0" fontId="32" fillId="3" borderId="0" xfId="0" applyFont="1" applyFill="1" applyAlignment="1">
      <alignment vertical="center"/>
    </xf>
    <xf numFmtId="0" fontId="48" fillId="0" borderId="0" xfId="55" applyFont="1" applyAlignment="1">
      <alignment vertical="center"/>
    </xf>
    <xf numFmtId="0" fontId="48" fillId="0" borderId="3" xfId="55" applyFont="1" applyBorder="1" applyAlignment="1">
      <alignment vertical="center"/>
    </xf>
    <xf numFmtId="0" fontId="65" fillId="0" borderId="0" xfId="0" applyFont="1"/>
    <xf numFmtId="0" fontId="21" fillId="3" borderId="0" xfId="0" applyFont="1" applyFill="1" applyAlignment="1" applyProtection="1">
      <alignment horizontal="left" vertical="center"/>
      <protection locked="0"/>
    </xf>
    <xf numFmtId="0" fontId="21" fillId="3" borderId="0" xfId="0" applyFont="1" applyFill="1" applyAlignment="1" applyProtection="1">
      <alignment horizontal="center" vertical="center"/>
      <protection locked="0"/>
    </xf>
    <xf numFmtId="0" fontId="64" fillId="3" borderId="0" xfId="0" applyFont="1" applyFill="1" applyAlignment="1" applyProtection="1">
      <alignment horizontal="left" vertical="center"/>
      <protection locked="0"/>
    </xf>
    <xf numFmtId="0" fontId="30" fillId="0" borderId="1" xfId="0" applyFont="1" applyBorder="1" applyAlignment="1">
      <alignment horizontal="center"/>
    </xf>
    <xf numFmtId="0" fontId="30" fillId="0" borderId="1" xfId="0" applyFont="1" applyBorder="1"/>
    <xf numFmtId="3" fontId="30" fillId="0" borderId="1" xfId="0" applyNumberFormat="1" applyFont="1" applyBorder="1"/>
    <xf numFmtId="0" fontId="30" fillId="0" borderId="1" xfId="0" applyFont="1" applyBorder="1" applyAlignment="1">
      <alignment horizontal="left" wrapText="1"/>
    </xf>
    <xf numFmtId="0" fontId="64" fillId="3" borderId="0" xfId="0" applyFont="1" applyFill="1" applyAlignment="1" applyProtection="1">
      <alignment horizontal="center"/>
      <protection locked="0"/>
    </xf>
    <xf numFmtId="0" fontId="16" fillId="0" borderId="7" xfId="0" applyFont="1" applyBorder="1" applyAlignment="1">
      <alignment horizontal="left" vertical="center"/>
    </xf>
    <xf numFmtId="0" fontId="64" fillId="3" borderId="0" xfId="0" applyFont="1" applyFill="1" applyAlignment="1">
      <alignment horizontal="left" vertical="center"/>
    </xf>
    <xf numFmtId="0" fontId="17" fillId="3" borderId="9" xfId="0" quotePrefix="1" applyFont="1" applyFill="1" applyBorder="1" applyAlignment="1">
      <alignment horizontal="center" vertical="center" wrapText="1"/>
    </xf>
    <xf numFmtId="0" fontId="64" fillId="3" borderId="0" xfId="55" applyFont="1" applyFill="1" applyAlignment="1">
      <alignment horizontal="left" vertical="center"/>
    </xf>
    <xf numFmtId="0" fontId="30" fillId="0" borderId="1" xfId="0" applyFont="1" applyBorder="1" applyAlignment="1">
      <alignment horizontal="left"/>
    </xf>
    <xf numFmtId="0" fontId="0" fillId="0" borderId="0" xfId="0" applyAlignment="1">
      <alignment horizontal="center" vertical="center"/>
    </xf>
    <xf numFmtId="0" fontId="17" fillId="0" borderId="0" xfId="0" applyFont="1" applyAlignment="1">
      <alignment horizontal="center"/>
    </xf>
    <xf numFmtId="0" fontId="17" fillId="0" borderId="0" xfId="0" applyFont="1" applyAlignment="1">
      <alignment horizontal="center" vertical="center"/>
    </xf>
    <xf numFmtId="0" fontId="16" fillId="0" borderId="0" xfId="0" applyFont="1" applyAlignment="1">
      <alignment horizontal="center"/>
    </xf>
    <xf numFmtId="0" fontId="17" fillId="3" borderId="28"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17" fillId="3" borderId="4" xfId="0" applyFont="1" applyFill="1" applyBorder="1" applyAlignment="1">
      <alignment vertical="center"/>
    </xf>
    <xf numFmtId="0" fontId="17" fillId="3" borderId="5" xfId="55" applyFont="1" applyFill="1" applyBorder="1" applyAlignment="1">
      <alignment horizontal="center" vertical="center" wrapText="1"/>
    </xf>
    <xf numFmtId="0" fontId="17" fillId="3" borderId="8" xfId="0" applyFont="1" applyFill="1" applyBorder="1" applyAlignment="1">
      <alignment vertical="center"/>
    </xf>
    <xf numFmtId="0" fontId="17" fillId="0" borderId="1" xfId="55" applyFont="1" applyBorder="1" applyAlignment="1">
      <alignment horizontal="center" textRotation="90" wrapText="1"/>
    </xf>
    <xf numFmtId="0" fontId="17" fillId="3" borderId="11" xfId="0" applyFont="1" applyFill="1" applyBorder="1" applyAlignment="1">
      <alignment vertical="center" wrapText="1"/>
    </xf>
    <xf numFmtId="0" fontId="17" fillId="3" borderId="11" xfId="0" applyFont="1" applyFill="1" applyBorder="1" applyAlignment="1">
      <alignment vertical="center"/>
    </xf>
    <xf numFmtId="0" fontId="17" fillId="0" borderId="57" xfId="0" applyFont="1" applyBorder="1" applyAlignment="1">
      <alignment horizontal="center" vertical="center" textRotation="90" wrapText="1"/>
    </xf>
    <xf numFmtId="0" fontId="17" fillId="3" borderId="6" xfId="0" applyFont="1" applyFill="1" applyBorder="1" applyAlignment="1">
      <alignment horizontal="right" vertical="center"/>
    </xf>
    <xf numFmtId="0" fontId="17" fillId="0" borderId="1" xfId="0" applyFont="1" applyBorder="1" applyAlignment="1">
      <alignment horizontal="center" vertical="center" textRotation="90" wrapText="1"/>
    </xf>
    <xf numFmtId="0" fontId="16" fillId="0" borderId="31" xfId="0" applyFont="1" applyBorder="1" applyAlignment="1">
      <alignment horizontal="center" vertical="center"/>
    </xf>
    <xf numFmtId="0" fontId="30" fillId="0" borderId="37" xfId="0" applyFont="1" applyBorder="1" applyAlignment="1">
      <alignment horizontal="center" vertical="center"/>
    </xf>
    <xf numFmtId="0" fontId="30" fillId="0" borderId="31" xfId="0" applyFont="1" applyBorder="1" applyAlignment="1">
      <alignment horizontal="center" vertical="center"/>
    </xf>
    <xf numFmtId="0" fontId="30" fillId="0" borderId="31" xfId="0" applyFont="1" applyBorder="1" applyAlignment="1">
      <alignment horizontal="center" vertical="center" wrapText="1"/>
    </xf>
    <xf numFmtId="0" fontId="30" fillId="0" borderId="32" xfId="0" applyFont="1" applyBorder="1" applyAlignment="1">
      <alignment horizontal="center" vertical="center"/>
    </xf>
    <xf numFmtId="0" fontId="30" fillId="0" borderId="32" xfId="0" applyFont="1" applyBorder="1" applyAlignment="1">
      <alignment horizontal="center" vertical="center" wrapText="1"/>
    </xf>
    <xf numFmtId="0" fontId="30" fillId="0" borderId="32" xfId="0" quotePrefix="1" applyFont="1" applyBorder="1" applyAlignment="1">
      <alignment horizontal="center" vertical="center" wrapText="1"/>
    </xf>
    <xf numFmtId="0" fontId="30" fillId="0" borderId="1" xfId="55" applyFont="1" applyBorder="1" applyAlignment="1">
      <alignment horizontal="left" vertical="center" wrapText="1"/>
    </xf>
    <xf numFmtId="0" fontId="16" fillId="3" borderId="4" xfId="0" quotePrefix="1" applyFont="1" applyFill="1" applyBorder="1" applyAlignment="1">
      <alignment horizontal="center" vertical="center" wrapText="1"/>
    </xf>
    <xf numFmtId="0" fontId="30" fillId="0" borderId="37" xfId="0" quotePrefix="1" applyFont="1" applyBorder="1" applyAlignment="1">
      <alignment horizontal="center" vertical="center" wrapText="1"/>
    </xf>
    <xf numFmtId="0" fontId="30" fillId="0" borderId="31" xfId="0" applyFont="1" applyBorder="1" applyAlignment="1">
      <alignment horizontal="left" vertical="center" wrapText="1"/>
    </xf>
    <xf numFmtId="0" fontId="30" fillId="0" borderId="37" xfId="0" applyFont="1" applyBorder="1" applyAlignment="1">
      <alignment horizontal="center" vertical="center" wrapText="1"/>
    </xf>
    <xf numFmtId="0" fontId="30" fillId="0" borderId="5" xfId="0" applyFont="1" applyBorder="1" applyAlignment="1">
      <alignment horizontal="center" vertical="center" wrapText="1"/>
    </xf>
    <xf numFmtId="0" fontId="17" fillId="0" borderId="4" xfId="55" applyFont="1" applyBorder="1" applyAlignment="1">
      <alignment horizontal="center" vertical="center" textRotation="90" wrapText="1"/>
    </xf>
    <xf numFmtId="0" fontId="17" fillId="3" borderId="4" xfId="55" applyFont="1" applyFill="1" applyBorder="1" applyAlignment="1">
      <alignment horizontal="center" vertical="center" textRotation="90" wrapText="1"/>
    </xf>
    <xf numFmtId="0" fontId="17" fillId="3" borderId="4" xfId="55" applyFont="1" applyFill="1" applyBorder="1" applyAlignment="1">
      <alignment horizontal="center" vertical="center"/>
    </xf>
    <xf numFmtId="0" fontId="69" fillId="0" borderId="0" xfId="0" applyFont="1" applyAlignment="1">
      <alignment horizontal="center" vertical="center"/>
    </xf>
    <xf numFmtId="0" fontId="15" fillId="0" borderId="0" xfId="55"/>
    <xf numFmtId="0" fontId="16" fillId="0" borderId="37" xfId="0" applyFont="1" applyBorder="1" applyAlignment="1">
      <alignment horizontal="left" vertical="center"/>
    </xf>
    <xf numFmtId="0" fontId="30" fillId="0" borderId="37" xfId="0" applyFont="1" applyBorder="1" applyAlignment="1">
      <alignment horizontal="left" vertical="center" wrapText="1"/>
    </xf>
    <xf numFmtId="0" fontId="16" fillId="0" borderId="37" xfId="0" applyFont="1" applyBorder="1" applyAlignment="1">
      <alignment horizontal="center" vertical="center"/>
    </xf>
    <xf numFmtId="0" fontId="16" fillId="0" borderId="15" xfId="0" applyFont="1" applyBorder="1" applyAlignment="1">
      <alignment horizontal="center" vertical="center"/>
    </xf>
    <xf numFmtId="0" fontId="30" fillId="0" borderId="0" xfId="55" quotePrefix="1" applyFont="1" applyAlignment="1">
      <alignment horizontal="center" vertical="center" wrapText="1"/>
    </xf>
    <xf numFmtId="0" fontId="30" fillId="0" borderId="0" xfId="55" applyFont="1" applyAlignment="1">
      <alignment horizontal="left" vertical="center" wrapText="1"/>
    </xf>
    <xf numFmtId="0" fontId="16" fillId="0" borderId="32" xfId="0" applyFont="1" applyBorder="1" applyAlignment="1">
      <alignment horizontal="center" vertical="center"/>
    </xf>
    <xf numFmtId="0" fontId="30" fillId="0" borderId="31" xfId="0" quotePrefix="1" applyFont="1" applyBorder="1" applyAlignment="1">
      <alignment horizontal="center" vertical="center" wrapText="1"/>
    </xf>
    <xf numFmtId="0" fontId="30" fillId="0" borderId="60" xfId="0" quotePrefix="1" applyFont="1" applyBorder="1" applyAlignment="1">
      <alignment horizontal="center" vertical="center" wrapText="1"/>
    </xf>
    <xf numFmtId="0" fontId="30" fillId="13" borderId="31" xfId="0" applyFont="1" applyFill="1" applyBorder="1" applyAlignment="1">
      <alignment horizontal="center" vertical="center"/>
    </xf>
    <xf numFmtId="3" fontId="16" fillId="0" borderId="0" xfId="210" applyNumberFormat="1" applyFont="1" applyBorder="1" applyAlignment="1">
      <alignment horizontal="center" vertical="center"/>
    </xf>
    <xf numFmtId="0" fontId="32" fillId="0" borderId="0" xfId="55" applyFont="1" applyAlignment="1">
      <alignment horizontal="left" vertical="center"/>
    </xf>
    <xf numFmtId="0" fontId="16" fillId="0" borderId="0" xfId="55" applyFont="1" applyAlignment="1">
      <alignment horizontal="left" vertical="center" wrapText="1"/>
    </xf>
    <xf numFmtId="0" fontId="32" fillId="0" borderId="0" xfId="55" applyFont="1" applyAlignment="1">
      <alignment horizontal="left" vertical="center" wrapText="1"/>
    </xf>
    <xf numFmtId="0" fontId="25" fillId="0" borderId="0" xfId="55" quotePrefix="1" applyFont="1" applyAlignment="1">
      <alignment horizontal="left" vertical="center" wrapText="1"/>
    </xf>
    <xf numFmtId="0" fontId="68" fillId="0" borderId="0" xfId="55" applyFont="1"/>
    <xf numFmtId="0" fontId="17" fillId="0" borderId="4" xfId="55" applyFont="1" applyBorder="1" applyAlignment="1">
      <alignment horizontal="center" vertical="center" wrapText="1"/>
    </xf>
    <xf numFmtId="0" fontId="17" fillId="0" borderId="30" xfId="55" quotePrefix="1" applyFont="1" applyBorder="1" applyAlignment="1">
      <alignment horizontal="center" vertical="center"/>
    </xf>
    <xf numFmtId="0" fontId="30" fillId="0" borderId="1" xfId="55" applyFont="1" applyBorder="1" applyAlignment="1">
      <alignment horizontal="center" vertical="center"/>
    </xf>
    <xf numFmtId="0" fontId="64" fillId="3" borderId="0" xfId="55" applyFont="1" applyFill="1" applyAlignment="1">
      <alignment horizontal="center" vertical="center"/>
    </xf>
    <xf numFmtId="0" fontId="30" fillId="0" borderId="0" xfId="55" quotePrefix="1" applyFont="1" applyAlignment="1">
      <alignment horizontal="left" vertical="center"/>
    </xf>
    <xf numFmtId="0" fontId="0" fillId="0" borderId="0" xfId="0" applyAlignment="1">
      <alignment vertical="center" wrapText="1"/>
    </xf>
    <xf numFmtId="0" fontId="74" fillId="3" borderId="0" xfId="0" applyFont="1" applyFill="1" applyAlignment="1">
      <alignment horizontal="left" vertical="center" wrapText="1"/>
    </xf>
    <xf numFmtId="0" fontId="74" fillId="3" borderId="0" xfId="0" applyFont="1" applyFill="1" applyAlignment="1">
      <alignment horizontal="left" vertical="center"/>
    </xf>
    <xf numFmtId="0" fontId="74" fillId="3" borderId="0" xfId="0" applyFont="1" applyFill="1" applyAlignment="1">
      <alignment vertical="center"/>
    </xf>
    <xf numFmtId="0" fontId="64" fillId="3" borderId="0" xfId="55" applyFont="1" applyFill="1" applyAlignment="1">
      <alignment vertical="center"/>
    </xf>
    <xf numFmtId="0" fontId="75" fillId="3" borderId="0" xfId="55" applyFont="1" applyFill="1" applyAlignment="1">
      <alignment horizontal="center" vertical="center"/>
    </xf>
    <xf numFmtId="0" fontId="76" fillId="3" borderId="0" xfId="55" applyFont="1" applyFill="1" applyAlignment="1">
      <alignment horizontal="left" vertical="center"/>
    </xf>
    <xf numFmtId="0" fontId="75" fillId="3" borderId="0" xfId="55" applyFont="1" applyFill="1" applyAlignment="1">
      <alignment vertical="center"/>
    </xf>
    <xf numFmtId="0" fontId="72" fillId="0" borderId="11" xfId="55" applyFont="1" applyBorder="1" applyAlignment="1">
      <alignment horizontal="center" vertical="center"/>
    </xf>
    <xf numFmtId="0" fontId="72" fillId="0" borderId="0" xfId="55" applyFont="1" applyAlignment="1">
      <alignment horizontal="center" vertical="center" wrapText="1"/>
    </xf>
    <xf numFmtId="0" fontId="72" fillId="0" borderId="0" xfId="55" applyFont="1" applyAlignment="1">
      <alignment horizontal="center" vertical="center"/>
    </xf>
    <xf numFmtId="0" fontId="72" fillId="3" borderId="11" xfId="55" applyFont="1" applyFill="1" applyBorder="1" applyAlignment="1">
      <alignment horizontal="center" vertical="center"/>
    </xf>
    <xf numFmtId="0" fontId="72" fillId="0" borderId="0" xfId="55" applyFont="1" applyAlignment="1">
      <alignment horizontal="left" vertical="center"/>
    </xf>
    <xf numFmtId="0" fontId="71" fillId="0" borderId="1" xfId="55" applyFont="1" applyBorder="1" applyAlignment="1">
      <alignment horizontal="center" vertical="center" textRotation="90" wrapText="1"/>
    </xf>
    <xf numFmtId="0" fontId="64" fillId="3" borderId="0" xfId="0" applyFont="1" applyFill="1" applyAlignment="1">
      <alignment vertical="center"/>
    </xf>
    <xf numFmtId="0" fontId="70" fillId="0" borderId="0" xfId="1" applyFont="1" applyAlignment="1">
      <alignment horizontal="center" vertical="center" wrapText="1"/>
    </xf>
    <xf numFmtId="2" fontId="16" fillId="0" borderId="0" xfId="0" applyNumberFormat="1" applyFont="1" applyAlignment="1">
      <alignment horizontal="center" vertical="center"/>
    </xf>
    <xf numFmtId="3" fontId="17" fillId="0" borderId="1" xfId="0" applyNumberFormat="1" applyFont="1" applyBorder="1" applyAlignment="1">
      <alignment horizontal="center" vertical="center" textRotation="90" wrapText="1"/>
    </xf>
    <xf numFmtId="0" fontId="17" fillId="3" borderId="20" xfId="0" applyFont="1" applyFill="1" applyBorder="1" applyAlignment="1">
      <alignment vertical="center"/>
    </xf>
    <xf numFmtId="0" fontId="30" fillId="0" borderId="0" xfId="0" applyFont="1" applyAlignment="1">
      <alignment horizontal="left" vertical="center"/>
    </xf>
    <xf numFmtId="0" fontId="64" fillId="3" borderId="0" xfId="0" applyFont="1" applyFill="1" applyAlignment="1">
      <alignment vertical="center" wrapText="1"/>
    </xf>
    <xf numFmtId="0" fontId="74" fillId="3" borderId="0" xfId="55" applyFont="1" applyFill="1" applyAlignment="1">
      <alignment vertical="center"/>
    </xf>
    <xf numFmtId="3" fontId="16" fillId="3" borderId="1" xfId="56" applyNumberFormat="1" applyFont="1" applyFill="1" applyBorder="1" applyAlignment="1">
      <alignment horizontal="center" vertical="center"/>
    </xf>
    <xf numFmtId="3" fontId="16" fillId="3" borderId="1" xfId="3" applyNumberFormat="1" applyFont="1" applyFill="1" applyBorder="1" applyAlignment="1">
      <alignment horizontal="center" vertical="center"/>
    </xf>
    <xf numFmtId="0" fontId="17" fillId="3" borderId="1" xfId="55" applyFont="1" applyFill="1" applyBorder="1" applyAlignment="1">
      <alignment horizontal="center" vertical="center"/>
    </xf>
    <xf numFmtId="0" fontId="16" fillId="3" borderId="1" xfId="55" applyFont="1" applyFill="1" applyBorder="1" applyAlignment="1">
      <alignment vertical="center"/>
    </xf>
    <xf numFmtId="0" fontId="17" fillId="3" borderId="1" xfId="55" quotePrefix="1" applyFont="1" applyFill="1" applyBorder="1" applyAlignment="1">
      <alignment horizontal="center" vertical="center"/>
    </xf>
    <xf numFmtId="3" fontId="16" fillId="3" borderId="1" xfId="55" applyNumberFormat="1" applyFont="1" applyFill="1" applyBorder="1" applyAlignment="1">
      <alignment horizontal="center" vertical="center"/>
    </xf>
    <xf numFmtId="0" fontId="18" fillId="0" borderId="0" xfId="0" applyFont="1" applyAlignment="1" applyProtection="1">
      <alignment horizontal="left" vertical="center"/>
      <protection locked="0"/>
    </xf>
    <xf numFmtId="0" fontId="18" fillId="0" borderId="0" xfId="0" applyFont="1" applyAlignment="1">
      <alignment vertical="center"/>
    </xf>
    <xf numFmtId="0" fontId="17" fillId="0" borderId="4" xfId="0" quotePrefix="1" applyFont="1" applyBorder="1" applyAlignment="1">
      <alignment horizontal="center" vertical="center"/>
    </xf>
    <xf numFmtId="49" fontId="56" fillId="0" borderId="0" xfId="1744" applyNumberFormat="1" applyFont="1" applyProtection="1">
      <protection locked="0"/>
    </xf>
    <xf numFmtId="0" fontId="16" fillId="3" borderId="1" xfId="0" applyFont="1" applyFill="1" applyBorder="1" applyAlignment="1">
      <alignment horizontal="center" vertical="center"/>
    </xf>
    <xf numFmtId="0" fontId="30" fillId="3" borderId="1" xfId="0" applyFont="1" applyFill="1" applyBorder="1" applyAlignment="1">
      <alignment horizontal="center" vertical="center" wrapText="1"/>
    </xf>
    <xf numFmtId="0" fontId="30" fillId="3" borderId="1" xfId="0" applyFont="1" applyFill="1" applyBorder="1" applyAlignment="1">
      <alignment horizontal="center" vertical="center"/>
    </xf>
    <xf numFmtId="0" fontId="30" fillId="3" borderId="1" xfId="55" applyFont="1" applyFill="1" applyBorder="1" applyAlignment="1">
      <alignment horizontal="left" vertical="center" wrapText="1"/>
    </xf>
    <xf numFmtId="0" fontId="30" fillId="3" borderId="4" xfId="0" applyFont="1" applyFill="1" applyBorder="1" applyAlignment="1">
      <alignment horizontal="center" vertical="center" wrapText="1"/>
    </xf>
    <xf numFmtId="0" fontId="30" fillId="3" borderId="4" xfId="0" applyFont="1" applyFill="1" applyBorder="1" applyAlignment="1">
      <alignment horizontal="center" vertical="center"/>
    </xf>
    <xf numFmtId="0" fontId="30" fillId="3" borderId="0" xfId="0" applyFont="1" applyFill="1" applyAlignment="1">
      <alignment horizontal="center" vertical="center"/>
    </xf>
    <xf numFmtId="0" fontId="30" fillId="3" borderId="38" xfId="0" applyFont="1" applyFill="1" applyBorder="1" applyAlignment="1">
      <alignment horizontal="center" vertical="center"/>
    </xf>
    <xf numFmtId="0" fontId="30" fillId="3" borderId="31" xfId="0" applyFont="1" applyFill="1" applyBorder="1" applyAlignment="1">
      <alignment horizontal="center" vertical="center"/>
    </xf>
    <xf numFmtId="0" fontId="30" fillId="3" borderId="31" xfId="0" applyFont="1" applyFill="1" applyBorder="1" applyAlignment="1">
      <alignment horizontal="center" vertical="center" wrapText="1"/>
    </xf>
    <xf numFmtId="0" fontId="30" fillId="3" borderId="62" xfId="0" applyFont="1" applyFill="1" applyBorder="1" applyAlignment="1">
      <alignment horizontal="center" vertical="center"/>
    </xf>
    <xf numFmtId="0" fontId="30" fillId="3" borderId="62" xfId="55" applyFont="1" applyFill="1" applyBorder="1" applyAlignment="1">
      <alignment horizontal="center" vertical="center"/>
    </xf>
    <xf numFmtId="0" fontId="16" fillId="3" borderId="31" xfId="0" applyFont="1" applyFill="1" applyBorder="1" applyAlignment="1">
      <alignment horizontal="center" vertical="center" wrapText="1"/>
    </xf>
    <xf numFmtId="0" fontId="16" fillId="3" borderId="4" xfId="0" applyFont="1" applyFill="1" applyBorder="1" applyAlignment="1">
      <alignment horizontal="center" vertical="center"/>
    </xf>
    <xf numFmtId="0" fontId="30" fillId="3" borderId="2" xfId="0" applyFont="1" applyFill="1" applyBorder="1" applyAlignment="1">
      <alignment horizontal="center" vertical="center"/>
    </xf>
    <xf numFmtId="0" fontId="30" fillId="3" borderId="10" xfId="0" applyFont="1" applyFill="1" applyBorder="1" applyAlignment="1">
      <alignment horizontal="center" vertical="center"/>
    </xf>
    <xf numFmtId="0" fontId="30" fillId="3" borderId="37" xfId="55" applyFont="1" applyFill="1" applyBorder="1" applyAlignment="1">
      <alignment horizontal="center" vertical="center"/>
    </xf>
    <xf numFmtId="0" fontId="30" fillId="3" borderId="4" xfId="0" applyFont="1" applyFill="1" applyBorder="1" applyAlignment="1">
      <alignment horizontal="left" vertical="center" wrapText="1"/>
    </xf>
    <xf numFmtId="0" fontId="72" fillId="3" borderId="31" xfId="0" applyFont="1" applyFill="1" applyBorder="1" applyAlignment="1">
      <alignment horizontal="center" vertical="center"/>
    </xf>
    <xf numFmtId="0" fontId="16" fillId="3" borderId="31" xfId="0" applyFont="1" applyFill="1" applyBorder="1" applyAlignment="1">
      <alignment horizontal="center" vertical="center"/>
    </xf>
    <xf numFmtId="0" fontId="30" fillId="3" borderId="39" xfId="0" applyFont="1" applyFill="1" applyBorder="1" applyAlignment="1">
      <alignment horizontal="center" vertical="center"/>
    </xf>
    <xf numFmtId="0" fontId="30" fillId="3" borderId="60" xfId="0" applyFont="1" applyFill="1" applyBorder="1" applyAlignment="1">
      <alignment horizontal="center" vertical="center" wrapText="1"/>
    </xf>
    <xf numFmtId="0" fontId="30" fillId="3" borderId="39" xfId="0" applyFont="1" applyFill="1" applyBorder="1" applyAlignment="1">
      <alignment horizontal="center" vertical="center" wrapText="1"/>
    </xf>
    <xf numFmtId="0" fontId="30" fillId="3" borderId="39" xfId="55" applyFont="1" applyFill="1" applyBorder="1" applyAlignment="1">
      <alignment horizontal="center" vertical="center"/>
    </xf>
    <xf numFmtId="0" fontId="30" fillId="3" borderId="60" xfId="0" applyFont="1" applyFill="1" applyBorder="1" applyAlignment="1">
      <alignment horizontal="left" vertical="center" wrapText="1"/>
    </xf>
    <xf numFmtId="0" fontId="30" fillId="3" borderId="2" xfId="55" applyFont="1" applyFill="1" applyBorder="1" applyAlignment="1">
      <alignment horizontal="center" vertical="center"/>
    </xf>
    <xf numFmtId="0" fontId="17" fillId="3" borderId="0" xfId="0" applyFont="1" applyFill="1" applyAlignment="1">
      <alignment horizontal="center"/>
    </xf>
    <xf numFmtId="0" fontId="16" fillId="3" borderId="4" xfId="0" applyFont="1" applyFill="1" applyBorder="1" applyAlignment="1">
      <alignment horizontal="center" vertical="center" wrapText="1"/>
    </xf>
    <xf numFmtId="3" fontId="30" fillId="3" borderId="4"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30" fillId="3" borderId="31" xfId="55" applyFont="1" applyFill="1" applyBorder="1" applyAlignment="1">
      <alignment horizontal="center" vertical="center" wrapText="1"/>
    </xf>
    <xf numFmtId="0" fontId="30" fillId="3" borderId="31" xfId="55" quotePrefix="1" applyFont="1" applyFill="1" applyBorder="1" applyAlignment="1">
      <alignment horizontal="center" vertical="center" wrapText="1"/>
    </xf>
    <xf numFmtId="0" fontId="30" fillId="3" borderId="31" xfId="55" quotePrefix="1" applyFont="1" applyFill="1" applyBorder="1" applyAlignment="1">
      <alignment horizontal="center" vertical="center"/>
    </xf>
    <xf numFmtId="0" fontId="17" fillId="3" borderId="31" xfId="55" applyFont="1" applyFill="1" applyBorder="1" applyAlignment="1">
      <alignment horizontal="left" vertical="center" wrapText="1"/>
    </xf>
    <xf numFmtId="0" fontId="30" fillId="3" borderId="31" xfId="55" applyFont="1" applyFill="1" applyBorder="1" applyAlignment="1">
      <alignment horizontal="center" vertical="center"/>
    </xf>
    <xf numFmtId="0" fontId="30" fillId="3" borderId="31" xfId="55" applyFont="1" applyFill="1" applyBorder="1" applyAlignment="1">
      <alignment horizontal="left" vertical="center" wrapText="1"/>
    </xf>
    <xf numFmtId="0" fontId="16" fillId="3" borderId="31" xfId="55" applyFont="1" applyFill="1" applyBorder="1" applyAlignment="1">
      <alignment horizontal="center" vertical="center"/>
    </xf>
    <xf numFmtId="0" fontId="72" fillId="3" borderId="41" xfId="55" applyFont="1" applyFill="1" applyBorder="1" applyAlignment="1">
      <alignment horizontal="center" vertical="center"/>
    </xf>
    <xf numFmtId="0" fontId="30" fillId="3" borderId="39" xfId="55" applyFont="1" applyFill="1" applyBorder="1" applyAlignment="1">
      <alignment horizontal="left" vertical="center" wrapText="1"/>
    </xf>
    <xf numFmtId="0" fontId="72" fillId="3" borderId="32" xfId="55" applyFont="1" applyFill="1" applyBorder="1" applyAlignment="1">
      <alignment horizontal="center" vertical="center" wrapText="1"/>
    </xf>
    <xf numFmtId="0" fontId="30" fillId="3" borderId="32" xfId="55" applyFont="1" applyFill="1" applyBorder="1" applyAlignment="1">
      <alignment horizontal="center" vertical="center" wrapText="1"/>
    </xf>
    <xf numFmtId="0" fontId="30" fillId="3" borderId="32" xfId="55" quotePrefix="1" applyFont="1" applyFill="1" applyBorder="1" applyAlignment="1">
      <alignment horizontal="center" vertical="center" wrapText="1"/>
    </xf>
    <xf numFmtId="0" fontId="30" fillId="3" borderId="32" xfId="55" quotePrefix="1" applyFont="1" applyFill="1" applyBorder="1" applyAlignment="1">
      <alignment horizontal="left" vertical="center"/>
    </xf>
    <xf numFmtId="0" fontId="30" fillId="3" borderId="32" xfId="55" quotePrefix="1" applyFont="1" applyFill="1" applyBorder="1" applyAlignment="1">
      <alignment horizontal="left" vertical="center" wrapText="1"/>
    </xf>
    <xf numFmtId="0" fontId="30" fillId="3" borderId="32" xfId="55" applyFont="1" applyFill="1" applyBorder="1" applyAlignment="1">
      <alignment horizontal="left" vertical="center" wrapText="1"/>
    </xf>
    <xf numFmtId="0" fontId="30" fillId="3" borderId="32" xfId="55" applyFont="1" applyFill="1" applyBorder="1" applyAlignment="1">
      <alignment horizontal="center" vertical="center"/>
    </xf>
    <xf numFmtId="0" fontId="72" fillId="3" borderId="50" xfId="55" applyFont="1" applyFill="1" applyBorder="1" applyAlignment="1">
      <alignment horizontal="center" vertical="center"/>
    </xf>
    <xf numFmtId="0" fontId="16" fillId="3" borderId="59" xfId="55" applyFont="1" applyFill="1" applyBorder="1" applyAlignment="1">
      <alignment horizontal="center" vertical="center"/>
    </xf>
    <xf numFmtId="0" fontId="72" fillId="3" borderId="40" xfId="55" applyFont="1" applyFill="1" applyBorder="1" applyAlignment="1">
      <alignment horizontal="center" vertical="center" wrapText="1"/>
    </xf>
    <xf numFmtId="0" fontId="30" fillId="3" borderId="39" xfId="55" applyFont="1" applyFill="1" applyBorder="1" applyAlignment="1">
      <alignment horizontal="center" vertical="center" wrapText="1"/>
    </xf>
    <xf numFmtId="0" fontId="30" fillId="3" borderId="39" xfId="55" quotePrefix="1" applyFont="1" applyFill="1" applyBorder="1" applyAlignment="1">
      <alignment horizontal="center" vertical="center" wrapText="1"/>
    </xf>
    <xf numFmtId="0" fontId="30" fillId="3" borderId="39" xfId="55" quotePrefix="1" applyFont="1" applyFill="1" applyBorder="1" applyAlignment="1">
      <alignment horizontal="left" vertical="center"/>
    </xf>
    <xf numFmtId="0" fontId="30" fillId="3" borderId="39" xfId="55" quotePrefix="1" applyFont="1" applyFill="1" applyBorder="1" applyAlignment="1">
      <alignment horizontal="left" vertical="center" wrapText="1"/>
    </xf>
    <xf numFmtId="0" fontId="72" fillId="3" borderId="37" xfId="55" applyFont="1" applyFill="1" applyBorder="1" applyAlignment="1">
      <alignment horizontal="center" vertical="center" wrapText="1"/>
    </xf>
    <xf numFmtId="0" fontId="77" fillId="3" borderId="32" xfId="0" applyFont="1" applyFill="1" applyBorder="1" applyAlignment="1">
      <alignment horizontal="center" vertical="center"/>
    </xf>
    <xf numFmtId="0" fontId="16" fillId="3" borderId="37" xfId="0" applyFont="1" applyFill="1" applyBorder="1" applyAlignment="1">
      <alignment horizontal="center" vertical="center" wrapText="1"/>
    </xf>
    <xf numFmtId="0" fontId="77" fillId="3" borderId="39" xfId="0" applyFont="1" applyFill="1" applyBorder="1" applyAlignment="1">
      <alignment horizontal="center" vertical="center"/>
    </xf>
    <xf numFmtId="0" fontId="77" fillId="3" borderId="4" xfId="0" applyFont="1" applyFill="1" applyBorder="1" applyAlignment="1">
      <alignment horizontal="center" vertical="center"/>
    </xf>
    <xf numFmtId="0" fontId="30" fillId="3" borderId="1" xfId="55" applyFont="1" applyFill="1" applyBorder="1" applyAlignment="1">
      <alignment horizontal="center" vertical="center"/>
    </xf>
    <xf numFmtId="0" fontId="30" fillId="3" borderId="1" xfId="55" quotePrefix="1" applyFont="1" applyFill="1" applyBorder="1" applyAlignment="1">
      <alignment horizontal="center" vertical="center"/>
    </xf>
    <xf numFmtId="0" fontId="30" fillId="3" borderId="1" xfId="55" applyFont="1" applyFill="1" applyBorder="1" applyAlignment="1">
      <alignment horizontal="left" vertical="center"/>
    </xf>
    <xf numFmtId="0" fontId="30" fillId="3" borderId="1" xfId="55" applyFont="1" applyFill="1" applyBorder="1" applyAlignment="1">
      <alignment horizontal="center" vertical="center" wrapText="1"/>
    </xf>
    <xf numFmtId="0" fontId="17" fillId="0" borderId="54" xfId="0" applyFont="1" applyBorder="1" applyAlignment="1">
      <alignment horizontal="center" vertical="center" textRotation="90" wrapText="1"/>
    </xf>
    <xf numFmtId="0" fontId="17" fillId="0" borderId="55" xfId="0" applyFont="1" applyBorder="1" applyAlignment="1">
      <alignment horizontal="center" vertical="center" textRotation="90" wrapText="1"/>
    </xf>
    <xf numFmtId="0" fontId="17" fillId="0" borderId="56" xfId="0" applyFont="1" applyBorder="1" applyAlignment="1">
      <alignment horizontal="center" vertical="center" textRotation="90" wrapText="1"/>
    </xf>
    <xf numFmtId="0" fontId="17" fillId="0" borderId="4" xfId="0" applyFont="1" applyBorder="1" applyAlignment="1">
      <alignment horizontal="center" vertical="center" textRotation="90" wrapText="1"/>
    </xf>
    <xf numFmtId="3" fontId="17" fillId="3" borderId="4" xfId="0" applyNumberFormat="1" applyFont="1" applyFill="1" applyBorder="1" applyAlignment="1">
      <alignment horizontal="center" vertical="center" textRotation="90" wrapText="1"/>
    </xf>
    <xf numFmtId="0" fontId="17" fillId="0" borderId="6" xfId="0" applyFont="1" applyBorder="1" applyAlignment="1">
      <alignment horizontal="center" vertical="center" textRotation="90" wrapText="1"/>
    </xf>
    <xf numFmtId="0" fontId="30" fillId="3" borderId="0" xfId="0" quotePrefix="1" applyFont="1" applyFill="1" applyAlignment="1">
      <alignment horizontal="center" vertical="center" wrapText="1"/>
    </xf>
    <xf numFmtId="0" fontId="33" fillId="3" borderId="0" xfId="0" applyFont="1" applyFill="1" applyAlignment="1">
      <alignment vertical="center"/>
    </xf>
    <xf numFmtId="0" fontId="52" fillId="3" borderId="0" xfId="0" applyFont="1" applyFill="1" applyAlignment="1">
      <alignment horizontal="left" vertical="center" wrapText="1"/>
    </xf>
    <xf numFmtId="0" fontId="51" fillId="3" borderId="0" xfId="0" applyFont="1" applyFill="1" applyAlignment="1">
      <alignment horizontal="center" vertical="center"/>
    </xf>
    <xf numFmtId="0" fontId="51" fillId="3" borderId="0" xfId="0" applyFont="1" applyFill="1" applyAlignment="1">
      <alignment vertical="center" wrapText="1"/>
    </xf>
    <xf numFmtId="0" fontId="51" fillId="3" borderId="0" xfId="0" applyFont="1" applyFill="1" applyAlignment="1">
      <alignment vertical="center"/>
    </xf>
    <xf numFmtId="0" fontId="51" fillId="3" borderId="0" xfId="0" applyFont="1" applyFill="1" applyAlignment="1">
      <alignment horizontal="center" vertical="center" wrapText="1"/>
    </xf>
    <xf numFmtId="3" fontId="30" fillId="3" borderId="0" xfId="210" applyNumberFormat="1" applyFont="1" applyFill="1" applyBorder="1" applyAlignment="1">
      <alignment horizontal="center" vertical="center" wrapText="1"/>
    </xf>
    <xf numFmtId="4" fontId="80" fillId="0" borderId="0" xfId="1745" applyNumberFormat="1" applyFont="1" applyAlignment="1">
      <alignment horizontal="left" vertical="center" wrapText="1"/>
    </xf>
    <xf numFmtId="0" fontId="16" fillId="3" borderId="5" xfId="0" applyFont="1" applyFill="1" applyBorder="1" applyAlignment="1">
      <alignment horizontal="center" vertical="center"/>
    </xf>
    <xf numFmtId="0" fontId="18" fillId="3" borderId="0" xfId="0" applyFont="1" applyFill="1" applyAlignment="1" applyProtection="1">
      <alignment horizontal="left" vertical="center" wrapText="1"/>
      <protection locked="0"/>
    </xf>
    <xf numFmtId="0" fontId="21" fillId="0" borderId="0" xfId="0" applyFont="1" applyAlignment="1">
      <alignment horizontal="left" wrapText="1"/>
    </xf>
    <xf numFmtId="0" fontId="21" fillId="3" borderId="0" xfId="0" applyFont="1" applyFill="1" applyAlignment="1" applyProtection="1">
      <alignment horizontal="left" vertical="center" wrapText="1"/>
      <protection locked="0"/>
    </xf>
    <xf numFmtId="0" fontId="48" fillId="3" borderId="0" xfId="2" applyFont="1" applyFill="1" applyAlignment="1">
      <alignment vertical="center" wrapText="1"/>
    </xf>
    <xf numFmtId="0" fontId="16" fillId="3" borderId="0" xfId="0" applyFont="1" applyFill="1" applyAlignment="1">
      <alignment vertical="center" wrapText="1"/>
    </xf>
    <xf numFmtId="0" fontId="16" fillId="3" borderId="37" xfId="0" applyFont="1" applyFill="1" applyBorder="1" applyAlignment="1">
      <alignment horizontal="center" vertical="center"/>
    </xf>
    <xf numFmtId="167" fontId="18" fillId="3" borderId="0" xfId="0" applyNumberFormat="1"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vertical="center" wrapText="1"/>
    </xf>
    <xf numFmtId="0" fontId="16" fillId="3" borderId="4" xfId="0" applyFont="1" applyFill="1" applyBorder="1" applyAlignment="1">
      <alignment horizontal="left" vertical="center" wrapText="1"/>
    </xf>
    <xf numFmtId="0" fontId="30" fillId="3" borderId="31" xfId="0" applyFont="1" applyFill="1" applyBorder="1" applyAlignment="1">
      <alignment horizontal="left" vertical="center"/>
    </xf>
    <xf numFmtId="0" fontId="30" fillId="3" borderId="4" xfId="0" applyFont="1" applyFill="1" applyBorder="1" applyAlignment="1">
      <alignment horizontal="left" vertical="center"/>
    </xf>
    <xf numFmtId="0" fontId="30" fillId="0" borderId="40" xfId="0" applyFont="1" applyBorder="1" applyAlignment="1">
      <alignment horizontal="left" vertical="center"/>
    </xf>
    <xf numFmtId="0" fontId="30" fillId="0" borderId="37" xfId="0" applyFont="1" applyBorder="1" applyAlignment="1">
      <alignment horizontal="left" vertical="center"/>
    </xf>
    <xf numFmtId="0" fontId="30" fillId="3" borderId="2" xfId="0" applyFont="1" applyFill="1" applyBorder="1" applyAlignment="1">
      <alignment horizontal="center" vertical="center" wrapText="1"/>
    </xf>
    <xf numFmtId="0" fontId="30" fillId="3" borderId="37" xfId="0" applyFont="1" applyFill="1" applyBorder="1" applyAlignment="1">
      <alignment horizontal="left" vertical="center"/>
    </xf>
    <xf numFmtId="0" fontId="30" fillId="3" borderId="64" xfId="0" applyFont="1" applyFill="1" applyBorder="1" applyAlignment="1">
      <alignment horizontal="center" vertical="center"/>
    </xf>
    <xf numFmtId="0" fontId="30" fillId="3" borderId="37" xfId="0" applyFont="1" applyFill="1" applyBorder="1" applyAlignment="1">
      <alignment horizontal="center" vertical="center"/>
    </xf>
    <xf numFmtId="0" fontId="30" fillId="3" borderId="37" xfId="0" applyFont="1" applyFill="1" applyBorder="1" applyAlignment="1">
      <alignment horizontal="center" vertical="center" wrapText="1"/>
    </xf>
    <xf numFmtId="0" fontId="30" fillId="3" borderId="66" xfId="0" applyFont="1" applyFill="1" applyBorder="1" applyAlignment="1">
      <alignment horizontal="center" vertical="center"/>
    </xf>
    <xf numFmtId="0" fontId="16" fillId="3" borderId="39" xfId="0" applyFont="1" applyFill="1" applyBorder="1" applyAlignment="1">
      <alignment horizontal="center" vertical="center"/>
    </xf>
    <xf numFmtId="0" fontId="30" fillId="3" borderId="39" xfId="0" applyFont="1" applyFill="1" applyBorder="1" applyAlignment="1">
      <alignment horizontal="left" vertical="center"/>
    </xf>
    <xf numFmtId="0" fontId="16" fillId="3" borderId="64" xfId="0" applyFont="1" applyFill="1" applyBorder="1" applyAlignment="1">
      <alignment horizontal="center" vertical="center"/>
    </xf>
    <xf numFmtId="0" fontId="30" fillId="3" borderId="67" xfId="0" applyFont="1" applyFill="1" applyBorder="1" applyAlignment="1">
      <alignment horizontal="center" vertical="center" wrapText="1"/>
    </xf>
    <xf numFmtId="0" fontId="72" fillId="3" borderId="39" xfId="0" applyFont="1" applyFill="1" applyBorder="1" applyAlignment="1">
      <alignment horizontal="center" vertical="center"/>
    </xf>
    <xf numFmtId="0" fontId="30" fillId="3" borderId="41" xfId="0" applyFont="1" applyFill="1" applyBorder="1" applyAlignment="1">
      <alignment horizontal="center" vertical="center"/>
    </xf>
    <xf numFmtId="0" fontId="30" fillId="3" borderId="68" xfId="0" applyFont="1" applyFill="1" applyBorder="1" applyAlignment="1">
      <alignment horizontal="center" vertical="center"/>
    </xf>
    <xf numFmtId="0" fontId="30" fillId="3" borderId="68" xfId="55" applyFont="1" applyFill="1" applyBorder="1" applyAlignment="1">
      <alignment horizontal="center" vertical="center"/>
    </xf>
    <xf numFmtId="0" fontId="30" fillId="0" borderId="39" xfId="0" applyFont="1" applyBorder="1" applyAlignment="1">
      <alignment horizontal="center" vertical="center"/>
    </xf>
    <xf numFmtId="0" fontId="30" fillId="0" borderId="38" xfId="0" applyFont="1" applyBorder="1" applyAlignment="1">
      <alignment horizontal="center" vertical="center"/>
    </xf>
    <xf numFmtId="0" fontId="30" fillId="3" borderId="38" xfId="0" applyFont="1" applyFill="1" applyBorder="1" applyAlignment="1">
      <alignment horizontal="left" vertical="center" wrapText="1"/>
    </xf>
    <xf numFmtId="0" fontId="30" fillId="3" borderId="60" xfId="0" applyFont="1" applyFill="1" applyBorder="1" applyAlignment="1">
      <alignment horizontal="center" vertical="center"/>
    </xf>
    <xf numFmtId="0" fontId="30" fillId="3" borderId="65" xfId="0" applyFont="1" applyFill="1" applyBorder="1" applyAlignment="1">
      <alignment horizontal="center" vertical="center"/>
    </xf>
    <xf numFmtId="0" fontId="84" fillId="0" borderId="0" xfId="0" applyFont="1" applyAlignment="1">
      <alignment vertical="center"/>
    </xf>
    <xf numFmtId="0" fontId="17" fillId="3" borderId="2" xfId="0" applyFont="1" applyFill="1" applyBorder="1" applyAlignment="1">
      <alignment vertical="center" wrapText="1"/>
    </xf>
    <xf numFmtId="0" fontId="30" fillId="3" borderId="37" xfId="55" applyFont="1" applyFill="1" applyBorder="1" applyAlignment="1">
      <alignment horizontal="center" vertical="center" wrapText="1"/>
    </xf>
    <xf numFmtId="0" fontId="16" fillId="3" borderId="38" xfId="0" applyFont="1" applyFill="1" applyBorder="1" applyAlignment="1">
      <alignment horizontal="center" vertical="center"/>
    </xf>
    <xf numFmtId="0" fontId="16" fillId="0" borderId="38" xfId="0" applyFont="1" applyBorder="1" applyAlignment="1">
      <alignment horizontal="center" vertical="center"/>
    </xf>
    <xf numFmtId="0" fontId="30" fillId="0" borderId="65" xfId="0" quotePrefix="1" applyFont="1" applyBorder="1" applyAlignment="1">
      <alignment horizontal="center" vertical="center" wrapText="1"/>
    </xf>
    <xf numFmtId="0" fontId="30" fillId="13" borderId="37" xfId="0" applyFont="1" applyFill="1" applyBorder="1" applyAlignment="1">
      <alignment horizontal="center" vertical="center"/>
    </xf>
    <xf numFmtId="0" fontId="30" fillId="13" borderId="1" xfId="0" applyFont="1" applyFill="1" applyBorder="1" applyAlignment="1">
      <alignment horizontal="center" vertical="center"/>
    </xf>
    <xf numFmtId="3" fontId="30" fillId="0" borderId="4" xfId="0" applyNumberFormat="1" applyFont="1" applyBorder="1" applyAlignment="1">
      <alignment horizontal="center" vertical="center" wrapText="1"/>
    </xf>
    <xf numFmtId="0" fontId="33" fillId="0" borderId="4" xfId="0" applyFont="1" applyBorder="1" applyAlignment="1">
      <alignment horizontal="center" vertical="center" wrapText="1"/>
    </xf>
    <xf numFmtId="0" fontId="16" fillId="3" borderId="31" xfId="0" quotePrefix="1" applyFont="1" applyFill="1" applyBorder="1" applyAlignment="1">
      <alignment horizontal="center" vertical="center" wrapText="1"/>
    </xf>
    <xf numFmtId="3" fontId="30" fillId="0" borderId="31" xfId="0" applyNumberFormat="1" applyFont="1" applyBorder="1" applyAlignment="1">
      <alignment horizontal="center" vertical="center" wrapText="1"/>
    </xf>
    <xf numFmtId="0" fontId="33" fillId="0" borderId="31" xfId="0" applyFont="1" applyBorder="1" applyAlignment="1">
      <alignment horizontal="center" vertical="center" wrapText="1"/>
    </xf>
    <xf numFmtId="0" fontId="30" fillId="3" borderId="31" xfId="0" applyFont="1" applyFill="1" applyBorder="1" applyAlignment="1">
      <alignment horizontal="left" vertical="center" wrapText="1"/>
    </xf>
    <xf numFmtId="0" fontId="16" fillId="3" borderId="37" xfId="0" quotePrefix="1" applyFont="1" applyFill="1" applyBorder="1" applyAlignment="1">
      <alignment horizontal="center" vertical="center" wrapText="1"/>
    </xf>
    <xf numFmtId="0" fontId="30" fillId="3" borderId="37" xfId="0" applyFont="1" applyFill="1" applyBorder="1" applyAlignment="1">
      <alignment horizontal="left" vertical="center" wrapText="1"/>
    </xf>
    <xf numFmtId="3" fontId="30" fillId="0" borderId="37" xfId="0" applyNumberFormat="1" applyFont="1" applyBorder="1" applyAlignment="1">
      <alignment horizontal="center" vertical="center" wrapText="1"/>
    </xf>
    <xf numFmtId="0" fontId="33" fillId="0" borderId="37" xfId="0" applyFont="1" applyBorder="1" applyAlignment="1">
      <alignment horizontal="center" vertical="center" wrapText="1"/>
    </xf>
    <xf numFmtId="0" fontId="16" fillId="3" borderId="1" xfId="0" quotePrefix="1" applyFont="1" applyFill="1" applyBorder="1" applyAlignment="1">
      <alignment horizontal="center" vertical="center" wrapText="1"/>
    </xf>
    <xf numFmtId="0" fontId="33" fillId="0" borderId="1" xfId="0" applyFont="1" applyBorder="1" applyAlignment="1">
      <alignment horizontal="center" vertical="center" wrapText="1"/>
    </xf>
    <xf numFmtId="0" fontId="33" fillId="3" borderId="4" xfId="0" applyFont="1" applyFill="1" applyBorder="1" applyAlignment="1">
      <alignment horizontal="center" vertical="center" wrapText="1"/>
    </xf>
    <xf numFmtId="166" fontId="30" fillId="0" borderId="4" xfId="0" applyNumberFormat="1" applyFont="1" applyBorder="1" applyAlignment="1">
      <alignment horizontal="center" vertical="center" wrapText="1"/>
    </xf>
    <xf numFmtId="1" fontId="30" fillId="0" borderId="4" xfId="0" applyNumberFormat="1" applyFont="1" applyBorder="1" applyAlignment="1">
      <alignment horizontal="center" vertical="center" wrapText="1"/>
    </xf>
    <xf numFmtId="0" fontId="16" fillId="3" borderId="15" xfId="0" quotePrefix="1" applyFont="1" applyFill="1" applyBorder="1" applyAlignment="1">
      <alignment horizontal="center" vertical="center"/>
    </xf>
    <xf numFmtId="0" fontId="30" fillId="3" borderId="31" xfId="0" applyFont="1" applyFill="1" applyBorder="1" applyAlignment="1">
      <alignment vertical="center" wrapText="1"/>
    </xf>
    <xf numFmtId="0" fontId="30" fillId="3" borderId="31" xfId="0" quotePrefix="1" applyFont="1" applyFill="1" applyBorder="1" applyAlignment="1">
      <alignment horizontal="center" vertical="center" wrapText="1"/>
    </xf>
    <xf numFmtId="0" fontId="30" fillId="3" borderId="38" xfId="0" quotePrefix="1" applyFont="1" applyFill="1" applyBorder="1" applyAlignment="1">
      <alignment horizontal="center" vertical="center" wrapText="1"/>
    </xf>
    <xf numFmtId="0" fontId="30" fillId="3" borderId="31" xfId="0" quotePrefix="1" applyFont="1" applyFill="1" applyBorder="1" applyAlignment="1">
      <alignment horizontal="center" vertical="center"/>
    </xf>
    <xf numFmtId="0" fontId="16" fillId="3" borderId="32" xfId="0" applyFont="1" applyFill="1" applyBorder="1" applyAlignment="1">
      <alignment horizontal="center" vertical="center"/>
    </xf>
    <xf numFmtId="0" fontId="30" fillId="3" borderId="50" xfId="0" applyFont="1" applyFill="1" applyBorder="1" applyAlignment="1">
      <alignment horizontal="center" vertical="center"/>
    </xf>
    <xf numFmtId="0" fontId="30" fillId="3" borderId="32" xfId="0" applyFont="1" applyFill="1" applyBorder="1" applyAlignment="1">
      <alignment vertical="center" wrapText="1"/>
    </xf>
    <xf numFmtId="0" fontId="30" fillId="3" borderId="50" xfId="0" applyFont="1" applyFill="1" applyBorder="1" applyAlignment="1">
      <alignment horizontal="center" vertical="center" wrapText="1"/>
    </xf>
    <xf numFmtId="0" fontId="30" fillId="3" borderId="5" xfId="0" applyFont="1" applyFill="1" applyBorder="1" applyAlignment="1">
      <alignment horizontal="center" vertical="center"/>
    </xf>
    <xf numFmtId="0" fontId="30" fillId="3" borderId="32" xfId="0" applyFont="1" applyFill="1" applyBorder="1" applyAlignment="1">
      <alignment horizontal="center" vertical="center"/>
    </xf>
    <xf numFmtId="0" fontId="30" fillId="3" borderId="40" xfId="0" applyFont="1" applyFill="1" applyBorder="1" applyAlignment="1">
      <alignment horizontal="center" vertical="center" wrapText="1"/>
    </xf>
    <xf numFmtId="0" fontId="30" fillId="0" borderId="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64" xfId="0" applyFont="1" applyBorder="1" applyAlignment="1">
      <alignment horizontal="center" vertical="center" wrapText="1"/>
    </xf>
    <xf numFmtId="0" fontId="16" fillId="3" borderId="9" xfId="0" applyFont="1" applyFill="1" applyBorder="1" applyAlignment="1">
      <alignment horizontal="center" vertical="center"/>
    </xf>
    <xf numFmtId="0" fontId="30" fillId="3" borderId="9" xfId="0" applyFont="1" applyFill="1" applyBorder="1" applyAlignment="1">
      <alignment horizontal="center" vertical="center"/>
    </xf>
    <xf numFmtId="0" fontId="30" fillId="3" borderId="37" xfId="0" applyFont="1" applyFill="1" applyBorder="1" applyAlignment="1">
      <alignment vertical="center" wrapText="1"/>
    </xf>
    <xf numFmtId="0" fontId="30" fillId="0" borderId="60" xfId="0" applyFont="1" applyBorder="1" applyAlignment="1">
      <alignment horizontal="center" vertical="center" wrapText="1"/>
    </xf>
    <xf numFmtId="0" fontId="30" fillId="0" borderId="31" xfId="0" applyFont="1" applyBorder="1" applyAlignment="1">
      <alignment horizontal="left" vertical="center"/>
    </xf>
    <xf numFmtId="0" fontId="16" fillId="3" borderId="50" xfId="0" applyFont="1" applyFill="1" applyBorder="1" applyAlignment="1">
      <alignment horizontal="center" vertical="center"/>
    </xf>
    <xf numFmtId="0" fontId="30" fillId="0" borderId="32" xfId="0" applyFont="1" applyBorder="1" applyAlignment="1">
      <alignment vertical="center" wrapText="1"/>
    </xf>
    <xf numFmtId="0" fontId="30" fillId="3" borderId="32" xfId="0" applyFont="1" applyFill="1" applyBorder="1" applyAlignment="1">
      <alignment horizontal="center" vertical="center" wrapText="1"/>
    </xf>
    <xf numFmtId="0" fontId="77" fillId="3" borderId="37" xfId="0" applyFont="1" applyFill="1" applyBorder="1" applyAlignment="1">
      <alignment horizontal="center" vertical="center"/>
    </xf>
    <xf numFmtId="0" fontId="30" fillId="0" borderId="65" xfId="0" applyFont="1" applyBorder="1" applyAlignment="1">
      <alignment horizontal="center" vertical="center"/>
    </xf>
    <xf numFmtId="0" fontId="30" fillId="0" borderId="37" xfId="0" applyFont="1" applyBorder="1" applyAlignment="1">
      <alignment vertical="center" wrapText="1"/>
    </xf>
    <xf numFmtId="0" fontId="16" fillId="3" borderId="38" xfId="0" quotePrefix="1" applyFont="1" applyFill="1" applyBorder="1" applyAlignment="1">
      <alignment horizontal="center" vertical="center"/>
    </xf>
    <xf numFmtId="0" fontId="77" fillId="3" borderId="64" xfId="0" quotePrefix="1" applyFont="1" applyFill="1" applyBorder="1" applyAlignment="1">
      <alignment horizontal="center" vertical="center"/>
    </xf>
    <xf numFmtId="0" fontId="16" fillId="3" borderId="41" xfId="0" quotePrefix="1" applyFont="1" applyFill="1" applyBorder="1" applyAlignment="1">
      <alignment horizontal="center" vertical="center"/>
    </xf>
    <xf numFmtId="0" fontId="72" fillId="3" borderId="31" xfId="55" applyFont="1" applyFill="1" applyBorder="1" applyAlignment="1">
      <alignment horizontal="center" vertical="center" wrapText="1"/>
    </xf>
    <xf numFmtId="3" fontId="30" fillId="3" borderId="41" xfId="210" applyNumberFormat="1" applyFont="1" applyFill="1" applyBorder="1" applyAlignment="1">
      <alignment horizontal="center" vertical="center" wrapText="1"/>
    </xf>
    <xf numFmtId="0" fontId="72" fillId="3" borderId="41" xfId="0" applyFont="1" applyFill="1" applyBorder="1" applyAlignment="1">
      <alignment horizontal="center" vertical="center"/>
    </xf>
    <xf numFmtId="0" fontId="72" fillId="3" borderId="39" xfId="55" applyFont="1" applyFill="1" applyBorder="1" applyAlignment="1">
      <alignment horizontal="center" vertical="center" wrapText="1"/>
    </xf>
    <xf numFmtId="0" fontId="30" fillId="3" borderId="39" xfId="55" quotePrefix="1" applyFont="1" applyFill="1" applyBorder="1" applyAlignment="1">
      <alignment horizontal="center" vertical="center"/>
    </xf>
    <xf numFmtId="0" fontId="30" fillId="0" borderId="32" xfId="55" applyFont="1" applyBorder="1" applyAlignment="1">
      <alignment horizontal="center" vertical="center" wrapText="1"/>
    </xf>
    <xf numFmtId="0" fontId="30" fillId="0" borderId="32" xfId="55" applyFont="1" applyBorder="1" applyAlignment="1">
      <alignment horizontal="center" vertical="center"/>
    </xf>
    <xf numFmtId="0" fontId="30" fillId="0" borderId="32" xfId="55" applyFont="1" applyBorder="1" applyAlignment="1">
      <alignment horizontal="left" vertical="center" wrapText="1"/>
    </xf>
    <xf numFmtId="0" fontId="72" fillId="3" borderId="59" xfId="55" applyFont="1" applyFill="1" applyBorder="1" applyAlignment="1">
      <alignment horizontal="center" vertical="center"/>
    </xf>
    <xf numFmtId="0" fontId="30" fillId="3" borderId="40" xfId="55" applyFont="1" applyFill="1" applyBorder="1" applyAlignment="1">
      <alignment horizontal="left" vertical="center" wrapText="1"/>
    </xf>
    <xf numFmtId="0" fontId="30" fillId="3" borderId="40" xfId="55" applyFont="1" applyFill="1" applyBorder="1" applyAlignment="1">
      <alignment horizontal="center" vertical="center" wrapText="1"/>
    </xf>
    <xf numFmtId="0" fontId="30" fillId="3" borderId="40" xfId="55" quotePrefix="1" applyFont="1" applyFill="1" applyBorder="1" applyAlignment="1">
      <alignment horizontal="center" vertical="center" wrapText="1"/>
    </xf>
    <xf numFmtId="0" fontId="30" fillId="3" borderId="40" xfId="55" quotePrefix="1" applyFont="1" applyFill="1" applyBorder="1" applyAlignment="1">
      <alignment horizontal="left" vertical="center"/>
    </xf>
    <xf numFmtId="0" fontId="30" fillId="3" borderId="40" xfId="55" quotePrefix="1" applyFont="1" applyFill="1" applyBorder="1" applyAlignment="1">
      <alignment horizontal="left" vertical="center" wrapText="1"/>
    </xf>
    <xf numFmtId="0" fontId="30" fillId="3" borderId="40" xfId="55" applyFont="1" applyFill="1" applyBorder="1" applyAlignment="1">
      <alignment horizontal="center" vertical="center"/>
    </xf>
    <xf numFmtId="0" fontId="30" fillId="13" borderId="31" xfId="55" applyFont="1" applyFill="1" applyBorder="1" applyAlignment="1">
      <alignment horizontal="center" vertical="center" wrapText="1"/>
    </xf>
    <xf numFmtId="0" fontId="30" fillId="0" borderId="39" xfId="55" applyFont="1" applyBorder="1" applyAlignment="1">
      <alignment horizontal="left" vertical="center" wrapText="1"/>
    </xf>
    <xf numFmtId="0" fontId="30" fillId="0" borderId="39" xfId="55" applyFont="1" applyBorder="1" applyAlignment="1">
      <alignment horizontal="center" vertical="center" wrapText="1"/>
    </xf>
    <xf numFmtId="0" fontId="30" fillId="0" borderId="39" xfId="55" applyFont="1" applyBorder="1" applyAlignment="1">
      <alignment horizontal="center" vertical="center"/>
    </xf>
    <xf numFmtId="0" fontId="72" fillId="3" borderId="8" xfId="55" applyFont="1" applyFill="1" applyBorder="1" applyAlignment="1">
      <alignment horizontal="center" vertical="center"/>
    </xf>
    <xf numFmtId="0" fontId="30" fillId="3" borderId="2" xfId="55" applyFont="1" applyFill="1" applyBorder="1" applyAlignment="1">
      <alignment horizontal="left" vertical="center" wrapText="1"/>
    </xf>
    <xf numFmtId="0" fontId="30" fillId="3" borderId="2" xfId="55" applyFont="1" applyFill="1" applyBorder="1" applyAlignment="1">
      <alignment horizontal="center" vertical="center" wrapText="1"/>
    </xf>
    <xf numFmtId="0" fontId="30" fillId="3" borderId="2" xfId="55" quotePrefix="1" applyFont="1" applyFill="1" applyBorder="1" applyAlignment="1">
      <alignment horizontal="center" vertical="center" wrapText="1"/>
    </xf>
    <xf numFmtId="0" fontId="30" fillId="0" borderId="40" xfId="55" applyFont="1" applyBorder="1" applyAlignment="1">
      <alignment horizontal="left" vertical="center" wrapText="1"/>
    </xf>
    <xf numFmtId="0" fontId="30" fillId="0" borderId="40" xfId="55" applyFont="1" applyBorder="1" applyAlignment="1">
      <alignment horizontal="center" vertical="center"/>
    </xf>
    <xf numFmtId="0" fontId="34" fillId="3" borderId="2" xfId="55" applyFont="1" applyFill="1" applyBorder="1" applyAlignment="1">
      <alignment horizontal="left" vertical="center" wrapText="1"/>
    </xf>
    <xf numFmtId="0" fontId="30" fillId="0" borderId="31" xfId="55" applyFont="1" applyBorder="1" applyAlignment="1">
      <alignment horizontal="left" vertical="center" wrapText="1"/>
    </xf>
    <xf numFmtId="0" fontId="30" fillId="0" borderId="31" xfId="55" applyFont="1" applyBorder="1" applyAlignment="1">
      <alignment horizontal="center" vertical="center" wrapText="1"/>
    </xf>
    <xf numFmtId="0" fontId="30" fillId="0" borderId="31" xfId="55" applyFont="1" applyBorder="1" applyAlignment="1">
      <alignment horizontal="center" vertical="center"/>
    </xf>
    <xf numFmtId="0" fontId="34" fillId="3" borderId="32" xfId="55" applyFont="1" applyFill="1" applyBorder="1" applyAlignment="1">
      <alignment horizontal="left" vertical="center" wrapText="1"/>
    </xf>
    <xf numFmtId="166" fontId="30" fillId="3" borderId="39" xfId="55" applyNumberFormat="1" applyFont="1" applyFill="1" applyBorder="1" applyAlignment="1">
      <alignment horizontal="center" vertical="center" wrapText="1"/>
    </xf>
    <xf numFmtId="0" fontId="16" fillId="3" borderId="37" xfId="55" applyFont="1" applyFill="1" applyBorder="1" applyAlignment="1">
      <alignment horizontal="center" vertical="center"/>
    </xf>
    <xf numFmtId="0" fontId="34" fillId="3" borderId="40" xfId="55" applyFont="1" applyFill="1" applyBorder="1" applyAlignment="1">
      <alignment horizontal="left" vertical="center" wrapText="1"/>
    </xf>
    <xf numFmtId="0" fontId="30" fillId="3" borderId="5" xfId="55" quotePrefix="1" applyFont="1" applyFill="1" applyBorder="1" applyAlignment="1">
      <alignment horizontal="center" vertical="center" wrapText="1"/>
    </xf>
    <xf numFmtId="0" fontId="72" fillId="3" borderId="64" xfId="55" applyFont="1" applyFill="1" applyBorder="1" applyAlignment="1">
      <alignment horizontal="center" vertical="center"/>
    </xf>
    <xf numFmtId="0" fontId="30" fillId="3" borderId="37" xfId="55" applyFont="1" applyFill="1" applyBorder="1" applyAlignment="1">
      <alignment horizontal="left" vertical="center" wrapText="1"/>
    </xf>
    <xf numFmtId="0" fontId="30" fillId="3" borderId="37" xfId="55" quotePrefix="1" applyFont="1" applyFill="1" applyBorder="1" applyAlignment="1">
      <alignment horizontal="center" vertical="center" wrapText="1"/>
    </xf>
    <xf numFmtId="0" fontId="30" fillId="3" borderId="37" xfId="55" quotePrefix="1" applyFont="1" applyFill="1" applyBorder="1" applyAlignment="1">
      <alignment horizontal="left" vertical="center"/>
    </xf>
    <xf numFmtId="0" fontId="30" fillId="3" borderId="37" xfId="55" quotePrefix="1" applyFont="1" applyFill="1" applyBorder="1" applyAlignment="1">
      <alignment horizontal="left" vertical="center" wrapText="1"/>
    </xf>
    <xf numFmtId="0" fontId="30" fillId="0" borderId="37" xfId="55" applyFont="1" applyBorder="1" applyAlignment="1">
      <alignment horizontal="left" vertical="center" wrapText="1"/>
    </xf>
    <xf numFmtId="0" fontId="30" fillId="0" borderId="37" xfId="55" applyFont="1" applyBorder="1" applyAlignment="1">
      <alignment horizontal="center" vertical="center" wrapText="1"/>
    </xf>
    <xf numFmtId="0" fontId="30" fillId="0" borderId="37" xfId="55" applyFont="1" applyBorder="1" applyAlignment="1">
      <alignment horizontal="center" vertical="center"/>
    </xf>
    <xf numFmtId="0" fontId="34" fillId="3" borderId="37" xfId="55" applyFont="1" applyFill="1" applyBorder="1" applyAlignment="1">
      <alignment horizontal="left" vertical="center" wrapText="1"/>
    </xf>
    <xf numFmtId="0" fontId="30" fillId="3" borderId="50" xfId="55" applyFont="1" applyFill="1" applyBorder="1" applyAlignment="1">
      <alignment horizontal="center" vertical="center"/>
    </xf>
    <xf numFmtId="0" fontId="30" fillId="3" borderId="59" xfId="55" applyFont="1" applyFill="1" applyBorder="1" applyAlignment="1">
      <alignment horizontal="center" vertical="center"/>
    </xf>
    <xf numFmtId="0" fontId="30" fillId="3" borderId="38" xfId="55" applyFont="1" applyFill="1" applyBorder="1" applyAlignment="1">
      <alignment horizontal="center" vertical="center"/>
    </xf>
    <xf numFmtId="0" fontId="30" fillId="3" borderId="64" xfId="55" applyFont="1" applyFill="1" applyBorder="1" applyAlignment="1">
      <alignment horizontal="center" vertical="center"/>
    </xf>
    <xf numFmtId="0" fontId="16" fillId="3" borderId="37" xfId="55" applyFont="1" applyFill="1" applyBorder="1" applyAlignment="1">
      <alignment vertical="center"/>
    </xf>
    <xf numFmtId="0" fontId="30" fillId="3" borderId="41" xfId="55" applyFont="1" applyFill="1" applyBorder="1" applyAlignment="1">
      <alignment horizontal="center" vertical="center"/>
    </xf>
    <xf numFmtId="0" fontId="16" fillId="13" borderId="40" xfId="55" applyFont="1" applyFill="1" applyBorder="1" applyAlignment="1">
      <alignment horizontal="center" vertical="center" wrapText="1"/>
    </xf>
    <xf numFmtId="0" fontId="30" fillId="3" borderId="40" xfId="55" quotePrefix="1" applyFont="1" applyFill="1" applyBorder="1" applyAlignment="1">
      <alignment horizontal="center" vertical="center"/>
    </xf>
    <xf numFmtId="0" fontId="72" fillId="3" borderId="32" xfId="0" applyFont="1" applyFill="1" applyBorder="1" applyAlignment="1">
      <alignment horizontal="center" vertical="center"/>
    </xf>
    <xf numFmtId="0" fontId="72" fillId="3" borderId="40" xfId="0" applyFont="1" applyFill="1" applyBorder="1" applyAlignment="1">
      <alignment horizontal="center" vertical="center"/>
    </xf>
    <xf numFmtId="0" fontId="30" fillId="3" borderId="32" xfId="55" quotePrefix="1" applyFont="1" applyFill="1" applyBorder="1" applyAlignment="1">
      <alignment horizontal="center" vertical="center"/>
    </xf>
    <xf numFmtId="0" fontId="16" fillId="13" borderId="31" xfId="55" applyFont="1" applyFill="1" applyBorder="1" applyAlignment="1">
      <alignment horizontal="center" vertical="center" wrapText="1"/>
    </xf>
    <xf numFmtId="0" fontId="30" fillId="3" borderId="15" xfId="55" applyFont="1" applyFill="1" applyBorder="1" applyAlignment="1">
      <alignment horizontal="center" vertical="center"/>
    </xf>
    <xf numFmtId="0" fontId="30" fillId="0" borderId="4" xfId="0" applyFont="1" applyBorder="1" applyAlignment="1">
      <alignment horizontal="left" vertical="center"/>
    </xf>
    <xf numFmtId="0" fontId="30" fillId="13" borderId="40" xfId="55" applyFont="1" applyFill="1" applyBorder="1" applyAlignment="1">
      <alignment horizontal="center" vertical="center" wrapText="1"/>
    </xf>
    <xf numFmtId="3" fontId="30" fillId="3" borderId="50" xfId="210" applyNumberFormat="1" applyFont="1" applyFill="1" applyBorder="1" applyAlignment="1">
      <alignment horizontal="center" vertical="center" wrapText="1"/>
    </xf>
    <xf numFmtId="0" fontId="72" fillId="3" borderId="50" xfId="0" applyFont="1" applyFill="1" applyBorder="1" applyAlignment="1">
      <alignment horizontal="center" vertical="center"/>
    </xf>
    <xf numFmtId="3" fontId="30" fillId="3" borderId="59" xfId="210" applyNumberFormat="1" applyFont="1" applyFill="1" applyBorder="1" applyAlignment="1">
      <alignment horizontal="center" vertical="center" wrapText="1"/>
    </xf>
    <xf numFmtId="0" fontId="30" fillId="3" borderId="8" xfId="55" applyFont="1" applyFill="1" applyBorder="1" applyAlignment="1">
      <alignment horizontal="center" vertical="center"/>
    </xf>
    <xf numFmtId="0" fontId="30" fillId="3" borderId="4" xfId="55" applyFont="1" applyFill="1" applyBorder="1" applyAlignment="1">
      <alignment horizontal="left" vertical="center" wrapText="1"/>
    </xf>
    <xf numFmtId="0" fontId="72" fillId="3" borderId="37" xfId="0" applyFont="1" applyFill="1" applyBorder="1" applyAlignment="1">
      <alignment horizontal="center" vertical="center"/>
    </xf>
    <xf numFmtId="0" fontId="30" fillId="3" borderId="37" xfId="55" quotePrefix="1" applyFont="1" applyFill="1" applyBorder="1" applyAlignment="1">
      <alignment horizontal="center" vertical="center"/>
    </xf>
    <xf numFmtId="0" fontId="30" fillId="13" borderId="2" xfId="55" applyFont="1" applyFill="1" applyBorder="1" applyAlignment="1">
      <alignment horizontal="center" vertical="center" wrapText="1"/>
    </xf>
    <xf numFmtId="0" fontId="30" fillId="0" borderId="2" xfId="55" applyFont="1" applyBorder="1" applyAlignment="1">
      <alignment horizontal="left" vertical="center" wrapText="1"/>
    </xf>
    <xf numFmtId="166" fontId="30" fillId="0" borderId="39" xfId="55" applyNumberFormat="1" applyFont="1" applyBorder="1" applyAlignment="1">
      <alignment horizontal="center" vertical="center" wrapText="1"/>
    </xf>
    <xf numFmtId="0" fontId="31" fillId="0" borderId="39" xfId="0" applyFont="1" applyBorder="1" applyAlignment="1">
      <alignment horizontal="center" vertical="center"/>
    </xf>
    <xf numFmtId="0" fontId="16" fillId="3" borderId="64" xfId="55" applyFont="1" applyFill="1" applyBorder="1" applyAlignment="1">
      <alignment horizontal="center" vertical="center"/>
    </xf>
    <xf numFmtId="0" fontId="34" fillId="0" borderId="40" xfId="55" applyFont="1" applyBorder="1" applyAlignment="1">
      <alignment horizontal="left" vertical="center" wrapText="1"/>
    </xf>
    <xf numFmtId="166" fontId="30" fillId="0" borderId="32" xfId="55" applyNumberFormat="1" applyFont="1" applyBorder="1" applyAlignment="1">
      <alignment horizontal="center" vertical="center" wrapText="1"/>
    </xf>
    <xf numFmtId="0" fontId="72" fillId="3" borderId="59" xfId="0" applyFont="1" applyFill="1" applyBorder="1" applyAlignment="1">
      <alignment horizontal="center" vertical="center"/>
    </xf>
    <xf numFmtId="166" fontId="30" fillId="0" borderId="40" xfId="55" applyNumberFormat="1" applyFont="1" applyBorder="1" applyAlignment="1">
      <alignment horizontal="center" vertical="center" wrapText="1"/>
    </xf>
    <xf numFmtId="0" fontId="30" fillId="0" borderId="1" xfId="55" applyFont="1" applyBorder="1" applyAlignment="1">
      <alignment horizontal="center" vertical="center" wrapText="1"/>
    </xf>
    <xf numFmtId="0" fontId="30" fillId="0" borderId="1" xfId="55" quotePrefix="1" applyFont="1" applyBorder="1" applyAlignment="1">
      <alignment horizontal="center" vertical="center"/>
    </xf>
    <xf numFmtId="0" fontId="30" fillId="0" borderId="1" xfId="0" quotePrefix="1" applyFont="1" applyBorder="1" applyAlignment="1">
      <alignment horizontal="center" vertical="center"/>
    </xf>
    <xf numFmtId="0" fontId="16" fillId="3" borderId="41" xfId="0" applyFont="1" applyFill="1" applyBorder="1" applyAlignment="1">
      <alignment horizontal="center" vertical="center"/>
    </xf>
    <xf numFmtId="0" fontId="30" fillId="3" borderId="11" xfId="0" applyFont="1" applyFill="1" applyBorder="1" applyAlignment="1">
      <alignment horizontal="center" vertical="center"/>
    </xf>
    <xf numFmtId="0" fontId="16" fillId="3" borderId="64" xfId="0" quotePrefix="1" applyFont="1" applyFill="1" applyBorder="1" applyAlignment="1">
      <alignment horizontal="center" vertical="center"/>
    </xf>
    <xf numFmtId="0" fontId="63" fillId="3" borderId="47" xfId="0" quotePrefix="1" applyFont="1" applyFill="1" applyBorder="1" applyAlignment="1">
      <alignment vertical="center" wrapText="1"/>
    </xf>
    <xf numFmtId="0" fontId="63" fillId="3" borderId="0" xfId="0" quotePrefix="1" applyFont="1" applyFill="1" applyAlignment="1">
      <alignment vertical="center" wrapText="1"/>
    </xf>
    <xf numFmtId="0" fontId="63" fillId="3" borderId="45" xfId="0" quotePrefix="1" applyFont="1" applyFill="1" applyBorder="1" applyAlignment="1">
      <alignment vertical="center" wrapText="1"/>
    </xf>
    <xf numFmtId="0" fontId="17" fillId="3" borderId="2" xfId="55" applyFont="1" applyFill="1" applyBorder="1" applyAlignment="1">
      <alignment horizontal="center" vertical="center"/>
    </xf>
    <xf numFmtId="0" fontId="17" fillId="0" borderId="4" xfId="55" quotePrefix="1" applyFont="1" applyBorder="1" applyAlignment="1">
      <alignment horizontal="center" vertical="center" wrapText="1"/>
    </xf>
    <xf numFmtId="0" fontId="17" fillId="3" borderId="4" xfId="55" quotePrefix="1" applyFont="1" applyFill="1" applyBorder="1" applyAlignment="1">
      <alignment horizontal="center" vertical="center"/>
    </xf>
    <xf numFmtId="0" fontId="17" fillId="0" borderId="9" xfId="55" applyFont="1" applyBorder="1" applyAlignment="1">
      <alignment horizontal="center" vertical="center"/>
    </xf>
    <xf numFmtId="0" fontId="17" fillId="3" borderId="4" xfId="55" quotePrefix="1" applyFont="1" applyFill="1" applyBorder="1" applyAlignment="1">
      <alignment horizontal="center" vertical="center" wrapText="1"/>
    </xf>
    <xf numFmtId="0" fontId="17" fillId="3" borderId="20" xfId="55" applyFont="1" applyFill="1" applyBorder="1" applyAlignment="1">
      <alignment horizontal="center" vertical="center" wrapText="1"/>
    </xf>
    <xf numFmtId="0" fontId="16" fillId="3" borderId="5" xfId="55" applyFont="1" applyFill="1" applyBorder="1" applyAlignment="1">
      <alignment horizontal="center" vertical="center" wrapText="1"/>
    </xf>
    <xf numFmtId="0" fontId="61" fillId="3" borderId="5" xfId="55" applyFont="1" applyFill="1" applyBorder="1" applyAlignment="1">
      <alignment horizontal="left" vertical="center" wrapText="1"/>
    </xf>
    <xf numFmtId="0" fontId="30" fillId="3" borderId="5" xfId="55" applyFont="1" applyFill="1" applyBorder="1" applyAlignment="1">
      <alignment horizontal="left" vertical="center" wrapText="1"/>
    </xf>
    <xf numFmtId="0" fontId="30" fillId="3" borderId="14" xfId="55" quotePrefix="1" applyFont="1" applyFill="1" applyBorder="1" applyAlignment="1">
      <alignment horizontal="left" vertical="center" wrapText="1"/>
    </xf>
    <xf numFmtId="0" fontId="30" fillId="3" borderId="15" xfId="55" applyFont="1" applyFill="1" applyBorder="1" applyAlignment="1">
      <alignment horizontal="center" vertical="center" wrapText="1"/>
    </xf>
    <xf numFmtId="0" fontId="30" fillId="3" borderId="5" xfId="55" applyFont="1" applyFill="1" applyBorder="1" applyAlignment="1">
      <alignment vertical="top" wrapText="1"/>
    </xf>
    <xf numFmtId="0" fontId="30" fillId="3" borderId="5" xfId="55" applyFont="1" applyFill="1" applyBorder="1" applyAlignment="1">
      <alignment horizontal="center" vertical="center" wrapText="1"/>
    </xf>
    <xf numFmtId="0" fontId="16" fillId="3" borderId="2" xfId="55" applyFont="1" applyFill="1" applyBorder="1" applyAlignment="1">
      <alignment horizontal="center" vertical="center" wrapText="1"/>
    </xf>
    <xf numFmtId="0" fontId="32" fillId="3" borderId="2" xfId="55" applyFont="1" applyFill="1" applyBorder="1" applyAlignment="1">
      <alignment horizontal="left" vertical="center" wrapText="1"/>
    </xf>
    <xf numFmtId="0" fontId="30" fillId="3" borderId="8" xfId="55" applyFont="1" applyFill="1" applyBorder="1" applyAlignment="1">
      <alignment horizontal="center" vertical="center" wrapText="1"/>
    </xf>
    <xf numFmtId="0" fontId="30" fillId="3" borderId="10" xfId="55" quotePrefix="1" applyFont="1" applyFill="1" applyBorder="1" applyAlignment="1">
      <alignment horizontal="center" vertical="center" wrapText="1"/>
    </xf>
    <xf numFmtId="0" fontId="30" fillId="3" borderId="0" xfId="55" quotePrefix="1" applyFont="1" applyFill="1" applyAlignment="1">
      <alignment horizontal="left" vertical="center" wrapText="1"/>
    </xf>
    <xf numFmtId="0" fontId="30" fillId="3" borderId="2" xfId="55" applyFont="1" applyFill="1" applyBorder="1" applyAlignment="1">
      <alignment vertical="top" wrapText="1"/>
    </xf>
    <xf numFmtId="0" fontId="16" fillId="3" borderId="8" xfId="55" applyFont="1" applyFill="1" applyBorder="1" applyAlignment="1">
      <alignment horizontal="left" vertical="center" wrapText="1"/>
    </xf>
    <xf numFmtId="0" fontId="61" fillId="3" borderId="2" xfId="55" applyFont="1" applyFill="1" applyBorder="1" applyAlignment="1">
      <alignment horizontal="left" vertical="center" wrapText="1"/>
    </xf>
    <xf numFmtId="0" fontId="32" fillId="3" borderId="8" xfId="55" applyFont="1" applyFill="1" applyBorder="1" applyAlignment="1">
      <alignment horizontal="left" vertical="center" wrapText="1"/>
    </xf>
    <xf numFmtId="0" fontId="16" fillId="3" borderId="4" xfId="55" applyFont="1" applyFill="1" applyBorder="1" applyAlignment="1">
      <alignment horizontal="center" vertical="center" wrapText="1"/>
    </xf>
    <xf numFmtId="0" fontId="16" fillId="3" borderId="9" xfId="55" applyFont="1" applyFill="1" applyBorder="1" applyAlignment="1">
      <alignment horizontal="left" vertical="center" wrapText="1"/>
    </xf>
    <xf numFmtId="0" fontId="30" fillId="3" borderId="9" xfId="55" applyFont="1" applyFill="1" applyBorder="1" applyAlignment="1">
      <alignment horizontal="center" vertical="center" wrapText="1"/>
    </xf>
    <xf numFmtId="0" fontId="30" fillId="3" borderId="4" xfId="55" quotePrefix="1" applyFont="1" applyFill="1" applyBorder="1" applyAlignment="1">
      <alignment horizontal="center" vertical="center" wrapText="1"/>
    </xf>
    <xf numFmtId="0" fontId="30" fillId="3" borderId="13" xfId="55" quotePrefix="1" applyFont="1" applyFill="1" applyBorder="1" applyAlignment="1">
      <alignment horizontal="center" vertical="center" wrapText="1"/>
    </xf>
    <xf numFmtId="0" fontId="30" fillId="3" borderId="11" xfId="55" quotePrefix="1" applyFont="1" applyFill="1" applyBorder="1" applyAlignment="1">
      <alignment horizontal="left" vertical="center" wrapText="1"/>
    </xf>
    <xf numFmtId="0" fontId="30" fillId="3" borderId="4" xfId="55" applyFont="1" applyFill="1" applyBorder="1" applyAlignment="1">
      <alignment vertical="top" wrapText="1"/>
    </xf>
    <xf numFmtId="0" fontId="30" fillId="3" borderId="4" xfId="55" applyFont="1" applyFill="1" applyBorder="1" applyAlignment="1">
      <alignment horizontal="center" vertical="center" wrapText="1"/>
    </xf>
    <xf numFmtId="3" fontId="30" fillId="0" borderId="1" xfId="210" applyNumberFormat="1" applyFont="1" applyFill="1" applyBorder="1" applyAlignment="1">
      <alignment horizontal="center" vertical="center" wrapText="1"/>
    </xf>
    <xf numFmtId="0" fontId="30" fillId="0" borderId="5" xfId="0" applyFont="1" applyBorder="1" applyAlignment="1">
      <alignment horizontal="left" vertical="center"/>
    </xf>
    <xf numFmtId="0" fontId="30" fillId="0" borderId="32" xfId="0" applyFont="1" applyBorder="1" applyAlignment="1">
      <alignment horizontal="left" vertical="center"/>
    </xf>
    <xf numFmtId="0" fontId="30" fillId="0" borderId="39" xfId="0" applyFont="1" applyBorder="1" applyAlignment="1">
      <alignment horizontal="left" vertical="center"/>
    </xf>
    <xf numFmtId="0" fontId="77" fillId="0" borderId="37" xfId="0" applyFont="1" applyBorder="1" applyAlignment="1">
      <alignment horizontal="left" vertical="center"/>
    </xf>
    <xf numFmtId="0" fontId="30" fillId="0" borderId="39" xfId="0" applyFont="1" applyBorder="1" applyAlignment="1">
      <alignment vertical="center" wrapText="1"/>
    </xf>
    <xf numFmtId="0" fontId="30" fillId="3" borderId="13" xfId="0" applyFont="1" applyFill="1" applyBorder="1" applyAlignment="1">
      <alignment horizontal="center" vertical="center"/>
    </xf>
    <xf numFmtId="0" fontId="30" fillId="3" borderId="4" xfId="55" applyFont="1" applyFill="1" applyBorder="1" applyAlignment="1">
      <alignment horizontal="center" vertical="center"/>
    </xf>
    <xf numFmtId="0" fontId="59" fillId="0" borderId="37" xfId="1744" applyFont="1" applyBorder="1" applyAlignment="1" applyProtection="1">
      <alignment horizontal="center" vertical="center"/>
      <protection locked="0"/>
    </xf>
    <xf numFmtId="0" fontId="30" fillId="0" borderId="59" xfId="55" applyFont="1" applyBorder="1" applyAlignment="1">
      <alignment horizontal="center" vertical="center"/>
    </xf>
    <xf numFmtId="0" fontId="72" fillId="0" borderId="31" xfId="0" applyFont="1" applyBorder="1" applyAlignment="1">
      <alignment horizontal="center" vertical="center"/>
    </xf>
    <xf numFmtId="3" fontId="30" fillId="0" borderId="50" xfId="210" applyNumberFormat="1" applyFont="1" applyFill="1" applyBorder="1" applyAlignment="1">
      <alignment horizontal="center" vertical="center" wrapText="1"/>
    </xf>
    <xf numFmtId="3" fontId="30" fillId="0" borderId="41" xfId="210" applyNumberFormat="1" applyFont="1" applyFill="1" applyBorder="1" applyAlignment="1">
      <alignment horizontal="center" vertical="center" wrapText="1"/>
    </xf>
    <xf numFmtId="0" fontId="16" fillId="0" borderId="64" xfId="55" applyFont="1" applyBorder="1" applyAlignment="1">
      <alignment horizontal="center" vertical="center"/>
    </xf>
    <xf numFmtId="3" fontId="30" fillId="0" borderId="31" xfId="210" applyNumberFormat="1" applyFont="1" applyFill="1" applyBorder="1" applyAlignment="1">
      <alignment horizontal="center" vertical="center" wrapText="1"/>
    </xf>
    <xf numFmtId="0" fontId="17" fillId="3" borderId="63" xfId="55" applyFont="1" applyFill="1" applyBorder="1" applyAlignment="1">
      <alignment horizontal="center" vertical="center" wrapText="1"/>
    </xf>
    <xf numFmtId="0" fontId="17" fillId="0" borderId="32" xfId="55" applyFont="1" applyBorder="1" applyAlignment="1">
      <alignment horizontal="center" textRotation="90" wrapText="1"/>
    </xf>
    <xf numFmtId="0" fontId="17" fillId="3" borderId="32" xfId="55" applyFont="1" applyFill="1" applyBorder="1" applyAlignment="1">
      <alignment horizontal="center" vertical="center" textRotation="90" wrapText="1"/>
    </xf>
    <xf numFmtId="0" fontId="17" fillId="0" borderId="32" xfId="55" applyFont="1" applyBorder="1" applyAlignment="1">
      <alignment horizontal="center" vertical="center" textRotation="90" wrapText="1"/>
    </xf>
    <xf numFmtId="0" fontId="30" fillId="0" borderId="40" xfId="55" quotePrefix="1" applyFont="1" applyBorder="1" applyAlignment="1">
      <alignment horizontal="center" vertical="center" wrapText="1"/>
    </xf>
    <xf numFmtId="0" fontId="30" fillId="0" borderId="39" xfId="55" quotePrefix="1" applyFont="1" applyBorder="1" applyAlignment="1">
      <alignment horizontal="center" vertical="center"/>
    </xf>
    <xf numFmtId="0" fontId="30" fillId="0" borderId="39" xfId="55" quotePrefix="1" applyFont="1" applyBorder="1" applyAlignment="1">
      <alignment horizontal="center" vertical="center" wrapText="1"/>
    </xf>
    <xf numFmtId="0" fontId="30" fillId="3" borderId="69" xfId="55" applyFont="1" applyFill="1" applyBorder="1" applyAlignment="1">
      <alignment horizontal="left" vertical="center" wrapText="1"/>
    </xf>
    <xf numFmtId="0" fontId="16" fillId="0" borderId="40" xfId="0" applyFont="1" applyBorder="1" applyAlignment="1">
      <alignment horizontal="center" vertical="center"/>
    </xf>
    <xf numFmtId="0" fontId="30" fillId="3" borderId="38" xfId="55" quotePrefix="1" applyFont="1" applyFill="1" applyBorder="1" applyAlignment="1">
      <alignment horizontal="center" vertical="center"/>
    </xf>
    <xf numFmtId="0" fontId="30" fillId="3" borderId="69" xfId="55" applyFont="1" applyFill="1" applyBorder="1" applyAlignment="1">
      <alignment horizontal="center" vertical="center" wrapText="1"/>
    </xf>
    <xf numFmtId="0" fontId="72" fillId="3" borderId="2" xfId="55" applyFont="1" applyFill="1" applyBorder="1" applyAlignment="1">
      <alignment horizontal="center" vertical="center" wrapText="1"/>
    </xf>
    <xf numFmtId="0" fontId="30" fillId="3" borderId="68" xfId="55" applyFont="1" applyFill="1" applyBorder="1" applyAlignment="1">
      <alignment horizontal="center" vertical="center" wrapText="1"/>
    </xf>
    <xf numFmtId="0" fontId="72" fillId="3" borderId="32" xfId="55" applyFont="1" applyFill="1" applyBorder="1" applyAlignment="1">
      <alignment horizontal="center" vertical="center"/>
    </xf>
    <xf numFmtId="0" fontId="72" fillId="3" borderId="40" xfId="55" applyFont="1" applyFill="1" applyBorder="1" applyAlignment="1">
      <alignment horizontal="center" vertical="center"/>
    </xf>
    <xf numFmtId="0" fontId="30" fillId="3" borderId="10" xfId="55" applyFont="1" applyFill="1" applyBorder="1" applyAlignment="1">
      <alignment horizontal="center" vertical="center" wrapText="1"/>
    </xf>
    <xf numFmtId="0" fontId="30" fillId="3" borderId="63" xfId="55" applyFont="1" applyFill="1" applyBorder="1" applyAlignment="1">
      <alignment horizontal="center" vertical="center" wrapText="1"/>
    </xf>
    <xf numFmtId="0" fontId="30" fillId="3" borderId="41" xfId="55" applyFont="1" applyFill="1" applyBorder="1" applyAlignment="1">
      <alignment horizontal="left" vertical="center" wrapText="1"/>
    </xf>
    <xf numFmtId="0" fontId="30" fillId="0" borderId="39" xfId="0" applyFont="1" applyBorder="1" applyAlignment="1">
      <alignment horizontal="center" vertical="center" wrapText="1"/>
    </xf>
    <xf numFmtId="2" fontId="30" fillId="0" borderId="0" xfId="0" applyNumberFormat="1" applyFont="1" applyAlignment="1">
      <alignment vertical="center"/>
    </xf>
    <xf numFmtId="0" fontId="21" fillId="0" borderId="0" xfId="0" applyFont="1" applyAlignment="1">
      <alignment horizontal="center"/>
    </xf>
    <xf numFmtId="0" fontId="16" fillId="0" borderId="1" xfId="55" quotePrefix="1" applyFont="1" applyBorder="1" applyAlignment="1">
      <alignment horizontal="center" vertical="center"/>
    </xf>
    <xf numFmtId="0" fontId="17" fillId="0" borderId="7" xfId="0" applyFont="1" applyBorder="1" applyAlignment="1">
      <alignment horizontal="center" vertical="center" textRotation="90" wrapText="1"/>
    </xf>
    <xf numFmtId="0" fontId="30" fillId="3" borderId="7" xfId="0" applyFont="1" applyFill="1" applyBorder="1" applyAlignment="1">
      <alignment horizontal="center" vertical="center"/>
    </xf>
    <xf numFmtId="0" fontId="17" fillId="0" borderId="58" xfId="0" applyFont="1" applyBorder="1" applyAlignment="1">
      <alignment horizontal="center" vertical="center" wrapText="1"/>
    </xf>
    <xf numFmtId="0" fontId="30" fillId="3" borderId="6" xfId="0" applyFont="1" applyFill="1" applyBorder="1" applyAlignment="1">
      <alignment horizontal="center" vertical="center" wrapText="1"/>
    </xf>
    <xf numFmtId="0" fontId="30" fillId="0" borderId="62" xfId="0" applyFont="1" applyBorder="1" applyAlignment="1">
      <alignment horizontal="center" vertical="center" wrapText="1"/>
    </xf>
    <xf numFmtId="0" fontId="30" fillId="0" borderId="66" xfId="0" applyFont="1" applyBorder="1" applyAlignment="1">
      <alignment horizontal="center" vertical="center" wrapText="1"/>
    </xf>
    <xf numFmtId="0" fontId="30" fillId="0" borderId="54" xfId="0" applyFont="1" applyBorder="1" applyAlignment="1">
      <alignment horizontal="center" vertical="center"/>
    </xf>
    <xf numFmtId="0" fontId="30" fillId="0" borderId="55" xfId="0" applyFont="1" applyBorder="1" applyAlignment="1">
      <alignment horizontal="center" vertical="center"/>
    </xf>
    <xf numFmtId="0" fontId="30" fillId="0" borderId="70" xfId="0" applyFont="1" applyBorder="1" applyAlignment="1">
      <alignment horizontal="center" vertical="center" wrapText="1"/>
    </xf>
    <xf numFmtId="0" fontId="30" fillId="0" borderId="71" xfId="0" applyFont="1" applyBorder="1" applyAlignment="1">
      <alignment horizontal="center" vertical="center"/>
    </xf>
    <xf numFmtId="0" fontId="30" fillId="0" borderId="57" xfId="0" applyFont="1" applyBorder="1" applyAlignment="1">
      <alignment horizontal="center" vertical="center"/>
    </xf>
    <xf numFmtId="0" fontId="30" fillId="0" borderId="72" xfId="0" applyFont="1" applyBorder="1" applyAlignment="1">
      <alignment horizontal="center" vertical="center"/>
    </xf>
    <xf numFmtId="0" fontId="30" fillId="0" borderId="73" xfId="0" applyFont="1" applyBorder="1" applyAlignment="1">
      <alignment horizontal="center" vertical="center"/>
    </xf>
    <xf numFmtId="0" fontId="30" fillId="3" borderId="55" xfId="0" applyFont="1" applyFill="1" applyBorder="1" applyAlignment="1">
      <alignment horizontal="center" vertical="center"/>
    </xf>
    <xf numFmtId="0" fontId="17" fillId="3" borderId="44" xfId="0" applyFont="1" applyFill="1" applyBorder="1" applyAlignment="1">
      <alignment vertical="center"/>
    </xf>
    <xf numFmtId="0" fontId="17" fillId="3" borderId="44" xfId="0" applyFont="1" applyFill="1" applyBorder="1" applyAlignment="1">
      <alignment horizontal="center" vertical="center" wrapText="1"/>
    </xf>
    <xf numFmtId="0" fontId="17" fillId="3" borderId="45" xfId="0" applyFont="1" applyFill="1" applyBorder="1" applyAlignment="1">
      <alignment vertical="center" wrapText="1"/>
    </xf>
    <xf numFmtId="0" fontId="30" fillId="3" borderId="32" xfId="0" applyFont="1" applyFill="1" applyBorder="1" applyAlignment="1">
      <alignment horizontal="left" vertical="center"/>
    </xf>
    <xf numFmtId="0" fontId="30" fillId="0" borderId="32" xfId="55" quotePrefix="1" applyFont="1" applyBorder="1" applyAlignment="1">
      <alignment horizontal="center" vertical="center" wrapText="1"/>
    </xf>
    <xf numFmtId="0" fontId="30" fillId="3" borderId="61" xfId="0" applyFont="1" applyFill="1" applyBorder="1" applyAlignment="1">
      <alignment horizontal="left" vertical="center" wrapText="1"/>
    </xf>
    <xf numFmtId="0" fontId="30" fillId="3" borderId="65" xfId="0" applyFont="1" applyFill="1" applyBorder="1" applyAlignment="1">
      <alignment horizontal="left" vertical="center" wrapText="1"/>
    </xf>
    <xf numFmtId="0" fontId="30" fillId="3" borderId="67" xfId="0" applyFont="1" applyFill="1" applyBorder="1" applyAlignment="1">
      <alignment horizontal="left" vertical="center" wrapText="1"/>
    </xf>
    <xf numFmtId="0" fontId="30" fillId="3" borderId="11" xfId="0" applyFont="1" applyFill="1" applyBorder="1" applyAlignment="1">
      <alignment horizontal="left" vertical="center" wrapText="1"/>
    </xf>
    <xf numFmtId="0" fontId="30" fillId="0" borderId="65" xfId="0" applyFont="1" applyBorder="1" applyAlignment="1">
      <alignment horizontal="center" vertical="center" wrapText="1"/>
    </xf>
    <xf numFmtId="0" fontId="30" fillId="0" borderId="67" xfId="0" applyFont="1" applyBorder="1" applyAlignment="1">
      <alignment horizontal="center" vertical="center"/>
    </xf>
    <xf numFmtId="0" fontId="30" fillId="0" borderId="61" xfId="0" applyFont="1" applyBorder="1" applyAlignment="1">
      <alignment horizontal="center" vertical="center" wrapText="1"/>
    </xf>
    <xf numFmtId="0" fontId="30" fillId="3" borderId="63" xfId="0" applyFont="1" applyFill="1" applyBorder="1" applyAlignment="1">
      <alignment horizontal="center" vertical="center"/>
    </xf>
    <xf numFmtId="0" fontId="30" fillId="0" borderId="61" xfId="0" applyFont="1" applyBorder="1" applyAlignment="1">
      <alignment horizontal="left" vertical="center" wrapText="1"/>
    </xf>
    <xf numFmtId="0" fontId="30" fillId="0" borderId="40" xfId="55" quotePrefix="1" applyFont="1" applyBorder="1" applyAlignment="1">
      <alignment horizontal="center" vertical="center"/>
    </xf>
    <xf numFmtId="0" fontId="16" fillId="3" borderId="40" xfId="0" applyFont="1" applyFill="1" applyBorder="1" applyAlignment="1">
      <alignment horizontal="center" vertical="center"/>
    </xf>
    <xf numFmtId="0" fontId="16" fillId="3" borderId="59" xfId="0" applyFont="1" applyFill="1" applyBorder="1" applyAlignment="1">
      <alignment horizontal="center" vertical="center"/>
    </xf>
    <xf numFmtId="0" fontId="30" fillId="3" borderId="40" xfId="0" applyFont="1" applyFill="1" applyBorder="1" applyAlignment="1">
      <alignment horizontal="left" vertical="center"/>
    </xf>
    <xf numFmtId="0" fontId="30" fillId="3" borderId="59" xfId="0" applyFont="1" applyFill="1" applyBorder="1" applyAlignment="1">
      <alignment horizontal="center" vertical="center"/>
    </xf>
    <xf numFmtId="0" fontId="30" fillId="3" borderId="40" xfId="0" applyFont="1" applyFill="1" applyBorder="1" applyAlignment="1">
      <alignment horizontal="center" vertical="center"/>
    </xf>
    <xf numFmtId="0" fontId="30" fillId="0" borderId="40" xfId="0" quotePrefix="1" applyFont="1" applyBorder="1" applyAlignment="1">
      <alignment horizontal="center" vertical="center" wrapText="1"/>
    </xf>
    <xf numFmtId="3" fontId="30" fillId="3" borderId="8" xfId="210" applyNumberFormat="1" applyFont="1" applyFill="1" applyBorder="1" applyAlignment="1">
      <alignment horizontal="center" vertical="center" wrapText="1"/>
    </xf>
    <xf numFmtId="0" fontId="72" fillId="3" borderId="8" xfId="0" applyFont="1" applyFill="1" applyBorder="1" applyAlignment="1">
      <alignment horizontal="center" vertical="center"/>
    </xf>
    <xf numFmtId="0" fontId="23" fillId="3" borderId="63" xfId="55" applyFont="1" applyFill="1" applyBorder="1" applyAlignment="1">
      <alignment horizontal="center" vertical="center" wrapText="1"/>
    </xf>
    <xf numFmtId="3" fontId="30" fillId="3" borderId="64" xfId="210" applyNumberFormat="1" applyFont="1" applyFill="1" applyBorder="1" applyAlignment="1">
      <alignment horizontal="center" vertical="center" wrapText="1"/>
    </xf>
    <xf numFmtId="0" fontId="72" fillId="3" borderId="64" xfId="0" applyFont="1" applyFill="1" applyBorder="1" applyAlignment="1">
      <alignment horizontal="center" vertical="center"/>
    </xf>
    <xf numFmtId="166" fontId="30" fillId="0" borderId="37" xfId="55" applyNumberFormat="1" applyFont="1" applyBorder="1" applyAlignment="1">
      <alignment horizontal="center" vertical="center" wrapText="1"/>
    </xf>
    <xf numFmtId="0" fontId="17" fillId="0" borderId="37" xfId="55" applyFont="1" applyBorder="1" applyAlignment="1">
      <alignment horizontal="center" textRotation="90" wrapText="1"/>
    </xf>
    <xf numFmtId="0" fontId="17" fillId="3" borderId="37" xfId="55" applyFont="1" applyFill="1" applyBorder="1" applyAlignment="1">
      <alignment horizontal="center" vertical="center" textRotation="90" wrapText="1"/>
    </xf>
    <xf numFmtId="0" fontId="17" fillId="0" borderId="37" xfId="55" applyFont="1" applyBorder="1" applyAlignment="1">
      <alignment horizontal="center" vertical="center" textRotation="90" wrapText="1"/>
    </xf>
    <xf numFmtId="0" fontId="17" fillId="3" borderId="66" xfId="55" applyFont="1" applyFill="1" applyBorder="1" applyAlignment="1">
      <alignment horizontal="center" vertical="center" wrapText="1"/>
    </xf>
    <xf numFmtId="0" fontId="17" fillId="3" borderId="68" xfId="55" applyFont="1" applyFill="1" applyBorder="1" applyAlignment="1">
      <alignment horizontal="center" vertical="center" wrapText="1"/>
    </xf>
    <xf numFmtId="0" fontId="30" fillId="3" borderId="40" xfId="0" applyFont="1" applyFill="1" applyBorder="1" applyAlignment="1">
      <alignment horizontal="left" vertical="center" wrapText="1"/>
    </xf>
    <xf numFmtId="0" fontId="30" fillId="3" borderId="69" xfId="0" applyFont="1" applyFill="1" applyBorder="1" applyAlignment="1">
      <alignment horizontal="center" vertical="center"/>
    </xf>
    <xf numFmtId="0" fontId="32" fillId="0" borderId="2" xfId="0" applyFont="1" applyBorder="1" applyAlignment="1">
      <alignment horizontal="center" vertical="center"/>
    </xf>
    <xf numFmtId="0" fontId="32" fillId="0" borderId="2" xfId="0" applyFont="1" applyBorder="1" applyAlignment="1">
      <alignment horizontal="center" vertical="center" wrapText="1"/>
    </xf>
    <xf numFmtId="0" fontId="32" fillId="0" borderId="31" xfId="0" applyFont="1" applyBorder="1" applyAlignment="1">
      <alignment horizontal="center" vertical="center"/>
    </xf>
    <xf numFmtId="0" fontId="32" fillId="0" borderId="31" xfId="0" applyFont="1" applyBorder="1" applyAlignment="1">
      <alignment horizontal="left" vertical="center" wrapText="1"/>
    </xf>
    <xf numFmtId="0" fontId="30" fillId="0" borderId="2" xfId="0" applyFont="1" applyBorder="1" applyAlignment="1">
      <alignment horizontal="center" vertical="center"/>
    </xf>
    <xf numFmtId="0" fontId="30" fillId="0" borderId="2" xfId="0" applyFont="1" applyBorder="1" applyAlignment="1">
      <alignment horizontal="left" vertical="center"/>
    </xf>
    <xf numFmtId="0" fontId="30" fillId="0" borderId="8" xfId="0" applyFont="1" applyBorder="1" applyAlignment="1">
      <alignment horizontal="center" vertical="center"/>
    </xf>
    <xf numFmtId="0" fontId="16" fillId="0" borderId="2" xfId="0" applyFont="1" applyBorder="1" applyAlignment="1">
      <alignment horizontal="center" vertical="center"/>
    </xf>
    <xf numFmtId="0" fontId="30" fillId="3" borderId="64" xfId="0" applyFont="1" applyFill="1" applyBorder="1" applyAlignment="1">
      <alignment horizontal="center" vertical="center" wrapText="1"/>
    </xf>
    <xf numFmtId="0" fontId="30" fillId="0" borderId="8" xfId="55" applyFont="1" applyBorder="1" applyAlignment="1">
      <alignment horizontal="center" vertical="center"/>
    </xf>
    <xf numFmtId="0" fontId="72" fillId="0" borderId="31" xfId="55" applyFont="1" applyBorder="1" applyAlignment="1">
      <alignment horizontal="center" vertical="center" wrapText="1"/>
    </xf>
    <xf numFmtId="0" fontId="72" fillId="0" borderId="32" xfId="0" applyFont="1" applyBorder="1" applyAlignment="1">
      <alignment horizontal="center" vertical="center"/>
    </xf>
    <xf numFmtId="0" fontId="72" fillId="0" borderId="32" xfId="55" applyFont="1" applyBorder="1" applyAlignment="1">
      <alignment horizontal="center" vertical="center" wrapText="1"/>
    </xf>
    <xf numFmtId="0" fontId="30" fillId="0" borderId="32" xfId="55" quotePrefix="1" applyFont="1" applyBorder="1" applyAlignment="1">
      <alignment horizontal="center" vertical="center"/>
    </xf>
    <xf numFmtId="0" fontId="17" fillId="0" borderId="63" xfId="55" applyFont="1" applyBorder="1" applyAlignment="1">
      <alignment horizontal="center" vertical="center" wrapText="1"/>
    </xf>
    <xf numFmtId="0" fontId="72" fillId="0" borderId="41" xfId="0" applyFont="1" applyBorder="1" applyAlignment="1">
      <alignment horizontal="center" vertical="center"/>
    </xf>
    <xf numFmtId="0" fontId="72" fillId="0" borderId="39" xfId="55" applyFont="1" applyBorder="1" applyAlignment="1">
      <alignment horizontal="center" vertical="center" wrapText="1"/>
    </xf>
    <xf numFmtId="0" fontId="72" fillId="0" borderId="50" xfId="0" applyFont="1" applyBorder="1" applyAlignment="1">
      <alignment horizontal="center" vertical="center"/>
    </xf>
    <xf numFmtId="3" fontId="30" fillId="0" borderId="59" xfId="210" applyNumberFormat="1" applyFont="1" applyFill="1" applyBorder="1" applyAlignment="1">
      <alignment horizontal="center" vertical="center" wrapText="1"/>
    </xf>
    <xf numFmtId="0" fontId="72" fillId="0" borderId="59" xfId="0" applyFont="1" applyBorder="1" applyAlignment="1">
      <alignment horizontal="center" vertical="center"/>
    </xf>
    <xf numFmtId="0" fontId="72" fillId="0" borderId="40" xfId="55" applyFont="1" applyBorder="1" applyAlignment="1">
      <alignment horizontal="center" vertical="center" wrapText="1"/>
    </xf>
    <xf numFmtId="0" fontId="17" fillId="3" borderId="11" xfId="0" applyFont="1" applyFill="1" applyBorder="1" applyAlignment="1">
      <alignment horizontal="center"/>
    </xf>
    <xf numFmtId="0" fontId="51" fillId="0" borderId="0" xfId="55" applyFont="1"/>
    <xf numFmtId="0" fontId="94" fillId="0" borderId="0" xfId="55" applyFont="1" applyAlignment="1">
      <alignment horizontal="left" vertical="center" wrapText="1"/>
    </xf>
    <xf numFmtId="0" fontId="91" fillId="0" borderId="0" xfId="55" applyFont="1" applyAlignment="1">
      <alignment horizontal="left" vertical="center" wrapText="1"/>
    </xf>
    <xf numFmtId="0" fontId="88" fillId="0" borderId="0" xfId="55" applyFont="1" applyAlignment="1">
      <alignment horizontal="left" vertical="center" wrapText="1"/>
    </xf>
    <xf numFmtId="0" fontId="88" fillId="0" borderId="0" xfId="0" applyFont="1" applyAlignment="1">
      <alignment vertical="center" wrapText="1"/>
    </xf>
    <xf numFmtId="0" fontId="88" fillId="0" borderId="0" xfId="0" applyFont="1" applyAlignment="1">
      <alignment horizontal="left" vertical="center" wrapText="1"/>
    </xf>
    <xf numFmtId="0" fontId="88" fillId="0" borderId="0" xfId="0" applyFont="1" applyAlignment="1">
      <alignment vertical="center"/>
    </xf>
    <xf numFmtId="0" fontId="88" fillId="0" borderId="0" xfId="55" applyFont="1" applyAlignment="1">
      <alignment vertical="center"/>
    </xf>
    <xf numFmtId="0" fontId="88" fillId="0" borderId="0" xfId="55" applyFont="1" applyAlignment="1">
      <alignment vertical="center" wrapText="1"/>
    </xf>
    <xf numFmtId="0" fontId="16" fillId="0" borderId="0" xfId="55" applyFont="1" applyAlignment="1">
      <alignment vertical="center" wrapText="1"/>
    </xf>
    <xf numFmtId="0" fontId="32" fillId="0" borderId="0" xfId="55" applyFont="1" applyAlignment="1">
      <alignment vertical="center"/>
    </xf>
    <xf numFmtId="0" fontId="89" fillId="0" borderId="0" xfId="1" applyFont="1" applyAlignment="1">
      <alignment horizontal="left" vertical="center" wrapText="1"/>
    </xf>
    <xf numFmtId="0" fontId="90" fillId="0" borderId="0" xfId="0" applyFont="1" applyAlignment="1">
      <alignment vertical="center"/>
    </xf>
    <xf numFmtId="0" fontId="92" fillId="0" borderId="0" xfId="0" applyFont="1" applyAlignment="1">
      <alignment vertical="center"/>
    </xf>
    <xf numFmtId="0" fontId="32" fillId="0" borderId="0" xfId="0" applyFont="1" applyAlignment="1">
      <alignment vertical="center" wrapText="1"/>
    </xf>
    <xf numFmtId="0" fontId="34" fillId="0" borderId="2" xfId="55" applyFont="1" applyBorder="1" applyAlignment="1">
      <alignment horizontal="left" vertical="center" wrapText="1"/>
    </xf>
    <xf numFmtId="2" fontId="30" fillId="3" borderId="1" xfId="0" applyNumberFormat="1" applyFont="1" applyFill="1" applyBorder="1" applyAlignment="1">
      <alignment horizontal="center" vertical="center"/>
    </xf>
    <xf numFmtId="166" fontId="30" fillId="0" borderId="31" xfId="55" applyNumberFormat="1" applyFont="1" applyBorder="1" applyAlignment="1">
      <alignment horizontal="center" vertical="center" wrapText="1"/>
    </xf>
    <xf numFmtId="0" fontId="30" fillId="0" borderId="11" xfId="0" applyFont="1" applyBorder="1" applyAlignment="1">
      <alignment horizontal="center" vertical="center"/>
    </xf>
    <xf numFmtId="0" fontId="30" fillId="3" borderId="63" xfId="55" applyFont="1" applyFill="1" applyBorder="1" applyAlignment="1">
      <alignment horizontal="center" vertical="center"/>
    </xf>
    <xf numFmtId="0" fontId="30" fillId="3" borderId="61" xfId="55" applyFont="1" applyFill="1" applyBorder="1" applyAlignment="1">
      <alignment horizontal="left" vertical="center" wrapText="1"/>
    </xf>
    <xf numFmtId="0" fontId="30" fillId="0" borderId="4" xfId="0" applyFont="1" applyBorder="1" applyAlignment="1">
      <alignment horizontal="left" vertical="center" wrapText="1"/>
    </xf>
    <xf numFmtId="1" fontId="30" fillId="0" borderId="1" xfId="0" applyNumberFormat="1" applyFont="1" applyBorder="1" applyAlignment="1">
      <alignment horizontal="center" vertical="center"/>
    </xf>
    <xf numFmtId="1" fontId="30" fillId="0" borderId="1" xfId="0" applyNumberFormat="1" applyFont="1" applyBorder="1" applyAlignment="1">
      <alignment horizontal="center" vertical="center" wrapText="1"/>
    </xf>
    <xf numFmtId="169" fontId="59" fillId="0" borderId="37" xfId="1744" applyNumberFormat="1" applyFont="1" applyBorder="1" applyAlignment="1" applyProtection="1">
      <alignment horizontal="center" vertical="center"/>
      <protection locked="0"/>
    </xf>
    <xf numFmtId="0" fontId="16" fillId="3" borderId="9" xfId="55" applyFont="1" applyFill="1" applyBorder="1" applyAlignment="1">
      <alignment horizontal="center" vertical="center"/>
    </xf>
    <xf numFmtId="0" fontId="72" fillId="3" borderId="0" xfId="55" applyFont="1" applyFill="1" applyAlignment="1">
      <alignment horizontal="center" vertical="center"/>
    </xf>
    <xf numFmtId="0" fontId="30" fillId="3" borderId="0" xfId="55" applyFont="1" applyFill="1" applyAlignment="1">
      <alignment horizontal="left" vertical="center" wrapText="1"/>
    </xf>
    <xf numFmtId="0" fontId="72" fillId="3" borderId="0" xfId="55" applyFont="1" applyFill="1" applyAlignment="1">
      <alignment horizontal="center" vertical="center" wrapText="1"/>
    </xf>
    <xf numFmtId="0" fontId="30" fillId="3" borderId="0" xfId="55" applyFont="1" applyFill="1" applyAlignment="1">
      <alignment horizontal="center" vertical="center" wrapText="1"/>
    </xf>
    <xf numFmtId="0" fontId="30" fillId="3" borderId="0" xfId="55" quotePrefix="1" applyFont="1" applyFill="1" applyAlignment="1">
      <alignment horizontal="center" vertical="center" wrapText="1"/>
    </xf>
    <xf numFmtId="0" fontId="30" fillId="3" borderId="0" xfId="55" quotePrefix="1" applyFont="1" applyFill="1" applyAlignment="1">
      <alignment horizontal="left" vertical="center"/>
    </xf>
    <xf numFmtId="0" fontId="34" fillId="3" borderId="0" xfId="55" applyFont="1" applyFill="1" applyAlignment="1">
      <alignment horizontal="left" vertical="center" wrapText="1"/>
    </xf>
    <xf numFmtId="0" fontId="30" fillId="3" borderId="0" xfId="55" applyFont="1" applyFill="1" applyAlignment="1">
      <alignment horizontal="center" vertical="center"/>
    </xf>
    <xf numFmtId="0" fontId="21" fillId="3" borderId="3" xfId="0" applyFont="1" applyFill="1" applyBorder="1" applyAlignment="1" applyProtection="1">
      <alignment horizontal="left" vertical="center"/>
      <protection locked="0"/>
    </xf>
    <xf numFmtId="0" fontId="21" fillId="3" borderId="3" xfId="0" quotePrefix="1" applyFont="1" applyFill="1" applyBorder="1" applyAlignment="1" applyProtection="1">
      <alignment horizontal="left" vertical="center"/>
      <protection locked="0"/>
    </xf>
    <xf numFmtId="0" fontId="21" fillId="3" borderId="3" xfId="0" quotePrefix="1" applyFont="1" applyFill="1" applyBorder="1" applyAlignment="1" applyProtection="1">
      <alignment horizontal="center" vertical="center"/>
      <protection locked="0"/>
    </xf>
    <xf numFmtId="0" fontId="68" fillId="0" borderId="0" xfId="0" applyFont="1" applyAlignment="1">
      <alignment vertical="center"/>
    </xf>
    <xf numFmtId="0" fontId="96" fillId="0" borderId="0" xfId="55" applyFont="1"/>
    <xf numFmtId="0" fontId="67" fillId="0" borderId="0" xfId="0" applyFont="1" applyAlignment="1">
      <alignment vertical="center"/>
    </xf>
    <xf numFmtId="0" fontId="16" fillId="0" borderId="1" xfId="0" applyFont="1" applyBorder="1" applyAlignment="1">
      <alignment vertical="center"/>
    </xf>
    <xf numFmtId="0" fontId="16" fillId="3" borderId="50" xfId="0" quotePrefix="1" applyFont="1" applyFill="1" applyBorder="1" applyAlignment="1">
      <alignment horizontal="center" vertical="center"/>
    </xf>
    <xf numFmtId="0" fontId="16" fillId="0" borderId="1" xfId="0" applyFont="1" applyBorder="1" applyAlignment="1">
      <alignment horizontal="center" vertical="center" wrapText="1"/>
    </xf>
    <xf numFmtId="0" fontId="16" fillId="3" borderId="38" xfId="0" applyFont="1" applyFill="1" applyBorder="1" applyAlignment="1">
      <alignment horizontal="center" vertical="center" wrapText="1"/>
    </xf>
    <xf numFmtId="0" fontId="16" fillId="3" borderId="64" xfId="0" applyFont="1" applyFill="1" applyBorder="1" applyAlignment="1">
      <alignment horizontal="center" vertical="center" wrapText="1"/>
    </xf>
    <xf numFmtId="0" fontId="16" fillId="3" borderId="41" xfId="0" applyFont="1" applyFill="1" applyBorder="1" applyAlignment="1">
      <alignment horizontal="center" vertical="center" wrapText="1"/>
    </xf>
    <xf numFmtId="0" fontId="16" fillId="3" borderId="50" xfId="0" applyFont="1" applyFill="1" applyBorder="1" applyAlignment="1">
      <alignment horizontal="center" vertical="center" wrapText="1"/>
    </xf>
    <xf numFmtId="0" fontId="16" fillId="3" borderId="59" xfId="0" applyFont="1" applyFill="1" applyBorder="1" applyAlignment="1">
      <alignment horizontal="center" vertical="center" wrapText="1"/>
    </xf>
    <xf numFmtId="0" fontId="16" fillId="0" borderId="38" xfId="0" applyFont="1" applyBorder="1" applyAlignment="1">
      <alignment horizontal="center" vertical="center" wrapText="1"/>
    </xf>
    <xf numFmtId="0" fontId="18" fillId="0" borderId="0" xfId="0" applyFont="1"/>
    <xf numFmtId="0" fontId="17" fillId="0" borderId="4" xfId="0" applyFont="1" applyBorder="1" applyAlignment="1">
      <alignment vertical="center"/>
    </xf>
    <xf numFmtId="0" fontId="17" fillId="0" borderId="4" xfId="0" applyFont="1" applyBorder="1" applyAlignment="1">
      <alignment vertical="center" wrapText="1"/>
    </xf>
    <xf numFmtId="3" fontId="30" fillId="0" borderId="1" xfId="0" quotePrefix="1" applyNumberFormat="1" applyFont="1" applyBorder="1" applyAlignment="1">
      <alignment horizontal="center" vertical="center" wrapText="1"/>
    </xf>
    <xf numFmtId="0" fontId="30" fillId="0" borderId="1" xfId="0" quotePrefix="1" applyFont="1" applyBorder="1" applyAlignment="1">
      <alignment horizontal="left" vertical="center" wrapText="1"/>
    </xf>
    <xf numFmtId="0" fontId="97" fillId="0" borderId="1" xfId="0" applyFont="1" applyBorder="1" applyAlignment="1">
      <alignment vertical="center"/>
    </xf>
    <xf numFmtId="0" fontId="16" fillId="16" borderId="1" xfId="0" applyFont="1" applyFill="1" applyBorder="1" applyAlignment="1">
      <alignment horizontal="center" vertical="center"/>
    </xf>
    <xf numFmtId="0" fontId="16" fillId="16" borderId="1" xfId="0" applyFont="1" applyFill="1" applyBorder="1" applyAlignment="1">
      <alignment horizontal="center" vertical="center" wrapText="1"/>
    </xf>
    <xf numFmtId="0" fontId="17" fillId="0" borderId="30" xfId="0" quotePrefix="1" applyFont="1" applyBorder="1" applyAlignment="1">
      <alignment horizontal="center" vertical="center"/>
    </xf>
    <xf numFmtId="4" fontId="16" fillId="0" borderId="1" xfId="1745" applyNumberFormat="1" applyFont="1" applyBorder="1" applyAlignment="1">
      <alignment horizontal="center" vertical="center"/>
    </xf>
    <xf numFmtId="0" fontId="32" fillId="0" borderId="0" xfId="0" applyFont="1" applyAlignment="1">
      <alignment horizontal="center" vertical="center"/>
    </xf>
    <xf numFmtId="0" fontId="30" fillId="16" borderId="1" xfId="0" applyFont="1" applyFill="1" applyBorder="1" applyAlignment="1">
      <alignment horizontal="center" vertical="center"/>
    </xf>
    <xf numFmtId="0" fontId="16" fillId="3" borderId="1" xfId="55" quotePrefix="1" applyFont="1" applyFill="1" applyBorder="1" applyAlignment="1">
      <alignment horizontal="center" vertical="center"/>
    </xf>
    <xf numFmtId="1" fontId="30" fillId="0" borderId="1" xfId="55" applyNumberFormat="1" applyFont="1" applyBorder="1" applyAlignment="1">
      <alignment horizontal="center" vertical="center" wrapText="1"/>
    </xf>
    <xf numFmtId="0" fontId="30" fillId="0" borderId="4" xfId="55" applyFont="1" applyBorder="1" applyAlignment="1">
      <alignment horizontal="center" vertical="center" wrapText="1"/>
    </xf>
    <xf numFmtId="1" fontId="30" fillId="0" borderId="4" xfId="55" applyNumberFormat="1" applyFont="1" applyBorder="1" applyAlignment="1">
      <alignment horizontal="center" vertical="center" wrapText="1"/>
    </xf>
    <xf numFmtId="0" fontId="30" fillId="16" borderId="1" xfId="55" applyFont="1" applyFill="1" applyBorder="1" applyAlignment="1">
      <alignment horizontal="center" vertical="center"/>
    </xf>
    <xf numFmtId="0" fontId="30" fillId="16" borderId="1" xfId="55" applyFont="1" applyFill="1" applyBorder="1" applyAlignment="1">
      <alignment horizontal="center" vertical="center" wrapText="1"/>
    </xf>
    <xf numFmtId="0" fontId="30" fillId="16" borderId="1" xfId="0" quotePrefix="1" applyFont="1" applyFill="1" applyBorder="1" applyAlignment="1">
      <alignment horizontal="center" vertical="center" wrapText="1"/>
    </xf>
    <xf numFmtId="0" fontId="30" fillId="16" borderId="1" xfId="0" applyFont="1" applyFill="1" applyBorder="1" applyAlignment="1">
      <alignment horizontal="center" vertical="center" wrapText="1"/>
    </xf>
    <xf numFmtId="0" fontId="30" fillId="16" borderId="1" xfId="55" quotePrefix="1" applyFont="1" applyFill="1" applyBorder="1" applyAlignment="1">
      <alignment horizontal="center" vertical="center"/>
    </xf>
    <xf numFmtId="0" fontId="30" fillId="16" borderId="1" xfId="55" applyFont="1" applyFill="1" applyBorder="1" applyAlignment="1">
      <alignment horizontal="left" vertical="center" wrapText="1"/>
    </xf>
    <xf numFmtId="0" fontId="30" fillId="16" borderId="4" xfId="0" applyFont="1" applyFill="1" applyBorder="1" applyAlignment="1">
      <alignment horizontal="left" vertical="center" wrapText="1"/>
    </xf>
    <xf numFmtId="0" fontId="16" fillId="16" borderId="5" xfId="0" applyFont="1" applyFill="1" applyBorder="1" applyAlignment="1">
      <alignment horizontal="center" vertical="center"/>
    </xf>
    <xf numFmtId="0" fontId="16" fillId="0" borderId="31" xfId="0" applyFont="1" applyBorder="1" applyAlignment="1">
      <alignment horizontal="center" vertical="center" wrapText="1"/>
    </xf>
    <xf numFmtId="0" fontId="16" fillId="0" borderId="1" xfId="0" quotePrefix="1" applyFont="1" applyBorder="1" applyAlignment="1">
      <alignment horizontal="center" vertical="center" wrapText="1"/>
    </xf>
    <xf numFmtId="0" fontId="16" fillId="0" borderId="4" xfId="0" quotePrefix="1" applyFont="1" applyBorder="1" applyAlignment="1">
      <alignment horizontal="center" vertical="center" wrapText="1"/>
    </xf>
    <xf numFmtId="0" fontId="30" fillId="0" borderId="7" xfId="0" applyFont="1" applyBorder="1" applyAlignment="1">
      <alignment horizontal="center" vertical="center"/>
    </xf>
    <xf numFmtId="0" fontId="16" fillId="0" borderId="31" xfId="0" quotePrefix="1" applyFont="1" applyBorder="1" applyAlignment="1">
      <alignment horizontal="center" vertical="center" wrapText="1"/>
    </xf>
    <xf numFmtId="3" fontId="30" fillId="0" borderId="1" xfId="0" applyNumberFormat="1" applyFont="1" applyBorder="1" applyAlignment="1">
      <alignment horizontal="center" vertical="center" wrapText="1"/>
    </xf>
    <xf numFmtId="0" fontId="30" fillId="0" borderId="54" xfId="0" quotePrefix="1" applyFont="1" applyBorder="1" applyAlignment="1">
      <alignment horizontal="center" vertical="center"/>
    </xf>
    <xf numFmtId="0" fontId="30" fillId="0" borderId="55" xfId="0" quotePrefix="1" applyFont="1" applyBorder="1" applyAlignment="1">
      <alignment horizontal="center" vertical="center"/>
    </xf>
    <xf numFmtId="0" fontId="30" fillId="0" borderId="13" xfId="0" applyFont="1" applyBorder="1" applyAlignment="1">
      <alignment horizontal="center" vertical="center" wrapText="1"/>
    </xf>
    <xf numFmtId="0" fontId="30" fillId="0" borderId="56" xfId="0" applyFont="1" applyBorder="1" applyAlignment="1">
      <alignment horizontal="center" vertical="center"/>
    </xf>
    <xf numFmtId="0" fontId="30" fillId="0" borderId="4" xfId="0" applyFont="1" applyBorder="1" applyAlignment="1">
      <alignment horizontal="left"/>
    </xf>
    <xf numFmtId="0" fontId="68" fillId="0" borderId="0" xfId="0" applyFont="1"/>
    <xf numFmtId="0" fontId="30" fillId="0" borderId="64" xfId="0" applyFont="1" applyBorder="1" applyAlignment="1">
      <alignment horizontal="center" vertical="center"/>
    </xf>
    <xf numFmtId="0" fontId="30" fillId="0" borderId="66" xfId="0" applyFont="1" applyBorder="1" applyAlignment="1">
      <alignment horizontal="center" vertical="center"/>
    </xf>
    <xf numFmtId="0" fontId="30" fillId="0" borderId="65" xfId="0" applyFont="1" applyBorder="1" applyAlignment="1">
      <alignment horizontal="left" vertical="center" wrapText="1"/>
    </xf>
    <xf numFmtId="0" fontId="30" fillId="0" borderId="41" xfId="0" applyFont="1" applyBorder="1" applyAlignment="1">
      <alignment horizontal="center" vertical="center"/>
    </xf>
    <xf numFmtId="0" fontId="30" fillId="0" borderId="39" xfId="0" applyFont="1" applyBorder="1" applyAlignment="1">
      <alignment horizontal="left" vertical="center" wrapText="1"/>
    </xf>
    <xf numFmtId="0" fontId="30" fillId="0" borderId="62" xfId="0" applyFont="1" applyBorder="1" applyAlignment="1">
      <alignment horizontal="center" vertical="center"/>
    </xf>
    <xf numFmtId="0" fontId="30" fillId="0" borderId="62" xfId="55" applyFont="1" applyBorder="1" applyAlignment="1">
      <alignment horizontal="center" vertical="center"/>
    </xf>
    <xf numFmtId="0" fontId="30" fillId="0" borderId="2"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0" xfId="0" applyFont="1" applyBorder="1" applyAlignment="1">
      <alignment horizontal="center" vertical="center"/>
    </xf>
    <xf numFmtId="0" fontId="30" fillId="0" borderId="40" xfId="0" applyFont="1" applyBorder="1" applyAlignment="1">
      <alignment horizontal="left" vertical="center" wrapText="1"/>
    </xf>
    <xf numFmtId="0" fontId="30" fillId="0" borderId="10" xfId="0" applyFont="1" applyBorder="1" applyAlignment="1">
      <alignment horizontal="center" vertical="center"/>
    </xf>
    <xf numFmtId="0" fontId="30" fillId="0" borderId="2" xfId="55" applyFont="1" applyBorder="1" applyAlignment="1">
      <alignment horizontal="center" vertical="center"/>
    </xf>
    <xf numFmtId="0" fontId="30" fillId="0" borderId="60" xfId="0" applyFont="1" applyBorder="1" applyAlignment="1">
      <alignment horizontal="left" vertical="center" wrapText="1"/>
    </xf>
    <xf numFmtId="166" fontId="30" fillId="0" borderId="2" xfId="55" applyNumberFormat="1" applyFont="1" applyBorder="1" applyAlignment="1">
      <alignment horizontal="center" vertical="center" wrapText="1"/>
    </xf>
    <xf numFmtId="0" fontId="30" fillId="0" borderId="5" xfId="55" quotePrefix="1" applyFont="1" applyBorder="1" applyAlignment="1">
      <alignment horizontal="center" vertical="center" wrapText="1"/>
    </xf>
    <xf numFmtId="0" fontId="30" fillId="0" borderId="5" xfId="55" quotePrefix="1" applyFont="1" applyBorder="1" applyAlignment="1">
      <alignment horizontal="center" vertical="center"/>
    </xf>
    <xf numFmtId="0" fontId="30" fillId="0" borderId="31" xfId="55" quotePrefix="1" applyFont="1" applyBorder="1" applyAlignment="1">
      <alignment horizontal="center" vertical="center"/>
    </xf>
    <xf numFmtId="0" fontId="30" fillId="0" borderId="31" xfId="55" quotePrefix="1" applyFont="1" applyBorder="1" applyAlignment="1">
      <alignment horizontal="center" vertical="center" wrapText="1"/>
    </xf>
    <xf numFmtId="0" fontId="30" fillId="0" borderId="40" xfId="55" quotePrefix="1" applyFont="1" applyBorder="1" applyAlignment="1">
      <alignment horizontal="left" vertical="center"/>
    </xf>
    <xf numFmtId="0" fontId="30" fillId="0" borderId="40" xfId="55" quotePrefix="1" applyFont="1" applyBorder="1" applyAlignment="1">
      <alignment horizontal="left" vertical="center" wrapText="1"/>
    </xf>
    <xf numFmtId="0" fontId="30" fillId="0" borderId="2" xfId="55" quotePrefix="1" applyFont="1" applyBorder="1" applyAlignment="1">
      <alignment horizontal="center" vertical="center" wrapText="1"/>
    </xf>
    <xf numFmtId="0" fontId="30" fillId="0" borderId="32" xfId="55" quotePrefix="1" applyFont="1" applyBorder="1" applyAlignment="1">
      <alignment horizontal="left" vertical="center" wrapText="1"/>
    </xf>
    <xf numFmtId="0" fontId="30" fillId="0" borderId="63" xfId="55" applyFont="1" applyBorder="1" applyAlignment="1">
      <alignment horizontal="left" vertical="center" wrapText="1"/>
    </xf>
    <xf numFmtId="0" fontId="30" fillId="0" borderId="32" xfId="55" quotePrefix="1" applyFont="1" applyBorder="1" applyAlignment="1">
      <alignment horizontal="left" vertical="center"/>
    </xf>
    <xf numFmtId="2" fontId="30" fillId="0" borderId="31" xfId="55" applyNumberFormat="1" applyFont="1" applyBorder="1" applyAlignment="1">
      <alignment horizontal="center" vertical="center" wrapText="1"/>
    </xf>
    <xf numFmtId="0" fontId="30" fillId="0" borderId="69" xfId="55" applyFont="1" applyBorder="1" applyAlignment="1">
      <alignment horizontal="left" vertical="center" wrapText="1"/>
    </xf>
    <xf numFmtId="0" fontId="30" fillId="0" borderId="69" xfId="55" applyFont="1" applyBorder="1" applyAlignment="1">
      <alignment horizontal="center" vertical="center" wrapText="1"/>
    </xf>
    <xf numFmtId="0" fontId="34" fillId="0" borderId="39" xfId="55" applyFont="1" applyBorder="1" applyAlignment="1">
      <alignment horizontal="left" vertical="center" wrapText="1"/>
    </xf>
    <xf numFmtId="166" fontId="30" fillId="0" borderId="31" xfId="55" quotePrefix="1" applyNumberFormat="1" applyFont="1" applyBorder="1" applyAlignment="1">
      <alignment horizontal="center" vertical="center" wrapText="1"/>
    </xf>
    <xf numFmtId="0" fontId="30" fillId="0" borderId="63" xfId="55" applyFont="1" applyBorder="1" applyAlignment="1">
      <alignment horizontal="center" vertical="center" wrapText="1"/>
    </xf>
    <xf numFmtId="0" fontId="34" fillId="0" borderId="32" xfId="55" applyFont="1" applyBorder="1" applyAlignment="1">
      <alignment horizontal="left" vertical="center" wrapText="1"/>
    </xf>
    <xf numFmtId="0" fontId="34" fillId="0" borderId="31" xfId="55" applyFont="1" applyBorder="1" applyAlignment="1">
      <alignment horizontal="left" vertical="center" wrapText="1"/>
    </xf>
    <xf numFmtId="0" fontId="30" fillId="0" borderId="39" xfId="55" quotePrefix="1" applyFont="1" applyBorder="1" applyAlignment="1">
      <alignment horizontal="left" vertical="center"/>
    </xf>
    <xf numFmtId="0" fontId="30" fillId="0" borderId="39" xfId="55" quotePrefix="1" applyFont="1" applyBorder="1" applyAlignment="1">
      <alignment horizontal="left" vertical="center" wrapText="1"/>
    </xf>
    <xf numFmtId="0" fontId="23" fillId="0" borderId="63" xfId="55" applyFont="1" applyBorder="1" applyAlignment="1">
      <alignment horizontal="center" vertical="center" wrapText="1"/>
    </xf>
    <xf numFmtId="0" fontId="34" fillId="0" borderId="69" xfId="55" applyFont="1" applyBorder="1" applyAlignment="1">
      <alignment horizontal="left" vertical="center" wrapText="1"/>
    </xf>
    <xf numFmtId="0" fontId="30" fillId="0" borderId="2" xfId="55" quotePrefix="1" applyFont="1" applyBorder="1" applyAlignment="1">
      <alignment horizontal="center" vertical="center"/>
    </xf>
    <xf numFmtId="0" fontId="17" fillId="0" borderId="40" xfId="55" applyFont="1" applyBorder="1" applyAlignment="1">
      <alignment horizontal="center" textRotation="90" wrapText="1"/>
    </xf>
    <xf numFmtId="0" fontId="30" fillId="0" borderId="38" xfId="55" quotePrefix="1" applyFont="1" applyBorder="1" applyAlignment="1">
      <alignment horizontal="center" vertical="center" wrapText="1"/>
    </xf>
    <xf numFmtId="0" fontId="30" fillId="0" borderId="41" xfId="55" quotePrefix="1" applyFont="1" applyBorder="1" applyAlignment="1">
      <alignment horizontal="center" vertical="center" wrapText="1"/>
    </xf>
    <xf numFmtId="0" fontId="17" fillId="0" borderId="69" xfId="55" applyFont="1" applyBorder="1" applyAlignment="1">
      <alignment horizontal="center" vertical="center" wrapText="1"/>
    </xf>
    <xf numFmtId="0" fontId="30" fillId="0" borderId="38" xfId="0" quotePrefix="1" applyFont="1" applyBorder="1" applyAlignment="1">
      <alignment horizontal="center" vertical="center" wrapText="1"/>
    </xf>
    <xf numFmtId="0" fontId="30" fillId="0" borderId="31" xfId="0" quotePrefix="1" applyFont="1" applyBorder="1" applyAlignment="1">
      <alignment horizontal="center" vertical="center"/>
    </xf>
    <xf numFmtId="0" fontId="30" fillId="0" borderId="61" xfId="0" applyFont="1" applyBorder="1" applyAlignment="1">
      <alignment horizontal="center" vertical="center"/>
    </xf>
    <xf numFmtId="0" fontId="30" fillId="0" borderId="50" xfId="0" quotePrefix="1" applyFont="1" applyBorder="1" applyAlignment="1">
      <alignment horizontal="center" vertical="center" wrapText="1"/>
    </xf>
    <xf numFmtId="0" fontId="30" fillId="0" borderId="32" xfId="0" quotePrefix="1" applyFont="1" applyBorder="1" applyAlignment="1">
      <alignment horizontal="center" vertical="center"/>
    </xf>
    <xf numFmtId="0" fontId="30" fillId="0" borderId="32" xfId="0" applyFont="1" applyBorder="1" applyAlignment="1">
      <alignment horizontal="left" vertical="center" wrapText="1"/>
    </xf>
    <xf numFmtId="2" fontId="30" fillId="0" borderId="50" xfId="0" quotePrefix="1" applyNumberFormat="1" applyFont="1" applyBorder="1" applyAlignment="1">
      <alignment horizontal="center" vertical="center" wrapText="1"/>
    </xf>
    <xf numFmtId="2" fontId="30" fillId="0" borderId="32" xfId="0" quotePrefix="1" applyNumberFormat="1" applyFont="1" applyBorder="1" applyAlignment="1">
      <alignment horizontal="center" vertical="center"/>
    </xf>
    <xf numFmtId="0" fontId="30" fillId="0" borderId="64" xfId="0" quotePrefix="1" applyFont="1" applyBorder="1" applyAlignment="1">
      <alignment horizontal="center" vertical="center" wrapText="1"/>
    </xf>
    <xf numFmtId="0" fontId="30" fillId="0" borderId="37" xfId="0" quotePrefix="1" applyFont="1" applyBorder="1" applyAlignment="1">
      <alignment horizontal="center" vertical="center"/>
    </xf>
    <xf numFmtId="2" fontId="30" fillId="0" borderId="64" xfId="0" quotePrefix="1" applyNumberFormat="1" applyFont="1" applyBorder="1" applyAlignment="1">
      <alignment horizontal="center" vertical="center" wrapText="1"/>
    </xf>
    <xf numFmtId="2" fontId="30" fillId="0" borderId="37" xfId="0" quotePrefix="1" applyNumberFormat="1" applyFont="1" applyBorder="1" applyAlignment="1">
      <alignment horizontal="center" vertical="center"/>
    </xf>
    <xf numFmtId="0" fontId="30" fillId="0" borderId="31" xfId="0" applyFont="1" applyBorder="1" applyAlignment="1">
      <alignment vertical="center" wrapText="1"/>
    </xf>
    <xf numFmtId="2" fontId="30" fillId="0" borderId="38" xfId="0" quotePrefix="1" applyNumberFormat="1" applyFont="1" applyBorder="1" applyAlignment="1">
      <alignment horizontal="center" vertical="center" wrapText="1"/>
    </xf>
    <xf numFmtId="2" fontId="30" fillId="0" borderId="31" xfId="0" quotePrefix="1" applyNumberFormat="1" applyFont="1" applyBorder="1" applyAlignment="1">
      <alignment horizontal="center" vertical="center"/>
    </xf>
    <xf numFmtId="0" fontId="30" fillId="0" borderId="39" xfId="0" quotePrefix="1" applyFont="1" applyBorder="1" applyAlignment="1">
      <alignment horizontal="center" vertical="center" wrapText="1"/>
    </xf>
    <xf numFmtId="2" fontId="30" fillId="0" borderId="41" xfId="0" quotePrefix="1" applyNumberFormat="1" applyFont="1" applyBorder="1" applyAlignment="1">
      <alignment horizontal="center" vertical="center" wrapText="1"/>
    </xf>
    <xf numFmtId="2" fontId="30" fillId="0" borderId="39" xfId="0" quotePrefix="1" applyNumberFormat="1" applyFont="1" applyBorder="1" applyAlignment="1">
      <alignment horizontal="center" vertical="center"/>
    </xf>
    <xf numFmtId="0" fontId="78" fillId="0" borderId="37" xfId="0" applyFont="1" applyBorder="1" applyAlignment="1">
      <alignment horizontal="center" vertical="center" wrapText="1"/>
    </xf>
    <xf numFmtId="0" fontId="78" fillId="0" borderId="37" xfId="0" quotePrefix="1" applyFont="1" applyBorder="1" applyAlignment="1">
      <alignment horizontal="center" vertical="center" wrapText="1"/>
    </xf>
    <xf numFmtId="0" fontId="78" fillId="0" borderId="64" xfId="0" quotePrefix="1" applyFont="1" applyBorder="1" applyAlignment="1">
      <alignment horizontal="center" vertical="center" wrapText="1"/>
    </xf>
    <xf numFmtId="0" fontId="78" fillId="0" borderId="37" xfId="0" quotePrefix="1" applyFont="1" applyBorder="1" applyAlignment="1">
      <alignment horizontal="center" vertical="center"/>
    </xf>
    <xf numFmtId="0" fontId="78" fillId="0" borderId="37" xfId="0" applyFont="1" applyBorder="1" applyAlignment="1">
      <alignment vertical="center" wrapText="1"/>
    </xf>
    <xf numFmtId="0" fontId="30" fillId="0" borderId="2" xfId="0" applyFont="1" applyBorder="1" applyAlignment="1">
      <alignment horizontal="left" vertical="center" wrapText="1"/>
    </xf>
    <xf numFmtId="0" fontId="30" fillId="0" borderId="41" xfId="0" quotePrefix="1" applyFont="1" applyBorder="1" applyAlignment="1">
      <alignment horizontal="center" vertical="center" wrapText="1"/>
    </xf>
    <xf numFmtId="0" fontId="30" fillId="0" borderId="39" xfId="0" quotePrefix="1" applyFont="1" applyBorder="1" applyAlignment="1">
      <alignment horizontal="center" vertical="center"/>
    </xf>
    <xf numFmtId="0" fontId="16" fillId="0" borderId="0" xfId="0" applyFont="1" applyAlignment="1">
      <alignment horizontal="left" vertical="center" wrapText="1"/>
    </xf>
    <xf numFmtId="0" fontId="30" fillId="0" borderId="9" xfId="0" quotePrefix="1" applyFont="1" applyBorder="1" applyAlignment="1">
      <alignment horizontal="center" vertical="center" wrapText="1"/>
    </xf>
    <xf numFmtId="0" fontId="30" fillId="0" borderId="4" xfId="0" quotePrefix="1" applyFont="1" applyBorder="1" applyAlignment="1">
      <alignment horizontal="center" vertical="center"/>
    </xf>
    <xf numFmtId="0" fontId="78" fillId="0" borderId="39" xfId="0" applyFont="1" applyBorder="1" applyAlignment="1">
      <alignment horizontal="center" vertical="center"/>
    </xf>
    <xf numFmtId="0" fontId="78" fillId="0" borderId="67" xfId="0" applyFont="1" applyBorder="1" applyAlignment="1">
      <alignment horizontal="center" vertical="center"/>
    </xf>
    <xf numFmtId="0" fontId="78" fillId="0" borderId="39" xfId="0" applyFont="1" applyBorder="1" applyAlignment="1">
      <alignment vertical="center" wrapText="1"/>
    </xf>
    <xf numFmtId="0" fontId="78" fillId="0" borderId="39" xfId="0" applyFont="1" applyBorder="1" applyAlignment="1">
      <alignment horizontal="center" vertical="center" wrapText="1"/>
    </xf>
    <xf numFmtId="0" fontId="78" fillId="0" borderId="41" xfId="0" quotePrefix="1" applyFont="1" applyBorder="1" applyAlignment="1">
      <alignment horizontal="center" vertical="center" wrapText="1"/>
    </xf>
    <xf numFmtId="0" fontId="78" fillId="0" borderId="39" xfId="0" quotePrefix="1" applyFont="1" applyBorder="1" applyAlignment="1">
      <alignment horizontal="center" vertical="center"/>
    </xf>
    <xf numFmtId="0" fontId="30" fillId="0" borderId="1" xfId="55" quotePrefix="1" applyFont="1" applyBorder="1" applyAlignment="1">
      <alignment horizontal="left" vertical="center" wrapText="1"/>
    </xf>
    <xf numFmtId="0" fontId="30" fillId="16" borderId="1" xfId="55" quotePrefix="1" applyFont="1" applyFill="1" applyBorder="1" applyAlignment="1">
      <alignment horizontal="left" vertical="center" wrapText="1"/>
    </xf>
    <xf numFmtId="0" fontId="30" fillId="16" borderId="5" xfId="0" applyFont="1" applyFill="1" applyBorder="1" applyAlignment="1">
      <alignment horizontal="center" vertical="center" wrapText="1"/>
    </xf>
    <xf numFmtId="0" fontId="30" fillId="16" borderId="31" xfId="0" applyFont="1" applyFill="1" applyBorder="1" applyAlignment="1">
      <alignment horizontal="left" vertical="center" wrapText="1"/>
    </xf>
    <xf numFmtId="0" fontId="30" fillId="16" borderId="37" xfId="0" applyFont="1" applyFill="1" applyBorder="1" applyAlignment="1">
      <alignment horizontal="left" vertical="center" wrapText="1"/>
    </xf>
    <xf numFmtId="0" fontId="16" fillId="16" borderId="31" xfId="0" applyFont="1" applyFill="1" applyBorder="1" applyAlignment="1">
      <alignment horizontal="center" vertical="center"/>
    </xf>
    <xf numFmtId="0" fontId="30" fillId="16" borderId="37" xfId="0" applyFont="1" applyFill="1" applyBorder="1" applyAlignment="1">
      <alignment horizontal="center" vertical="center" wrapText="1"/>
    </xf>
    <xf numFmtId="0" fontId="16" fillId="16" borderId="39" xfId="0" applyFont="1" applyFill="1" applyBorder="1" applyAlignment="1">
      <alignment horizontal="center" vertical="center"/>
    </xf>
    <xf numFmtId="0" fontId="30" fillId="16" borderId="31" xfId="0" applyFont="1" applyFill="1" applyBorder="1" applyAlignment="1">
      <alignment horizontal="center" vertical="center"/>
    </xf>
    <xf numFmtId="0" fontId="30" fillId="16" borderId="32" xfId="0" applyFont="1" applyFill="1" applyBorder="1" applyAlignment="1">
      <alignment horizontal="center" vertical="center"/>
    </xf>
    <xf numFmtId="0" fontId="30" fillId="16" borderId="32" xfId="0" applyFont="1" applyFill="1" applyBorder="1" applyAlignment="1">
      <alignment horizontal="center" vertical="center" wrapText="1"/>
    </xf>
    <xf numFmtId="0" fontId="30" fillId="16" borderId="39"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9" xfId="0" applyFont="1" applyFill="1" applyBorder="1" applyAlignment="1">
      <alignment horizontal="center" vertical="center" wrapText="1"/>
    </xf>
    <xf numFmtId="0" fontId="30" fillId="16" borderId="37" xfId="0" applyFont="1" applyFill="1" applyBorder="1" applyAlignment="1">
      <alignment horizontal="center" vertical="center"/>
    </xf>
    <xf numFmtId="0" fontId="30" fillId="16" borderId="2" xfId="0" applyFont="1" applyFill="1" applyBorder="1" applyAlignment="1">
      <alignment horizontal="center" vertical="center" wrapText="1"/>
    </xf>
    <xf numFmtId="0" fontId="30" fillId="16" borderId="31" xfId="0" applyFont="1" applyFill="1" applyBorder="1" applyAlignment="1">
      <alignment horizontal="center" vertical="center" wrapText="1"/>
    </xf>
    <xf numFmtId="0" fontId="30" fillId="16" borderId="0" xfId="0" applyFont="1" applyFill="1" applyAlignment="1">
      <alignment horizontal="center" vertical="center"/>
    </xf>
    <xf numFmtId="0" fontId="78" fillId="16" borderId="0" xfId="0" applyFont="1" applyFill="1" applyAlignment="1">
      <alignment horizontal="center" vertical="center"/>
    </xf>
    <xf numFmtId="0" fontId="77" fillId="16" borderId="1" xfId="0" applyFont="1" applyFill="1" applyBorder="1" applyAlignment="1">
      <alignment horizontal="center" vertical="center"/>
    </xf>
    <xf numFmtId="0" fontId="78" fillId="16" borderId="1" xfId="0" applyFont="1" applyFill="1" applyBorder="1" applyAlignment="1">
      <alignment horizontal="center" vertical="center" wrapText="1"/>
    </xf>
    <xf numFmtId="0" fontId="78" fillId="16" borderId="1" xfId="0" quotePrefix="1" applyFont="1" applyFill="1" applyBorder="1" applyAlignment="1">
      <alignment horizontal="center" vertical="center" wrapText="1"/>
    </xf>
    <xf numFmtId="0" fontId="30" fillId="16" borderId="32" xfId="55" applyFont="1" applyFill="1" applyBorder="1" applyAlignment="1">
      <alignment horizontal="center" vertical="center" wrapText="1"/>
    </xf>
    <xf numFmtId="0" fontId="30" fillId="16" borderId="32" xfId="55" applyFont="1" applyFill="1" applyBorder="1" applyAlignment="1">
      <alignment horizontal="center" vertical="center"/>
    </xf>
    <xf numFmtId="0" fontId="30" fillId="16" borderId="31" xfId="55" applyFont="1" applyFill="1" applyBorder="1" applyAlignment="1">
      <alignment horizontal="center" vertical="center"/>
    </xf>
    <xf numFmtId="0" fontId="30" fillId="16" borderId="31" xfId="55" applyFont="1" applyFill="1" applyBorder="1" applyAlignment="1">
      <alignment horizontal="left" vertical="center" wrapText="1"/>
    </xf>
    <xf numFmtId="0" fontId="30" fillId="16" borderId="8" xfId="55" applyFont="1" applyFill="1" applyBorder="1" applyAlignment="1">
      <alignment horizontal="center" vertical="center"/>
    </xf>
    <xf numFmtId="0" fontId="30" fillId="16" borderId="39" xfId="55" applyFont="1" applyFill="1" applyBorder="1" applyAlignment="1">
      <alignment horizontal="left" vertical="center" wrapText="1"/>
    </xf>
    <xf numFmtId="0" fontId="30" fillId="16" borderId="59" xfId="55" applyFont="1" applyFill="1" applyBorder="1" applyAlignment="1">
      <alignment horizontal="center" vertical="center"/>
    </xf>
    <xf numFmtId="0" fontId="30" fillId="16" borderId="40" xfId="55" applyFont="1" applyFill="1" applyBorder="1" applyAlignment="1">
      <alignment horizontal="center" vertical="center"/>
    </xf>
    <xf numFmtId="0" fontId="30" fillId="16" borderId="40" xfId="55" applyFont="1" applyFill="1" applyBorder="1" applyAlignment="1">
      <alignment horizontal="center" vertical="center" wrapText="1"/>
    </xf>
    <xf numFmtId="0" fontId="30" fillId="16" borderId="39" xfId="55" applyFont="1" applyFill="1" applyBorder="1" applyAlignment="1">
      <alignment horizontal="center" vertical="center"/>
    </xf>
    <xf numFmtId="0" fontId="78" fillId="16" borderId="1" xfId="0" applyFont="1" applyFill="1" applyBorder="1" applyAlignment="1">
      <alignment horizontal="center" vertical="center"/>
    </xf>
    <xf numFmtId="0" fontId="77" fillId="16" borderId="1" xfId="55" quotePrefix="1" applyFont="1" applyFill="1" applyBorder="1" applyAlignment="1">
      <alignment horizontal="center" vertical="center"/>
    </xf>
    <xf numFmtId="0" fontId="78" fillId="16" borderId="1" xfId="55" applyFont="1" applyFill="1" applyBorder="1" applyAlignment="1">
      <alignment horizontal="left" vertical="center" wrapText="1"/>
    </xf>
    <xf numFmtId="0" fontId="78" fillId="16" borderId="1" xfId="55" applyFont="1" applyFill="1" applyBorder="1" applyAlignment="1">
      <alignment horizontal="center" vertical="center"/>
    </xf>
    <xf numFmtId="0" fontId="78" fillId="16" borderId="1" xfId="55" quotePrefix="1" applyFont="1" applyFill="1" applyBorder="1" applyAlignment="1">
      <alignment horizontal="center" vertical="center"/>
    </xf>
    <xf numFmtId="0" fontId="78" fillId="16" borderId="1" xfId="55" applyFont="1" applyFill="1" applyBorder="1" applyAlignment="1">
      <alignment horizontal="center" vertical="center" wrapText="1"/>
    </xf>
    <xf numFmtId="0" fontId="78" fillId="16" borderId="31" xfId="55" applyFont="1" applyFill="1" applyBorder="1" applyAlignment="1">
      <alignment horizontal="center" vertical="center"/>
    </xf>
    <xf numFmtId="0" fontId="98" fillId="16" borderId="31" xfId="0" applyFont="1" applyFill="1" applyBorder="1" applyAlignment="1">
      <alignment horizontal="center" vertical="center"/>
    </xf>
    <xf numFmtId="0" fontId="78" fillId="16" borderId="31" xfId="55" applyFont="1" applyFill="1" applyBorder="1" applyAlignment="1">
      <alignment horizontal="left" vertical="center" wrapText="1"/>
    </xf>
    <xf numFmtId="0" fontId="98" fillId="16" borderId="31" xfId="55" applyFont="1" applyFill="1" applyBorder="1" applyAlignment="1">
      <alignment horizontal="center" vertical="center" wrapText="1"/>
    </xf>
    <xf numFmtId="0" fontId="78" fillId="16" borderId="31" xfId="55" applyFont="1" applyFill="1" applyBorder="1" applyAlignment="1">
      <alignment horizontal="center" vertical="center" wrapText="1"/>
    </xf>
    <xf numFmtId="0" fontId="78" fillId="16" borderId="31" xfId="55" quotePrefix="1" applyFont="1" applyFill="1" applyBorder="1" applyAlignment="1">
      <alignment horizontal="center" vertical="center" wrapText="1"/>
    </xf>
    <xf numFmtId="0" fontId="99" fillId="16" borderId="31" xfId="55" applyFont="1" applyFill="1" applyBorder="1" applyAlignment="1">
      <alignment horizontal="left" vertical="center" wrapText="1"/>
    </xf>
    <xf numFmtId="0" fontId="78" fillId="16" borderId="39" xfId="55" applyFont="1" applyFill="1" applyBorder="1" applyAlignment="1">
      <alignment horizontal="center" vertical="center"/>
    </xf>
    <xf numFmtId="0" fontId="98" fillId="16" borderId="41" xfId="0" applyFont="1" applyFill="1" applyBorder="1" applyAlignment="1">
      <alignment horizontal="center" vertical="center"/>
    </xf>
    <xf numFmtId="0" fontId="78" fillId="16" borderId="39" xfId="55" applyFont="1" applyFill="1" applyBorder="1" applyAlignment="1">
      <alignment horizontal="left" vertical="center" wrapText="1"/>
    </xf>
    <xf numFmtId="0" fontId="98" fillId="16" borderId="39" xfId="55" applyFont="1" applyFill="1" applyBorder="1" applyAlignment="1">
      <alignment horizontal="center" vertical="center" wrapText="1"/>
    </xf>
    <xf numFmtId="0" fontId="78" fillId="16" borderId="39" xfId="55" applyFont="1" applyFill="1" applyBorder="1" applyAlignment="1">
      <alignment horizontal="center" vertical="center" wrapText="1"/>
    </xf>
    <xf numFmtId="0" fontId="78" fillId="16" borderId="39" xfId="55" quotePrefix="1" applyFont="1" applyFill="1" applyBorder="1" applyAlignment="1">
      <alignment horizontal="center" vertical="center" wrapText="1"/>
    </xf>
    <xf numFmtId="0" fontId="78" fillId="16" borderId="32" xfId="55" quotePrefix="1" applyFont="1" applyFill="1" applyBorder="1" applyAlignment="1">
      <alignment horizontal="center" vertical="center" wrapText="1"/>
    </xf>
    <xf numFmtId="0" fontId="99" fillId="16" borderId="39" xfId="55" applyFont="1" applyFill="1" applyBorder="1" applyAlignment="1">
      <alignment horizontal="left" vertical="center" wrapText="1"/>
    </xf>
    <xf numFmtId="0" fontId="78" fillId="16" borderId="32" xfId="55" applyFont="1" applyFill="1" applyBorder="1" applyAlignment="1">
      <alignment horizontal="center" vertical="center"/>
    </xf>
    <xf numFmtId="0" fontId="98" fillId="16" borderId="50" xfId="55" applyFont="1" applyFill="1" applyBorder="1" applyAlignment="1">
      <alignment horizontal="center" vertical="center"/>
    </xf>
    <xf numFmtId="0" fontId="78" fillId="16" borderId="32" xfId="55" applyFont="1" applyFill="1" applyBorder="1" applyAlignment="1">
      <alignment horizontal="left" vertical="center" wrapText="1"/>
    </xf>
    <xf numFmtId="0" fontId="98" fillId="16" borderId="32" xfId="55" applyFont="1" applyFill="1" applyBorder="1" applyAlignment="1">
      <alignment horizontal="center" vertical="center" wrapText="1"/>
    </xf>
    <xf numFmtId="0" fontId="78" fillId="16" borderId="32" xfId="55" applyFont="1" applyFill="1" applyBorder="1" applyAlignment="1">
      <alignment horizontal="center" vertical="center" wrapText="1"/>
    </xf>
    <xf numFmtId="0" fontId="99" fillId="16" borderId="32" xfId="55" applyFont="1" applyFill="1" applyBorder="1" applyAlignment="1">
      <alignment horizontal="left" vertical="center" wrapText="1"/>
    </xf>
    <xf numFmtId="0" fontId="78" fillId="16" borderId="37" xfId="55" applyFont="1" applyFill="1" applyBorder="1" applyAlignment="1">
      <alignment horizontal="center" vertical="center"/>
    </xf>
    <xf numFmtId="0" fontId="98" fillId="16" borderId="64" xfId="55" applyFont="1" applyFill="1" applyBorder="1" applyAlignment="1">
      <alignment horizontal="center" vertical="center"/>
    </xf>
    <xf numFmtId="0" fontId="78" fillId="16" borderId="37" xfId="55" applyFont="1" applyFill="1" applyBorder="1" applyAlignment="1">
      <alignment horizontal="left" vertical="center" wrapText="1"/>
    </xf>
    <xf numFmtId="0" fontId="98" fillId="16" borderId="37" xfId="55" applyFont="1" applyFill="1" applyBorder="1" applyAlignment="1">
      <alignment horizontal="center" vertical="center" wrapText="1"/>
    </xf>
    <xf numFmtId="0" fontId="78" fillId="16" borderId="37" xfId="55" applyFont="1" applyFill="1" applyBorder="1" applyAlignment="1">
      <alignment horizontal="center" vertical="center" wrapText="1"/>
    </xf>
    <xf numFmtId="0" fontId="78" fillId="16" borderId="37" xfId="55" quotePrefix="1" applyFont="1" applyFill="1" applyBorder="1" applyAlignment="1">
      <alignment horizontal="center" vertical="center" wrapText="1"/>
    </xf>
    <xf numFmtId="0" fontId="78" fillId="16" borderId="37" xfId="55" quotePrefix="1" applyFont="1" applyFill="1" applyBorder="1" applyAlignment="1">
      <alignment horizontal="left" vertical="center"/>
    </xf>
    <xf numFmtId="0" fontId="78" fillId="16" borderId="37" xfId="55" quotePrefix="1" applyFont="1" applyFill="1" applyBorder="1" applyAlignment="1">
      <alignment horizontal="left" vertical="center" wrapText="1"/>
    </xf>
    <xf numFmtId="0" fontId="99" fillId="16" borderId="37" xfId="55" applyFont="1" applyFill="1" applyBorder="1" applyAlignment="1">
      <alignment horizontal="left" vertical="center" wrapText="1"/>
    </xf>
    <xf numFmtId="0" fontId="78" fillId="16" borderId="8" xfId="55" applyFont="1" applyFill="1" applyBorder="1" applyAlignment="1">
      <alignment horizontal="center" vertical="center"/>
    </xf>
    <xf numFmtId="0" fontId="78" fillId="16" borderId="31" xfId="55" quotePrefix="1" applyFont="1" applyFill="1" applyBorder="1" applyAlignment="1">
      <alignment horizontal="center" vertical="center"/>
    </xf>
    <xf numFmtId="3" fontId="78" fillId="16" borderId="50" xfId="210" applyNumberFormat="1" applyFont="1" applyFill="1" applyBorder="1" applyAlignment="1">
      <alignment horizontal="center" vertical="center" wrapText="1"/>
    </xf>
    <xf numFmtId="0" fontId="98" fillId="16" borderId="32" xfId="0" applyFont="1" applyFill="1" applyBorder="1" applyAlignment="1">
      <alignment horizontal="center" vertical="center"/>
    </xf>
    <xf numFmtId="166" fontId="78" fillId="16" borderId="32" xfId="55" applyNumberFormat="1" applyFont="1" applyFill="1" applyBorder="1" applyAlignment="1">
      <alignment horizontal="center" vertical="center" wrapText="1"/>
    </xf>
    <xf numFmtId="0" fontId="78" fillId="16" borderId="32" xfId="55" quotePrefix="1" applyFont="1" applyFill="1" applyBorder="1" applyAlignment="1">
      <alignment horizontal="center" vertical="center"/>
    </xf>
    <xf numFmtId="0" fontId="100" fillId="16" borderId="63" xfId="55" applyFont="1" applyFill="1" applyBorder="1" applyAlignment="1">
      <alignment horizontal="center" vertical="center" wrapText="1"/>
    </xf>
    <xf numFmtId="3" fontId="78" fillId="16" borderId="41" xfId="210" applyNumberFormat="1" applyFont="1" applyFill="1" applyBorder="1" applyAlignment="1">
      <alignment horizontal="center" vertical="center" wrapText="1"/>
    </xf>
    <xf numFmtId="0" fontId="101" fillId="16" borderId="39" xfId="0" applyFont="1" applyFill="1" applyBorder="1" applyAlignment="1">
      <alignment horizontal="center" vertical="center"/>
    </xf>
    <xf numFmtId="166" fontId="78" fillId="16" borderId="39" xfId="55" applyNumberFormat="1" applyFont="1" applyFill="1" applyBorder="1" applyAlignment="1">
      <alignment horizontal="center" vertical="center" wrapText="1"/>
    </xf>
    <xf numFmtId="0" fontId="78" fillId="16" borderId="39" xfId="55" quotePrefix="1" applyFont="1" applyFill="1" applyBorder="1" applyAlignment="1">
      <alignment horizontal="center" vertical="center"/>
    </xf>
    <xf numFmtId="0" fontId="98" fillId="16" borderId="50" xfId="0" applyFont="1" applyFill="1" applyBorder="1" applyAlignment="1">
      <alignment horizontal="center" vertical="center"/>
    </xf>
    <xf numFmtId="3" fontId="78" fillId="16" borderId="59" xfId="210" applyNumberFormat="1" applyFont="1" applyFill="1" applyBorder="1" applyAlignment="1">
      <alignment horizontal="center" vertical="center" wrapText="1"/>
    </xf>
    <xf numFmtId="0" fontId="98" fillId="16" borderId="59" xfId="0" applyFont="1" applyFill="1" applyBorder="1" applyAlignment="1">
      <alignment horizontal="center" vertical="center"/>
    </xf>
    <xf numFmtId="0" fontId="78" fillId="16" borderId="40" xfId="55" applyFont="1" applyFill="1" applyBorder="1" applyAlignment="1">
      <alignment horizontal="left" vertical="center" wrapText="1"/>
    </xf>
    <xf numFmtId="0" fontId="98" fillId="16" borderId="40" xfId="55" applyFont="1" applyFill="1" applyBorder="1" applyAlignment="1">
      <alignment horizontal="center" vertical="center" wrapText="1"/>
    </xf>
    <xf numFmtId="0" fontId="78" fillId="16" borderId="40" xfId="55" applyFont="1" applyFill="1" applyBorder="1" applyAlignment="1">
      <alignment horizontal="center" vertical="center" wrapText="1"/>
    </xf>
    <xf numFmtId="166" fontId="78" fillId="16" borderId="40" xfId="55" applyNumberFormat="1" applyFont="1" applyFill="1" applyBorder="1" applyAlignment="1">
      <alignment horizontal="center" vertical="center" wrapText="1"/>
    </xf>
    <xf numFmtId="0" fontId="78" fillId="16" borderId="40" xfId="55" quotePrefix="1" applyFont="1" applyFill="1" applyBorder="1" applyAlignment="1">
      <alignment horizontal="center" vertical="center" wrapText="1"/>
    </xf>
    <xf numFmtId="0" fontId="78" fillId="16" borderId="40" xfId="55" quotePrefix="1" applyFont="1" applyFill="1" applyBorder="1" applyAlignment="1">
      <alignment horizontal="center" vertical="center"/>
    </xf>
    <xf numFmtId="0" fontId="100" fillId="16" borderId="32" xfId="55" applyFont="1" applyFill="1" applyBorder="1" applyAlignment="1">
      <alignment horizontal="center" textRotation="90" wrapText="1"/>
    </xf>
    <xf numFmtId="0" fontId="100" fillId="16" borderId="32" xfId="55" applyFont="1" applyFill="1" applyBorder="1" applyAlignment="1">
      <alignment horizontal="center" vertical="center" textRotation="90" wrapText="1"/>
    </xf>
    <xf numFmtId="3" fontId="78" fillId="16" borderId="64" xfId="210" applyNumberFormat="1" applyFont="1" applyFill="1" applyBorder="1" applyAlignment="1">
      <alignment horizontal="center" vertical="center" wrapText="1"/>
    </xf>
    <xf numFmtId="0" fontId="98" fillId="16" borderId="64" xfId="0" applyFont="1" applyFill="1" applyBorder="1" applyAlignment="1">
      <alignment horizontal="center" vertical="center"/>
    </xf>
    <xf numFmtId="166" fontId="78" fillId="16" borderId="37" xfId="55" applyNumberFormat="1" applyFont="1" applyFill="1" applyBorder="1" applyAlignment="1">
      <alignment horizontal="center" vertical="center" wrapText="1"/>
    </xf>
    <xf numFmtId="0" fontId="78" fillId="16" borderId="37" xfId="55" quotePrefix="1" applyFont="1" applyFill="1" applyBorder="1" applyAlignment="1">
      <alignment horizontal="center" vertical="center"/>
    </xf>
    <xf numFmtId="0" fontId="100" fillId="16" borderId="37" xfId="55" applyFont="1" applyFill="1" applyBorder="1" applyAlignment="1">
      <alignment horizontal="center" textRotation="90" wrapText="1"/>
    </xf>
    <xf numFmtId="0" fontId="100" fillId="16" borderId="37" xfId="55" applyFont="1" applyFill="1" applyBorder="1" applyAlignment="1">
      <alignment horizontal="center" vertical="center" textRotation="90" wrapText="1"/>
    </xf>
    <xf numFmtId="0" fontId="100" fillId="16" borderId="66" xfId="55" applyFont="1" applyFill="1" applyBorder="1" applyAlignment="1">
      <alignment horizontal="center" vertical="center" wrapText="1"/>
    </xf>
    <xf numFmtId="0" fontId="16" fillId="3" borderId="40" xfId="0" applyFont="1" applyFill="1" applyBorder="1" applyAlignment="1">
      <alignment horizontal="center" vertical="center" wrapText="1"/>
    </xf>
    <xf numFmtId="0" fontId="16" fillId="3" borderId="40" xfId="0" quotePrefix="1" applyFont="1" applyFill="1" applyBorder="1" applyAlignment="1">
      <alignment horizontal="center" vertical="center" wrapText="1"/>
    </xf>
    <xf numFmtId="0" fontId="30" fillId="0" borderId="76" xfId="0" applyFont="1" applyBorder="1" applyAlignment="1">
      <alignment horizontal="center" vertical="center"/>
    </xf>
    <xf numFmtId="0" fontId="30" fillId="0" borderId="77" xfId="0" applyFont="1" applyBorder="1" applyAlignment="1">
      <alignment horizontal="center" vertical="center"/>
    </xf>
    <xf numFmtId="0" fontId="30" fillId="0" borderId="69" xfId="0" applyFont="1" applyBorder="1" applyAlignment="1">
      <alignment horizontal="center" vertical="center" wrapText="1"/>
    </xf>
    <xf numFmtId="3" fontId="30" fillId="0" borderId="40" xfId="0" applyNumberFormat="1" applyFont="1" applyBorder="1" applyAlignment="1">
      <alignment horizontal="center" vertical="center" wrapText="1"/>
    </xf>
    <xf numFmtId="0" fontId="33" fillId="0" borderId="40" xfId="0" applyFont="1" applyBorder="1" applyAlignment="1">
      <alignment horizontal="center" vertical="center" wrapText="1"/>
    </xf>
    <xf numFmtId="0" fontId="30" fillId="0" borderId="59" xfId="0" applyFont="1" applyBorder="1" applyAlignment="1">
      <alignment horizontal="center" vertical="center" wrapText="1"/>
    </xf>
    <xf numFmtId="1" fontId="30" fillId="0" borderId="4" xfId="0" applyNumberFormat="1" applyFont="1" applyBorder="1" applyAlignment="1">
      <alignment horizontal="center" vertical="center"/>
    </xf>
    <xf numFmtId="0" fontId="30" fillId="3" borderId="13" xfId="0" applyFont="1" applyFill="1" applyBorder="1" applyAlignment="1">
      <alignment horizontal="center" vertical="center" wrapText="1"/>
    </xf>
    <xf numFmtId="0" fontId="30" fillId="3" borderId="15" xfId="0" applyFont="1" applyFill="1" applyBorder="1" applyAlignment="1">
      <alignment horizontal="center" vertical="center"/>
    </xf>
    <xf numFmtId="0" fontId="30" fillId="3" borderId="14" xfId="0" applyFont="1" applyFill="1" applyBorder="1" applyAlignment="1">
      <alignment horizontal="center" vertical="center"/>
    </xf>
    <xf numFmtId="0" fontId="17" fillId="3" borderId="14" xfId="0" applyFont="1" applyFill="1" applyBorder="1" applyAlignment="1">
      <alignment horizontal="center"/>
    </xf>
    <xf numFmtId="0" fontId="30" fillId="3" borderId="8" xfId="0" applyFont="1" applyFill="1" applyBorder="1" applyAlignment="1">
      <alignment horizontal="center" vertical="center"/>
    </xf>
    <xf numFmtId="0" fontId="16" fillId="16" borderId="0" xfId="0" applyFont="1" applyFill="1" applyAlignment="1">
      <alignment horizontal="center" vertical="center"/>
    </xf>
    <xf numFmtId="0" fontId="16" fillId="16" borderId="1" xfId="0" applyFont="1" applyFill="1" applyBorder="1" applyAlignment="1">
      <alignment vertical="center"/>
    </xf>
    <xf numFmtId="0" fontId="30" fillId="15" borderId="1" xfId="0" applyFont="1" applyFill="1" applyBorder="1" applyAlignment="1">
      <alignment horizontal="center" vertical="center" wrapText="1"/>
    </xf>
    <xf numFmtId="0" fontId="30" fillId="15" borderId="1" xfId="0" applyFont="1" applyFill="1" applyBorder="1" applyAlignment="1">
      <alignment horizontal="center" vertical="center"/>
    </xf>
    <xf numFmtId="0" fontId="30" fillId="15" borderId="1" xfId="55" applyFont="1" applyFill="1" applyBorder="1" applyAlignment="1">
      <alignment horizontal="left" vertical="center" wrapText="1"/>
    </xf>
    <xf numFmtId="0" fontId="30" fillId="0" borderId="0" xfId="0" applyFont="1" applyAlignment="1">
      <alignment horizontal="left"/>
    </xf>
    <xf numFmtId="0" fontId="34" fillId="15" borderId="31" xfId="55" applyFont="1" applyFill="1" applyBorder="1" applyAlignment="1">
      <alignment horizontal="left" vertical="center" wrapText="1"/>
    </xf>
    <xf numFmtId="0" fontId="30" fillId="15" borderId="32" xfId="55" quotePrefix="1" applyFont="1" applyFill="1" applyBorder="1" applyAlignment="1">
      <alignment horizontal="center" vertical="center" wrapText="1"/>
    </xf>
    <xf numFmtId="0" fontId="30" fillId="15" borderId="32" xfId="55" applyFont="1" applyFill="1" applyBorder="1" applyAlignment="1">
      <alignment horizontal="left" vertical="center" wrapText="1"/>
    </xf>
    <xf numFmtId="0" fontId="30" fillId="15" borderId="31" xfId="55" quotePrefix="1" applyFont="1" applyFill="1" applyBorder="1" applyAlignment="1">
      <alignment horizontal="center" vertical="center" wrapText="1"/>
    </xf>
    <xf numFmtId="0" fontId="16" fillId="16" borderId="4" xfId="0" applyFont="1" applyFill="1" applyBorder="1" applyAlignment="1">
      <alignment horizontal="center" vertical="center"/>
    </xf>
    <xf numFmtId="0" fontId="17" fillId="0" borderId="5" xfId="0" applyFont="1" applyBorder="1" applyAlignment="1">
      <alignment horizontal="center" vertical="center" textRotation="90" wrapText="1"/>
    </xf>
    <xf numFmtId="3" fontId="17" fillId="0" borderId="5" xfId="0" applyNumberFormat="1" applyFont="1" applyBorder="1" applyAlignment="1">
      <alignment horizontal="center" vertical="center" textRotation="90" wrapText="1"/>
    </xf>
    <xf numFmtId="0" fontId="16" fillId="0" borderId="9" xfId="0" applyFont="1" applyBorder="1" applyAlignment="1">
      <alignment horizontal="left" vertical="center"/>
    </xf>
    <xf numFmtId="0" fontId="16" fillId="0" borderId="4" xfId="0" applyFont="1" applyBorder="1" applyAlignment="1">
      <alignment horizontal="left" vertical="center" wrapText="1"/>
    </xf>
    <xf numFmtId="0" fontId="30" fillId="0" borderId="4" xfId="0" applyFont="1" applyBorder="1"/>
    <xf numFmtId="3" fontId="30" fillId="0" borderId="4" xfId="0" applyNumberFormat="1" applyFont="1" applyBorder="1"/>
    <xf numFmtId="0" fontId="30" fillId="0" borderId="4" xfId="0" applyFont="1" applyBorder="1" applyAlignment="1">
      <alignment horizontal="left" wrapText="1"/>
    </xf>
    <xf numFmtId="0" fontId="30" fillId="0" borderId="4" xfId="0" applyFont="1" applyBorder="1" applyAlignment="1">
      <alignment horizontal="center"/>
    </xf>
    <xf numFmtId="0" fontId="17" fillId="0" borderId="1" xfId="0" applyFont="1" applyBorder="1" applyAlignment="1">
      <alignment horizontal="center"/>
    </xf>
    <xf numFmtId="0" fontId="30" fillId="0" borderId="1" xfId="0" applyFont="1" applyBorder="1" applyAlignment="1">
      <alignment horizontal="left" vertical="center"/>
    </xf>
    <xf numFmtId="2" fontId="30" fillId="0" borderId="1" xfId="0" applyNumberFormat="1" applyFont="1" applyBorder="1" applyAlignment="1">
      <alignment horizontal="center" vertical="center" wrapText="1"/>
    </xf>
    <xf numFmtId="0" fontId="0" fillId="0" borderId="1" xfId="0" applyBorder="1"/>
    <xf numFmtId="2" fontId="30" fillId="0" borderId="1" xfId="0" applyNumberFormat="1" applyFont="1" applyBorder="1" applyAlignment="1">
      <alignment horizontal="center" vertical="center"/>
    </xf>
    <xf numFmtId="3" fontId="30" fillId="16" borderId="1" xfId="0" quotePrefix="1" applyNumberFormat="1" applyFont="1" applyFill="1" applyBorder="1" applyAlignment="1">
      <alignment horizontal="center" vertical="center" wrapText="1"/>
    </xf>
    <xf numFmtId="0" fontId="17" fillId="0" borderId="44" xfId="0" applyFont="1" applyBorder="1" applyAlignment="1">
      <alignment horizontal="center" vertical="center" textRotation="90" wrapText="1"/>
    </xf>
    <xf numFmtId="0" fontId="17" fillId="3" borderId="78" xfId="0" applyFont="1" applyFill="1" applyBorder="1" applyAlignment="1">
      <alignment horizontal="center" vertical="center" textRotation="90" wrapText="1"/>
    </xf>
    <xf numFmtId="3" fontId="17" fillId="3" borderId="5" xfId="0" applyNumberFormat="1" applyFont="1" applyFill="1" applyBorder="1" applyAlignment="1">
      <alignment horizontal="center" vertical="center" textRotation="90" wrapText="1"/>
    </xf>
    <xf numFmtId="0" fontId="17" fillId="3" borderId="79" xfId="0" applyFont="1" applyFill="1" applyBorder="1" applyAlignment="1">
      <alignment horizontal="center" vertical="center" textRotation="90" wrapText="1"/>
    </xf>
    <xf numFmtId="0" fontId="17" fillId="3" borderId="45" xfId="0" applyFont="1" applyFill="1" applyBorder="1" applyAlignment="1">
      <alignment horizontal="center" vertical="center" wrapText="1"/>
    </xf>
    <xf numFmtId="0" fontId="16" fillId="0" borderId="4" xfId="0" applyFont="1" applyBorder="1" applyAlignment="1">
      <alignment horizontal="left" vertical="center"/>
    </xf>
    <xf numFmtId="0" fontId="30" fillId="3" borderId="1" xfId="0" quotePrefix="1" applyFont="1" applyFill="1" applyBorder="1" applyAlignment="1">
      <alignment horizontal="center" vertical="center" wrapText="1"/>
    </xf>
    <xf numFmtId="0" fontId="16" fillId="3" borderId="27" xfId="0" applyFont="1" applyFill="1" applyBorder="1" applyAlignment="1">
      <alignment vertical="center"/>
    </xf>
    <xf numFmtId="0" fontId="16" fillId="0" borderId="37" xfId="0" applyFont="1" applyBorder="1" applyAlignment="1">
      <alignment horizontal="center" vertical="center" wrapText="1"/>
    </xf>
    <xf numFmtId="0" fontId="30" fillId="0" borderId="14" xfId="0" applyFont="1" applyBorder="1" applyAlignment="1">
      <alignment horizontal="center" vertical="center"/>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30" fillId="0" borderId="9" xfId="0" applyFont="1" applyBorder="1" applyAlignment="1">
      <alignment horizontal="center" vertical="center"/>
    </xf>
    <xf numFmtId="0" fontId="30" fillId="0" borderId="4" xfId="55" applyFont="1" applyBorder="1" applyAlignment="1">
      <alignment horizontal="center" vertical="center"/>
    </xf>
    <xf numFmtId="0" fontId="16" fillId="0" borderId="13" xfId="0" applyFont="1" applyBorder="1" applyAlignment="1">
      <alignment horizontal="center" vertical="center" wrapText="1"/>
    </xf>
    <xf numFmtId="0" fontId="17" fillId="0" borderId="15" xfId="0" applyFont="1" applyBorder="1" applyAlignment="1">
      <alignment horizontal="center"/>
    </xf>
    <xf numFmtId="0" fontId="17" fillId="0" borderId="14" xfId="0" applyFont="1" applyBorder="1" applyAlignment="1">
      <alignment horizontal="center"/>
    </xf>
    <xf numFmtId="0" fontId="30" fillId="3" borderId="0" xfId="0" applyFont="1" applyFill="1" applyAlignment="1">
      <alignment horizontal="center" vertical="center" wrapText="1"/>
    </xf>
    <xf numFmtId="0" fontId="30" fillId="3" borderId="0" xfId="0" applyFont="1" applyFill="1" applyAlignment="1">
      <alignment horizontal="left" vertical="center" wrapText="1"/>
    </xf>
    <xf numFmtId="0" fontId="30" fillId="15" borderId="0" xfId="0" applyFont="1" applyFill="1" applyAlignment="1">
      <alignment horizontal="center" vertical="center"/>
    </xf>
    <xf numFmtId="0" fontId="30" fillId="0" borderId="38" xfId="55" applyFont="1" applyBorder="1" applyAlignment="1">
      <alignment horizontal="center" vertical="center"/>
    </xf>
    <xf numFmtId="0" fontId="30" fillId="16" borderId="40" xfId="55" applyFont="1" applyFill="1" applyBorder="1" applyAlignment="1">
      <alignment horizontal="left" vertical="center" wrapText="1"/>
    </xf>
    <xf numFmtId="0" fontId="34" fillId="16" borderId="40" xfId="55" applyFont="1" applyFill="1" applyBorder="1" applyAlignment="1">
      <alignment horizontal="left" vertical="center" wrapText="1"/>
    </xf>
    <xf numFmtId="0" fontId="0" fillId="0" borderId="0" xfId="55" applyFont="1"/>
    <xf numFmtId="0" fontId="95" fillId="0" borderId="0" xfId="55" applyFont="1"/>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3" borderId="10"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3" xfId="55" applyFont="1" applyFill="1" applyBorder="1" applyAlignment="1">
      <alignment horizontal="center" vertical="center"/>
    </xf>
    <xf numFmtId="0" fontId="17" fillId="0" borderId="53" xfId="0" applyFont="1" applyBorder="1" applyAlignment="1">
      <alignment horizontal="center" vertical="center"/>
    </xf>
    <xf numFmtId="0" fontId="17" fillId="3" borderId="7"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28" xfId="0" quotePrefix="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3" xfId="55" applyFont="1" applyFill="1" applyBorder="1" applyAlignment="1">
      <alignment horizontal="center" vertical="center" wrapText="1"/>
    </xf>
    <xf numFmtId="0" fontId="15" fillId="3" borderId="16" xfId="0" applyFont="1" applyFill="1" applyBorder="1" applyAlignment="1">
      <alignment vertical="center" wrapText="1"/>
    </xf>
    <xf numFmtId="0" fontId="30" fillId="0" borderId="5" xfId="0" quotePrefix="1" applyFont="1" applyBorder="1" applyAlignment="1">
      <alignment horizontal="center" vertical="center" wrapText="1"/>
    </xf>
    <xf numFmtId="0" fontId="30" fillId="0" borderId="2" xfId="0" quotePrefix="1" applyFont="1" applyBorder="1" applyAlignment="1">
      <alignment horizontal="center" vertical="center" wrapText="1"/>
    </xf>
    <xf numFmtId="0" fontId="30" fillId="0" borderId="4" xfId="0" quotePrefix="1" applyFont="1" applyBorder="1" applyAlignment="1">
      <alignment horizontal="center" vertical="center" wrapText="1"/>
    </xf>
    <xf numFmtId="0" fontId="17" fillId="3" borderId="4" xfId="0" applyFont="1" applyFill="1" applyBorder="1" applyAlignment="1">
      <alignment horizontal="center" vertical="center" textRotation="90" wrapText="1"/>
    </xf>
    <xf numFmtId="0" fontId="17" fillId="3" borderId="0" xfId="2" applyFont="1" applyFill="1"/>
    <xf numFmtId="0" fontId="18" fillId="3" borderId="0" xfId="0" applyFont="1" applyFill="1"/>
    <xf numFmtId="0" fontId="18" fillId="3" borderId="0" xfId="0" applyFont="1" applyFill="1" applyAlignment="1">
      <alignment horizontal="left"/>
    </xf>
    <xf numFmtId="0" fontId="17" fillId="3" borderId="0" xfId="0" applyFont="1" applyFill="1" applyAlignment="1" applyProtection="1">
      <alignment horizontal="center"/>
      <protection locked="0"/>
    </xf>
    <xf numFmtId="0" fontId="18" fillId="3" borderId="0" xfId="0" applyFont="1" applyFill="1" applyAlignment="1" applyProtection="1">
      <alignment horizontal="left"/>
      <protection locked="0"/>
    </xf>
    <xf numFmtId="0" fontId="18" fillId="3" borderId="0" xfId="0" applyFont="1" applyFill="1" applyAlignment="1" applyProtection="1">
      <alignment wrapText="1"/>
      <protection locked="0"/>
    </xf>
    <xf numFmtId="0" fontId="17" fillId="3" borderId="0" xfId="0" applyFont="1" applyFill="1" applyProtection="1">
      <protection locked="0"/>
    </xf>
    <xf numFmtId="0" fontId="64" fillId="3" borderId="0" xfId="0" applyFont="1" applyFill="1" applyProtection="1">
      <protection locked="0"/>
    </xf>
    <xf numFmtId="0" fontId="18" fillId="3" borderId="0" xfId="2" applyFont="1" applyFill="1" applyAlignment="1">
      <alignment horizontal="center" vertical="center"/>
    </xf>
    <xf numFmtId="0" fontId="18" fillId="3" borderId="0" xfId="0" quotePrefix="1" applyFont="1" applyFill="1" applyAlignment="1" applyProtection="1">
      <alignment horizontal="center" vertical="center"/>
      <protection locked="0"/>
    </xf>
    <xf numFmtId="0" fontId="17" fillId="3" borderId="8" xfId="0" applyFont="1" applyFill="1" applyBorder="1" applyAlignment="1">
      <alignment horizontal="center" vertical="center"/>
    </xf>
    <xf numFmtId="0" fontId="17" fillId="3" borderId="10" xfId="0" applyFont="1" applyFill="1" applyBorder="1" applyAlignment="1">
      <alignment horizontal="center" vertical="center"/>
    </xf>
    <xf numFmtId="0" fontId="17" fillId="3" borderId="4" xfId="55" applyFont="1" applyFill="1" applyBorder="1" applyAlignment="1">
      <alignment horizontal="center" vertical="center" wrapText="1"/>
    </xf>
    <xf numFmtId="0" fontId="30" fillId="0" borderId="0" xfId="55" quotePrefix="1" applyFont="1" applyAlignment="1">
      <alignment horizontal="center" vertical="center"/>
    </xf>
    <xf numFmtId="0" fontId="30" fillId="0" borderId="0" xfId="55" applyFont="1" applyAlignment="1">
      <alignment horizontal="left" vertical="center"/>
    </xf>
    <xf numFmtId="0" fontId="16" fillId="0" borderId="1" xfId="55" applyFont="1" applyBorder="1" applyAlignment="1">
      <alignment horizontal="center" vertical="center"/>
    </xf>
    <xf numFmtId="0" fontId="18" fillId="3" borderId="0" xfId="55" applyFont="1" applyFill="1" applyAlignment="1">
      <alignment horizontal="center" vertical="center"/>
    </xf>
    <xf numFmtId="0" fontId="66" fillId="3" borderId="0" xfId="55" applyFont="1" applyFill="1" applyAlignment="1" applyProtection="1">
      <alignment horizontal="left" vertical="center"/>
      <protection locked="0"/>
    </xf>
    <xf numFmtId="0" fontId="18" fillId="3" borderId="0" xfId="55" quotePrefix="1" applyFont="1" applyFill="1" applyAlignment="1" applyProtection="1">
      <alignment vertical="center"/>
      <protection locked="0"/>
    </xf>
    <xf numFmtId="0" fontId="67" fillId="3" borderId="0" xfId="55" applyFont="1" applyFill="1" applyAlignment="1" applyProtection="1">
      <alignment vertical="center"/>
      <protection locked="0"/>
    </xf>
    <xf numFmtId="0" fontId="30" fillId="0" borderId="5" xfId="0" applyFont="1" applyBorder="1" applyAlignment="1">
      <alignment horizontal="center" vertical="center"/>
    </xf>
    <xf numFmtId="0" fontId="30" fillId="13" borderId="5" xfId="0" applyFont="1" applyFill="1" applyBorder="1" applyAlignment="1">
      <alignment horizontal="center" vertical="center"/>
    </xf>
    <xf numFmtId="0" fontId="30" fillId="0" borderId="5" xfId="0" applyFont="1" applyBorder="1" applyAlignment="1">
      <alignment horizontal="left" vertical="center" wrapText="1"/>
    </xf>
    <xf numFmtId="0" fontId="30" fillId="13" borderId="4" xfId="0" applyFont="1" applyFill="1" applyBorder="1" applyAlignment="1">
      <alignment horizontal="center" vertical="center"/>
    </xf>
    <xf numFmtId="0" fontId="30" fillId="0" borderId="14" xfId="0" quotePrefix="1" applyFont="1" applyBorder="1" applyAlignment="1">
      <alignment horizontal="center" vertical="center" wrapText="1"/>
    </xf>
    <xf numFmtId="0" fontId="33" fillId="3" borderId="1" xfId="0" applyFont="1" applyFill="1" applyBorder="1" applyAlignment="1">
      <alignment horizontal="center" vertical="center" wrapText="1"/>
    </xf>
    <xf numFmtId="0" fontId="30" fillId="3" borderId="1" xfId="0" applyFont="1" applyFill="1" applyBorder="1" applyAlignment="1">
      <alignment horizontal="left" vertical="center" wrapText="1"/>
    </xf>
    <xf numFmtId="0" fontId="17" fillId="3" borderId="1" xfId="55" quotePrefix="1" applyFont="1" applyFill="1" applyBorder="1" applyAlignment="1">
      <alignment horizontal="center" vertical="center" wrapText="1"/>
    </xf>
    <xf numFmtId="0" fontId="71" fillId="3" borderId="1" xfId="55" quotePrefix="1" applyFont="1" applyFill="1" applyBorder="1" applyAlignment="1">
      <alignment horizontal="center" vertical="center" wrapText="1"/>
    </xf>
    <xf numFmtId="0" fontId="17" fillId="0" borderId="1" xfId="55" applyFont="1" applyBorder="1" applyAlignment="1">
      <alignment horizontal="center" vertical="center" textRotation="90" wrapText="1"/>
    </xf>
    <xf numFmtId="0" fontId="17" fillId="0" borderId="1" xfId="55" applyFont="1" applyBorder="1" applyAlignment="1">
      <alignment horizontal="center" vertical="center"/>
    </xf>
    <xf numFmtId="0" fontId="17" fillId="0" borderId="4" xfId="55" applyFont="1" applyBorder="1" applyAlignment="1">
      <alignment textRotation="90" wrapText="1"/>
    </xf>
    <xf numFmtId="0" fontId="17" fillId="3" borderId="4" xfId="55" applyFont="1" applyFill="1" applyBorder="1" applyAlignment="1">
      <alignment vertical="center" textRotation="90" wrapText="1"/>
    </xf>
    <xf numFmtId="0" fontId="16" fillId="3" borderId="4" xfId="55" applyFont="1" applyFill="1" applyBorder="1" applyAlignment="1">
      <alignment horizontal="left" vertical="center"/>
    </xf>
    <xf numFmtId="0" fontId="16" fillId="3" borderId="4" xfId="55" applyFont="1" applyFill="1" applyBorder="1" applyAlignment="1">
      <alignment horizontal="center" vertical="center"/>
    </xf>
    <xf numFmtId="0" fontId="16" fillId="0" borderId="4" xfId="0" applyFont="1" applyBorder="1" applyAlignment="1">
      <alignment horizontal="center" vertical="center" wrapText="1"/>
    </xf>
    <xf numFmtId="0" fontId="17" fillId="0" borderId="11" xfId="0" applyFont="1" applyBorder="1" applyAlignment="1">
      <alignment horizontal="center"/>
    </xf>
    <xf numFmtId="0" fontId="30" fillId="15" borderId="39" xfId="0" applyFont="1" applyFill="1" applyBorder="1" applyAlignment="1">
      <alignment horizontal="left" vertical="center" wrapText="1"/>
    </xf>
    <xf numFmtId="0" fontId="63" fillId="3" borderId="48" xfId="0" applyFont="1" applyFill="1" applyBorder="1" applyAlignment="1">
      <alignment horizontal="center" vertical="center"/>
    </xf>
    <xf numFmtId="0" fontId="63" fillId="3" borderId="49" xfId="0" applyFont="1" applyFill="1" applyBorder="1" applyAlignment="1">
      <alignment horizontal="center" vertical="center"/>
    </xf>
    <xf numFmtId="0" fontId="63" fillId="3" borderId="47" xfId="0" applyFont="1" applyFill="1" applyBorder="1" applyAlignment="1">
      <alignment horizontal="center" vertical="center"/>
    </xf>
    <xf numFmtId="0" fontId="63" fillId="3" borderId="45" xfId="0" applyFont="1" applyFill="1" applyBorder="1" applyAlignment="1">
      <alignment horizontal="center" vertical="center"/>
    </xf>
    <xf numFmtId="0" fontId="63" fillId="3" borderId="35" xfId="0" applyFont="1" applyFill="1" applyBorder="1" applyAlignment="1">
      <alignment horizontal="center" vertical="center"/>
    </xf>
    <xf numFmtId="0" fontId="63" fillId="3" borderId="36" xfId="0" applyFont="1" applyFill="1" applyBorder="1" applyAlignment="1">
      <alignment horizontal="center" vertical="center"/>
    </xf>
    <xf numFmtId="0" fontId="63" fillId="0" borderId="48" xfId="0" quotePrefix="1" applyFont="1" applyBorder="1" applyAlignment="1">
      <alignment horizontal="left" vertical="center"/>
    </xf>
    <xf numFmtId="0" fontId="63" fillId="0" borderId="17" xfId="0" quotePrefix="1" applyFont="1" applyBorder="1" applyAlignment="1">
      <alignment horizontal="left" vertical="center"/>
    </xf>
    <xf numFmtId="0" fontId="63" fillId="0" borderId="49" xfId="0" quotePrefix="1" applyFont="1" applyBorder="1" applyAlignment="1">
      <alignment horizontal="left" vertical="center"/>
    </xf>
    <xf numFmtId="169" fontId="35" fillId="3" borderId="46" xfId="1744" applyNumberFormat="1" applyFont="1" applyFill="1" applyBorder="1" applyAlignment="1">
      <alignment horizontal="center" vertical="center"/>
    </xf>
    <xf numFmtId="169" fontId="35" fillId="3" borderId="44" xfId="1744" applyNumberFormat="1" applyFont="1" applyFill="1" applyBorder="1" applyAlignment="1">
      <alignment horizontal="center" vertical="center"/>
    </xf>
    <xf numFmtId="169" fontId="35" fillId="3" borderId="43" xfId="1744" applyNumberFormat="1" applyFont="1" applyFill="1" applyBorder="1" applyAlignment="1">
      <alignment horizontal="center" vertical="center"/>
    </xf>
    <xf numFmtId="0" fontId="63" fillId="3" borderId="47" xfId="0" quotePrefix="1" applyFont="1" applyFill="1" applyBorder="1" applyAlignment="1">
      <alignment horizontal="left" vertical="center"/>
    </xf>
    <xf numFmtId="0" fontId="63" fillId="3" borderId="0" xfId="0" quotePrefix="1" applyFont="1" applyFill="1" applyAlignment="1">
      <alignment horizontal="left" vertical="center"/>
    </xf>
    <xf numFmtId="0" fontId="63" fillId="3" borderId="45" xfId="0" quotePrefix="1" applyFont="1" applyFill="1" applyBorder="1" applyAlignment="1">
      <alignment horizontal="left" vertical="center"/>
    </xf>
    <xf numFmtId="0" fontId="63" fillId="3" borderId="35" xfId="0" quotePrefix="1" applyFont="1" applyFill="1" applyBorder="1" applyAlignment="1">
      <alignment horizontal="left" vertical="center"/>
    </xf>
    <xf numFmtId="0" fontId="63" fillId="3" borderId="3" xfId="0" quotePrefix="1" applyFont="1" applyFill="1" applyBorder="1" applyAlignment="1">
      <alignment horizontal="left" vertical="center"/>
    </xf>
    <xf numFmtId="0" fontId="63" fillId="3" borderId="36" xfId="0" quotePrefix="1" applyFont="1" applyFill="1" applyBorder="1" applyAlignment="1">
      <alignment horizontal="left" vertical="center"/>
    </xf>
    <xf numFmtId="0" fontId="63" fillId="3" borderId="48" xfId="0" applyFont="1" applyFill="1" applyBorder="1" applyAlignment="1">
      <alignment horizontal="center" vertical="center" wrapText="1"/>
    </xf>
    <xf numFmtId="0" fontId="63" fillId="3" borderId="49" xfId="0" applyFont="1" applyFill="1" applyBorder="1" applyAlignment="1">
      <alignment horizontal="center" vertical="center" wrapText="1"/>
    </xf>
    <xf numFmtId="0" fontId="63" fillId="3" borderId="47" xfId="0" applyFont="1" applyFill="1" applyBorder="1" applyAlignment="1">
      <alignment horizontal="center" vertical="center" wrapText="1"/>
    </xf>
    <xf numFmtId="0" fontId="63" fillId="3" borderId="45" xfId="0" applyFont="1" applyFill="1" applyBorder="1" applyAlignment="1">
      <alignment horizontal="center" vertical="center" wrapText="1"/>
    </xf>
    <xf numFmtId="0" fontId="63" fillId="3" borderId="35" xfId="0" applyFont="1" applyFill="1" applyBorder="1" applyAlignment="1">
      <alignment horizontal="center" vertical="center" wrapText="1"/>
    </xf>
    <xf numFmtId="0" fontId="63" fillId="3" borderId="36" xfId="0" applyFont="1" applyFill="1" applyBorder="1" applyAlignment="1">
      <alignment horizontal="center" vertical="center" wrapText="1"/>
    </xf>
    <xf numFmtId="0" fontId="62" fillId="0" borderId="33" xfId="0" applyFont="1" applyBorder="1" applyAlignment="1">
      <alignment horizontal="center" vertical="center" wrapText="1"/>
    </xf>
    <xf numFmtId="0" fontId="62" fillId="0" borderId="16" xfId="0" applyFont="1" applyBorder="1" applyAlignment="1">
      <alignment horizontal="center" vertical="center" wrapText="1"/>
    </xf>
    <xf numFmtId="0" fontId="62" fillId="0" borderId="34" xfId="0" applyFont="1" applyBorder="1" applyAlignment="1">
      <alignment horizontal="center" vertical="center" wrapText="1"/>
    </xf>
    <xf numFmtId="0" fontId="16" fillId="3" borderId="1" xfId="55" applyFont="1" applyFill="1" applyBorder="1" applyAlignment="1">
      <alignment horizontal="left" vertical="center" indent="1"/>
    </xf>
    <xf numFmtId="0" fontId="22" fillId="3" borderId="17" xfId="0" applyFont="1" applyFill="1" applyBorder="1" applyAlignment="1">
      <alignment horizontal="center" vertical="center"/>
    </xf>
    <xf numFmtId="0" fontId="16" fillId="3" borderId="7" xfId="55" applyFont="1" applyFill="1" applyBorder="1" applyAlignment="1">
      <alignment horizontal="left" vertical="center" indent="1"/>
    </xf>
    <xf numFmtId="0" fontId="16" fillId="3" borderId="12" xfId="55" applyFont="1" applyFill="1" applyBorder="1" applyAlignment="1">
      <alignment horizontal="left" vertical="center" indent="1"/>
    </xf>
    <xf numFmtId="0" fontId="16" fillId="3" borderId="6" xfId="55" applyFont="1" applyFill="1" applyBorder="1" applyAlignment="1">
      <alignment horizontal="left" vertical="center" indent="1"/>
    </xf>
    <xf numFmtId="0" fontId="17" fillId="3" borderId="7" xfId="0" quotePrefix="1" applyFont="1" applyFill="1" applyBorder="1" applyAlignment="1">
      <alignment horizontal="center" vertical="center"/>
    </xf>
    <xf numFmtId="0" fontId="17" fillId="3" borderId="12" xfId="0" quotePrefix="1" applyFont="1" applyFill="1" applyBorder="1" applyAlignment="1">
      <alignment horizontal="center" vertical="center"/>
    </xf>
    <xf numFmtId="0" fontId="17" fillId="3" borderId="6" xfId="0" quotePrefix="1" applyFont="1" applyFill="1" applyBorder="1" applyAlignment="1">
      <alignment horizontal="center" vertical="center"/>
    </xf>
    <xf numFmtId="0" fontId="22" fillId="0" borderId="33" xfId="0" applyFont="1" applyBorder="1" applyAlignment="1" applyProtection="1">
      <alignment horizontal="center" vertical="center"/>
      <protection locked="0"/>
    </xf>
    <xf numFmtId="0" fontId="22" fillId="0" borderId="16" xfId="0" applyFont="1" applyBorder="1" applyAlignment="1" applyProtection="1">
      <alignment horizontal="center" vertical="center"/>
      <protection locked="0"/>
    </xf>
    <xf numFmtId="0" fontId="22" fillId="0" borderId="34" xfId="0" applyFont="1" applyBorder="1" applyAlignment="1" applyProtection="1">
      <alignment horizontal="center" vertical="center"/>
      <protection locked="0"/>
    </xf>
    <xf numFmtId="0" fontId="17" fillId="0" borderId="18" xfId="0" applyFont="1" applyBorder="1" applyAlignment="1">
      <alignment horizontal="center" vertical="center"/>
    </xf>
    <xf numFmtId="0" fontId="17" fillId="0" borderId="29"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20" xfId="0" quotePrefix="1" applyFont="1" applyBorder="1" applyAlignment="1">
      <alignment horizontal="center" vertical="center" wrapText="1"/>
    </xf>
    <xf numFmtId="0" fontId="17" fillId="0" borderId="4" xfId="0" quotePrefix="1" applyFont="1" applyBorder="1" applyAlignment="1">
      <alignment horizontal="center" vertical="center" wrapText="1"/>
    </xf>
    <xf numFmtId="0" fontId="17" fillId="3" borderId="75" xfId="0" applyFont="1" applyFill="1" applyBorder="1" applyAlignment="1">
      <alignment horizontal="center" vertical="center"/>
    </xf>
    <xf numFmtId="0" fontId="17" fillId="3" borderId="11" xfId="0" applyFont="1" applyFill="1" applyBorder="1" applyAlignment="1">
      <alignment horizontal="center" vertical="center"/>
    </xf>
    <xf numFmtId="0" fontId="17" fillId="3" borderId="58" xfId="0" applyFont="1" applyFill="1" applyBorder="1" applyAlignment="1">
      <alignment horizontal="center" vertical="center"/>
    </xf>
    <xf numFmtId="0" fontId="22" fillId="3" borderId="33" xfId="0" applyFont="1" applyFill="1" applyBorder="1" applyAlignment="1" applyProtection="1">
      <alignment horizontal="center" vertical="center"/>
      <protection locked="0"/>
    </xf>
    <xf numFmtId="0" fontId="22" fillId="3" borderId="16" xfId="0" applyFont="1" applyFill="1" applyBorder="1" applyAlignment="1" applyProtection="1">
      <alignment horizontal="center" vertical="center"/>
      <protection locked="0"/>
    </xf>
    <xf numFmtId="0" fontId="22" fillId="3" borderId="34" xfId="0" applyFont="1" applyFill="1" applyBorder="1" applyAlignment="1" applyProtection="1">
      <alignment horizontal="center" vertical="center"/>
      <protection locked="0"/>
    </xf>
    <xf numFmtId="0" fontId="17" fillId="3" borderId="2" xfId="0" quotePrefix="1" applyFont="1" applyFill="1" applyBorder="1" applyAlignment="1">
      <alignment horizontal="center" vertical="center" wrapText="1"/>
    </xf>
    <xf numFmtId="0" fontId="17" fillId="3" borderId="10" xfId="0" quotePrefix="1"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74" xfId="0" applyFont="1" applyFill="1" applyBorder="1" applyAlignment="1">
      <alignment horizontal="center" vertical="center" wrapText="1"/>
    </xf>
    <xf numFmtId="0" fontId="22" fillId="0" borderId="48" xfId="0" applyFont="1" applyBorder="1" applyAlignment="1">
      <alignment horizontal="center" vertical="center"/>
    </xf>
    <xf numFmtId="0" fontId="22" fillId="0" borderId="17" xfId="0" applyFont="1" applyBorder="1" applyAlignment="1">
      <alignment horizontal="center" vertical="center"/>
    </xf>
    <xf numFmtId="0" fontId="22" fillId="0" borderId="49" xfId="0" applyFont="1" applyBorder="1" applyAlignment="1">
      <alignment horizontal="center" vertical="center"/>
    </xf>
    <xf numFmtId="0" fontId="22" fillId="0" borderId="35" xfId="0" applyFont="1" applyBorder="1" applyAlignment="1">
      <alignment horizontal="center" vertical="center"/>
    </xf>
    <xf numFmtId="0" fontId="22" fillId="0" borderId="3" xfId="0" applyFont="1" applyBorder="1" applyAlignment="1">
      <alignment horizontal="center" vertical="center"/>
    </xf>
    <xf numFmtId="0" fontId="22" fillId="0" borderId="36" xfId="0" applyFont="1" applyBorder="1" applyAlignment="1">
      <alignment horizontal="center" vertical="center"/>
    </xf>
    <xf numFmtId="0" fontId="22" fillId="3" borderId="48" xfId="0" applyFont="1" applyFill="1" applyBorder="1" applyAlignment="1">
      <alignment horizontal="center" vertical="center"/>
    </xf>
    <xf numFmtId="0" fontId="22" fillId="3" borderId="49"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3" xfId="0" applyFont="1" applyFill="1" applyBorder="1" applyAlignment="1">
      <alignment horizontal="center" vertical="center"/>
    </xf>
    <xf numFmtId="0" fontId="22" fillId="3" borderId="16" xfId="0" applyFont="1" applyFill="1" applyBorder="1" applyAlignment="1">
      <alignment horizontal="center" vertical="center"/>
    </xf>
    <xf numFmtId="0" fontId="22" fillId="3" borderId="34" xfId="0" applyFont="1" applyFill="1" applyBorder="1" applyAlignment="1">
      <alignment horizontal="center" vertical="center"/>
    </xf>
    <xf numFmtId="0" fontId="17" fillId="3" borderId="18" xfId="0" applyFont="1" applyFill="1" applyBorder="1" applyAlignment="1">
      <alignment horizontal="center" vertical="center" wrapText="1"/>
    </xf>
    <xf numFmtId="0" fontId="17" fillId="3" borderId="29"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17" fillId="3" borderId="18" xfId="55" applyFont="1" applyFill="1" applyBorder="1" applyAlignment="1">
      <alignment horizontal="center" vertical="center"/>
    </xf>
    <xf numFmtId="0" fontId="17" fillId="3" borderId="29" xfId="55" applyFont="1" applyFill="1" applyBorder="1" applyAlignment="1">
      <alignment horizontal="center" vertical="center"/>
    </xf>
    <xf numFmtId="0" fontId="17" fillId="3" borderId="19" xfId="55" applyFont="1" applyFill="1" applyBorder="1" applyAlignment="1">
      <alignment horizontal="center" vertical="center"/>
    </xf>
    <xf numFmtId="0" fontId="17" fillId="3" borderId="18" xfId="0" quotePrefix="1" applyFont="1" applyFill="1" applyBorder="1" applyAlignment="1">
      <alignment horizontal="center" vertical="center"/>
    </xf>
    <xf numFmtId="0" fontId="17" fillId="3" borderId="29" xfId="0" quotePrefix="1" applyFont="1" applyFill="1" applyBorder="1" applyAlignment="1">
      <alignment horizontal="center" vertical="center"/>
    </xf>
    <xf numFmtId="0" fontId="17" fillId="3" borderId="19" xfId="0" quotePrefix="1" applyFont="1" applyFill="1" applyBorder="1" applyAlignment="1">
      <alignment horizontal="center" vertical="center"/>
    </xf>
    <xf numFmtId="0" fontId="22" fillId="3" borderId="26" xfId="0" applyFont="1" applyFill="1" applyBorder="1" applyAlignment="1">
      <alignment horizontal="center" vertical="center"/>
    </xf>
    <xf numFmtId="0" fontId="22" fillId="3" borderId="51" xfId="0" applyFont="1" applyFill="1" applyBorder="1" applyAlignment="1">
      <alignment horizontal="center" vertical="center"/>
    </xf>
    <xf numFmtId="0" fontId="17" fillId="0" borderId="52" xfId="0" applyFont="1" applyBorder="1" applyAlignment="1">
      <alignment horizontal="center" vertical="center"/>
    </xf>
    <xf numFmtId="0" fontId="17" fillId="0" borderId="53" xfId="0" applyFont="1" applyBorder="1" applyAlignment="1">
      <alignment horizontal="center" vertical="center"/>
    </xf>
    <xf numFmtId="0" fontId="17" fillId="3" borderId="52" xfId="0" applyFont="1" applyFill="1" applyBorder="1" applyAlignment="1">
      <alignment horizontal="center" vertical="center" wrapText="1"/>
    </xf>
    <xf numFmtId="0" fontId="17" fillId="3" borderId="18" xfId="0" quotePrefix="1" applyFont="1" applyFill="1" applyBorder="1" applyAlignment="1">
      <alignment horizontal="center" vertical="center" wrapText="1"/>
    </xf>
    <xf numFmtId="0" fontId="17" fillId="3" borderId="29" xfId="0" quotePrefix="1" applyFont="1" applyFill="1" applyBorder="1" applyAlignment="1">
      <alignment horizontal="center" vertical="center" wrapText="1"/>
    </xf>
    <xf numFmtId="0" fontId="17" fillId="3" borderId="19" xfId="0" quotePrefix="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22" fillId="3" borderId="33" xfId="55" applyFont="1" applyFill="1" applyBorder="1" applyAlignment="1">
      <alignment horizontal="center" vertical="center"/>
    </xf>
    <xf numFmtId="0" fontId="22" fillId="3" borderId="16" xfId="55" applyFont="1" applyFill="1" applyBorder="1" applyAlignment="1">
      <alignment horizontal="center" vertical="center"/>
    </xf>
    <xf numFmtId="0" fontId="22" fillId="3" borderId="34" xfId="55" applyFont="1" applyFill="1" applyBorder="1" applyAlignment="1">
      <alignment horizontal="center" vertical="center"/>
    </xf>
    <xf numFmtId="0" fontId="17" fillId="3" borderId="11" xfId="55" applyFont="1" applyFill="1" applyBorder="1" applyAlignment="1">
      <alignment horizontal="center" vertical="center" wrapText="1"/>
    </xf>
    <xf numFmtId="0" fontId="17" fillId="3" borderId="13" xfId="55" applyFont="1" applyFill="1" applyBorder="1" applyAlignment="1">
      <alignment horizontal="center" vertical="center" wrapText="1"/>
    </xf>
    <xf numFmtId="0" fontId="17" fillId="3" borderId="4" xfId="55" applyFont="1" applyFill="1" applyBorder="1" applyAlignment="1">
      <alignment horizontal="center" vertical="center" wrapText="1"/>
    </xf>
    <xf numFmtId="0" fontId="17" fillId="3" borderId="1" xfId="55" applyFont="1" applyFill="1" applyBorder="1" applyAlignment="1">
      <alignment horizontal="center" vertical="center" wrapText="1"/>
    </xf>
    <xf numFmtId="0" fontId="17" fillId="3" borderId="4" xfId="55" quotePrefix="1"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16" xfId="0" applyFont="1" applyFill="1" applyBorder="1" applyAlignment="1">
      <alignment horizontal="center" vertical="center" wrapText="1"/>
    </xf>
    <xf numFmtId="0" fontId="86" fillId="3" borderId="8" xfId="55" quotePrefix="1" applyFont="1" applyFill="1" applyBorder="1" applyAlignment="1">
      <alignment horizontal="center" vertical="center" wrapText="1"/>
    </xf>
    <xf numFmtId="0" fontId="86" fillId="3" borderId="0" xfId="55" quotePrefix="1" applyFont="1" applyFill="1" applyAlignment="1">
      <alignment horizontal="center" vertical="center" wrapText="1"/>
    </xf>
    <xf numFmtId="0" fontId="86" fillId="3" borderId="10" xfId="55" quotePrefix="1" applyFont="1" applyFill="1" applyBorder="1" applyAlignment="1">
      <alignment horizontal="center" vertical="center" wrapText="1"/>
    </xf>
    <xf numFmtId="0" fontId="30" fillId="0" borderId="5" xfId="0" quotePrefix="1" applyFont="1" applyBorder="1" applyAlignment="1">
      <alignment horizontal="left" vertical="center" wrapText="1"/>
    </xf>
    <xf numFmtId="0" fontId="30" fillId="0" borderId="2" xfId="0" quotePrefix="1" applyFont="1" applyBorder="1" applyAlignment="1">
      <alignment horizontal="left" vertical="center" wrapText="1"/>
    </xf>
    <xf numFmtId="0" fontId="30" fillId="0" borderId="4" xfId="0" quotePrefix="1" applyFont="1" applyBorder="1" applyAlignment="1">
      <alignment horizontal="left" vertical="center" wrapText="1"/>
    </xf>
    <xf numFmtId="0" fontId="30" fillId="0" borderId="5" xfId="0" quotePrefix="1" applyFont="1" applyBorder="1" applyAlignment="1">
      <alignment horizontal="center" vertical="center" wrapText="1"/>
    </xf>
    <xf numFmtId="0" fontId="30" fillId="0" borderId="2" xfId="0" quotePrefix="1" applyFont="1" applyBorder="1" applyAlignment="1">
      <alignment horizontal="center" vertical="center" wrapText="1"/>
    </xf>
    <xf numFmtId="0" fontId="30" fillId="0" borderId="4" xfId="0" quotePrefix="1" applyFont="1" applyBorder="1" applyAlignment="1">
      <alignment horizontal="center" vertical="center" wrapText="1"/>
    </xf>
    <xf numFmtId="0" fontId="17" fillId="3" borderId="20" xfId="0" applyFont="1" applyFill="1" applyBorder="1" applyAlignment="1">
      <alignment horizontal="center" vertical="center" textRotation="90" wrapText="1"/>
    </xf>
    <xf numFmtId="0" fontId="17" fillId="3" borderId="4" xfId="0" applyFont="1" applyFill="1" applyBorder="1" applyAlignment="1">
      <alignment horizontal="center" vertical="center" textRotation="90" wrapText="1"/>
    </xf>
    <xf numFmtId="0" fontId="17" fillId="0" borderId="18"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19" xfId="0" applyFont="1" applyBorder="1" applyAlignment="1">
      <alignment horizontal="center" vertical="center" wrapText="1"/>
    </xf>
    <xf numFmtId="0" fontId="30" fillId="3" borderId="5" xfId="0" quotePrefix="1" applyFont="1" applyFill="1" applyBorder="1" applyAlignment="1">
      <alignment horizontal="center" vertical="center" wrapText="1"/>
    </xf>
    <xf numFmtId="0" fontId="30" fillId="3" borderId="2" xfId="0" quotePrefix="1" applyFont="1" applyFill="1" applyBorder="1" applyAlignment="1">
      <alignment horizontal="center" vertical="center" wrapText="1"/>
    </xf>
    <xf numFmtId="0" fontId="30" fillId="3" borderId="4" xfId="0" quotePrefix="1" applyFont="1" applyFill="1" applyBorder="1" applyAlignment="1">
      <alignment horizontal="center" vertical="center" wrapText="1"/>
    </xf>
    <xf numFmtId="0" fontId="67" fillId="3" borderId="0" xfId="55" applyFont="1" applyFill="1" applyAlignment="1" applyProtection="1">
      <alignment horizontal="center" vertical="center"/>
      <protection locked="0"/>
    </xf>
    <xf numFmtId="0" fontId="22" fillId="0" borderId="33" xfId="55" applyFont="1" applyBorder="1" applyAlignment="1">
      <alignment horizontal="center" vertical="center"/>
    </xf>
    <xf numFmtId="0" fontId="22" fillId="0" borderId="16" xfId="55" applyFont="1" applyBorder="1" applyAlignment="1">
      <alignment horizontal="center" vertical="center"/>
    </xf>
    <xf numFmtId="0" fontId="22" fillId="0" borderId="34" xfId="55" applyFont="1" applyBorder="1" applyAlignment="1">
      <alignment horizontal="center" vertical="center"/>
    </xf>
    <xf numFmtId="0" fontId="22" fillId="0" borderId="35" xfId="55" applyFont="1" applyBorder="1" applyAlignment="1">
      <alignment horizontal="center" vertical="center"/>
    </xf>
    <xf numFmtId="0" fontId="22" fillId="0" borderId="3" xfId="55" applyFont="1" applyBorder="1" applyAlignment="1">
      <alignment horizontal="center" vertical="center"/>
    </xf>
    <xf numFmtId="0" fontId="22" fillId="0" borderId="36" xfId="55" applyFont="1" applyBorder="1" applyAlignment="1">
      <alignment horizontal="center" vertical="center"/>
    </xf>
    <xf numFmtId="0" fontId="94" fillId="0" borderId="0" xfId="55" applyFont="1" applyAlignment="1">
      <alignment horizontal="left" vertical="center" wrapText="1"/>
    </xf>
    <xf numFmtId="0" fontId="22" fillId="0" borderId="48" xfId="55" applyFont="1" applyBorder="1" applyAlignment="1">
      <alignment horizontal="center" vertical="center"/>
    </xf>
    <xf numFmtId="0" fontId="22" fillId="0" borderId="17" xfId="55" applyFont="1" applyBorder="1" applyAlignment="1">
      <alignment horizontal="center" vertical="center"/>
    </xf>
    <xf numFmtId="0" fontId="22" fillId="0" borderId="49" xfId="55" applyFont="1" applyBorder="1" applyAlignment="1">
      <alignment horizontal="center" vertical="center"/>
    </xf>
  </cellXfs>
  <cellStyles count="1758">
    <cellStyle name="Bad" xfId="92" builtinId="27" hidden="1"/>
    <cellStyle name="Calculation" xfId="95" builtinId="22" hidden="1"/>
    <cellStyle name="Calculation 2" xfId="10" xr:uid="{00000000-0005-0000-0000-000002000000}"/>
    <cellStyle name="Check Cell" xfId="97" builtinId="23" hidden="1"/>
    <cellStyle name="Comma" xfId="56" builtinId="3"/>
    <cellStyle name="Comma 2" xfId="11" xr:uid="{00000000-0005-0000-0000-000005000000}"/>
    <cellStyle name="Comma 3" xfId="210" xr:uid="{00000000-0005-0000-0000-000006000000}"/>
    <cellStyle name="Comma 4" xfId="139" xr:uid="{00000000-0005-0000-0000-000007000000}"/>
    <cellStyle name="Comma 5" xfId="1350" xr:uid="{00000000-0005-0000-0000-000008000000}"/>
    <cellStyle name="Currency 2" xfId="1751" xr:uid="{6FA99AEF-4990-45BF-B322-9AAF67CB4412}"/>
    <cellStyle name="Currency 2 2" xfId="1756" xr:uid="{711C2E79-272A-4D41-A206-B0444CFF3ABA}"/>
    <cellStyle name="Explanatory Text" xfId="99" builtinId="53" hidden="1"/>
    <cellStyle name="Good" xfId="91" builtinId="26" hidden="1"/>
    <cellStyle name="Input" xfId="94" builtinId="20" hidden="1"/>
    <cellStyle name="Input 2" xfId="12" xr:uid="{00000000-0005-0000-0000-00000C000000}"/>
    <cellStyle name="Input 3" xfId="13" xr:uid="{00000000-0005-0000-0000-00000D000000}"/>
    <cellStyle name="Linked Cell" xfId="96" builtinId="24" hidden="1"/>
    <cellStyle name="Neutral" xfId="93" builtinId="28" hidden="1"/>
    <cellStyle name="Normal" xfId="0" builtinId="0"/>
    <cellStyle name="Normal 10" xfId="6" xr:uid="{00000000-0005-0000-0000-000011000000}"/>
    <cellStyle name="Normal 10 2" xfId="58" xr:uid="{00000000-0005-0000-0000-000012000000}"/>
    <cellStyle name="Normal 10 2 2" xfId="211" xr:uid="{00000000-0005-0000-0000-000013000000}"/>
    <cellStyle name="Normal 10 2 2 2" xfId="352" xr:uid="{00000000-0005-0000-0000-000014000000}"/>
    <cellStyle name="Normal 10 2 2 2 2" xfId="529" xr:uid="{00000000-0005-0000-0000-000015000000}"/>
    <cellStyle name="Normal 10 2 2 2 2 2" xfId="1631" xr:uid="{00000000-0005-0000-0000-000016000000}"/>
    <cellStyle name="Normal 10 2 2 2 3" xfId="1193" xr:uid="{00000000-0005-0000-0000-000017000000}"/>
    <cellStyle name="Normal 10 2 2 3" xfId="528" xr:uid="{00000000-0005-0000-0000-000018000000}"/>
    <cellStyle name="Normal 10 2 2 3 2" xfId="1491" xr:uid="{00000000-0005-0000-0000-000019000000}"/>
    <cellStyle name="Normal 10 2 2 4" xfId="1053" xr:uid="{00000000-0005-0000-0000-00001A000000}"/>
    <cellStyle name="Normal 10 2 3" xfId="282" xr:uid="{00000000-0005-0000-0000-00001B000000}"/>
    <cellStyle name="Normal 10 2 3 2" xfId="530" xr:uid="{00000000-0005-0000-0000-00001C000000}"/>
    <cellStyle name="Normal 10 2 3 2 2" xfId="1561" xr:uid="{00000000-0005-0000-0000-00001D000000}"/>
    <cellStyle name="Normal 10 2 3 3" xfId="1123" xr:uid="{00000000-0005-0000-0000-00001E000000}"/>
    <cellStyle name="Normal 10 2 4" xfId="423" xr:uid="{00000000-0005-0000-0000-00001F000000}"/>
    <cellStyle name="Normal 10 2 4 2" xfId="531" xr:uid="{00000000-0005-0000-0000-000020000000}"/>
    <cellStyle name="Normal 10 2 4 2 2" xfId="1701" xr:uid="{00000000-0005-0000-0000-000021000000}"/>
    <cellStyle name="Normal 10 2 4 3" xfId="1263" xr:uid="{00000000-0005-0000-0000-000022000000}"/>
    <cellStyle name="Normal 10 2 5" xfId="140" xr:uid="{00000000-0005-0000-0000-000023000000}"/>
    <cellStyle name="Normal 10 2 5 2" xfId="532" xr:uid="{00000000-0005-0000-0000-000024000000}"/>
    <cellStyle name="Normal 10 2 5 2 2" xfId="1421" xr:uid="{00000000-0005-0000-0000-000025000000}"/>
    <cellStyle name="Normal 10 2 5 3" xfId="983" xr:uid="{00000000-0005-0000-0000-000026000000}"/>
    <cellStyle name="Normal 10 2 6" xfId="493" xr:uid="{00000000-0005-0000-0000-000027000000}"/>
    <cellStyle name="Normal 10 2 6 2" xfId="1351" xr:uid="{00000000-0005-0000-0000-000028000000}"/>
    <cellStyle name="Normal 10 2 7" xfId="913" xr:uid="{00000000-0005-0000-0000-000029000000}"/>
    <cellStyle name="Normal 10 3" xfId="175" xr:uid="{00000000-0005-0000-0000-00002A000000}"/>
    <cellStyle name="Normal 10 3 2" xfId="317" xr:uid="{00000000-0005-0000-0000-00002B000000}"/>
    <cellStyle name="Normal 10 3 2 2" xfId="534" xr:uid="{00000000-0005-0000-0000-00002C000000}"/>
    <cellStyle name="Normal 10 3 2 2 2" xfId="1596" xr:uid="{00000000-0005-0000-0000-00002D000000}"/>
    <cellStyle name="Normal 10 3 2 3" xfId="1158" xr:uid="{00000000-0005-0000-0000-00002E000000}"/>
    <cellStyle name="Normal 10 3 3" xfId="533" xr:uid="{00000000-0005-0000-0000-00002F000000}"/>
    <cellStyle name="Normal 10 3 3 2" xfId="1456" xr:uid="{00000000-0005-0000-0000-000030000000}"/>
    <cellStyle name="Normal 10 3 4" xfId="1018" xr:uid="{00000000-0005-0000-0000-000031000000}"/>
    <cellStyle name="Normal 10 4" xfId="247" xr:uid="{00000000-0005-0000-0000-000032000000}"/>
    <cellStyle name="Normal 10 4 2" xfId="535" xr:uid="{00000000-0005-0000-0000-000033000000}"/>
    <cellStyle name="Normal 10 4 2 2" xfId="1526" xr:uid="{00000000-0005-0000-0000-000034000000}"/>
    <cellStyle name="Normal 10 4 3" xfId="1088" xr:uid="{00000000-0005-0000-0000-000035000000}"/>
    <cellStyle name="Normal 10 5" xfId="388" xr:uid="{00000000-0005-0000-0000-000036000000}"/>
    <cellStyle name="Normal 10 5 2" xfId="536" xr:uid="{00000000-0005-0000-0000-000037000000}"/>
    <cellStyle name="Normal 10 5 2 2" xfId="1666" xr:uid="{00000000-0005-0000-0000-000038000000}"/>
    <cellStyle name="Normal 10 5 3" xfId="1228" xr:uid="{00000000-0005-0000-0000-000039000000}"/>
    <cellStyle name="Normal 10 6" xfId="104" xr:uid="{00000000-0005-0000-0000-00003A000000}"/>
    <cellStyle name="Normal 10 6 2" xfId="537" xr:uid="{00000000-0005-0000-0000-00003B000000}"/>
    <cellStyle name="Normal 10 6 2 2" xfId="1386" xr:uid="{00000000-0005-0000-0000-00003C000000}"/>
    <cellStyle name="Normal 10 6 3" xfId="948" xr:uid="{00000000-0005-0000-0000-00003D000000}"/>
    <cellStyle name="Normal 10 7" xfId="458" xr:uid="{00000000-0005-0000-0000-00003E000000}"/>
    <cellStyle name="Normal 10 7 2" xfId="1315" xr:uid="{00000000-0005-0000-0000-00003F000000}"/>
    <cellStyle name="Normal 10 8" xfId="878" xr:uid="{00000000-0005-0000-0000-000040000000}"/>
    <cellStyle name="Normal 11" xfId="55" xr:uid="{00000000-0005-0000-0000-000041000000}"/>
    <cellStyle name="Normal 12" xfId="100" xr:uid="{00000000-0005-0000-0000-000042000000}"/>
    <cellStyle name="Normal 12 2" xfId="245" xr:uid="{00000000-0005-0000-0000-000043000000}"/>
    <cellStyle name="Normal 12 2 2" xfId="386" xr:uid="{00000000-0005-0000-0000-000044000000}"/>
    <cellStyle name="Normal 12 2 2 2" xfId="539" xr:uid="{00000000-0005-0000-0000-000045000000}"/>
    <cellStyle name="Normal 12 2 2 2 2" xfId="1664" xr:uid="{00000000-0005-0000-0000-000046000000}"/>
    <cellStyle name="Normal 12 2 2 3" xfId="1226" xr:uid="{00000000-0005-0000-0000-000047000000}"/>
    <cellStyle name="Normal 12 2 3" xfId="538" xr:uid="{00000000-0005-0000-0000-000048000000}"/>
    <cellStyle name="Normal 12 2 3 2" xfId="1524" xr:uid="{00000000-0005-0000-0000-000049000000}"/>
    <cellStyle name="Normal 12 2 4" xfId="1086" xr:uid="{00000000-0005-0000-0000-00004A000000}"/>
    <cellStyle name="Normal 12 3" xfId="315" xr:uid="{00000000-0005-0000-0000-00004B000000}"/>
    <cellStyle name="Normal 12 3 2" xfId="540" xr:uid="{00000000-0005-0000-0000-00004C000000}"/>
    <cellStyle name="Normal 12 3 2 2" xfId="1594" xr:uid="{00000000-0005-0000-0000-00004D000000}"/>
    <cellStyle name="Normal 12 3 3" xfId="1156" xr:uid="{00000000-0005-0000-0000-00004E000000}"/>
    <cellStyle name="Normal 12 4" xfId="456" xr:uid="{00000000-0005-0000-0000-00004F000000}"/>
    <cellStyle name="Normal 12 4 2" xfId="541" xr:uid="{00000000-0005-0000-0000-000050000000}"/>
    <cellStyle name="Normal 12 4 2 2" xfId="1734" xr:uid="{00000000-0005-0000-0000-000051000000}"/>
    <cellStyle name="Normal 12 4 3" xfId="1296" xr:uid="{00000000-0005-0000-0000-000052000000}"/>
    <cellStyle name="Normal 12 5" xfId="173" xr:uid="{00000000-0005-0000-0000-000053000000}"/>
    <cellStyle name="Normal 12 5 2" xfId="542" xr:uid="{00000000-0005-0000-0000-000054000000}"/>
    <cellStyle name="Normal 12 5 2 2" xfId="1454" xr:uid="{00000000-0005-0000-0000-000055000000}"/>
    <cellStyle name="Normal 12 5 3" xfId="1016" xr:uid="{00000000-0005-0000-0000-000056000000}"/>
    <cellStyle name="Normal 12 6" xfId="526" xr:uid="{00000000-0005-0000-0000-000057000000}"/>
    <cellStyle name="Normal 12 6 2" xfId="1384" xr:uid="{00000000-0005-0000-0000-000058000000}"/>
    <cellStyle name="Normal 12 7" xfId="946" xr:uid="{00000000-0005-0000-0000-000059000000}"/>
    <cellStyle name="Normal 12 8" xfId="1745" xr:uid="{A3061215-BABE-4CEF-B91C-CF10091138B7}"/>
    <cellStyle name="Normal 12 9" xfId="1753" xr:uid="{70CFB0E2-ADAE-49BF-BDD6-A003F82FF0D7}"/>
    <cellStyle name="Normal 12 9 2" xfId="1754" xr:uid="{D76B77A1-88D5-487B-9EBC-8073CE7B4034}"/>
    <cellStyle name="Normal 13" xfId="244" xr:uid="{00000000-0005-0000-0000-00005A000000}"/>
    <cellStyle name="Normal 13 2" xfId="385" xr:uid="{00000000-0005-0000-0000-00005B000000}"/>
    <cellStyle name="Normal 14" xfId="1313" xr:uid="{00000000-0005-0000-0000-00005C000000}"/>
    <cellStyle name="Normal 15" xfId="1312" xr:uid="{00000000-0005-0000-0000-00005D000000}"/>
    <cellStyle name="Normal 16" xfId="1742" xr:uid="{00000000-0005-0000-0000-00005E000000}"/>
    <cellStyle name="Normal 17" xfId="1743" xr:uid="{00000000-0005-0000-0000-00005F000000}"/>
    <cellStyle name="Normal 18" xfId="1744" xr:uid="{00000000-0005-0000-0000-000060000000}"/>
    <cellStyle name="Normal 19" xfId="1747" xr:uid="{A7556A72-2467-466E-92CC-F3B5C965FEC0}"/>
    <cellStyle name="Normal 2" xfId="1" xr:uid="{00000000-0005-0000-0000-000061000000}"/>
    <cellStyle name="Normal 2 15" xfId="1308" xr:uid="{00000000-0005-0000-0000-000062000000}"/>
    <cellStyle name="Normal 2 2" xfId="15" xr:uid="{00000000-0005-0000-0000-000063000000}"/>
    <cellStyle name="Normal 2 2 10" xfId="881" xr:uid="{00000000-0005-0000-0000-000064000000}"/>
    <cellStyle name="Normal 2 2 2" xfId="16" xr:uid="{00000000-0005-0000-0000-000065000000}"/>
    <cellStyle name="Normal 2 2 2 2" xfId="17" xr:uid="{00000000-0005-0000-0000-000066000000}"/>
    <cellStyle name="Normal 2 2 2 2 2" xfId="63" xr:uid="{00000000-0005-0000-0000-000067000000}"/>
    <cellStyle name="Normal 2 2 2 2 2 2" xfId="216" xr:uid="{00000000-0005-0000-0000-000068000000}"/>
    <cellStyle name="Normal 2 2 2 2 2 2 2" xfId="357" xr:uid="{00000000-0005-0000-0000-000069000000}"/>
    <cellStyle name="Normal 2 2 2 2 2 2 2 2" xfId="544" xr:uid="{00000000-0005-0000-0000-00006A000000}"/>
    <cellStyle name="Normal 2 2 2 2 2 2 2 2 2" xfId="1636" xr:uid="{00000000-0005-0000-0000-00006B000000}"/>
    <cellStyle name="Normal 2 2 2 2 2 2 2 3" xfId="1198" xr:uid="{00000000-0005-0000-0000-00006C000000}"/>
    <cellStyle name="Normal 2 2 2 2 2 2 3" xfId="543" xr:uid="{00000000-0005-0000-0000-00006D000000}"/>
    <cellStyle name="Normal 2 2 2 2 2 2 3 2" xfId="1496" xr:uid="{00000000-0005-0000-0000-00006E000000}"/>
    <cellStyle name="Normal 2 2 2 2 2 2 4" xfId="1058" xr:uid="{00000000-0005-0000-0000-00006F000000}"/>
    <cellStyle name="Normal 2 2 2 2 2 3" xfId="287" xr:uid="{00000000-0005-0000-0000-000070000000}"/>
    <cellStyle name="Normal 2 2 2 2 2 3 2" xfId="545" xr:uid="{00000000-0005-0000-0000-000071000000}"/>
    <cellStyle name="Normal 2 2 2 2 2 3 2 2" xfId="1566" xr:uid="{00000000-0005-0000-0000-000072000000}"/>
    <cellStyle name="Normal 2 2 2 2 2 3 3" xfId="1128" xr:uid="{00000000-0005-0000-0000-000073000000}"/>
    <cellStyle name="Normal 2 2 2 2 2 4" xfId="428" xr:uid="{00000000-0005-0000-0000-000074000000}"/>
    <cellStyle name="Normal 2 2 2 2 2 4 2" xfId="546" xr:uid="{00000000-0005-0000-0000-000075000000}"/>
    <cellStyle name="Normal 2 2 2 2 2 4 2 2" xfId="1706" xr:uid="{00000000-0005-0000-0000-000076000000}"/>
    <cellStyle name="Normal 2 2 2 2 2 4 3" xfId="1268" xr:uid="{00000000-0005-0000-0000-000077000000}"/>
    <cellStyle name="Normal 2 2 2 2 2 5" xfId="145" xr:uid="{00000000-0005-0000-0000-000078000000}"/>
    <cellStyle name="Normal 2 2 2 2 2 5 2" xfId="547" xr:uid="{00000000-0005-0000-0000-000079000000}"/>
    <cellStyle name="Normal 2 2 2 2 2 5 2 2" xfId="1426" xr:uid="{00000000-0005-0000-0000-00007A000000}"/>
    <cellStyle name="Normal 2 2 2 2 2 5 3" xfId="988" xr:uid="{00000000-0005-0000-0000-00007B000000}"/>
    <cellStyle name="Normal 2 2 2 2 2 6" xfId="498" xr:uid="{00000000-0005-0000-0000-00007C000000}"/>
    <cellStyle name="Normal 2 2 2 2 2 6 2" xfId="1356" xr:uid="{00000000-0005-0000-0000-00007D000000}"/>
    <cellStyle name="Normal 2 2 2 2 2 7" xfId="918" xr:uid="{00000000-0005-0000-0000-00007E000000}"/>
    <cellStyle name="Normal 2 2 2 2 3" xfId="180" xr:uid="{00000000-0005-0000-0000-00007F000000}"/>
    <cellStyle name="Normal 2 2 2 2 3 2" xfId="322" xr:uid="{00000000-0005-0000-0000-000080000000}"/>
    <cellStyle name="Normal 2 2 2 2 3 2 2" xfId="549" xr:uid="{00000000-0005-0000-0000-000081000000}"/>
    <cellStyle name="Normal 2 2 2 2 3 2 2 2" xfId="1601" xr:uid="{00000000-0005-0000-0000-000082000000}"/>
    <cellStyle name="Normal 2 2 2 2 3 2 3" xfId="1163" xr:uid="{00000000-0005-0000-0000-000083000000}"/>
    <cellStyle name="Normal 2 2 2 2 3 3" xfId="548" xr:uid="{00000000-0005-0000-0000-000084000000}"/>
    <cellStyle name="Normal 2 2 2 2 3 3 2" xfId="1461" xr:uid="{00000000-0005-0000-0000-000085000000}"/>
    <cellStyle name="Normal 2 2 2 2 3 4" xfId="1023" xr:uid="{00000000-0005-0000-0000-000086000000}"/>
    <cellStyle name="Normal 2 2 2 2 4" xfId="252" xr:uid="{00000000-0005-0000-0000-000087000000}"/>
    <cellStyle name="Normal 2 2 2 2 4 2" xfId="550" xr:uid="{00000000-0005-0000-0000-000088000000}"/>
    <cellStyle name="Normal 2 2 2 2 4 2 2" xfId="1531" xr:uid="{00000000-0005-0000-0000-000089000000}"/>
    <cellStyle name="Normal 2 2 2 2 4 3" xfId="1093" xr:uid="{00000000-0005-0000-0000-00008A000000}"/>
    <cellStyle name="Normal 2 2 2 2 5" xfId="393" xr:uid="{00000000-0005-0000-0000-00008B000000}"/>
    <cellStyle name="Normal 2 2 2 2 5 2" xfId="551" xr:uid="{00000000-0005-0000-0000-00008C000000}"/>
    <cellStyle name="Normal 2 2 2 2 5 2 2" xfId="1671" xr:uid="{00000000-0005-0000-0000-00008D000000}"/>
    <cellStyle name="Normal 2 2 2 2 5 3" xfId="1233" xr:uid="{00000000-0005-0000-0000-00008E000000}"/>
    <cellStyle name="Normal 2 2 2 2 6" xfId="109" xr:uid="{00000000-0005-0000-0000-00008F000000}"/>
    <cellStyle name="Normal 2 2 2 2 6 2" xfId="552" xr:uid="{00000000-0005-0000-0000-000090000000}"/>
    <cellStyle name="Normal 2 2 2 2 6 2 2" xfId="1391" xr:uid="{00000000-0005-0000-0000-000091000000}"/>
    <cellStyle name="Normal 2 2 2 2 6 3" xfId="953" xr:uid="{00000000-0005-0000-0000-000092000000}"/>
    <cellStyle name="Normal 2 2 2 2 7" xfId="463" xr:uid="{00000000-0005-0000-0000-000093000000}"/>
    <cellStyle name="Normal 2 2 2 2 7 2" xfId="1320" xr:uid="{00000000-0005-0000-0000-000094000000}"/>
    <cellStyle name="Normal 2 2 2 2 8" xfId="883" xr:uid="{00000000-0005-0000-0000-000095000000}"/>
    <cellStyle name="Normal 2 2 2 3" xfId="62" xr:uid="{00000000-0005-0000-0000-000096000000}"/>
    <cellStyle name="Normal 2 2 2 3 2" xfId="215" xr:uid="{00000000-0005-0000-0000-000097000000}"/>
    <cellStyle name="Normal 2 2 2 3 2 2" xfId="356" xr:uid="{00000000-0005-0000-0000-000098000000}"/>
    <cellStyle name="Normal 2 2 2 3 2 2 2" xfId="554" xr:uid="{00000000-0005-0000-0000-000099000000}"/>
    <cellStyle name="Normal 2 2 2 3 2 2 2 2" xfId="1635" xr:uid="{00000000-0005-0000-0000-00009A000000}"/>
    <cellStyle name="Normal 2 2 2 3 2 2 3" xfId="1197" xr:uid="{00000000-0005-0000-0000-00009B000000}"/>
    <cellStyle name="Normal 2 2 2 3 2 3" xfId="553" xr:uid="{00000000-0005-0000-0000-00009C000000}"/>
    <cellStyle name="Normal 2 2 2 3 2 3 2" xfId="1495" xr:uid="{00000000-0005-0000-0000-00009D000000}"/>
    <cellStyle name="Normal 2 2 2 3 2 4" xfId="1057" xr:uid="{00000000-0005-0000-0000-00009E000000}"/>
    <cellStyle name="Normal 2 2 2 3 3" xfId="286" xr:uid="{00000000-0005-0000-0000-00009F000000}"/>
    <cellStyle name="Normal 2 2 2 3 3 2" xfId="555" xr:uid="{00000000-0005-0000-0000-0000A0000000}"/>
    <cellStyle name="Normal 2 2 2 3 3 2 2" xfId="1565" xr:uid="{00000000-0005-0000-0000-0000A1000000}"/>
    <cellStyle name="Normal 2 2 2 3 3 3" xfId="1127" xr:uid="{00000000-0005-0000-0000-0000A2000000}"/>
    <cellStyle name="Normal 2 2 2 3 4" xfId="427" xr:uid="{00000000-0005-0000-0000-0000A3000000}"/>
    <cellStyle name="Normal 2 2 2 3 4 2" xfId="556" xr:uid="{00000000-0005-0000-0000-0000A4000000}"/>
    <cellStyle name="Normal 2 2 2 3 4 2 2" xfId="1705" xr:uid="{00000000-0005-0000-0000-0000A5000000}"/>
    <cellStyle name="Normal 2 2 2 3 4 3" xfId="1267" xr:uid="{00000000-0005-0000-0000-0000A6000000}"/>
    <cellStyle name="Normal 2 2 2 3 5" xfId="144" xr:uid="{00000000-0005-0000-0000-0000A7000000}"/>
    <cellStyle name="Normal 2 2 2 3 5 2" xfId="557" xr:uid="{00000000-0005-0000-0000-0000A8000000}"/>
    <cellStyle name="Normal 2 2 2 3 5 2 2" xfId="1425" xr:uid="{00000000-0005-0000-0000-0000A9000000}"/>
    <cellStyle name="Normal 2 2 2 3 5 3" xfId="987" xr:uid="{00000000-0005-0000-0000-0000AA000000}"/>
    <cellStyle name="Normal 2 2 2 3 6" xfId="497" xr:uid="{00000000-0005-0000-0000-0000AB000000}"/>
    <cellStyle name="Normal 2 2 2 3 6 2" xfId="1355" xr:uid="{00000000-0005-0000-0000-0000AC000000}"/>
    <cellStyle name="Normal 2 2 2 3 7" xfId="917" xr:uid="{00000000-0005-0000-0000-0000AD000000}"/>
    <cellStyle name="Normal 2 2 2 4" xfId="179" xr:uid="{00000000-0005-0000-0000-0000AE000000}"/>
    <cellStyle name="Normal 2 2 2 4 2" xfId="321" xr:uid="{00000000-0005-0000-0000-0000AF000000}"/>
    <cellStyle name="Normal 2 2 2 4 2 2" xfId="559" xr:uid="{00000000-0005-0000-0000-0000B0000000}"/>
    <cellStyle name="Normal 2 2 2 4 2 2 2" xfId="1600" xr:uid="{00000000-0005-0000-0000-0000B1000000}"/>
    <cellStyle name="Normal 2 2 2 4 2 3" xfId="1162" xr:uid="{00000000-0005-0000-0000-0000B2000000}"/>
    <cellStyle name="Normal 2 2 2 4 3" xfId="558" xr:uid="{00000000-0005-0000-0000-0000B3000000}"/>
    <cellStyle name="Normal 2 2 2 4 3 2" xfId="1460" xr:uid="{00000000-0005-0000-0000-0000B4000000}"/>
    <cellStyle name="Normal 2 2 2 4 4" xfId="1022" xr:uid="{00000000-0005-0000-0000-0000B5000000}"/>
    <cellStyle name="Normal 2 2 2 5" xfId="251" xr:uid="{00000000-0005-0000-0000-0000B6000000}"/>
    <cellStyle name="Normal 2 2 2 5 2" xfId="560" xr:uid="{00000000-0005-0000-0000-0000B7000000}"/>
    <cellStyle name="Normal 2 2 2 5 2 2" xfId="1530" xr:uid="{00000000-0005-0000-0000-0000B8000000}"/>
    <cellStyle name="Normal 2 2 2 5 3" xfId="1092" xr:uid="{00000000-0005-0000-0000-0000B9000000}"/>
    <cellStyle name="Normal 2 2 2 6" xfId="392" xr:uid="{00000000-0005-0000-0000-0000BA000000}"/>
    <cellStyle name="Normal 2 2 2 6 2" xfId="561" xr:uid="{00000000-0005-0000-0000-0000BB000000}"/>
    <cellStyle name="Normal 2 2 2 6 2 2" xfId="1670" xr:uid="{00000000-0005-0000-0000-0000BC000000}"/>
    <cellStyle name="Normal 2 2 2 6 3" xfId="1232" xr:uid="{00000000-0005-0000-0000-0000BD000000}"/>
    <cellStyle name="Normal 2 2 2 7" xfId="108" xr:uid="{00000000-0005-0000-0000-0000BE000000}"/>
    <cellStyle name="Normal 2 2 2 7 2" xfId="562" xr:uid="{00000000-0005-0000-0000-0000BF000000}"/>
    <cellStyle name="Normal 2 2 2 7 2 2" xfId="1390" xr:uid="{00000000-0005-0000-0000-0000C0000000}"/>
    <cellStyle name="Normal 2 2 2 7 3" xfId="952" xr:uid="{00000000-0005-0000-0000-0000C1000000}"/>
    <cellStyle name="Normal 2 2 2 8" xfId="462" xr:uid="{00000000-0005-0000-0000-0000C2000000}"/>
    <cellStyle name="Normal 2 2 2 8 2" xfId="1319" xr:uid="{00000000-0005-0000-0000-0000C3000000}"/>
    <cellStyle name="Normal 2 2 2 9" xfId="882" xr:uid="{00000000-0005-0000-0000-0000C4000000}"/>
    <cellStyle name="Normal 2 2 3" xfId="18" xr:uid="{00000000-0005-0000-0000-0000C5000000}"/>
    <cellStyle name="Normal 2 2 3 2" xfId="64" xr:uid="{00000000-0005-0000-0000-0000C6000000}"/>
    <cellStyle name="Normal 2 2 3 2 2" xfId="217" xr:uid="{00000000-0005-0000-0000-0000C7000000}"/>
    <cellStyle name="Normal 2 2 3 2 2 2" xfId="358" xr:uid="{00000000-0005-0000-0000-0000C8000000}"/>
    <cellStyle name="Normal 2 2 3 2 2 2 2" xfId="564" xr:uid="{00000000-0005-0000-0000-0000C9000000}"/>
    <cellStyle name="Normal 2 2 3 2 2 2 2 2" xfId="1637" xr:uid="{00000000-0005-0000-0000-0000CA000000}"/>
    <cellStyle name="Normal 2 2 3 2 2 2 3" xfId="1199" xr:uid="{00000000-0005-0000-0000-0000CB000000}"/>
    <cellStyle name="Normal 2 2 3 2 2 3" xfId="563" xr:uid="{00000000-0005-0000-0000-0000CC000000}"/>
    <cellStyle name="Normal 2 2 3 2 2 3 2" xfId="1497" xr:uid="{00000000-0005-0000-0000-0000CD000000}"/>
    <cellStyle name="Normal 2 2 3 2 2 4" xfId="1059" xr:uid="{00000000-0005-0000-0000-0000CE000000}"/>
    <cellStyle name="Normal 2 2 3 2 3" xfId="288" xr:uid="{00000000-0005-0000-0000-0000CF000000}"/>
    <cellStyle name="Normal 2 2 3 2 3 2" xfId="565" xr:uid="{00000000-0005-0000-0000-0000D0000000}"/>
    <cellStyle name="Normal 2 2 3 2 3 2 2" xfId="1567" xr:uid="{00000000-0005-0000-0000-0000D1000000}"/>
    <cellStyle name="Normal 2 2 3 2 3 3" xfId="1129" xr:uid="{00000000-0005-0000-0000-0000D2000000}"/>
    <cellStyle name="Normal 2 2 3 2 4" xfId="429" xr:uid="{00000000-0005-0000-0000-0000D3000000}"/>
    <cellStyle name="Normal 2 2 3 2 4 2" xfId="566" xr:uid="{00000000-0005-0000-0000-0000D4000000}"/>
    <cellStyle name="Normal 2 2 3 2 4 2 2" xfId="1707" xr:uid="{00000000-0005-0000-0000-0000D5000000}"/>
    <cellStyle name="Normal 2 2 3 2 4 3" xfId="1269" xr:uid="{00000000-0005-0000-0000-0000D6000000}"/>
    <cellStyle name="Normal 2 2 3 2 5" xfId="146" xr:uid="{00000000-0005-0000-0000-0000D7000000}"/>
    <cellStyle name="Normal 2 2 3 2 5 2" xfId="567" xr:uid="{00000000-0005-0000-0000-0000D8000000}"/>
    <cellStyle name="Normal 2 2 3 2 5 2 2" xfId="1427" xr:uid="{00000000-0005-0000-0000-0000D9000000}"/>
    <cellStyle name="Normal 2 2 3 2 5 3" xfId="989" xr:uid="{00000000-0005-0000-0000-0000DA000000}"/>
    <cellStyle name="Normal 2 2 3 2 6" xfId="499" xr:uid="{00000000-0005-0000-0000-0000DB000000}"/>
    <cellStyle name="Normal 2 2 3 2 6 2" xfId="1357" xr:uid="{00000000-0005-0000-0000-0000DC000000}"/>
    <cellStyle name="Normal 2 2 3 2 7" xfId="919" xr:uid="{00000000-0005-0000-0000-0000DD000000}"/>
    <cellStyle name="Normal 2 2 3 3" xfId="181" xr:uid="{00000000-0005-0000-0000-0000DE000000}"/>
    <cellStyle name="Normal 2 2 3 3 2" xfId="323" xr:uid="{00000000-0005-0000-0000-0000DF000000}"/>
    <cellStyle name="Normal 2 2 3 3 2 2" xfId="569" xr:uid="{00000000-0005-0000-0000-0000E0000000}"/>
    <cellStyle name="Normal 2 2 3 3 2 2 2" xfId="1602" xr:uid="{00000000-0005-0000-0000-0000E1000000}"/>
    <cellStyle name="Normal 2 2 3 3 2 3" xfId="1164" xr:uid="{00000000-0005-0000-0000-0000E2000000}"/>
    <cellStyle name="Normal 2 2 3 3 3" xfId="568" xr:uid="{00000000-0005-0000-0000-0000E3000000}"/>
    <cellStyle name="Normal 2 2 3 3 3 2" xfId="1462" xr:uid="{00000000-0005-0000-0000-0000E4000000}"/>
    <cellStyle name="Normal 2 2 3 3 4" xfId="1024" xr:uid="{00000000-0005-0000-0000-0000E5000000}"/>
    <cellStyle name="Normal 2 2 3 4" xfId="253" xr:uid="{00000000-0005-0000-0000-0000E6000000}"/>
    <cellStyle name="Normal 2 2 3 4 2" xfId="570" xr:uid="{00000000-0005-0000-0000-0000E7000000}"/>
    <cellStyle name="Normal 2 2 3 4 2 2" xfId="1532" xr:uid="{00000000-0005-0000-0000-0000E8000000}"/>
    <cellStyle name="Normal 2 2 3 4 3" xfId="1094" xr:uid="{00000000-0005-0000-0000-0000E9000000}"/>
    <cellStyle name="Normal 2 2 3 5" xfId="394" xr:uid="{00000000-0005-0000-0000-0000EA000000}"/>
    <cellStyle name="Normal 2 2 3 5 2" xfId="571" xr:uid="{00000000-0005-0000-0000-0000EB000000}"/>
    <cellStyle name="Normal 2 2 3 5 2 2" xfId="1672" xr:uid="{00000000-0005-0000-0000-0000EC000000}"/>
    <cellStyle name="Normal 2 2 3 5 3" xfId="1234" xr:uid="{00000000-0005-0000-0000-0000ED000000}"/>
    <cellStyle name="Normal 2 2 3 6" xfId="110" xr:uid="{00000000-0005-0000-0000-0000EE000000}"/>
    <cellStyle name="Normal 2 2 3 6 2" xfId="572" xr:uid="{00000000-0005-0000-0000-0000EF000000}"/>
    <cellStyle name="Normal 2 2 3 6 2 2" xfId="1392" xr:uid="{00000000-0005-0000-0000-0000F0000000}"/>
    <cellStyle name="Normal 2 2 3 6 3" xfId="954" xr:uid="{00000000-0005-0000-0000-0000F1000000}"/>
    <cellStyle name="Normal 2 2 3 7" xfId="464" xr:uid="{00000000-0005-0000-0000-0000F2000000}"/>
    <cellStyle name="Normal 2 2 3 7 2" xfId="1321" xr:uid="{00000000-0005-0000-0000-0000F3000000}"/>
    <cellStyle name="Normal 2 2 3 8" xfId="884" xr:uid="{00000000-0005-0000-0000-0000F4000000}"/>
    <cellStyle name="Normal 2 2 4" xfId="61" xr:uid="{00000000-0005-0000-0000-0000F5000000}"/>
    <cellStyle name="Normal 2 2 4 2" xfId="214" xr:uid="{00000000-0005-0000-0000-0000F6000000}"/>
    <cellStyle name="Normal 2 2 4 2 2" xfId="355" xr:uid="{00000000-0005-0000-0000-0000F7000000}"/>
    <cellStyle name="Normal 2 2 4 2 2 2" xfId="574" xr:uid="{00000000-0005-0000-0000-0000F8000000}"/>
    <cellStyle name="Normal 2 2 4 2 2 2 2" xfId="1634" xr:uid="{00000000-0005-0000-0000-0000F9000000}"/>
    <cellStyle name="Normal 2 2 4 2 2 3" xfId="1196" xr:uid="{00000000-0005-0000-0000-0000FA000000}"/>
    <cellStyle name="Normal 2 2 4 2 3" xfId="573" xr:uid="{00000000-0005-0000-0000-0000FB000000}"/>
    <cellStyle name="Normal 2 2 4 2 3 2" xfId="1494" xr:uid="{00000000-0005-0000-0000-0000FC000000}"/>
    <cellStyle name="Normal 2 2 4 2 4" xfId="1056" xr:uid="{00000000-0005-0000-0000-0000FD000000}"/>
    <cellStyle name="Normal 2 2 4 3" xfId="285" xr:uid="{00000000-0005-0000-0000-0000FE000000}"/>
    <cellStyle name="Normal 2 2 4 3 2" xfId="575" xr:uid="{00000000-0005-0000-0000-0000FF000000}"/>
    <cellStyle name="Normal 2 2 4 3 2 2" xfId="1564" xr:uid="{00000000-0005-0000-0000-000000010000}"/>
    <cellStyle name="Normal 2 2 4 3 3" xfId="1126" xr:uid="{00000000-0005-0000-0000-000001010000}"/>
    <cellStyle name="Normal 2 2 4 4" xfId="426" xr:uid="{00000000-0005-0000-0000-000002010000}"/>
    <cellStyle name="Normal 2 2 4 4 2" xfId="576" xr:uid="{00000000-0005-0000-0000-000003010000}"/>
    <cellStyle name="Normal 2 2 4 4 2 2" xfId="1704" xr:uid="{00000000-0005-0000-0000-000004010000}"/>
    <cellStyle name="Normal 2 2 4 4 3" xfId="1266" xr:uid="{00000000-0005-0000-0000-000005010000}"/>
    <cellStyle name="Normal 2 2 4 5" xfId="143" xr:uid="{00000000-0005-0000-0000-000006010000}"/>
    <cellStyle name="Normal 2 2 4 5 2" xfId="577" xr:uid="{00000000-0005-0000-0000-000007010000}"/>
    <cellStyle name="Normal 2 2 4 5 2 2" xfId="1424" xr:uid="{00000000-0005-0000-0000-000008010000}"/>
    <cellStyle name="Normal 2 2 4 5 3" xfId="986" xr:uid="{00000000-0005-0000-0000-000009010000}"/>
    <cellStyle name="Normal 2 2 4 6" xfId="496" xr:uid="{00000000-0005-0000-0000-00000A010000}"/>
    <cellStyle name="Normal 2 2 4 6 2" xfId="1354" xr:uid="{00000000-0005-0000-0000-00000B010000}"/>
    <cellStyle name="Normal 2 2 4 7" xfId="916" xr:uid="{00000000-0005-0000-0000-00000C010000}"/>
    <cellStyle name="Normal 2 2 5" xfId="178" xr:uid="{00000000-0005-0000-0000-00000D010000}"/>
    <cellStyle name="Normal 2 2 5 2" xfId="320" xr:uid="{00000000-0005-0000-0000-00000E010000}"/>
    <cellStyle name="Normal 2 2 5 2 2" xfId="579" xr:uid="{00000000-0005-0000-0000-00000F010000}"/>
    <cellStyle name="Normal 2 2 5 2 2 2" xfId="1599" xr:uid="{00000000-0005-0000-0000-000010010000}"/>
    <cellStyle name="Normal 2 2 5 2 3" xfId="1161" xr:uid="{00000000-0005-0000-0000-000011010000}"/>
    <cellStyle name="Normal 2 2 5 3" xfId="578" xr:uid="{00000000-0005-0000-0000-000012010000}"/>
    <cellStyle name="Normal 2 2 5 3 2" xfId="1459" xr:uid="{00000000-0005-0000-0000-000013010000}"/>
    <cellStyle name="Normal 2 2 5 4" xfId="1021" xr:uid="{00000000-0005-0000-0000-000014010000}"/>
    <cellStyle name="Normal 2 2 6" xfId="250" xr:uid="{00000000-0005-0000-0000-000015010000}"/>
    <cellStyle name="Normal 2 2 6 2" xfId="580" xr:uid="{00000000-0005-0000-0000-000016010000}"/>
    <cellStyle name="Normal 2 2 6 2 2" xfId="1529" xr:uid="{00000000-0005-0000-0000-000017010000}"/>
    <cellStyle name="Normal 2 2 6 3" xfId="1091" xr:uid="{00000000-0005-0000-0000-000018010000}"/>
    <cellStyle name="Normal 2 2 7" xfId="391" xr:uid="{00000000-0005-0000-0000-000019010000}"/>
    <cellStyle name="Normal 2 2 7 2" xfId="581" xr:uid="{00000000-0005-0000-0000-00001A010000}"/>
    <cellStyle name="Normal 2 2 7 2 2" xfId="1669" xr:uid="{00000000-0005-0000-0000-00001B010000}"/>
    <cellStyle name="Normal 2 2 7 3" xfId="1231" xr:uid="{00000000-0005-0000-0000-00001C010000}"/>
    <cellStyle name="Normal 2 2 8" xfId="107" xr:uid="{00000000-0005-0000-0000-00001D010000}"/>
    <cellStyle name="Normal 2 2 8 2" xfId="582" xr:uid="{00000000-0005-0000-0000-00001E010000}"/>
    <cellStyle name="Normal 2 2 8 2 2" xfId="1389" xr:uid="{00000000-0005-0000-0000-00001F010000}"/>
    <cellStyle name="Normal 2 2 8 3" xfId="951" xr:uid="{00000000-0005-0000-0000-000020010000}"/>
    <cellStyle name="Normal 2 2 9" xfId="461" xr:uid="{00000000-0005-0000-0000-000021010000}"/>
    <cellStyle name="Normal 2 2 9 2" xfId="1318" xr:uid="{00000000-0005-0000-0000-000022010000}"/>
    <cellStyle name="Normal 2 3" xfId="7" xr:uid="{00000000-0005-0000-0000-000023010000}"/>
    <cellStyle name="Normal 2 4" xfId="19" xr:uid="{00000000-0005-0000-0000-000024010000}"/>
    <cellStyle name="Normal 2 4 2" xfId="20" xr:uid="{00000000-0005-0000-0000-000025010000}"/>
    <cellStyle name="Normal 2 4 2 2" xfId="66" xr:uid="{00000000-0005-0000-0000-000026010000}"/>
    <cellStyle name="Normal 2 4 2 2 2" xfId="219" xr:uid="{00000000-0005-0000-0000-000027010000}"/>
    <cellStyle name="Normal 2 4 2 2 2 2" xfId="360" xr:uid="{00000000-0005-0000-0000-000028010000}"/>
    <cellStyle name="Normal 2 4 2 2 2 2 2" xfId="584" xr:uid="{00000000-0005-0000-0000-000029010000}"/>
    <cellStyle name="Normal 2 4 2 2 2 2 2 2" xfId="1639" xr:uid="{00000000-0005-0000-0000-00002A010000}"/>
    <cellStyle name="Normal 2 4 2 2 2 2 3" xfId="1201" xr:uid="{00000000-0005-0000-0000-00002B010000}"/>
    <cellStyle name="Normal 2 4 2 2 2 3" xfId="583" xr:uid="{00000000-0005-0000-0000-00002C010000}"/>
    <cellStyle name="Normal 2 4 2 2 2 3 2" xfId="1499" xr:uid="{00000000-0005-0000-0000-00002D010000}"/>
    <cellStyle name="Normal 2 4 2 2 2 4" xfId="1061" xr:uid="{00000000-0005-0000-0000-00002E010000}"/>
    <cellStyle name="Normal 2 4 2 2 3" xfId="290" xr:uid="{00000000-0005-0000-0000-00002F010000}"/>
    <cellStyle name="Normal 2 4 2 2 3 2" xfId="585" xr:uid="{00000000-0005-0000-0000-000030010000}"/>
    <cellStyle name="Normal 2 4 2 2 3 2 2" xfId="1569" xr:uid="{00000000-0005-0000-0000-000031010000}"/>
    <cellStyle name="Normal 2 4 2 2 3 3" xfId="1131" xr:uid="{00000000-0005-0000-0000-000032010000}"/>
    <cellStyle name="Normal 2 4 2 2 4" xfId="431" xr:uid="{00000000-0005-0000-0000-000033010000}"/>
    <cellStyle name="Normal 2 4 2 2 4 2" xfId="586" xr:uid="{00000000-0005-0000-0000-000034010000}"/>
    <cellStyle name="Normal 2 4 2 2 4 2 2" xfId="1709" xr:uid="{00000000-0005-0000-0000-000035010000}"/>
    <cellStyle name="Normal 2 4 2 2 4 3" xfId="1271" xr:uid="{00000000-0005-0000-0000-000036010000}"/>
    <cellStyle name="Normal 2 4 2 2 5" xfId="148" xr:uid="{00000000-0005-0000-0000-000037010000}"/>
    <cellStyle name="Normal 2 4 2 2 5 2" xfId="587" xr:uid="{00000000-0005-0000-0000-000038010000}"/>
    <cellStyle name="Normal 2 4 2 2 5 2 2" xfId="1429" xr:uid="{00000000-0005-0000-0000-000039010000}"/>
    <cellStyle name="Normal 2 4 2 2 5 3" xfId="991" xr:uid="{00000000-0005-0000-0000-00003A010000}"/>
    <cellStyle name="Normal 2 4 2 2 6" xfId="501" xr:uid="{00000000-0005-0000-0000-00003B010000}"/>
    <cellStyle name="Normal 2 4 2 2 6 2" xfId="1359" xr:uid="{00000000-0005-0000-0000-00003C010000}"/>
    <cellStyle name="Normal 2 4 2 2 7" xfId="921" xr:uid="{00000000-0005-0000-0000-00003D010000}"/>
    <cellStyle name="Normal 2 4 2 3" xfId="183" xr:uid="{00000000-0005-0000-0000-00003E010000}"/>
    <cellStyle name="Normal 2 4 2 3 2" xfId="325" xr:uid="{00000000-0005-0000-0000-00003F010000}"/>
    <cellStyle name="Normal 2 4 2 3 2 2" xfId="589" xr:uid="{00000000-0005-0000-0000-000040010000}"/>
    <cellStyle name="Normal 2 4 2 3 2 2 2" xfId="1604" xr:uid="{00000000-0005-0000-0000-000041010000}"/>
    <cellStyle name="Normal 2 4 2 3 2 3" xfId="1166" xr:uid="{00000000-0005-0000-0000-000042010000}"/>
    <cellStyle name="Normal 2 4 2 3 3" xfId="588" xr:uid="{00000000-0005-0000-0000-000043010000}"/>
    <cellStyle name="Normal 2 4 2 3 3 2" xfId="1464" xr:uid="{00000000-0005-0000-0000-000044010000}"/>
    <cellStyle name="Normal 2 4 2 3 4" xfId="1026" xr:uid="{00000000-0005-0000-0000-000045010000}"/>
    <cellStyle name="Normal 2 4 2 4" xfId="255" xr:uid="{00000000-0005-0000-0000-000046010000}"/>
    <cellStyle name="Normal 2 4 2 4 2" xfId="590" xr:uid="{00000000-0005-0000-0000-000047010000}"/>
    <cellStyle name="Normal 2 4 2 4 2 2" xfId="1534" xr:uid="{00000000-0005-0000-0000-000048010000}"/>
    <cellStyle name="Normal 2 4 2 4 3" xfId="1096" xr:uid="{00000000-0005-0000-0000-000049010000}"/>
    <cellStyle name="Normal 2 4 2 5" xfId="396" xr:uid="{00000000-0005-0000-0000-00004A010000}"/>
    <cellStyle name="Normal 2 4 2 5 2" xfId="591" xr:uid="{00000000-0005-0000-0000-00004B010000}"/>
    <cellStyle name="Normal 2 4 2 5 2 2" xfId="1674" xr:uid="{00000000-0005-0000-0000-00004C010000}"/>
    <cellStyle name="Normal 2 4 2 5 3" xfId="1236" xr:uid="{00000000-0005-0000-0000-00004D010000}"/>
    <cellStyle name="Normal 2 4 2 6" xfId="112" xr:uid="{00000000-0005-0000-0000-00004E010000}"/>
    <cellStyle name="Normal 2 4 2 6 2" xfId="592" xr:uid="{00000000-0005-0000-0000-00004F010000}"/>
    <cellStyle name="Normal 2 4 2 6 2 2" xfId="1394" xr:uid="{00000000-0005-0000-0000-000050010000}"/>
    <cellStyle name="Normal 2 4 2 6 3" xfId="956" xr:uid="{00000000-0005-0000-0000-000051010000}"/>
    <cellStyle name="Normal 2 4 2 7" xfId="466" xr:uid="{00000000-0005-0000-0000-000052010000}"/>
    <cellStyle name="Normal 2 4 2 7 2" xfId="1323" xr:uid="{00000000-0005-0000-0000-000053010000}"/>
    <cellStyle name="Normal 2 4 2 8" xfId="886" xr:uid="{00000000-0005-0000-0000-000054010000}"/>
    <cellStyle name="Normal 2 4 3" xfId="65" xr:uid="{00000000-0005-0000-0000-000055010000}"/>
    <cellStyle name="Normal 2 4 3 2" xfId="218" xr:uid="{00000000-0005-0000-0000-000056010000}"/>
    <cellStyle name="Normal 2 4 3 2 2" xfId="359" xr:uid="{00000000-0005-0000-0000-000057010000}"/>
    <cellStyle name="Normal 2 4 3 2 2 2" xfId="594" xr:uid="{00000000-0005-0000-0000-000058010000}"/>
    <cellStyle name="Normal 2 4 3 2 2 2 2" xfId="1638" xr:uid="{00000000-0005-0000-0000-000059010000}"/>
    <cellStyle name="Normal 2 4 3 2 2 3" xfId="1200" xr:uid="{00000000-0005-0000-0000-00005A010000}"/>
    <cellStyle name="Normal 2 4 3 2 3" xfId="593" xr:uid="{00000000-0005-0000-0000-00005B010000}"/>
    <cellStyle name="Normal 2 4 3 2 3 2" xfId="1498" xr:uid="{00000000-0005-0000-0000-00005C010000}"/>
    <cellStyle name="Normal 2 4 3 2 4" xfId="1060" xr:uid="{00000000-0005-0000-0000-00005D010000}"/>
    <cellStyle name="Normal 2 4 3 3" xfId="289" xr:uid="{00000000-0005-0000-0000-00005E010000}"/>
    <cellStyle name="Normal 2 4 3 3 2" xfId="595" xr:uid="{00000000-0005-0000-0000-00005F010000}"/>
    <cellStyle name="Normal 2 4 3 3 2 2" xfId="1568" xr:uid="{00000000-0005-0000-0000-000060010000}"/>
    <cellStyle name="Normal 2 4 3 3 3" xfId="1130" xr:uid="{00000000-0005-0000-0000-000061010000}"/>
    <cellStyle name="Normal 2 4 3 4" xfId="430" xr:uid="{00000000-0005-0000-0000-000062010000}"/>
    <cellStyle name="Normal 2 4 3 4 2" xfId="596" xr:uid="{00000000-0005-0000-0000-000063010000}"/>
    <cellStyle name="Normal 2 4 3 4 2 2" xfId="1708" xr:uid="{00000000-0005-0000-0000-000064010000}"/>
    <cellStyle name="Normal 2 4 3 4 3" xfId="1270" xr:uid="{00000000-0005-0000-0000-000065010000}"/>
    <cellStyle name="Normal 2 4 3 5" xfId="147" xr:uid="{00000000-0005-0000-0000-000066010000}"/>
    <cellStyle name="Normal 2 4 3 5 2" xfId="597" xr:uid="{00000000-0005-0000-0000-000067010000}"/>
    <cellStyle name="Normal 2 4 3 5 2 2" xfId="1428" xr:uid="{00000000-0005-0000-0000-000068010000}"/>
    <cellStyle name="Normal 2 4 3 5 3" xfId="990" xr:uid="{00000000-0005-0000-0000-000069010000}"/>
    <cellStyle name="Normal 2 4 3 6" xfId="500" xr:uid="{00000000-0005-0000-0000-00006A010000}"/>
    <cellStyle name="Normal 2 4 3 6 2" xfId="1358" xr:uid="{00000000-0005-0000-0000-00006B010000}"/>
    <cellStyle name="Normal 2 4 3 7" xfId="920" xr:uid="{00000000-0005-0000-0000-00006C010000}"/>
    <cellStyle name="Normal 2 4 4" xfId="182" xr:uid="{00000000-0005-0000-0000-00006D010000}"/>
    <cellStyle name="Normal 2 4 4 2" xfId="324" xr:uid="{00000000-0005-0000-0000-00006E010000}"/>
    <cellStyle name="Normal 2 4 4 2 2" xfId="599" xr:uid="{00000000-0005-0000-0000-00006F010000}"/>
    <cellStyle name="Normal 2 4 4 2 2 2" xfId="1603" xr:uid="{00000000-0005-0000-0000-000070010000}"/>
    <cellStyle name="Normal 2 4 4 2 3" xfId="1165" xr:uid="{00000000-0005-0000-0000-000071010000}"/>
    <cellStyle name="Normal 2 4 4 3" xfId="598" xr:uid="{00000000-0005-0000-0000-000072010000}"/>
    <cellStyle name="Normal 2 4 4 3 2" xfId="1463" xr:uid="{00000000-0005-0000-0000-000073010000}"/>
    <cellStyle name="Normal 2 4 4 4" xfId="1025" xr:uid="{00000000-0005-0000-0000-000074010000}"/>
    <cellStyle name="Normal 2 4 5" xfId="254" xr:uid="{00000000-0005-0000-0000-000075010000}"/>
    <cellStyle name="Normal 2 4 5 2" xfId="600" xr:uid="{00000000-0005-0000-0000-000076010000}"/>
    <cellStyle name="Normal 2 4 5 2 2" xfId="1533" xr:uid="{00000000-0005-0000-0000-000077010000}"/>
    <cellStyle name="Normal 2 4 5 3" xfId="1095" xr:uid="{00000000-0005-0000-0000-000078010000}"/>
    <cellStyle name="Normal 2 4 6" xfId="395" xr:uid="{00000000-0005-0000-0000-000079010000}"/>
    <cellStyle name="Normal 2 4 6 2" xfId="601" xr:uid="{00000000-0005-0000-0000-00007A010000}"/>
    <cellStyle name="Normal 2 4 6 2 2" xfId="1673" xr:uid="{00000000-0005-0000-0000-00007B010000}"/>
    <cellStyle name="Normal 2 4 6 3" xfId="1235" xr:uid="{00000000-0005-0000-0000-00007C010000}"/>
    <cellStyle name="Normal 2 4 7" xfId="111" xr:uid="{00000000-0005-0000-0000-00007D010000}"/>
    <cellStyle name="Normal 2 4 7 2" xfId="602" xr:uid="{00000000-0005-0000-0000-00007E010000}"/>
    <cellStyle name="Normal 2 4 7 2 2" xfId="1393" xr:uid="{00000000-0005-0000-0000-00007F010000}"/>
    <cellStyle name="Normal 2 4 7 3" xfId="955" xr:uid="{00000000-0005-0000-0000-000080010000}"/>
    <cellStyle name="Normal 2 4 8" xfId="465" xr:uid="{00000000-0005-0000-0000-000081010000}"/>
    <cellStyle name="Normal 2 4 8 2" xfId="1322" xr:uid="{00000000-0005-0000-0000-000082010000}"/>
    <cellStyle name="Normal 2 4 9" xfId="885" xr:uid="{00000000-0005-0000-0000-000083010000}"/>
    <cellStyle name="Normal 2 5" xfId="21" xr:uid="{00000000-0005-0000-0000-000084010000}"/>
    <cellStyle name="Normal 2 5 2" xfId="67" xr:uid="{00000000-0005-0000-0000-000085010000}"/>
    <cellStyle name="Normal 2 5 2 2" xfId="220" xr:uid="{00000000-0005-0000-0000-000086010000}"/>
    <cellStyle name="Normal 2 5 2 2 2" xfId="361" xr:uid="{00000000-0005-0000-0000-000087010000}"/>
    <cellStyle name="Normal 2 5 2 2 2 2" xfId="604" xr:uid="{00000000-0005-0000-0000-000088010000}"/>
    <cellStyle name="Normal 2 5 2 2 2 2 2" xfId="1640" xr:uid="{00000000-0005-0000-0000-000089010000}"/>
    <cellStyle name="Normal 2 5 2 2 2 3" xfId="1202" xr:uid="{00000000-0005-0000-0000-00008A010000}"/>
    <cellStyle name="Normal 2 5 2 2 3" xfId="603" xr:uid="{00000000-0005-0000-0000-00008B010000}"/>
    <cellStyle name="Normal 2 5 2 2 3 2" xfId="1500" xr:uid="{00000000-0005-0000-0000-00008C010000}"/>
    <cellStyle name="Normal 2 5 2 2 4" xfId="1062" xr:uid="{00000000-0005-0000-0000-00008D010000}"/>
    <cellStyle name="Normal 2 5 2 3" xfId="291" xr:uid="{00000000-0005-0000-0000-00008E010000}"/>
    <cellStyle name="Normal 2 5 2 3 2" xfId="605" xr:uid="{00000000-0005-0000-0000-00008F010000}"/>
    <cellStyle name="Normal 2 5 2 3 2 2" xfId="1570" xr:uid="{00000000-0005-0000-0000-000090010000}"/>
    <cellStyle name="Normal 2 5 2 3 3" xfId="1132" xr:uid="{00000000-0005-0000-0000-000091010000}"/>
    <cellStyle name="Normal 2 5 2 4" xfId="432" xr:uid="{00000000-0005-0000-0000-000092010000}"/>
    <cellStyle name="Normal 2 5 2 4 2" xfId="606" xr:uid="{00000000-0005-0000-0000-000093010000}"/>
    <cellStyle name="Normal 2 5 2 4 2 2" xfId="1710" xr:uid="{00000000-0005-0000-0000-000094010000}"/>
    <cellStyle name="Normal 2 5 2 4 3" xfId="1272" xr:uid="{00000000-0005-0000-0000-000095010000}"/>
    <cellStyle name="Normal 2 5 2 5" xfId="149" xr:uid="{00000000-0005-0000-0000-000096010000}"/>
    <cellStyle name="Normal 2 5 2 5 2" xfId="607" xr:uid="{00000000-0005-0000-0000-000097010000}"/>
    <cellStyle name="Normal 2 5 2 5 2 2" xfId="1430" xr:uid="{00000000-0005-0000-0000-000098010000}"/>
    <cellStyle name="Normal 2 5 2 5 3" xfId="992" xr:uid="{00000000-0005-0000-0000-000099010000}"/>
    <cellStyle name="Normal 2 5 2 6" xfId="502" xr:uid="{00000000-0005-0000-0000-00009A010000}"/>
    <cellStyle name="Normal 2 5 2 6 2" xfId="1360" xr:uid="{00000000-0005-0000-0000-00009B010000}"/>
    <cellStyle name="Normal 2 5 2 7" xfId="922" xr:uid="{00000000-0005-0000-0000-00009C010000}"/>
    <cellStyle name="Normal 2 5 3" xfId="184" xr:uid="{00000000-0005-0000-0000-00009D010000}"/>
    <cellStyle name="Normal 2 5 3 2" xfId="326" xr:uid="{00000000-0005-0000-0000-00009E010000}"/>
    <cellStyle name="Normal 2 5 3 2 2" xfId="609" xr:uid="{00000000-0005-0000-0000-00009F010000}"/>
    <cellStyle name="Normal 2 5 3 2 2 2" xfId="1605" xr:uid="{00000000-0005-0000-0000-0000A0010000}"/>
    <cellStyle name="Normal 2 5 3 2 3" xfId="1167" xr:uid="{00000000-0005-0000-0000-0000A1010000}"/>
    <cellStyle name="Normal 2 5 3 3" xfId="608" xr:uid="{00000000-0005-0000-0000-0000A2010000}"/>
    <cellStyle name="Normal 2 5 3 3 2" xfId="1465" xr:uid="{00000000-0005-0000-0000-0000A3010000}"/>
    <cellStyle name="Normal 2 5 3 4" xfId="1027" xr:uid="{00000000-0005-0000-0000-0000A4010000}"/>
    <cellStyle name="Normal 2 5 4" xfId="256" xr:uid="{00000000-0005-0000-0000-0000A5010000}"/>
    <cellStyle name="Normal 2 5 4 2" xfId="610" xr:uid="{00000000-0005-0000-0000-0000A6010000}"/>
    <cellStyle name="Normal 2 5 4 2 2" xfId="1535" xr:uid="{00000000-0005-0000-0000-0000A7010000}"/>
    <cellStyle name="Normal 2 5 4 3" xfId="1097" xr:uid="{00000000-0005-0000-0000-0000A8010000}"/>
    <cellStyle name="Normal 2 5 5" xfId="397" xr:uid="{00000000-0005-0000-0000-0000A9010000}"/>
    <cellStyle name="Normal 2 5 5 2" xfId="611" xr:uid="{00000000-0005-0000-0000-0000AA010000}"/>
    <cellStyle name="Normal 2 5 5 2 2" xfId="1675" xr:uid="{00000000-0005-0000-0000-0000AB010000}"/>
    <cellStyle name="Normal 2 5 5 3" xfId="1237" xr:uid="{00000000-0005-0000-0000-0000AC010000}"/>
    <cellStyle name="Normal 2 5 6" xfId="113" xr:uid="{00000000-0005-0000-0000-0000AD010000}"/>
    <cellStyle name="Normal 2 5 6 2" xfId="612" xr:uid="{00000000-0005-0000-0000-0000AE010000}"/>
    <cellStyle name="Normal 2 5 6 2 2" xfId="1395" xr:uid="{00000000-0005-0000-0000-0000AF010000}"/>
    <cellStyle name="Normal 2 5 6 3" xfId="957" xr:uid="{00000000-0005-0000-0000-0000B0010000}"/>
    <cellStyle name="Normal 2 5 7" xfId="467" xr:uid="{00000000-0005-0000-0000-0000B1010000}"/>
    <cellStyle name="Normal 2 5 7 2" xfId="1324" xr:uid="{00000000-0005-0000-0000-0000B2010000}"/>
    <cellStyle name="Normal 2 5 8" xfId="887" xr:uid="{00000000-0005-0000-0000-0000B3010000}"/>
    <cellStyle name="Normal 2 6" xfId="14" xr:uid="{00000000-0005-0000-0000-0000B4010000}"/>
    <cellStyle name="Normal 2 7" xfId="1749" xr:uid="{5504FD2E-1968-4E00-A0F6-7EA0AADCC38F}"/>
    <cellStyle name="Normal 20" xfId="1748" xr:uid="{5D0E208A-FE24-4DB0-ACE4-4C2B45FC2181}"/>
    <cellStyle name="Normal 21" xfId="1752" xr:uid="{515959FC-7A0B-40A4-8CA3-E0CF98ED239B}"/>
    <cellStyle name="Normal 21 2" xfId="1755" xr:uid="{AA4C1171-0EC2-48AB-8C1B-568D44EC53E2}"/>
    <cellStyle name="Normal 22" xfId="103" xr:uid="{00000000-0005-0000-0000-0000B5010000}"/>
    <cellStyle name="Normal 23" xfId="1757" xr:uid="{1FC2C588-A128-4822-8D34-E715A775FA6E}"/>
    <cellStyle name="Normal 289" xfId="1309" xr:uid="{00000000-0005-0000-0000-0000B6010000}"/>
    <cellStyle name="Normal 289 2" xfId="1738" xr:uid="{00000000-0005-0000-0000-0000B7010000}"/>
    <cellStyle name="Normal 3" xfId="4" xr:uid="{00000000-0005-0000-0000-0000B8010000}"/>
    <cellStyle name="Normal 3 2" xfId="22" xr:uid="{00000000-0005-0000-0000-0000B9010000}"/>
    <cellStyle name="Normal 3 2 10" xfId="888" xr:uid="{00000000-0005-0000-0000-0000BA010000}"/>
    <cellStyle name="Normal 3 2 2" xfId="23" xr:uid="{00000000-0005-0000-0000-0000BB010000}"/>
    <cellStyle name="Normal 3 2 2 2" xfId="24" xr:uid="{00000000-0005-0000-0000-0000BC010000}"/>
    <cellStyle name="Normal 3 2 2 2 2" xfId="70" xr:uid="{00000000-0005-0000-0000-0000BD010000}"/>
    <cellStyle name="Normal 3 2 2 2 2 2" xfId="223" xr:uid="{00000000-0005-0000-0000-0000BE010000}"/>
    <cellStyle name="Normal 3 2 2 2 2 2 2" xfId="364" xr:uid="{00000000-0005-0000-0000-0000BF010000}"/>
    <cellStyle name="Normal 3 2 2 2 2 2 2 2" xfId="614" xr:uid="{00000000-0005-0000-0000-0000C0010000}"/>
    <cellStyle name="Normal 3 2 2 2 2 2 2 2 2" xfId="1643" xr:uid="{00000000-0005-0000-0000-0000C1010000}"/>
    <cellStyle name="Normal 3 2 2 2 2 2 2 3" xfId="1205" xr:uid="{00000000-0005-0000-0000-0000C2010000}"/>
    <cellStyle name="Normal 3 2 2 2 2 2 3" xfId="613" xr:uid="{00000000-0005-0000-0000-0000C3010000}"/>
    <cellStyle name="Normal 3 2 2 2 2 2 3 2" xfId="1503" xr:uid="{00000000-0005-0000-0000-0000C4010000}"/>
    <cellStyle name="Normal 3 2 2 2 2 2 4" xfId="1065" xr:uid="{00000000-0005-0000-0000-0000C5010000}"/>
    <cellStyle name="Normal 3 2 2 2 2 3" xfId="294" xr:uid="{00000000-0005-0000-0000-0000C6010000}"/>
    <cellStyle name="Normal 3 2 2 2 2 3 2" xfId="615" xr:uid="{00000000-0005-0000-0000-0000C7010000}"/>
    <cellStyle name="Normal 3 2 2 2 2 3 2 2" xfId="1573" xr:uid="{00000000-0005-0000-0000-0000C8010000}"/>
    <cellStyle name="Normal 3 2 2 2 2 3 3" xfId="1135" xr:uid="{00000000-0005-0000-0000-0000C9010000}"/>
    <cellStyle name="Normal 3 2 2 2 2 4" xfId="435" xr:uid="{00000000-0005-0000-0000-0000CA010000}"/>
    <cellStyle name="Normal 3 2 2 2 2 4 2" xfId="616" xr:uid="{00000000-0005-0000-0000-0000CB010000}"/>
    <cellStyle name="Normal 3 2 2 2 2 4 2 2" xfId="1713" xr:uid="{00000000-0005-0000-0000-0000CC010000}"/>
    <cellStyle name="Normal 3 2 2 2 2 4 3" xfId="1275" xr:uid="{00000000-0005-0000-0000-0000CD010000}"/>
    <cellStyle name="Normal 3 2 2 2 2 5" xfId="152" xr:uid="{00000000-0005-0000-0000-0000CE010000}"/>
    <cellStyle name="Normal 3 2 2 2 2 5 2" xfId="617" xr:uid="{00000000-0005-0000-0000-0000CF010000}"/>
    <cellStyle name="Normal 3 2 2 2 2 5 2 2" xfId="1433" xr:uid="{00000000-0005-0000-0000-0000D0010000}"/>
    <cellStyle name="Normal 3 2 2 2 2 5 3" xfId="995" xr:uid="{00000000-0005-0000-0000-0000D1010000}"/>
    <cellStyle name="Normal 3 2 2 2 2 6" xfId="505" xr:uid="{00000000-0005-0000-0000-0000D2010000}"/>
    <cellStyle name="Normal 3 2 2 2 2 6 2" xfId="1363" xr:uid="{00000000-0005-0000-0000-0000D3010000}"/>
    <cellStyle name="Normal 3 2 2 2 2 7" xfId="925" xr:uid="{00000000-0005-0000-0000-0000D4010000}"/>
    <cellStyle name="Normal 3 2 2 2 3" xfId="187" xr:uid="{00000000-0005-0000-0000-0000D5010000}"/>
    <cellStyle name="Normal 3 2 2 2 3 2" xfId="329" xr:uid="{00000000-0005-0000-0000-0000D6010000}"/>
    <cellStyle name="Normal 3 2 2 2 3 2 2" xfId="619" xr:uid="{00000000-0005-0000-0000-0000D7010000}"/>
    <cellStyle name="Normal 3 2 2 2 3 2 2 2" xfId="1608" xr:uid="{00000000-0005-0000-0000-0000D8010000}"/>
    <cellStyle name="Normal 3 2 2 2 3 2 3" xfId="1170" xr:uid="{00000000-0005-0000-0000-0000D9010000}"/>
    <cellStyle name="Normal 3 2 2 2 3 3" xfId="618" xr:uid="{00000000-0005-0000-0000-0000DA010000}"/>
    <cellStyle name="Normal 3 2 2 2 3 3 2" xfId="1468" xr:uid="{00000000-0005-0000-0000-0000DB010000}"/>
    <cellStyle name="Normal 3 2 2 2 3 4" xfId="1030" xr:uid="{00000000-0005-0000-0000-0000DC010000}"/>
    <cellStyle name="Normal 3 2 2 2 4" xfId="259" xr:uid="{00000000-0005-0000-0000-0000DD010000}"/>
    <cellStyle name="Normal 3 2 2 2 4 2" xfId="620" xr:uid="{00000000-0005-0000-0000-0000DE010000}"/>
    <cellStyle name="Normal 3 2 2 2 4 2 2" xfId="1538" xr:uid="{00000000-0005-0000-0000-0000DF010000}"/>
    <cellStyle name="Normal 3 2 2 2 4 3" xfId="1100" xr:uid="{00000000-0005-0000-0000-0000E0010000}"/>
    <cellStyle name="Normal 3 2 2 2 5" xfId="400" xr:uid="{00000000-0005-0000-0000-0000E1010000}"/>
    <cellStyle name="Normal 3 2 2 2 5 2" xfId="621" xr:uid="{00000000-0005-0000-0000-0000E2010000}"/>
    <cellStyle name="Normal 3 2 2 2 5 2 2" xfId="1678" xr:uid="{00000000-0005-0000-0000-0000E3010000}"/>
    <cellStyle name="Normal 3 2 2 2 5 3" xfId="1240" xr:uid="{00000000-0005-0000-0000-0000E4010000}"/>
    <cellStyle name="Normal 3 2 2 2 6" xfId="116" xr:uid="{00000000-0005-0000-0000-0000E5010000}"/>
    <cellStyle name="Normal 3 2 2 2 6 2" xfId="622" xr:uid="{00000000-0005-0000-0000-0000E6010000}"/>
    <cellStyle name="Normal 3 2 2 2 6 2 2" xfId="1398" xr:uid="{00000000-0005-0000-0000-0000E7010000}"/>
    <cellStyle name="Normal 3 2 2 2 6 3" xfId="960" xr:uid="{00000000-0005-0000-0000-0000E8010000}"/>
    <cellStyle name="Normal 3 2 2 2 7" xfId="470" xr:uid="{00000000-0005-0000-0000-0000E9010000}"/>
    <cellStyle name="Normal 3 2 2 2 7 2" xfId="1327" xr:uid="{00000000-0005-0000-0000-0000EA010000}"/>
    <cellStyle name="Normal 3 2 2 2 8" xfId="890" xr:uid="{00000000-0005-0000-0000-0000EB010000}"/>
    <cellStyle name="Normal 3 2 2 3" xfId="69" xr:uid="{00000000-0005-0000-0000-0000EC010000}"/>
    <cellStyle name="Normal 3 2 2 3 2" xfId="222" xr:uid="{00000000-0005-0000-0000-0000ED010000}"/>
    <cellStyle name="Normal 3 2 2 3 2 2" xfId="363" xr:uid="{00000000-0005-0000-0000-0000EE010000}"/>
    <cellStyle name="Normal 3 2 2 3 2 2 2" xfId="624" xr:uid="{00000000-0005-0000-0000-0000EF010000}"/>
    <cellStyle name="Normal 3 2 2 3 2 2 2 2" xfId="1642" xr:uid="{00000000-0005-0000-0000-0000F0010000}"/>
    <cellStyle name="Normal 3 2 2 3 2 2 3" xfId="1204" xr:uid="{00000000-0005-0000-0000-0000F1010000}"/>
    <cellStyle name="Normal 3 2 2 3 2 3" xfId="623" xr:uid="{00000000-0005-0000-0000-0000F2010000}"/>
    <cellStyle name="Normal 3 2 2 3 2 3 2" xfId="1502" xr:uid="{00000000-0005-0000-0000-0000F3010000}"/>
    <cellStyle name="Normal 3 2 2 3 2 4" xfId="1064" xr:uid="{00000000-0005-0000-0000-0000F4010000}"/>
    <cellStyle name="Normal 3 2 2 3 3" xfId="293" xr:uid="{00000000-0005-0000-0000-0000F5010000}"/>
    <cellStyle name="Normal 3 2 2 3 3 2" xfId="625" xr:uid="{00000000-0005-0000-0000-0000F6010000}"/>
    <cellStyle name="Normal 3 2 2 3 3 2 2" xfId="1572" xr:uid="{00000000-0005-0000-0000-0000F7010000}"/>
    <cellStyle name="Normal 3 2 2 3 3 3" xfId="1134" xr:uid="{00000000-0005-0000-0000-0000F8010000}"/>
    <cellStyle name="Normal 3 2 2 3 4" xfId="434" xr:uid="{00000000-0005-0000-0000-0000F9010000}"/>
    <cellStyle name="Normal 3 2 2 3 4 2" xfId="626" xr:uid="{00000000-0005-0000-0000-0000FA010000}"/>
    <cellStyle name="Normal 3 2 2 3 4 2 2" xfId="1712" xr:uid="{00000000-0005-0000-0000-0000FB010000}"/>
    <cellStyle name="Normal 3 2 2 3 4 3" xfId="1274" xr:uid="{00000000-0005-0000-0000-0000FC010000}"/>
    <cellStyle name="Normal 3 2 2 3 5" xfId="151" xr:uid="{00000000-0005-0000-0000-0000FD010000}"/>
    <cellStyle name="Normal 3 2 2 3 5 2" xfId="627" xr:uid="{00000000-0005-0000-0000-0000FE010000}"/>
    <cellStyle name="Normal 3 2 2 3 5 2 2" xfId="1432" xr:uid="{00000000-0005-0000-0000-0000FF010000}"/>
    <cellStyle name="Normal 3 2 2 3 5 3" xfId="994" xr:uid="{00000000-0005-0000-0000-000000020000}"/>
    <cellStyle name="Normal 3 2 2 3 6" xfId="504" xr:uid="{00000000-0005-0000-0000-000001020000}"/>
    <cellStyle name="Normal 3 2 2 3 6 2" xfId="1362" xr:uid="{00000000-0005-0000-0000-000002020000}"/>
    <cellStyle name="Normal 3 2 2 3 7" xfId="924" xr:uid="{00000000-0005-0000-0000-000003020000}"/>
    <cellStyle name="Normal 3 2 2 4" xfId="186" xr:uid="{00000000-0005-0000-0000-000004020000}"/>
    <cellStyle name="Normal 3 2 2 4 2" xfId="328" xr:uid="{00000000-0005-0000-0000-000005020000}"/>
    <cellStyle name="Normal 3 2 2 4 2 2" xfId="629" xr:uid="{00000000-0005-0000-0000-000006020000}"/>
    <cellStyle name="Normal 3 2 2 4 2 2 2" xfId="1607" xr:uid="{00000000-0005-0000-0000-000007020000}"/>
    <cellStyle name="Normal 3 2 2 4 2 3" xfId="1169" xr:uid="{00000000-0005-0000-0000-000008020000}"/>
    <cellStyle name="Normal 3 2 2 4 3" xfId="628" xr:uid="{00000000-0005-0000-0000-000009020000}"/>
    <cellStyle name="Normal 3 2 2 4 3 2" xfId="1467" xr:uid="{00000000-0005-0000-0000-00000A020000}"/>
    <cellStyle name="Normal 3 2 2 4 4" xfId="1029" xr:uid="{00000000-0005-0000-0000-00000B020000}"/>
    <cellStyle name="Normal 3 2 2 5" xfId="258" xr:uid="{00000000-0005-0000-0000-00000C020000}"/>
    <cellStyle name="Normal 3 2 2 5 2" xfId="630" xr:uid="{00000000-0005-0000-0000-00000D020000}"/>
    <cellStyle name="Normal 3 2 2 5 2 2" xfId="1537" xr:uid="{00000000-0005-0000-0000-00000E020000}"/>
    <cellStyle name="Normal 3 2 2 5 3" xfId="1099" xr:uid="{00000000-0005-0000-0000-00000F020000}"/>
    <cellStyle name="Normal 3 2 2 6" xfId="399" xr:uid="{00000000-0005-0000-0000-000010020000}"/>
    <cellStyle name="Normal 3 2 2 6 2" xfId="631" xr:uid="{00000000-0005-0000-0000-000011020000}"/>
    <cellStyle name="Normal 3 2 2 6 2 2" xfId="1677" xr:uid="{00000000-0005-0000-0000-000012020000}"/>
    <cellStyle name="Normal 3 2 2 6 3" xfId="1239" xr:uid="{00000000-0005-0000-0000-000013020000}"/>
    <cellStyle name="Normal 3 2 2 7" xfId="115" xr:uid="{00000000-0005-0000-0000-000014020000}"/>
    <cellStyle name="Normal 3 2 2 7 2" xfId="632" xr:uid="{00000000-0005-0000-0000-000015020000}"/>
    <cellStyle name="Normal 3 2 2 7 2 2" xfId="1397" xr:uid="{00000000-0005-0000-0000-000016020000}"/>
    <cellStyle name="Normal 3 2 2 7 3" xfId="959" xr:uid="{00000000-0005-0000-0000-000017020000}"/>
    <cellStyle name="Normal 3 2 2 8" xfId="469" xr:uid="{00000000-0005-0000-0000-000018020000}"/>
    <cellStyle name="Normal 3 2 2 8 2" xfId="1326" xr:uid="{00000000-0005-0000-0000-000019020000}"/>
    <cellStyle name="Normal 3 2 2 9" xfId="889" xr:uid="{00000000-0005-0000-0000-00001A020000}"/>
    <cellStyle name="Normal 3 2 3" xfId="25" xr:uid="{00000000-0005-0000-0000-00001B020000}"/>
    <cellStyle name="Normal 3 2 3 2" xfId="71" xr:uid="{00000000-0005-0000-0000-00001C020000}"/>
    <cellStyle name="Normal 3 2 3 2 2" xfId="224" xr:uid="{00000000-0005-0000-0000-00001D020000}"/>
    <cellStyle name="Normal 3 2 3 2 2 2" xfId="365" xr:uid="{00000000-0005-0000-0000-00001E020000}"/>
    <cellStyle name="Normal 3 2 3 2 2 2 2" xfId="634" xr:uid="{00000000-0005-0000-0000-00001F020000}"/>
    <cellStyle name="Normal 3 2 3 2 2 2 2 2" xfId="1644" xr:uid="{00000000-0005-0000-0000-000020020000}"/>
    <cellStyle name="Normal 3 2 3 2 2 2 3" xfId="1206" xr:uid="{00000000-0005-0000-0000-000021020000}"/>
    <cellStyle name="Normal 3 2 3 2 2 3" xfId="633" xr:uid="{00000000-0005-0000-0000-000022020000}"/>
    <cellStyle name="Normal 3 2 3 2 2 3 2" xfId="1504" xr:uid="{00000000-0005-0000-0000-000023020000}"/>
    <cellStyle name="Normal 3 2 3 2 2 4" xfId="1066" xr:uid="{00000000-0005-0000-0000-000024020000}"/>
    <cellStyle name="Normal 3 2 3 2 3" xfId="295" xr:uid="{00000000-0005-0000-0000-000025020000}"/>
    <cellStyle name="Normal 3 2 3 2 3 2" xfId="635" xr:uid="{00000000-0005-0000-0000-000026020000}"/>
    <cellStyle name="Normal 3 2 3 2 3 2 2" xfId="1574" xr:uid="{00000000-0005-0000-0000-000027020000}"/>
    <cellStyle name="Normal 3 2 3 2 3 3" xfId="1136" xr:uid="{00000000-0005-0000-0000-000028020000}"/>
    <cellStyle name="Normal 3 2 3 2 4" xfId="436" xr:uid="{00000000-0005-0000-0000-000029020000}"/>
    <cellStyle name="Normal 3 2 3 2 4 2" xfId="636" xr:uid="{00000000-0005-0000-0000-00002A020000}"/>
    <cellStyle name="Normal 3 2 3 2 4 2 2" xfId="1714" xr:uid="{00000000-0005-0000-0000-00002B020000}"/>
    <cellStyle name="Normal 3 2 3 2 4 3" xfId="1276" xr:uid="{00000000-0005-0000-0000-00002C020000}"/>
    <cellStyle name="Normal 3 2 3 2 5" xfId="153" xr:uid="{00000000-0005-0000-0000-00002D020000}"/>
    <cellStyle name="Normal 3 2 3 2 5 2" xfId="637" xr:uid="{00000000-0005-0000-0000-00002E020000}"/>
    <cellStyle name="Normal 3 2 3 2 5 2 2" xfId="1434" xr:uid="{00000000-0005-0000-0000-00002F020000}"/>
    <cellStyle name="Normal 3 2 3 2 5 3" xfId="996" xr:uid="{00000000-0005-0000-0000-000030020000}"/>
    <cellStyle name="Normal 3 2 3 2 6" xfId="506" xr:uid="{00000000-0005-0000-0000-000031020000}"/>
    <cellStyle name="Normal 3 2 3 2 6 2" xfId="1364" xr:uid="{00000000-0005-0000-0000-000032020000}"/>
    <cellStyle name="Normal 3 2 3 2 7" xfId="926" xr:uid="{00000000-0005-0000-0000-000033020000}"/>
    <cellStyle name="Normal 3 2 3 3" xfId="188" xr:uid="{00000000-0005-0000-0000-000034020000}"/>
    <cellStyle name="Normal 3 2 3 3 2" xfId="330" xr:uid="{00000000-0005-0000-0000-000035020000}"/>
    <cellStyle name="Normal 3 2 3 3 2 2" xfId="639" xr:uid="{00000000-0005-0000-0000-000036020000}"/>
    <cellStyle name="Normal 3 2 3 3 2 2 2" xfId="1609" xr:uid="{00000000-0005-0000-0000-000037020000}"/>
    <cellStyle name="Normal 3 2 3 3 2 3" xfId="1171" xr:uid="{00000000-0005-0000-0000-000038020000}"/>
    <cellStyle name="Normal 3 2 3 3 3" xfId="638" xr:uid="{00000000-0005-0000-0000-000039020000}"/>
    <cellStyle name="Normal 3 2 3 3 3 2" xfId="1469" xr:uid="{00000000-0005-0000-0000-00003A020000}"/>
    <cellStyle name="Normal 3 2 3 3 4" xfId="1031" xr:uid="{00000000-0005-0000-0000-00003B020000}"/>
    <cellStyle name="Normal 3 2 3 4" xfId="260" xr:uid="{00000000-0005-0000-0000-00003C020000}"/>
    <cellStyle name="Normal 3 2 3 4 2" xfId="640" xr:uid="{00000000-0005-0000-0000-00003D020000}"/>
    <cellStyle name="Normal 3 2 3 4 2 2" xfId="1539" xr:uid="{00000000-0005-0000-0000-00003E020000}"/>
    <cellStyle name="Normal 3 2 3 4 3" xfId="1101" xr:uid="{00000000-0005-0000-0000-00003F020000}"/>
    <cellStyle name="Normal 3 2 3 5" xfId="401" xr:uid="{00000000-0005-0000-0000-000040020000}"/>
    <cellStyle name="Normal 3 2 3 5 2" xfId="641" xr:uid="{00000000-0005-0000-0000-000041020000}"/>
    <cellStyle name="Normal 3 2 3 5 2 2" xfId="1679" xr:uid="{00000000-0005-0000-0000-000042020000}"/>
    <cellStyle name="Normal 3 2 3 5 3" xfId="1241" xr:uid="{00000000-0005-0000-0000-000043020000}"/>
    <cellStyle name="Normal 3 2 3 6" xfId="117" xr:uid="{00000000-0005-0000-0000-000044020000}"/>
    <cellStyle name="Normal 3 2 3 6 2" xfId="642" xr:uid="{00000000-0005-0000-0000-000045020000}"/>
    <cellStyle name="Normal 3 2 3 6 2 2" xfId="1399" xr:uid="{00000000-0005-0000-0000-000046020000}"/>
    <cellStyle name="Normal 3 2 3 6 3" xfId="961" xr:uid="{00000000-0005-0000-0000-000047020000}"/>
    <cellStyle name="Normal 3 2 3 7" xfId="471" xr:uid="{00000000-0005-0000-0000-000048020000}"/>
    <cellStyle name="Normal 3 2 3 7 2" xfId="1328" xr:uid="{00000000-0005-0000-0000-000049020000}"/>
    <cellStyle name="Normal 3 2 3 8" xfId="891" xr:uid="{00000000-0005-0000-0000-00004A020000}"/>
    <cellStyle name="Normal 3 2 4" xfId="68" xr:uid="{00000000-0005-0000-0000-00004B020000}"/>
    <cellStyle name="Normal 3 2 4 2" xfId="221" xr:uid="{00000000-0005-0000-0000-00004C020000}"/>
    <cellStyle name="Normal 3 2 4 2 2" xfId="362" xr:uid="{00000000-0005-0000-0000-00004D020000}"/>
    <cellStyle name="Normal 3 2 4 2 2 2" xfId="644" xr:uid="{00000000-0005-0000-0000-00004E020000}"/>
    <cellStyle name="Normal 3 2 4 2 2 2 2" xfId="1641" xr:uid="{00000000-0005-0000-0000-00004F020000}"/>
    <cellStyle name="Normal 3 2 4 2 2 3" xfId="1203" xr:uid="{00000000-0005-0000-0000-000050020000}"/>
    <cellStyle name="Normal 3 2 4 2 3" xfId="643" xr:uid="{00000000-0005-0000-0000-000051020000}"/>
    <cellStyle name="Normal 3 2 4 2 3 2" xfId="1501" xr:uid="{00000000-0005-0000-0000-000052020000}"/>
    <cellStyle name="Normal 3 2 4 2 4" xfId="1063" xr:uid="{00000000-0005-0000-0000-000053020000}"/>
    <cellStyle name="Normal 3 2 4 3" xfId="292" xr:uid="{00000000-0005-0000-0000-000054020000}"/>
    <cellStyle name="Normal 3 2 4 3 2" xfId="645" xr:uid="{00000000-0005-0000-0000-000055020000}"/>
    <cellStyle name="Normal 3 2 4 3 2 2" xfId="1571" xr:uid="{00000000-0005-0000-0000-000056020000}"/>
    <cellStyle name="Normal 3 2 4 3 3" xfId="1133" xr:uid="{00000000-0005-0000-0000-000057020000}"/>
    <cellStyle name="Normal 3 2 4 4" xfId="433" xr:uid="{00000000-0005-0000-0000-000058020000}"/>
    <cellStyle name="Normal 3 2 4 4 2" xfId="646" xr:uid="{00000000-0005-0000-0000-000059020000}"/>
    <cellStyle name="Normal 3 2 4 4 2 2" xfId="1711" xr:uid="{00000000-0005-0000-0000-00005A020000}"/>
    <cellStyle name="Normal 3 2 4 4 3" xfId="1273" xr:uid="{00000000-0005-0000-0000-00005B020000}"/>
    <cellStyle name="Normal 3 2 4 5" xfId="150" xr:uid="{00000000-0005-0000-0000-00005C020000}"/>
    <cellStyle name="Normal 3 2 4 5 2" xfId="647" xr:uid="{00000000-0005-0000-0000-00005D020000}"/>
    <cellStyle name="Normal 3 2 4 5 2 2" xfId="1431" xr:uid="{00000000-0005-0000-0000-00005E020000}"/>
    <cellStyle name="Normal 3 2 4 5 3" xfId="993" xr:uid="{00000000-0005-0000-0000-00005F020000}"/>
    <cellStyle name="Normal 3 2 4 6" xfId="503" xr:uid="{00000000-0005-0000-0000-000060020000}"/>
    <cellStyle name="Normal 3 2 4 6 2" xfId="1361" xr:uid="{00000000-0005-0000-0000-000061020000}"/>
    <cellStyle name="Normal 3 2 4 7" xfId="923" xr:uid="{00000000-0005-0000-0000-000062020000}"/>
    <cellStyle name="Normal 3 2 5" xfId="185" xr:uid="{00000000-0005-0000-0000-000063020000}"/>
    <cellStyle name="Normal 3 2 5 2" xfId="327" xr:uid="{00000000-0005-0000-0000-000064020000}"/>
    <cellStyle name="Normal 3 2 5 2 2" xfId="649" xr:uid="{00000000-0005-0000-0000-000065020000}"/>
    <cellStyle name="Normal 3 2 5 2 2 2" xfId="1606" xr:uid="{00000000-0005-0000-0000-000066020000}"/>
    <cellStyle name="Normal 3 2 5 2 3" xfId="1168" xr:uid="{00000000-0005-0000-0000-000067020000}"/>
    <cellStyle name="Normal 3 2 5 3" xfId="648" xr:uid="{00000000-0005-0000-0000-000068020000}"/>
    <cellStyle name="Normal 3 2 5 3 2" xfId="1466" xr:uid="{00000000-0005-0000-0000-000069020000}"/>
    <cellStyle name="Normal 3 2 5 4" xfId="1028" xr:uid="{00000000-0005-0000-0000-00006A020000}"/>
    <cellStyle name="Normal 3 2 6" xfId="257" xr:uid="{00000000-0005-0000-0000-00006B020000}"/>
    <cellStyle name="Normal 3 2 6 2" xfId="650" xr:uid="{00000000-0005-0000-0000-00006C020000}"/>
    <cellStyle name="Normal 3 2 6 2 2" xfId="1536" xr:uid="{00000000-0005-0000-0000-00006D020000}"/>
    <cellStyle name="Normal 3 2 6 3" xfId="1098" xr:uid="{00000000-0005-0000-0000-00006E020000}"/>
    <cellStyle name="Normal 3 2 7" xfId="398" xr:uid="{00000000-0005-0000-0000-00006F020000}"/>
    <cellStyle name="Normal 3 2 7 2" xfId="651" xr:uid="{00000000-0005-0000-0000-000070020000}"/>
    <cellStyle name="Normal 3 2 7 2 2" xfId="1676" xr:uid="{00000000-0005-0000-0000-000071020000}"/>
    <cellStyle name="Normal 3 2 7 3" xfId="1238" xr:uid="{00000000-0005-0000-0000-000072020000}"/>
    <cellStyle name="Normal 3 2 8" xfId="114" xr:uid="{00000000-0005-0000-0000-000073020000}"/>
    <cellStyle name="Normal 3 2 8 2" xfId="652" xr:uid="{00000000-0005-0000-0000-000074020000}"/>
    <cellStyle name="Normal 3 2 8 2 2" xfId="1396" xr:uid="{00000000-0005-0000-0000-000075020000}"/>
    <cellStyle name="Normal 3 2 8 3" xfId="958" xr:uid="{00000000-0005-0000-0000-000076020000}"/>
    <cellStyle name="Normal 3 2 9" xfId="468" xr:uid="{00000000-0005-0000-0000-000077020000}"/>
    <cellStyle name="Normal 3 2 9 2" xfId="1325" xr:uid="{00000000-0005-0000-0000-000078020000}"/>
    <cellStyle name="Normal 3 3" xfId="26" xr:uid="{00000000-0005-0000-0000-000079020000}"/>
    <cellStyle name="Normal 3 3 2" xfId="27" xr:uid="{00000000-0005-0000-0000-00007A020000}"/>
    <cellStyle name="Normal 3 3 2 2" xfId="73" xr:uid="{00000000-0005-0000-0000-00007B020000}"/>
    <cellStyle name="Normal 3 3 2 2 2" xfId="226" xr:uid="{00000000-0005-0000-0000-00007C020000}"/>
    <cellStyle name="Normal 3 3 2 2 2 2" xfId="367" xr:uid="{00000000-0005-0000-0000-00007D020000}"/>
    <cellStyle name="Normal 3 3 2 2 2 2 2" xfId="654" xr:uid="{00000000-0005-0000-0000-00007E020000}"/>
    <cellStyle name="Normal 3 3 2 2 2 2 2 2" xfId="1646" xr:uid="{00000000-0005-0000-0000-00007F020000}"/>
    <cellStyle name="Normal 3 3 2 2 2 2 3" xfId="1208" xr:uid="{00000000-0005-0000-0000-000080020000}"/>
    <cellStyle name="Normal 3 3 2 2 2 3" xfId="653" xr:uid="{00000000-0005-0000-0000-000081020000}"/>
    <cellStyle name="Normal 3 3 2 2 2 3 2" xfId="1506" xr:uid="{00000000-0005-0000-0000-000082020000}"/>
    <cellStyle name="Normal 3 3 2 2 2 4" xfId="1068" xr:uid="{00000000-0005-0000-0000-000083020000}"/>
    <cellStyle name="Normal 3 3 2 2 3" xfId="297" xr:uid="{00000000-0005-0000-0000-000084020000}"/>
    <cellStyle name="Normal 3 3 2 2 3 2" xfId="655" xr:uid="{00000000-0005-0000-0000-000085020000}"/>
    <cellStyle name="Normal 3 3 2 2 3 2 2" xfId="1576" xr:uid="{00000000-0005-0000-0000-000086020000}"/>
    <cellStyle name="Normal 3 3 2 2 3 3" xfId="1138" xr:uid="{00000000-0005-0000-0000-000087020000}"/>
    <cellStyle name="Normal 3 3 2 2 4" xfId="438" xr:uid="{00000000-0005-0000-0000-000088020000}"/>
    <cellStyle name="Normal 3 3 2 2 4 2" xfId="656" xr:uid="{00000000-0005-0000-0000-000089020000}"/>
    <cellStyle name="Normal 3 3 2 2 4 2 2" xfId="1716" xr:uid="{00000000-0005-0000-0000-00008A020000}"/>
    <cellStyle name="Normal 3 3 2 2 4 3" xfId="1278" xr:uid="{00000000-0005-0000-0000-00008B020000}"/>
    <cellStyle name="Normal 3 3 2 2 5" xfId="155" xr:uid="{00000000-0005-0000-0000-00008C020000}"/>
    <cellStyle name="Normal 3 3 2 2 5 2" xfId="657" xr:uid="{00000000-0005-0000-0000-00008D020000}"/>
    <cellStyle name="Normal 3 3 2 2 5 2 2" xfId="1436" xr:uid="{00000000-0005-0000-0000-00008E020000}"/>
    <cellStyle name="Normal 3 3 2 2 5 3" xfId="998" xr:uid="{00000000-0005-0000-0000-00008F020000}"/>
    <cellStyle name="Normal 3 3 2 2 6" xfId="508" xr:uid="{00000000-0005-0000-0000-000090020000}"/>
    <cellStyle name="Normal 3 3 2 2 6 2" xfId="1366" xr:uid="{00000000-0005-0000-0000-000091020000}"/>
    <cellStyle name="Normal 3 3 2 2 7" xfId="928" xr:uid="{00000000-0005-0000-0000-000092020000}"/>
    <cellStyle name="Normal 3 3 2 3" xfId="190" xr:uid="{00000000-0005-0000-0000-000093020000}"/>
    <cellStyle name="Normal 3 3 2 3 2" xfId="332" xr:uid="{00000000-0005-0000-0000-000094020000}"/>
    <cellStyle name="Normal 3 3 2 3 2 2" xfId="659" xr:uid="{00000000-0005-0000-0000-000095020000}"/>
    <cellStyle name="Normal 3 3 2 3 2 2 2" xfId="1611" xr:uid="{00000000-0005-0000-0000-000096020000}"/>
    <cellStyle name="Normal 3 3 2 3 2 3" xfId="1173" xr:uid="{00000000-0005-0000-0000-000097020000}"/>
    <cellStyle name="Normal 3 3 2 3 3" xfId="658" xr:uid="{00000000-0005-0000-0000-000098020000}"/>
    <cellStyle name="Normal 3 3 2 3 3 2" xfId="1471" xr:uid="{00000000-0005-0000-0000-000099020000}"/>
    <cellStyle name="Normal 3 3 2 3 4" xfId="1033" xr:uid="{00000000-0005-0000-0000-00009A020000}"/>
    <cellStyle name="Normal 3 3 2 4" xfId="262" xr:uid="{00000000-0005-0000-0000-00009B020000}"/>
    <cellStyle name="Normal 3 3 2 4 2" xfId="660" xr:uid="{00000000-0005-0000-0000-00009C020000}"/>
    <cellStyle name="Normal 3 3 2 4 2 2" xfId="1541" xr:uid="{00000000-0005-0000-0000-00009D020000}"/>
    <cellStyle name="Normal 3 3 2 4 3" xfId="1103" xr:uid="{00000000-0005-0000-0000-00009E020000}"/>
    <cellStyle name="Normal 3 3 2 5" xfId="403" xr:uid="{00000000-0005-0000-0000-00009F020000}"/>
    <cellStyle name="Normal 3 3 2 5 2" xfId="661" xr:uid="{00000000-0005-0000-0000-0000A0020000}"/>
    <cellStyle name="Normal 3 3 2 5 2 2" xfId="1681" xr:uid="{00000000-0005-0000-0000-0000A1020000}"/>
    <cellStyle name="Normal 3 3 2 5 3" xfId="1243" xr:uid="{00000000-0005-0000-0000-0000A2020000}"/>
    <cellStyle name="Normal 3 3 2 6" xfId="119" xr:uid="{00000000-0005-0000-0000-0000A3020000}"/>
    <cellStyle name="Normal 3 3 2 6 2" xfId="662" xr:uid="{00000000-0005-0000-0000-0000A4020000}"/>
    <cellStyle name="Normal 3 3 2 6 2 2" xfId="1401" xr:uid="{00000000-0005-0000-0000-0000A5020000}"/>
    <cellStyle name="Normal 3 3 2 6 3" xfId="963" xr:uid="{00000000-0005-0000-0000-0000A6020000}"/>
    <cellStyle name="Normal 3 3 2 7" xfId="473" xr:uid="{00000000-0005-0000-0000-0000A7020000}"/>
    <cellStyle name="Normal 3 3 2 7 2" xfId="1330" xr:uid="{00000000-0005-0000-0000-0000A8020000}"/>
    <cellStyle name="Normal 3 3 2 8" xfId="893" xr:uid="{00000000-0005-0000-0000-0000A9020000}"/>
    <cellStyle name="Normal 3 3 3" xfId="72" xr:uid="{00000000-0005-0000-0000-0000AA020000}"/>
    <cellStyle name="Normal 3 3 3 2" xfId="225" xr:uid="{00000000-0005-0000-0000-0000AB020000}"/>
    <cellStyle name="Normal 3 3 3 2 2" xfId="366" xr:uid="{00000000-0005-0000-0000-0000AC020000}"/>
    <cellStyle name="Normal 3 3 3 2 2 2" xfId="664" xr:uid="{00000000-0005-0000-0000-0000AD020000}"/>
    <cellStyle name="Normal 3 3 3 2 2 2 2" xfId="1645" xr:uid="{00000000-0005-0000-0000-0000AE020000}"/>
    <cellStyle name="Normal 3 3 3 2 2 3" xfId="1207" xr:uid="{00000000-0005-0000-0000-0000AF020000}"/>
    <cellStyle name="Normal 3 3 3 2 3" xfId="663" xr:uid="{00000000-0005-0000-0000-0000B0020000}"/>
    <cellStyle name="Normal 3 3 3 2 3 2" xfId="1505" xr:uid="{00000000-0005-0000-0000-0000B1020000}"/>
    <cellStyle name="Normal 3 3 3 2 4" xfId="1067" xr:uid="{00000000-0005-0000-0000-0000B2020000}"/>
    <cellStyle name="Normal 3 3 3 3" xfId="296" xr:uid="{00000000-0005-0000-0000-0000B3020000}"/>
    <cellStyle name="Normal 3 3 3 3 2" xfId="665" xr:uid="{00000000-0005-0000-0000-0000B4020000}"/>
    <cellStyle name="Normal 3 3 3 3 2 2" xfId="1575" xr:uid="{00000000-0005-0000-0000-0000B5020000}"/>
    <cellStyle name="Normal 3 3 3 3 3" xfId="1137" xr:uid="{00000000-0005-0000-0000-0000B6020000}"/>
    <cellStyle name="Normal 3 3 3 4" xfId="437" xr:uid="{00000000-0005-0000-0000-0000B7020000}"/>
    <cellStyle name="Normal 3 3 3 4 2" xfId="666" xr:uid="{00000000-0005-0000-0000-0000B8020000}"/>
    <cellStyle name="Normal 3 3 3 4 2 2" xfId="1715" xr:uid="{00000000-0005-0000-0000-0000B9020000}"/>
    <cellStyle name="Normal 3 3 3 4 3" xfId="1277" xr:uid="{00000000-0005-0000-0000-0000BA020000}"/>
    <cellStyle name="Normal 3 3 3 5" xfId="154" xr:uid="{00000000-0005-0000-0000-0000BB020000}"/>
    <cellStyle name="Normal 3 3 3 5 2" xfId="667" xr:uid="{00000000-0005-0000-0000-0000BC020000}"/>
    <cellStyle name="Normal 3 3 3 5 2 2" xfId="1435" xr:uid="{00000000-0005-0000-0000-0000BD020000}"/>
    <cellStyle name="Normal 3 3 3 5 3" xfId="997" xr:uid="{00000000-0005-0000-0000-0000BE020000}"/>
    <cellStyle name="Normal 3 3 3 6" xfId="507" xr:uid="{00000000-0005-0000-0000-0000BF020000}"/>
    <cellStyle name="Normal 3 3 3 6 2" xfId="1365" xr:uid="{00000000-0005-0000-0000-0000C0020000}"/>
    <cellStyle name="Normal 3 3 3 7" xfId="927" xr:uid="{00000000-0005-0000-0000-0000C1020000}"/>
    <cellStyle name="Normal 3 3 4" xfId="189" xr:uid="{00000000-0005-0000-0000-0000C2020000}"/>
    <cellStyle name="Normal 3 3 4 2" xfId="331" xr:uid="{00000000-0005-0000-0000-0000C3020000}"/>
    <cellStyle name="Normal 3 3 4 2 2" xfId="669" xr:uid="{00000000-0005-0000-0000-0000C4020000}"/>
    <cellStyle name="Normal 3 3 4 2 2 2" xfId="1610" xr:uid="{00000000-0005-0000-0000-0000C5020000}"/>
    <cellStyle name="Normal 3 3 4 2 3" xfId="1172" xr:uid="{00000000-0005-0000-0000-0000C6020000}"/>
    <cellStyle name="Normal 3 3 4 3" xfId="668" xr:uid="{00000000-0005-0000-0000-0000C7020000}"/>
    <cellStyle name="Normal 3 3 4 3 2" xfId="1470" xr:uid="{00000000-0005-0000-0000-0000C8020000}"/>
    <cellStyle name="Normal 3 3 4 4" xfId="1032" xr:uid="{00000000-0005-0000-0000-0000C9020000}"/>
    <cellStyle name="Normal 3 3 5" xfId="261" xr:uid="{00000000-0005-0000-0000-0000CA020000}"/>
    <cellStyle name="Normal 3 3 5 2" xfId="670" xr:uid="{00000000-0005-0000-0000-0000CB020000}"/>
    <cellStyle name="Normal 3 3 5 2 2" xfId="1540" xr:uid="{00000000-0005-0000-0000-0000CC020000}"/>
    <cellStyle name="Normal 3 3 5 3" xfId="1102" xr:uid="{00000000-0005-0000-0000-0000CD020000}"/>
    <cellStyle name="Normal 3 3 6" xfId="402" xr:uid="{00000000-0005-0000-0000-0000CE020000}"/>
    <cellStyle name="Normal 3 3 6 2" xfId="671" xr:uid="{00000000-0005-0000-0000-0000CF020000}"/>
    <cellStyle name="Normal 3 3 6 2 2" xfId="1680" xr:uid="{00000000-0005-0000-0000-0000D0020000}"/>
    <cellStyle name="Normal 3 3 6 3" xfId="1242" xr:uid="{00000000-0005-0000-0000-0000D1020000}"/>
    <cellStyle name="Normal 3 3 7" xfId="118" xr:uid="{00000000-0005-0000-0000-0000D2020000}"/>
    <cellStyle name="Normal 3 3 7 2" xfId="672" xr:uid="{00000000-0005-0000-0000-0000D3020000}"/>
    <cellStyle name="Normal 3 3 7 2 2" xfId="1400" xr:uid="{00000000-0005-0000-0000-0000D4020000}"/>
    <cellStyle name="Normal 3 3 7 3" xfId="962" xr:uid="{00000000-0005-0000-0000-0000D5020000}"/>
    <cellStyle name="Normal 3 3 8" xfId="472" xr:uid="{00000000-0005-0000-0000-0000D6020000}"/>
    <cellStyle name="Normal 3 3 8 2" xfId="1329" xr:uid="{00000000-0005-0000-0000-0000D7020000}"/>
    <cellStyle name="Normal 3 3 9" xfId="892" xr:uid="{00000000-0005-0000-0000-0000D8020000}"/>
    <cellStyle name="Normal 3 4" xfId="28" xr:uid="{00000000-0005-0000-0000-0000D9020000}"/>
    <cellStyle name="Normal 3 4 2" xfId="74" xr:uid="{00000000-0005-0000-0000-0000DA020000}"/>
    <cellStyle name="Normal 3 4 2 2" xfId="227" xr:uid="{00000000-0005-0000-0000-0000DB020000}"/>
    <cellStyle name="Normal 3 4 2 2 2" xfId="368" xr:uid="{00000000-0005-0000-0000-0000DC020000}"/>
    <cellStyle name="Normal 3 4 2 2 2 2" xfId="674" xr:uid="{00000000-0005-0000-0000-0000DD020000}"/>
    <cellStyle name="Normal 3 4 2 2 2 2 2" xfId="1647" xr:uid="{00000000-0005-0000-0000-0000DE020000}"/>
    <cellStyle name="Normal 3 4 2 2 2 3" xfId="1209" xr:uid="{00000000-0005-0000-0000-0000DF020000}"/>
    <cellStyle name="Normal 3 4 2 2 3" xfId="673" xr:uid="{00000000-0005-0000-0000-0000E0020000}"/>
    <cellStyle name="Normal 3 4 2 2 3 2" xfId="1507" xr:uid="{00000000-0005-0000-0000-0000E1020000}"/>
    <cellStyle name="Normal 3 4 2 2 4" xfId="1069" xr:uid="{00000000-0005-0000-0000-0000E2020000}"/>
    <cellStyle name="Normal 3 4 2 3" xfId="298" xr:uid="{00000000-0005-0000-0000-0000E3020000}"/>
    <cellStyle name="Normal 3 4 2 3 2" xfId="675" xr:uid="{00000000-0005-0000-0000-0000E4020000}"/>
    <cellStyle name="Normal 3 4 2 3 2 2" xfId="1577" xr:uid="{00000000-0005-0000-0000-0000E5020000}"/>
    <cellStyle name="Normal 3 4 2 3 3" xfId="1139" xr:uid="{00000000-0005-0000-0000-0000E6020000}"/>
    <cellStyle name="Normal 3 4 2 4" xfId="439" xr:uid="{00000000-0005-0000-0000-0000E7020000}"/>
    <cellStyle name="Normal 3 4 2 4 2" xfId="676" xr:uid="{00000000-0005-0000-0000-0000E8020000}"/>
    <cellStyle name="Normal 3 4 2 4 2 2" xfId="1717" xr:uid="{00000000-0005-0000-0000-0000E9020000}"/>
    <cellStyle name="Normal 3 4 2 4 3" xfId="1279" xr:uid="{00000000-0005-0000-0000-0000EA020000}"/>
    <cellStyle name="Normal 3 4 2 5" xfId="156" xr:uid="{00000000-0005-0000-0000-0000EB020000}"/>
    <cellStyle name="Normal 3 4 2 5 2" xfId="677" xr:uid="{00000000-0005-0000-0000-0000EC020000}"/>
    <cellStyle name="Normal 3 4 2 5 2 2" xfId="1437" xr:uid="{00000000-0005-0000-0000-0000ED020000}"/>
    <cellStyle name="Normal 3 4 2 5 3" xfId="999" xr:uid="{00000000-0005-0000-0000-0000EE020000}"/>
    <cellStyle name="Normal 3 4 2 6" xfId="509" xr:uid="{00000000-0005-0000-0000-0000EF020000}"/>
    <cellStyle name="Normal 3 4 2 6 2" xfId="1367" xr:uid="{00000000-0005-0000-0000-0000F0020000}"/>
    <cellStyle name="Normal 3 4 2 7" xfId="929" xr:uid="{00000000-0005-0000-0000-0000F1020000}"/>
    <cellStyle name="Normal 3 4 3" xfId="191" xr:uid="{00000000-0005-0000-0000-0000F2020000}"/>
    <cellStyle name="Normal 3 4 3 2" xfId="333" xr:uid="{00000000-0005-0000-0000-0000F3020000}"/>
    <cellStyle name="Normal 3 4 3 2 2" xfId="679" xr:uid="{00000000-0005-0000-0000-0000F4020000}"/>
    <cellStyle name="Normal 3 4 3 2 2 2" xfId="1612" xr:uid="{00000000-0005-0000-0000-0000F5020000}"/>
    <cellStyle name="Normal 3 4 3 2 3" xfId="1174" xr:uid="{00000000-0005-0000-0000-0000F6020000}"/>
    <cellStyle name="Normal 3 4 3 3" xfId="678" xr:uid="{00000000-0005-0000-0000-0000F7020000}"/>
    <cellStyle name="Normal 3 4 3 3 2" xfId="1472" xr:uid="{00000000-0005-0000-0000-0000F8020000}"/>
    <cellStyle name="Normal 3 4 3 4" xfId="1034" xr:uid="{00000000-0005-0000-0000-0000F9020000}"/>
    <cellStyle name="Normal 3 4 4" xfId="263" xr:uid="{00000000-0005-0000-0000-0000FA020000}"/>
    <cellStyle name="Normal 3 4 4 2" xfId="680" xr:uid="{00000000-0005-0000-0000-0000FB020000}"/>
    <cellStyle name="Normal 3 4 4 2 2" xfId="1542" xr:uid="{00000000-0005-0000-0000-0000FC020000}"/>
    <cellStyle name="Normal 3 4 4 3" xfId="1104" xr:uid="{00000000-0005-0000-0000-0000FD020000}"/>
    <cellStyle name="Normal 3 4 5" xfId="404" xr:uid="{00000000-0005-0000-0000-0000FE020000}"/>
    <cellStyle name="Normal 3 4 5 2" xfId="681" xr:uid="{00000000-0005-0000-0000-0000FF020000}"/>
    <cellStyle name="Normal 3 4 5 2 2" xfId="1682" xr:uid="{00000000-0005-0000-0000-000000030000}"/>
    <cellStyle name="Normal 3 4 5 3" xfId="1244" xr:uid="{00000000-0005-0000-0000-000001030000}"/>
    <cellStyle name="Normal 3 4 6" xfId="120" xr:uid="{00000000-0005-0000-0000-000002030000}"/>
    <cellStyle name="Normal 3 4 6 2" xfId="682" xr:uid="{00000000-0005-0000-0000-000003030000}"/>
    <cellStyle name="Normal 3 4 6 2 2" xfId="1402" xr:uid="{00000000-0005-0000-0000-000004030000}"/>
    <cellStyle name="Normal 3 4 6 3" xfId="964" xr:uid="{00000000-0005-0000-0000-000005030000}"/>
    <cellStyle name="Normal 3 4 7" xfId="474" xr:uid="{00000000-0005-0000-0000-000006030000}"/>
    <cellStyle name="Normal 3 4 7 2" xfId="1331" xr:uid="{00000000-0005-0000-0000-000007030000}"/>
    <cellStyle name="Normal 3 4 8" xfId="894" xr:uid="{00000000-0005-0000-0000-000008030000}"/>
    <cellStyle name="Normal 3 5" xfId="8" xr:uid="{00000000-0005-0000-0000-000009030000}"/>
    <cellStyle name="Normal 3 5 2" xfId="59" xr:uid="{00000000-0005-0000-0000-00000A030000}"/>
    <cellStyle name="Normal 3 5 2 2" xfId="212" xr:uid="{00000000-0005-0000-0000-00000B030000}"/>
    <cellStyle name="Normal 3 5 2 2 2" xfId="353" xr:uid="{00000000-0005-0000-0000-00000C030000}"/>
    <cellStyle name="Normal 3 5 2 2 2 2" xfId="684" xr:uid="{00000000-0005-0000-0000-00000D030000}"/>
    <cellStyle name="Normal 3 5 2 2 2 2 2" xfId="1632" xr:uid="{00000000-0005-0000-0000-00000E030000}"/>
    <cellStyle name="Normal 3 5 2 2 2 3" xfId="1194" xr:uid="{00000000-0005-0000-0000-00000F030000}"/>
    <cellStyle name="Normal 3 5 2 2 3" xfId="683" xr:uid="{00000000-0005-0000-0000-000010030000}"/>
    <cellStyle name="Normal 3 5 2 2 3 2" xfId="1492" xr:uid="{00000000-0005-0000-0000-000011030000}"/>
    <cellStyle name="Normal 3 5 2 2 4" xfId="1054" xr:uid="{00000000-0005-0000-0000-000012030000}"/>
    <cellStyle name="Normal 3 5 2 3" xfId="283" xr:uid="{00000000-0005-0000-0000-000013030000}"/>
    <cellStyle name="Normal 3 5 2 3 2" xfId="685" xr:uid="{00000000-0005-0000-0000-000014030000}"/>
    <cellStyle name="Normal 3 5 2 3 2 2" xfId="1562" xr:uid="{00000000-0005-0000-0000-000015030000}"/>
    <cellStyle name="Normal 3 5 2 3 3" xfId="1124" xr:uid="{00000000-0005-0000-0000-000016030000}"/>
    <cellStyle name="Normal 3 5 2 4" xfId="424" xr:uid="{00000000-0005-0000-0000-000017030000}"/>
    <cellStyle name="Normal 3 5 2 4 2" xfId="686" xr:uid="{00000000-0005-0000-0000-000018030000}"/>
    <cellStyle name="Normal 3 5 2 4 2 2" xfId="1702" xr:uid="{00000000-0005-0000-0000-000019030000}"/>
    <cellStyle name="Normal 3 5 2 4 3" xfId="1264" xr:uid="{00000000-0005-0000-0000-00001A030000}"/>
    <cellStyle name="Normal 3 5 2 5" xfId="141" xr:uid="{00000000-0005-0000-0000-00001B030000}"/>
    <cellStyle name="Normal 3 5 2 5 2" xfId="687" xr:uid="{00000000-0005-0000-0000-00001C030000}"/>
    <cellStyle name="Normal 3 5 2 5 2 2" xfId="1422" xr:uid="{00000000-0005-0000-0000-00001D030000}"/>
    <cellStyle name="Normal 3 5 2 5 3" xfId="984" xr:uid="{00000000-0005-0000-0000-00001E030000}"/>
    <cellStyle name="Normal 3 5 2 6" xfId="494" xr:uid="{00000000-0005-0000-0000-00001F030000}"/>
    <cellStyle name="Normal 3 5 2 6 2" xfId="1352" xr:uid="{00000000-0005-0000-0000-000020030000}"/>
    <cellStyle name="Normal 3 5 2 7" xfId="914" xr:uid="{00000000-0005-0000-0000-000021030000}"/>
    <cellStyle name="Normal 3 5 3" xfId="176" xr:uid="{00000000-0005-0000-0000-000022030000}"/>
    <cellStyle name="Normal 3 5 3 2" xfId="318" xr:uid="{00000000-0005-0000-0000-000023030000}"/>
    <cellStyle name="Normal 3 5 3 2 2" xfId="689" xr:uid="{00000000-0005-0000-0000-000024030000}"/>
    <cellStyle name="Normal 3 5 3 2 2 2" xfId="1597" xr:uid="{00000000-0005-0000-0000-000025030000}"/>
    <cellStyle name="Normal 3 5 3 2 3" xfId="1159" xr:uid="{00000000-0005-0000-0000-000026030000}"/>
    <cellStyle name="Normal 3 5 3 3" xfId="688" xr:uid="{00000000-0005-0000-0000-000027030000}"/>
    <cellStyle name="Normal 3 5 3 3 2" xfId="1457" xr:uid="{00000000-0005-0000-0000-000028030000}"/>
    <cellStyle name="Normal 3 5 3 4" xfId="1019" xr:uid="{00000000-0005-0000-0000-000029030000}"/>
    <cellStyle name="Normal 3 5 4" xfId="248" xr:uid="{00000000-0005-0000-0000-00002A030000}"/>
    <cellStyle name="Normal 3 5 4 2" xfId="690" xr:uid="{00000000-0005-0000-0000-00002B030000}"/>
    <cellStyle name="Normal 3 5 4 2 2" xfId="1527" xr:uid="{00000000-0005-0000-0000-00002C030000}"/>
    <cellStyle name="Normal 3 5 4 3" xfId="1089" xr:uid="{00000000-0005-0000-0000-00002D030000}"/>
    <cellStyle name="Normal 3 5 5" xfId="389" xr:uid="{00000000-0005-0000-0000-00002E030000}"/>
    <cellStyle name="Normal 3 5 5 2" xfId="691" xr:uid="{00000000-0005-0000-0000-00002F030000}"/>
    <cellStyle name="Normal 3 5 5 2 2" xfId="1667" xr:uid="{00000000-0005-0000-0000-000030030000}"/>
    <cellStyle name="Normal 3 5 5 3" xfId="1229" xr:uid="{00000000-0005-0000-0000-000031030000}"/>
    <cellStyle name="Normal 3 5 6" xfId="105" xr:uid="{00000000-0005-0000-0000-000032030000}"/>
    <cellStyle name="Normal 3 5 6 2" xfId="692" xr:uid="{00000000-0005-0000-0000-000033030000}"/>
    <cellStyle name="Normal 3 5 6 2 2" xfId="1387" xr:uid="{00000000-0005-0000-0000-000034030000}"/>
    <cellStyle name="Normal 3 5 6 3" xfId="949" xr:uid="{00000000-0005-0000-0000-000035030000}"/>
    <cellStyle name="Normal 3 5 7" xfId="459" xr:uid="{00000000-0005-0000-0000-000036030000}"/>
    <cellStyle name="Normal 3 5 7 2" xfId="1316" xr:uid="{00000000-0005-0000-0000-000037030000}"/>
    <cellStyle name="Normal 3 5 8" xfId="879" xr:uid="{00000000-0005-0000-0000-000038030000}"/>
    <cellStyle name="Normal 3 6" xfId="57" xr:uid="{00000000-0005-0000-0000-000039030000}"/>
    <cellStyle name="Normal 30" xfId="1300" xr:uid="{00000000-0005-0000-0000-00003A030000}"/>
    <cellStyle name="Normal 30 2" xfId="1746" xr:uid="{2C9DD691-4587-46A0-B177-6DF8D45EF906}"/>
    <cellStyle name="Normal 304" xfId="1307" xr:uid="{00000000-0005-0000-0000-00003B030000}"/>
    <cellStyle name="Normal 305" xfId="1306" xr:uid="{00000000-0005-0000-0000-00003C030000}"/>
    <cellStyle name="Normal 310" xfId="1301" xr:uid="{00000000-0005-0000-0000-00003D030000}"/>
    <cellStyle name="Normal 313" xfId="1303" xr:uid="{00000000-0005-0000-0000-00003E030000}"/>
    <cellStyle name="Normal 337" xfId="1311" xr:uid="{00000000-0005-0000-0000-00003F030000}"/>
    <cellStyle name="Normal 337 2" xfId="1740" xr:uid="{00000000-0005-0000-0000-000040030000}"/>
    <cellStyle name="Normal 338" xfId="1298" xr:uid="{00000000-0005-0000-0000-000041030000}"/>
    <cellStyle name="Normal 338 2" xfId="1736" xr:uid="{00000000-0005-0000-0000-000042030000}"/>
    <cellStyle name="Normal 340" xfId="1299" xr:uid="{00000000-0005-0000-0000-000043030000}"/>
    <cellStyle name="Normal 340 2" xfId="1737" xr:uid="{00000000-0005-0000-0000-000044030000}"/>
    <cellStyle name="Normal 353" xfId="1310" xr:uid="{00000000-0005-0000-0000-000045030000}"/>
    <cellStyle name="Normal 353 2" xfId="1739" xr:uid="{00000000-0005-0000-0000-000046030000}"/>
    <cellStyle name="Normal 358" xfId="1741" xr:uid="{00000000-0005-0000-0000-000047030000}"/>
    <cellStyle name="Normal 39" xfId="1302" xr:uid="{00000000-0005-0000-0000-000048030000}"/>
    <cellStyle name="Normal 4" xfId="29" xr:uid="{00000000-0005-0000-0000-000049030000}"/>
    <cellStyle name="Normal 4 10" xfId="475" xr:uid="{00000000-0005-0000-0000-00004A030000}"/>
    <cellStyle name="Normal 4 10 2" xfId="1332" xr:uid="{00000000-0005-0000-0000-00004B030000}"/>
    <cellStyle name="Normal 4 11" xfId="895" xr:uid="{00000000-0005-0000-0000-00004C030000}"/>
    <cellStyle name="Normal 4 2" xfId="30" xr:uid="{00000000-0005-0000-0000-00004D030000}"/>
    <cellStyle name="Normal 4 2 10" xfId="896" xr:uid="{00000000-0005-0000-0000-00004E030000}"/>
    <cellStyle name="Normal 4 2 2" xfId="31" xr:uid="{00000000-0005-0000-0000-00004F030000}"/>
    <cellStyle name="Normal 4 2 2 2" xfId="32" xr:uid="{00000000-0005-0000-0000-000050030000}"/>
    <cellStyle name="Normal 4 2 2 2 2" xfId="78" xr:uid="{00000000-0005-0000-0000-000051030000}"/>
    <cellStyle name="Normal 4 2 2 2 2 2" xfId="231" xr:uid="{00000000-0005-0000-0000-000052030000}"/>
    <cellStyle name="Normal 4 2 2 2 2 2 2" xfId="372" xr:uid="{00000000-0005-0000-0000-000053030000}"/>
    <cellStyle name="Normal 4 2 2 2 2 2 2 2" xfId="694" xr:uid="{00000000-0005-0000-0000-000054030000}"/>
    <cellStyle name="Normal 4 2 2 2 2 2 2 2 2" xfId="1651" xr:uid="{00000000-0005-0000-0000-000055030000}"/>
    <cellStyle name="Normal 4 2 2 2 2 2 2 3" xfId="1213" xr:uid="{00000000-0005-0000-0000-000056030000}"/>
    <cellStyle name="Normal 4 2 2 2 2 2 3" xfId="693" xr:uid="{00000000-0005-0000-0000-000057030000}"/>
    <cellStyle name="Normal 4 2 2 2 2 2 3 2" xfId="1511" xr:uid="{00000000-0005-0000-0000-000058030000}"/>
    <cellStyle name="Normal 4 2 2 2 2 2 4" xfId="1073" xr:uid="{00000000-0005-0000-0000-000059030000}"/>
    <cellStyle name="Normal 4 2 2 2 2 3" xfId="302" xr:uid="{00000000-0005-0000-0000-00005A030000}"/>
    <cellStyle name="Normal 4 2 2 2 2 3 2" xfId="695" xr:uid="{00000000-0005-0000-0000-00005B030000}"/>
    <cellStyle name="Normal 4 2 2 2 2 3 2 2" xfId="1581" xr:uid="{00000000-0005-0000-0000-00005C030000}"/>
    <cellStyle name="Normal 4 2 2 2 2 3 3" xfId="1143" xr:uid="{00000000-0005-0000-0000-00005D030000}"/>
    <cellStyle name="Normal 4 2 2 2 2 4" xfId="443" xr:uid="{00000000-0005-0000-0000-00005E030000}"/>
    <cellStyle name="Normal 4 2 2 2 2 4 2" xfId="696" xr:uid="{00000000-0005-0000-0000-00005F030000}"/>
    <cellStyle name="Normal 4 2 2 2 2 4 2 2" xfId="1721" xr:uid="{00000000-0005-0000-0000-000060030000}"/>
    <cellStyle name="Normal 4 2 2 2 2 4 3" xfId="1283" xr:uid="{00000000-0005-0000-0000-000061030000}"/>
    <cellStyle name="Normal 4 2 2 2 2 5" xfId="160" xr:uid="{00000000-0005-0000-0000-000062030000}"/>
    <cellStyle name="Normal 4 2 2 2 2 5 2" xfId="697" xr:uid="{00000000-0005-0000-0000-000063030000}"/>
    <cellStyle name="Normal 4 2 2 2 2 5 2 2" xfId="1441" xr:uid="{00000000-0005-0000-0000-000064030000}"/>
    <cellStyle name="Normal 4 2 2 2 2 5 3" xfId="1003" xr:uid="{00000000-0005-0000-0000-000065030000}"/>
    <cellStyle name="Normal 4 2 2 2 2 6" xfId="513" xr:uid="{00000000-0005-0000-0000-000066030000}"/>
    <cellStyle name="Normal 4 2 2 2 2 6 2" xfId="1371" xr:uid="{00000000-0005-0000-0000-000067030000}"/>
    <cellStyle name="Normal 4 2 2 2 2 7" xfId="933" xr:uid="{00000000-0005-0000-0000-000068030000}"/>
    <cellStyle name="Normal 4 2 2 2 3" xfId="195" xr:uid="{00000000-0005-0000-0000-000069030000}"/>
    <cellStyle name="Normal 4 2 2 2 3 2" xfId="337" xr:uid="{00000000-0005-0000-0000-00006A030000}"/>
    <cellStyle name="Normal 4 2 2 2 3 2 2" xfId="699" xr:uid="{00000000-0005-0000-0000-00006B030000}"/>
    <cellStyle name="Normal 4 2 2 2 3 2 2 2" xfId="1616" xr:uid="{00000000-0005-0000-0000-00006C030000}"/>
    <cellStyle name="Normal 4 2 2 2 3 2 3" xfId="1178" xr:uid="{00000000-0005-0000-0000-00006D030000}"/>
    <cellStyle name="Normal 4 2 2 2 3 3" xfId="698" xr:uid="{00000000-0005-0000-0000-00006E030000}"/>
    <cellStyle name="Normal 4 2 2 2 3 3 2" xfId="1476" xr:uid="{00000000-0005-0000-0000-00006F030000}"/>
    <cellStyle name="Normal 4 2 2 2 3 4" xfId="1038" xr:uid="{00000000-0005-0000-0000-000070030000}"/>
    <cellStyle name="Normal 4 2 2 2 4" xfId="267" xr:uid="{00000000-0005-0000-0000-000071030000}"/>
    <cellStyle name="Normal 4 2 2 2 4 2" xfId="700" xr:uid="{00000000-0005-0000-0000-000072030000}"/>
    <cellStyle name="Normal 4 2 2 2 4 2 2" xfId="1546" xr:uid="{00000000-0005-0000-0000-000073030000}"/>
    <cellStyle name="Normal 4 2 2 2 4 3" xfId="1108" xr:uid="{00000000-0005-0000-0000-000074030000}"/>
    <cellStyle name="Normal 4 2 2 2 5" xfId="408" xr:uid="{00000000-0005-0000-0000-000075030000}"/>
    <cellStyle name="Normal 4 2 2 2 5 2" xfId="701" xr:uid="{00000000-0005-0000-0000-000076030000}"/>
    <cellStyle name="Normal 4 2 2 2 5 2 2" xfId="1686" xr:uid="{00000000-0005-0000-0000-000077030000}"/>
    <cellStyle name="Normal 4 2 2 2 5 3" xfId="1248" xr:uid="{00000000-0005-0000-0000-000078030000}"/>
    <cellStyle name="Normal 4 2 2 2 6" xfId="124" xr:uid="{00000000-0005-0000-0000-000079030000}"/>
    <cellStyle name="Normal 4 2 2 2 6 2" xfId="702" xr:uid="{00000000-0005-0000-0000-00007A030000}"/>
    <cellStyle name="Normal 4 2 2 2 6 2 2" xfId="1406" xr:uid="{00000000-0005-0000-0000-00007B030000}"/>
    <cellStyle name="Normal 4 2 2 2 6 3" xfId="968" xr:uid="{00000000-0005-0000-0000-00007C030000}"/>
    <cellStyle name="Normal 4 2 2 2 7" xfId="478" xr:uid="{00000000-0005-0000-0000-00007D030000}"/>
    <cellStyle name="Normal 4 2 2 2 7 2" xfId="1335" xr:uid="{00000000-0005-0000-0000-00007E030000}"/>
    <cellStyle name="Normal 4 2 2 2 8" xfId="898" xr:uid="{00000000-0005-0000-0000-00007F030000}"/>
    <cellStyle name="Normal 4 2 2 3" xfId="77" xr:uid="{00000000-0005-0000-0000-000080030000}"/>
    <cellStyle name="Normal 4 2 2 3 2" xfId="230" xr:uid="{00000000-0005-0000-0000-000081030000}"/>
    <cellStyle name="Normal 4 2 2 3 2 2" xfId="371" xr:uid="{00000000-0005-0000-0000-000082030000}"/>
    <cellStyle name="Normal 4 2 2 3 2 2 2" xfId="704" xr:uid="{00000000-0005-0000-0000-000083030000}"/>
    <cellStyle name="Normal 4 2 2 3 2 2 2 2" xfId="1650" xr:uid="{00000000-0005-0000-0000-000084030000}"/>
    <cellStyle name="Normal 4 2 2 3 2 2 3" xfId="1212" xr:uid="{00000000-0005-0000-0000-000085030000}"/>
    <cellStyle name="Normal 4 2 2 3 2 3" xfId="703" xr:uid="{00000000-0005-0000-0000-000086030000}"/>
    <cellStyle name="Normal 4 2 2 3 2 3 2" xfId="1510" xr:uid="{00000000-0005-0000-0000-000087030000}"/>
    <cellStyle name="Normal 4 2 2 3 2 4" xfId="1072" xr:uid="{00000000-0005-0000-0000-000088030000}"/>
    <cellStyle name="Normal 4 2 2 3 3" xfId="301" xr:uid="{00000000-0005-0000-0000-000089030000}"/>
    <cellStyle name="Normal 4 2 2 3 3 2" xfId="705" xr:uid="{00000000-0005-0000-0000-00008A030000}"/>
    <cellStyle name="Normal 4 2 2 3 3 2 2" xfId="1580" xr:uid="{00000000-0005-0000-0000-00008B030000}"/>
    <cellStyle name="Normal 4 2 2 3 3 3" xfId="1142" xr:uid="{00000000-0005-0000-0000-00008C030000}"/>
    <cellStyle name="Normal 4 2 2 3 4" xfId="442" xr:uid="{00000000-0005-0000-0000-00008D030000}"/>
    <cellStyle name="Normal 4 2 2 3 4 2" xfId="706" xr:uid="{00000000-0005-0000-0000-00008E030000}"/>
    <cellStyle name="Normal 4 2 2 3 4 2 2" xfId="1720" xr:uid="{00000000-0005-0000-0000-00008F030000}"/>
    <cellStyle name="Normal 4 2 2 3 4 3" xfId="1282" xr:uid="{00000000-0005-0000-0000-000090030000}"/>
    <cellStyle name="Normal 4 2 2 3 5" xfId="159" xr:uid="{00000000-0005-0000-0000-000091030000}"/>
    <cellStyle name="Normal 4 2 2 3 5 2" xfId="707" xr:uid="{00000000-0005-0000-0000-000092030000}"/>
    <cellStyle name="Normal 4 2 2 3 5 2 2" xfId="1440" xr:uid="{00000000-0005-0000-0000-000093030000}"/>
    <cellStyle name="Normal 4 2 2 3 5 3" xfId="1002" xr:uid="{00000000-0005-0000-0000-000094030000}"/>
    <cellStyle name="Normal 4 2 2 3 6" xfId="512" xr:uid="{00000000-0005-0000-0000-000095030000}"/>
    <cellStyle name="Normal 4 2 2 3 6 2" xfId="1370" xr:uid="{00000000-0005-0000-0000-000096030000}"/>
    <cellStyle name="Normal 4 2 2 3 7" xfId="932" xr:uid="{00000000-0005-0000-0000-000097030000}"/>
    <cellStyle name="Normal 4 2 2 4" xfId="194" xr:uid="{00000000-0005-0000-0000-000098030000}"/>
    <cellStyle name="Normal 4 2 2 4 2" xfId="336" xr:uid="{00000000-0005-0000-0000-000099030000}"/>
    <cellStyle name="Normal 4 2 2 4 2 2" xfId="709" xr:uid="{00000000-0005-0000-0000-00009A030000}"/>
    <cellStyle name="Normal 4 2 2 4 2 2 2" xfId="1615" xr:uid="{00000000-0005-0000-0000-00009B030000}"/>
    <cellStyle name="Normal 4 2 2 4 2 3" xfId="1177" xr:uid="{00000000-0005-0000-0000-00009C030000}"/>
    <cellStyle name="Normal 4 2 2 4 3" xfId="708" xr:uid="{00000000-0005-0000-0000-00009D030000}"/>
    <cellStyle name="Normal 4 2 2 4 3 2" xfId="1475" xr:uid="{00000000-0005-0000-0000-00009E030000}"/>
    <cellStyle name="Normal 4 2 2 4 4" xfId="1037" xr:uid="{00000000-0005-0000-0000-00009F030000}"/>
    <cellStyle name="Normal 4 2 2 5" xfId="266" xr:uid="{00000000-0005-0000-0000-0000A0030000}"/>
    <cellStyle name="Normal 4 2 2 5 2" xfId="710" xr:uid="{00000000-0005-0000-0000-0000A1030000}"/>
    <cellStyle name="Normal 4 2 2 5 2 2" xfId="1545" xr:uid="{00000000-0005-0000-0000-0000A2030000}"/>
    <cellStyle name="Normal 4 2 2 5 3" xfId="1107" xr:uid="{00000000-0005-0000-0000-0000A3030000}"/>
    <cellStyle name="Normal 4 2 2 6" xfId="407" xr:uid="{00000000-0005-0000-0000-0000A4030000}"/>
    <cellStyle name="Normal 4 2 2 6 2" xfId="711" xr:uid="{00000000-0005-0000-0000-0000A5030000}"/>
    <cellStyle name="Normal 4 2 2 6 2 2" xfId="1685" xr:uid="{00000000-0005-0000-0000-0000A6030000}"/>
    <cellStyle name="Normal 4 2 2 6 3" xfId="1247" xr:uid="{00000000-0005-0000-0000-0000A7030000}"/>
    <cellStyle name="Normal 4 2 2 7" xfId="123" xr:uid="{00000000-0005-0000-0000-0000A8030000}"/>
    <cellStyle name="Normal 4 2 2 7 2" xfId="712" xr:uid="{00000000-0005-0000-0000-0000A9030000}"/>
    <cellStyle name="Normal 4 2 2 7 2 2" xfId="1405" xr:uid="{00000000-0005-0000-0000-0000AA030000}"/>
    <cellStyle name="Normal 4 2 2 7 3" xfId="967" xr:uid="{00000000-0005-0000-0000-0000AB030000}"/>
    <cellStyle name="Normal 4 2 2 8" xfId="477" xr:uid="{00000000-0005-0000-0000-0000AC030000}"/>
    <cellStyle name="Normal 4 2 2 8 2" xfId="1334" xr:uid="{00000000-0005-0000-0000-0000AD030000}"/>
    <cellStyle name="Normal 4 2 2 9" xfId="897" xr:uid="{00000000-0005-0000-0000-0000AE030000}"/>
    <cellStyle name="Normal 4 2 3" xfId="33" xr:uid="{00000000-0005-0000-0000-0000AF030000}"/>
    <cellStyle name="Normal 4 2 3 2" xfId="79" xr:uid="{00000000-0005-0000-0000-0000B0030000}"/>
    <cellStyle name="Normal 4 2 3 2 2" xfId="232" xr:uid="{00000000-0005-0000-0000-0000B1030000}"/>
    <cellStyle name="Normal 4 2 3 2 2 2" xfId="373" xr:uid="{00000000-0005-0000-0000-0000B2030000}"/>
    <cellStyle name="Normal 4 2 3 2 2 2 2" xfId="714" xr:uid="{00000000-0005-0000-0000-0000B3030000}"/>
    <cellStyle name="Normal 4 2 3 2 2 2 2 2" xfId="1652" xr:uid="{00000000-0005-0000-0000-0000B4030000}"/>
    <cellStyle name="Normal 4 2 3 2 2 2 3" xfId="1214" xr:uid="{00000000-0005-0000-0000-0000B5030000}"/>
    <cellStyle name="Normal 4 2 3 2 2 3" xfId="713" xr:uid="{00000000-0005-0000-0000-0000B6030000}"/>
    <cellStyle name="Normal 4 2 3 2 2 3 2" xfId="1512" xr:uid="{00000000-0005-0000-0000-0000B7030000}"/>
    <cellStyle name="Normal 4 2 3 2 2 4" xfId="1074" xr:uid="{00000000-0005-0000-0000-0000B8030000}"/>
    <cellStyle name="Normal 4 2 3 2 3" xfId="303" xr:uid="{00000000-0005-0000-0000-0000B9030000}"/>
    <cellStyle name="Normal 4 2 3 2 3 2" xfId="715" xr:uid="{00000000-0005-0000-0000-0000BA030000}"/>
    <cellStyle name="Normal 4 2 3 2 3 2 2" xfId="1582" xr:uid="{00000000-0005-0000-0000-0000BB030000}"/>
    <cellStyle name="Normal 4 2 3 2 3 3" xfId="1144" xr:uid="{00000000-0005-0000-0000-0000BC030000}"/>
    <cellStyle name="Normal 4 2 3 2 4" xfId="444" xr:uid="{00000000-0005-0000-0000-0000BD030000}"/>
    <cellStyle name="Normal 4 2 3 2 4 2" xfId="716" xr:uid="{00000000-0005-0000-0000-0000BE030000}"/>
    <cellStyle name="Normal 4 2 3 2 4 2 2" xfId="1722" xr:uid="{00000000-0005-0000-0000-0000BF030000}"/>
    <cellStyle name="Normal 4 2 3 2 4 3" xfId="1284" xr:uid="{00000000-0005-0000-0000-0000C0030000}"/>
    <cellStyle name="Normal 4 2 3 2 5" xfId="161" xr:uid="{00000000-0005-0000-0000-0000C1030000}"/>
    <cellStyle name="Normal 4 2 3 2 5 2" xfId="717" xr:uid="{00000000-0005-0000-0000-0000C2030000}"/>
    <cellStyle name="Normal 4 2 3 2 5 2 2" xfId="1442" xr:uid="{00000000-0005-0000-0000-0000C3030000}"/>
    <cellStyle name="Normal 4 2 3 2 5 3" xfId="1004" xr:uid="{00000000-0005-0000-0000-0000C4030000}"/>
    <cellStyle name="Normal 4 2 3 2 6" xfId="514" xr:uid="{00000000-0005-0000-0000-0000C5030000}"/>
    <cellStyle name="Normal 4 2 3 2 6 2" xfId="1372" xr:uid="{00000000-0005-0000-0000-0000C6030000}"/>
    <cellStyle name="Normal 4 2 3 2 7" xfId="934" xr:uid="{00000000-0005-0000-0000-0000C7030000}"/>
    <cellStyle name="Normal 4 2 3 3" xfId="196" xr:uid="{00000000-0005-0000-0000-0000C8030000}"/>
    <cellStyle name="Normal 4 2 3 3 2" xfId="338" xr:uid="{00000000-0005-0000-0000-0000C9030000}"/>
    <cellStyle name="Normal 4 2 3 3 2 2" xfId="719" xr:uid="{00000000-0005-0000-0000-0000CA030000}"/>
    <cellStyle name="Normal 4 2 3 3 2 2 2" xfId="1617" xr:uid="{00000000-0005-0000-0000-0000CB030000}"/>
    <cellStyle name="Normal 4 2 3 3 2 3" xfId="1179" xr:uid="{00000000-0005-0000-0000-0000CC030000}"/>
    <cellStyle name="Normal 4 2 3 3 3" xfId="718" xr:uid="{00000000-0005-0000-0000-0000CD030000}"/>
    <cellStyle name="Normal 4 2 3 3 3 2" xfId="1477" xr:uid="{00000000-0005-0000-0000-0000CE030000}"/>
    <cellStyle name="Normal 4 2 3 3 4" xfId="1039" xr:uid="{00000000-0005-0000-0000-0000CF030000}"/>
    <cellStyle name="Normal 4 2 3 4" xfId="268" xr:uid="{00000000-0005-0000-0000-0000D0030000}"/>
    <cellStyle name="Normal 4 2 3 4 2" xfId="720" xr:uid="{00000000-0005-0000-0000-0000D1030000}"/>
    <cellStyle name="Normal 4 2 3 4 2 2" xfId="1547" xr:uid="{00000000-0005-0000-0000-0000D2030000}"/>
    <cellStyle name="Normal 4 2 3 4 3" xfId="1109" xr:uid="{00000000-0005-0000-0000-0000D3030000}"/>
    <cellStyle name="Normal 4 2 3 5" xfId="409" xr:uid="{00000000-0005-0000-0000-0000D4030000}"/>
    <cellStyle name="Normal 4 2 3 5 2" xfId="721" xr:uid="{00000000-0005-0000-0000-0000D5030000}"/>
    <cellStyle name="Normal 4 2 3 5 2 2" xfId="1687" xr:uid="{00000000-0005-0000-0000-0000D6030000}"/>
    <cellStyle name="Normal 4 2 3 5 3" xfId="1249" xr:uid="{00000000-0005-0000-0000-0000D7030000}"/>
    <cellStyle name="Normal 4 2 3 6" xfId="125" xr:uid="{00000000-0005-0000-0000-0000D8030000}"/>
    <cellStyle name="Normal 4 2 3 6 2" xfId="722" xr:uid="{00000000-0005-0000-0000-0000D9030000}"/>
    <cellStyle name="Normal 4 2 3 6 2 2" xfId="1407" xr:uid="{00000000-0005-0000-0000-0000DA030000}"/>
    <cellStyle name="Normal 4 2 3 6 3" xfId="969" xr:uid="{00000000-0005-0000-0000-0000DB030000}"/>
    <cellStyle name="Normal 4 2 3 7" xfId="479" xr:uid="{00000000-0005-0000-0000-0000DC030000}"/>
    <cellStyle name="Normal 4 2 3 7 2" xfId="1336" xr:uid="{00000000-0005-0000-0000-0000DD030000}"/>
    <cellStyle name="Normal 4 2 3 8" xfId="899" xr:uid="{00000000-0005-0000-0000-0000DE030000}"/>
    <cellStyle name="Normal 4 2 4" xfId="76" xr:uid="{00000000-0005-0000-0000-0000DF030000}"/>
    <cellStyle name="Normal 4 2 4 2" xfId="229" xr:uid="{00000000-0005-0000-0000-0000E0030000}"/>
    <cellStyle name="Normal 4 2 4 2 2" xfId="370" xr:uid="{00000000-0005-0000-0000-0000E1030000}"/>
    <cellStyle name="Normal 4 2 4 2 2 2" xfId="724" xr:uid="{00000000-0005-0000-0000-0000E2030000}"/>
    <cellStyle name="Normal 4 2 4 2 2 2 2" xfId="1649" xr:uid="{00000000-0005-0000-0000-0000E3030000}"/>
    <cellStyle name="Normal 4 2 4 2 2 3" xfId="1211" xr:uid="{00000000-0005-0000-0000-0000E4030000}"/>
    <cellStyle name="Normal 4 2 4 2 3" xfId="723" xr:uid="{00000000-0005-0000-0000-0000E5030000}"/>
    <cellStyle name="Normal 4 2 4 2 3 2" xfId="1509" xr:uid="{00000000-0005-0000-0000-0000E6030000}"/>
    <cellStyle name="Normal 4 2 4 2 4" xfId="1071" xr:uid="{00000000-0005-0000-0000-0000E7030000}"/>
    <cellStyle name="Normal 4 2 4 3" xfId="300" xr:uid="{00000000-0005-0000-0000-0000E8030000}"/>
    <cellStyle name="Normal 4 2 4 3 2" xfId="725" xr:uid="{00000000-0005-0000-0000-0000E9030000}"/>
    <cellStyle name="Normal 4 2 4 3 2 2" xfId="1579" xr:uid="{00000000-0005-0000-0000-0000EA030000}"/>
    <cellStyle name="Normal 4 2 4 3 3" xfId="1141" xr:uid="{00000000-0005-0000-0000-0000EB030000}"/>
    <cellStyle name="Normal 4 2 4 4" xfId="441" xr:uid="{00000000-0005-0000-0000-0000EC030000}"/>
    <cellStyle name="Normal 4 2 4 4 2" xfId="726" xr:uid="{00000000-0005-0000-0000-0000ED030000}"/>
    <cellStyle name="Normal 4 2 4 4 2 2" xfId="1719" xr:uid="{00000000-0005-0000-0000-0000EE030000}"/>
    <cellStyle name="Normal 4 2 4 4 3" xfId="1281" xr:uid="{00000000-0005-0000-0000-0000EF030000}"/>
    <cellStyle name="Normal 4 2 4 5" xfId="158" xr:uid="{00000000-0005-0000-0000-0000F0030000}"/>
    <cellStyle name="Normal 4 2 4 5 2" xfId="727" xr:uid="{00000000-0005-0000-0000-0000F1030000}"/>
    <cellStyle name="Normal 4 2 4 5 2 2" xfId="1439" xr:uid="{00000000-0005-0000-0000-0000F2030000}"/>
    <cellStyle name="Normal 4 2 4 5 3" xfId="1001" xr:uid="{00000000-0005-0000-0000-0000F3030000}"/>
    <cellStyle name="Normal 4 2 4 6" xfId="511" xr:uid="{00000000-0005-0000-0000-0000F4030000}"/>
    <cellStyle name="Normal 4 2 4 6 2" xfId="1369" xr:uid="{00000000-0005-0000-0000-0000F5030000}"/>
    <cellStyle name="Normal 4 2 4 7" xfId="931" xr:uid="{00000000-0005-0000-0000-0000F6030000}"/>
    <cellStyle name="Normal 4 2 5" xfId="193" xr:uid="{00000000-0005-0000-0000-0000F7030000}"/>
    <cellStyle name="Normal 4 2 5 2" xfId="335" xr:uid="{00000000-0005-0000-0000-0000F8030000}"/>
    <cellStyle name="Normal 4 2 5 2 2" xfId="729" xr:uid="{00000000-0005-0000-0000-0000F9030000}"/>
    <cellStyle name="Normal 4 2 5 2 2 2" xfId="1614" xr:uid="{00000000-0005-0000-0000-0000FA030000}"/>
    <cellStyle name="Normal 4 2 5 2 3" xfId="1176" xr:uid="{00000000-0005-0000-0000-0000FB030000}"/>
    <cellStyle name="Normal 4 2 5 3" xfId="728" xr:uid="{00000000-0005-0000-0000-0000FC030000}"/>
    <cellStyle name="Normal 4 2 5 3 2" xfId="1474" xr:uid="{00000000-0005-0000-0000-0000FD030000}"/>
    <cellStyle name="Normal 4 2 5 4" xfId="1036" xr:uid="{00000000-0005-0000-0000-0000FE030000}"/>
    <cellStyle name="Normal 4 2 6" xfId="265" xr:uid="{00000000-0005-0000-0000-0000FF030000}"/>
    <cellStyle name="Normal 4 2 6 2" xfId="730" xr:uid="{00000000-0005-0000-0000-000000040000}"/>
    <cellStyle name="Normal 4 2 6 2 2" xfId="1544" xr:uid="{00000000-0005-0000-0000-000001040000}"/>
    <cellStyle name="Normal 4 2 6 3" xfId="1106" xr:uid="{00000000-0005-0000-0000-000002040000}"/>
    <cellStyle name="Normal 4 2 7" xfId="406" xr:uid="{00000000-0005-0000-0000-000003040000}"/>
    <cellStyle name="Normal 4 2 7 2" xfId="731" xr:uid="{00000000-0005-0000-0000-000004040000}"/>
    <cellStyle name="Normal 4 2 7 2 2" xfId="1684" xr:uid="{00000000-0005-0000-0000-000005040000}"/>
    <cellStyle name="Normal 4 2 7 3" xfId="1246" xr:uid="{00000000-0005-0000-0000-000006040000}"/>
    <cellStyle name="Normal 4 2 8" xfId="122" xr:uid="{00000000-0005-0000-0000-000007040000}"/>
    <cellStyle name="Normal 4 2 8 2" xfId="732" xr:uid="{00000000-0005-0000-0000-000008040000}"/>
    <cellStyle name="Normal 4 2 8 2 2" xfId="1404" xr:uid="{00000000-0005-0000-0000-000009040000}"/>
    <cellStyle name="Normal 4 2 8 3" xfId="966" xr:uid="{00000000-0005-0000-0000-00000A040000}"/>
    <cellStyle name="Normal 4 2 9" xfId="476" xr:uid="{00000000-0005-0000-0000-00000B040000}"/>
    <cellStyle name="Normal 4 2 9 2" xfId="1333" xr:uid="{00000000-0005-0000-0000-00000C040000}"/>
    <cellStyle name="Normal 4 3" xfId="34" xr:uid="{00000000-0005-0000-0000-00000D040000}"/>
    <cellStyle name="Normal 4 3 2" xfId="35" xr:uid="{00000000-0005-0000-0000-00000E040000}"/>
    <cellStyle name="Normal 4 3 2 2" xfId="81" xr:uid="{00000000-0005-0000-0000-00000F040000}"/>
    <cellStyle name="Normal 4 3 2 2 2" xfId="234" xr:uid="{00000000-0005-0000-0000-000010040000}"/>
    <cellStyle name="Normal 4 3 2 2 2 2" xfId="375" xr:uid="{00000000-0005-0000-0000-000011040000}"/>
    <cellStyle name="Normal 4 3 2 2 2 2 2" xfId="734" xr:uid="{00000000-0005-0000-0000-000012040000}"/>
    <cellStyle name="Normal 4 3 2 2 2 2 2 2" xfId="1654" xr:uid="{00000000-0005-0000-0000-000013040000}"/>
    <cellStyle name="Normal 4 3 2 2 2 2 3" xfId="1216" xr:uid="{00000000-0005-0000-0000-000014040000}"/>
    <cellStyle name="Normal 4 3 2 2 2 3" xfId="733" xr:uid="{00000000-0005-0000-0000-000015040000}"/>
    <cellStyle name="Normal 4 3 2 2 2 3 2" xfId="1514" xr:uid="{00000000-0005-0000-0000-000016040000}"/>
    <cellStyle name="Normal 4 3 2 2 2 4" xfId="1076" xr:uid="{00000000-0005-0000-0000-000017040000}"/>
    <cellStyle name="Normal 4 3 2 2 3" xfId="305" xr:uid="{00000000-0005-0000-0000-000018040000}"/>
    <cellStyle name="Normal 4 3 2 2 3 2" xfId="735" xr:uid="{00000000-0005-0000-0000-000019040000}"/>
    <cellStyle name="Normal 4 3 2 2 3 2 2" xfId="1584" xr:uid="{00000000-0005-0000-0000-00001A040000}"/>
    <cellStyle name="Normal 4 3 2 2 3 3" xfId="1146" xr:uid="{00000000-0005-0000-0000-00001B040000}"/>
    <cellStyle name="Normal 4 3 2 2 4" xfId="446" xr:uid="{00000000-0005-0000-0000-00001C040000}"/>
    <cellStyle name="Normal 4 3 2 2 4 2" xfId="736" xr:uid="{00000000-0005-0000-0000-00001D040000}"/>
    <cellStyle name="Normal 4 3 2 2 4 2 2" xfId="1724" xr:uid="{00000000-0005-0000-0000-00001E040000}"/>
    <cellStyle name="Normal 4 3 2 2 4 3" xfId="1286" xr:uid="{00000000-0005-0000-0000-00001F040000}"/>
    <cellStyle name="Normal 4 3 2 2 5" xfId="163" xr:uid="{00000000-0005-0000-0000-000020040000}"/>
    <cellStyle name="Normal 4 3 2 2 5 2" xfId="737" xr:uid="{00000000-0005-0000-0000-000021040000}"/>
    <cellStyle name="Normal 4 3 2 2 5 2 2" xfId="1444" xr:uid="{00000000-0005-0000-0000-000022040000}"/>
    <cellStyle name="Normal 4 3 2 2 5 3" xfId="1006" xr:uid="{00000000-0005-0000-0000-000023040000}"/>
    <cellStyle name="Normal 4 3 2 2 6" xfId="516" xr:uid="{00000000-0005-0000-0000-000024040000}"/>
    <cellStyle name="Normal 4 3 2 2 6 2" xfId="1374" xr:uid="{00000000-0005-0000-0000-000025040000}"/>
    <cellStyle name="Normal 4 3 2 2 7" xfId="936" xr:uid="{00000000-0005-0000-0000-000026040000}"/>
    <cellStyle name="Normal 4 3 2 3" xfId="198" xr:uid="{00000000-0005-0000-0000-000027040000}"/>
    <cellStyle name="Normal 4 3 2 3 2" xfId="340" xr:uid="{00000000-0005-0000-0000-000028040000}"/>
    <cellStyle name="Normal 4 3 2 3 2 2" xfId="739" xr:uid="{00000000-0005-0000-0000-000029040000}"/>
    <cellStyle name="Normal 4 3 2 3 2 2 2" xfId="1619" xr:uid="{00000000-0005-0000-0000-00002A040000}"/>
    <cellStyle name="Normal 4 3 2 3 2 3" xfId="1181" xr:uid="{00000000-0005-0000-0000-00002B040000}"/>
    <cellStyle name="Normal 4 3 2 3 3" xfId="738" xr:uid="{00000000-0005-0000-0000-00002C040000}"/>
    <cellStyle name="Normal 4 3 2 3 3 2" xfId="1479" xr:uid="{00000000-0005-0000-0000-00002D040000}"/>
    <cellStyle name="Normal 4 3 2 3 4" xfId="1041" xr:uid="{00000000-0005-0000-0000-00002E040000}"/>
    <cellStyle name="Normal 4 3 2 4" xfId="270" xr:uid="{00000000-0005-0000-0000-00002F040000}"/>
    <cellStyle name="Normal 4 3 2 4 2" xfId="740" xr:uid="{00000000-0005-0000-0000-000030040000}"/>
    <cellStyle name="Normal 4 3 2 4 2 2" xfId="1549" xr:uid="{00000000-0005-0000-0000-000031040000}"/>
    <cellStyle name="Normal 4 3 2 4 3" xfId="1111" xr:uid="{00000000-0005-0000-0000-000032040000}"/>
    <cellStyle name="Normal 4 3 2 5" xfId="411" xr:uid="{00000000-0005-0000-0000-000033040000}"/>
    <cellStyle name="Normal 4 3 2 5 2" xfId="741" xr:uid="{00000000-0005-0000-0000-000034040000}"/>
    <cellStyle name="Normal 4 3 2 5 2 2" xfId="1689" xr:uid="{00000000-0005-0000-0000-000035040000}"/>
    <cellStyle name="Normal 4 3 2 5 3" xfId="1251" xr:uid="{00000000-0005-0000-0000-000036040000}"/>
    <cellStyle name="Normal 4 3 2 6" xfId="127" xr:uid="{00000000-0005-0000-0000-000037040000}"/>
    <cellStyle name="Normal 4 3 2 6 2" xfId="742" xr:uid="{00000000-0005-0000-0000-000038040000}"/>
    <cellStyle name="Normal 4 3 2 6 2 2" xfId="1409" xr:uid="{00000000-0005-0000-0000-000039040000}"/>
    <cellStyle name="Normal 4 3 2 6 3" xfId="971" xr:uid="{00000000-0005-0000-0000-00003A040000}"/>
    <cellStyle name="Normal 4 3 2 7" xfId="481" xr:uid="{00000000-0005-0000-0000-00003B040000}"/>
    <cellStyle name="Normal 4 3 2 7 2" xfId="1338" xr:uid="{00000000-0005-0000-0000-00003C040000}"/>
    <cellStyle name="Normal 4 3 2 8" xfId="901" xr:uid="{00000000-0005-0000-0000-00003D040000}"/>
    <cellStyle name="Normal 4 3 3" xfId="80" xr:uid="{00000000-0005-0000-0000-00003E040000}"/>
    <cellStyle name="Normal 4 3 3 2" xfId="233" xr:uid="{00000000-0005-0000-0000-00003F040000}"/>
    <cellStyle name="Normal 4 3 3 2 2" xfId="374" xr:uid="{00000000-0005-0000-0000-000040040000}"/>
    <cellStyle name="Normal 4 3 3 2 2 2" xfId="744" xr:uid="{00000000-0005-0000-0000-000041040000}"/>
    <cellStyle name="Normal 4 3 3 2 2 2 2" xfId="1653" xr:uid="{00000000-0005-0000-0000-000042040000}"/>
    <cellStyle name="Normal 4 3 3 2 2 3" xfId="1215" xr:uid="{00000000-0005-0000-0000-000043040000}"/>
    <cellStyle name="Normal 4 3 3 2 3" xfId="743" xr:uid="{00000000-0005-0000-0000-000044040000}"/>
    <cellStyle name="Normal 4 3 3 2 3 2" xfId="1513" xr:uid="{00000000-0005-0000-0000-000045040000}"/>
    <cellStyle name="Normal 4 3 3 2 4" xfId="1075" xr:uid="{00000000-0005-0000-0000-000046040000}"/>
    <cellStyle name="Normal 4 3 3 3" xfId="304" xr:uid="{00000000-0005-0000-0000-000047040000}"/>
    <cellStyle name="Normal 4 3 3 3 2" xfId="745" xr:uid="{00000000-0005-0000-0000-000048040000}"/>
    <cellStyle name="Normal 4 3 3 3 2 2" xfId="1583" xr:uid="{00000000-0005-0000-0000-000049040000}"/>
    <cellStyle name="Normal 4 3 3 3 3" xfId="1145" xr:uid="{00000000-0005-0000-0000-00004A040000}"/>
    <cellStyle name="Normal 4 3 3 4" xfId="445" xr:uid="{00000000-0005-0000-0000-00004B040000}"/>
    <cellStyle name="Normal 4 3 3 4 2" xfId="746" xr:uid="{00000000-0005-0000-0000-00004C040000}"/>
    <cellStyle name="Normal 4 3 3 4 2 2" xfId="1723" xr:uid="{00000000-0005-0000-0000-00004D040000}"/>
    <cellStyle name="Normal 4 3 3 4 3" xfId="1285" xr:uid="{00000000-0005-0000-0000-00004E040000}"/>
    <cellStyle name="Normal 4 3 3 5" xfId="162" xr:uid="{00000000-0005-0000-0000-00004F040000}"/>
    <cellStyle name="Normal 4 3 3 5 2" xfId="747" xr:uid="{00000000-0005-0000-0000-000050040000}"/>
    <cellStyle name="Normal 4 3 3 5 2 2" xfId="1443" xr:uid="{00000000-0005-0000-0000-000051040000}"/>
    <cellStyle name="Normal 4 3 3 5 3" xfId="1005" xr:uid="{00000000-0005-0000-0000-000052040000}"/>
    <cellStyle name="Normal 4 3 3 6" xfId="515" xr:uid="{00000000-0005-0000-0000-000053040000}"/>
    <cellStyle name="Normal 4 3 3 6 2" xfId="1373" xr:uid="{00000000-0005-0000-0000-000054040000}"/>
    <cellStyle name="Normal 4 3 3 7" xfId="935" xr:uid="{00000000-0005-0000-0000-000055040000}"/>
    <cellStyle name="Normal 4 3 4" xfId="197" xr:uid="{00000000-0005-0000-0000-000056040000}"/>
    <cellStyle name="Normal 4 3 4 2" xfId="339" xr:uid="{00000000-0005-0000-0000-000057040000}"/>
    <cellStyle name="Normal 4 3 4 2 2" xfId="749" xr:uid="{00000000-0005-0000-0000-000058040000}"/>
    <cellStyle name="Normal 4 3 4 2 2 2" xfId="1618" xr:uid="{00000000-0005-0000-0000-000059040000}"/>
    <cellStyle name="Normal 4 3 4 2 3" xfId="1180" xr:uid="{00000000-0005-0000-0000-00005A040000}"/>
    <cellStyle name="Normal 4 3 4 3" xfId="748" xr:uid="{00000000-0005-0000-0000-00005B040000}"/>
    <cellStyle name="Normal 4 3 4 3 2" xfId="1478" xr:uid="{00000000-0005-0000-0000-00005C040000}"/>
    <cellStyle name="Normal 4 3 4 4" xfId="1040" xr:uid="{00000000-0005-0000-0000-00005D040000}"/>
    <cellStyle name="Normal 4 3 5" xfId="269" xr:uid="{00000000-0005-0000-0000-00005E040000}"/>
    <cellStyle name="Normal 4 3 5 2" xfId="750" xr:uid="{00000000-0005-0000-0000-00005F040000}"/>
    <cellStyle name="Normal 4 3 5 2 2" xfId="1548" xr:uid="{00000000-0005-0000-0000-000060040000}"/>
    <cellStyle name="Normal 4 3 5 3" xfId="1110" xr:uid="{00000000-0005-0000-0000-000061040000}"/>
    <cellStyle name="Normal 4 3 6" xfId="410" xr:uid="{00000000-0005-0000-0000-000062040000}"/>
    <cellStyle name="Normal 4 3 6 2" xfId="751" xr:uid="{00000000-0005-0000-0000-000063040000}"/>
    <cellStyle name="Normal 4 3 6 2 2" xfId="1688" xr:uid="{00000000-0005-0000-0000-000064040000}"/>
    <cellStyle name="Normal 4 3 6 3" xfId="1250" xr:uid="{00000000-0005-0000-0000-000065040000}"/>
    <cellStyle name="Normal 4 3 7" xfId="126" xr:uid="{00000000-0005-0000-0000-000066040000}"/>
    <cellStyle name="Normal 4 3 7 2" xfId="752" xr:uid="{00000000-0005-0000-0000-000067040000}"/>
    <cellStyle name="Normal 4 3 7 2 2" xfId="1408" xr:uid="{00000000-0005-0000-0000-000068040000}"/>
    <cellStyle name="Normal 4 3 7 3" xfId="970" xr:uid="{00000000-0005-0000-0000-000069040000}"/>
    <cellStyle name="Normal 4 3 8" xfId="480" xr:uid="{00000000-0005-0000-0000-00006A040000}"/>
    <cellStyle name="Normal 4 3 8 2" xfId="1337" xr:uid="{00000000-0005-0000-0000-00006B040000}"/>
    <cellStyle name="Normal 4 3 9" xfId="900" xr:uid="{00000000-0005-0000-0000-00006C040000}"/>
    <cellStyle name="Normal 4 4" xfId="36" xr:uid="{00000000-0005-0000-0000-00006D040000}"/>
    <cellStyle name="Normal 4 4 2" xfId="82" xr:uid="{00000000-0005-0000-0000-00006E040000}"/>
    <cellStyle name="Normal 4 4 2 2" xfId="235" xr:uid="{00000000-0005-0000-0000-00006F040000}"/>
    <cellStyle name="Normal 4 4 2 2 2" xfId="376" xr:uid="{00000000-0005-0000-0000-000070040000}"/>
    <cellStyle name="Normal 4 4 2 2 2 2" xfId="754" xr:uid="{00000000-0005-0000-0000-000071040000}"/>
    <cellStyle name="Normal 4 4 2 2 2 2 2" xfId="1655" xr:uid="{00000000-0005-0000-0000-000072040000}"/>
    <cellStyle name="Normal 4 4 2 2 2 3" xfId="1217" xr:uid="{00000000-0005-0000-0000-000073040000}"/>
    <cellStyle name="Normal 4 4 2 2 3" xfId="753" xr:uid="{00000000-0005-0000-0000-000074040000}"/>
    <cellStyle name="Normal 4 4 2 2 3 2" xfId="1515" xr:uid="{00000000-0005-0000-0000-000075040000}"/>
    <cellStyle name="Normal 4 4 2 2 4" xfId="1077" xr:uid="{00000000-0005-0000-0000-000076040000}"/>
    <cellStyle name="Normal 4 4 2 3" xfId="306" xr:uid="{00000000-0005-0000-0000-000077040000}"/>
    <cellStyle name="Normal 4 4 2 3 2" xfId="755" xr:uid="{00000000-0005-0000-0000-000078040000}"/>
    <cellStyle name="Normal 4 4 2 3 2 2" xfId="1585" xr:uid="{00000000-0005-0000-0000-000079040000}"/>
    <cellStyle name="Normal 4 4 2 3 3" xfId="1147" xr:uid="{00000000-0005-0000-0000-00007A040000}"/>
    <cellStyle name="Normal 4 4 2 4" xfId="447" xr:uid="{00000000-0005-0000-0000-00007B040000}"/>
    <cellStyle name="Normal 4 4 2 4 2" xfId="756" xr:uid="{00000000-0005-0000-0000-00007C040000}"/>
    <cellStyle name="Normal 4 4 2 4 2 2" xfId="1725" xr:uid="{00000000-0005-0000-0000-00007D040000}"/>
    <cellStyle name="Normal 4 4 2 4 3" xfId="1287" xr:uid="{00000000-0005-0000-0000-00007E040000}"/>
    <cellStyle name="Normal 4 4 2 5" xfId="164" xr:uid="{00000000-0005-0000-0000-00007F040000}"/>
    <cellStyle name="Normal 4 4 2 5 2" xfId="757" xr:uid="{00000000-0005-0000-0000-000080040000}"/>
    <cellStyle name="Normal 4 4 2 5 2 2" xfId="1445" xr:uid="{00000000-0005-0000-0000-000081040000}"/>
    <cellStyle name="Normal 4 4 2 5 3" xfId="1007" xr:uid="{00000000-0005-0000-0000-000082040000}"/>
    <cellStyle name="Normal 4 4 2 6" xfId="517" xr:uid="{00000000-0005-0000-0000-000083040000}"/>
    <cellStyle name="Normal 4 4 2 6 2" xfId="1375" xr:uid="{00000000-0005-0000-0000-000084040000}"/>
    <cellStyle name="Normal 4 4 2 7" xfId="937" xr:uid="{00000000-0005-0000-0000-000085040000}"/>
    <cellStyle name="Normal 4 4 3" xfId="199" xr:uid="{00000000-0005-0000-0000-000086040000}"/>
    <cellStyle name="Normal 4 4 3 2" xfId="341" xr:uid="{00000000-0005-0000-0000-000087040000}"/>
    <cellStyle name="Normal 4 4 3 2 2" xfId="759" xr:uid="{00000000-0005-0000-0000-000088040000}"/>
    <cellStyle name="Normal 4 4 3 2 2 2" xfId="1620" xr:uid="{00000000-0005-0000-0000-000089040000}"/>
    <cellStyle name="Normal 4 4 3 2 3" xfId="1182" xr:uid="{00000000-0005-0000-0000-00008A040000}"/>
    <cellStyle name="Normal 4 4 3 3" xfId="758" xr:uid="{00000000-0005-0000-0000-00008B040000}"/>
    <cellStyle name="Normal 4 4 3 3 2" xfId="1480" xr:uid="{00000000-0005-0000-0000-00008C040000}"/>
    <cellStyle name="Normal 4 4 3 4" xfId="1042" xr:uid="{00000000-0005-0000-0000-00008D040000}"/>
    <cellStyle name="Normal 4 4 4" xfId="271" xr:uid="{00000000-0005-0000-0000-00008E040000}"/>
    <cellStyle name="Normal 4 4 4 2" xfId="760" xr:uid="{00000000-0005-0000-0000-00008F040000}"/>
    <cellStyle name="Normal 4 4 4 2 2" xfId="1550" xr:uid="{00000000-0005-0000-0000-000090040000}"/>
    <cellStyle name="Normal 4 4 4 3" xfId="1112" xr:uid="{00000000-0005-0000-0000-000091040000}"/>
    <cellStyle name="Normal 4 4 5" xfId="412" xr:uid="{00000000-0005-0000-0000-000092040000}"/>
    <cellStyle name="Normal 4 4 5 2" xfId="761" xr:uid="{00000000-0005-0000-0000-000093040000}"/>
    <cellStyle name="Normal 4 4 5 2 2" xfId="1690" xr:uid="{00000000-0005-0000-0000-000094040000}"/>
    <cellStyle name="Normal 4 4 5 3" xfId="1252" xr:uid="{00000000-0005-0000-0000-000095040000}"/>
    <cellStyle name="Normal 4 4 6" xfId="128" xr:uid="{00000000-0005-0000-0000-000096040000}"/>
    <cellStyle name="Normal 4 4 6 2" xfId="762" xr:uid="{00000000-0005-0000-0000-000097040000}"/>
    <cellStyle name="Normal 4 4 6 2 2" xfId="1410" xr:uid="{00000000-0005-0000-0000-000098040000}"/>
    <cellStyle name="Normal 4 4 6 3" xfId="972" xr:uid="{00000000-0005-0000-0000-000099040000}"/>
    <cellStyle name="Normal 4 4 7" xfId="482" xr:uid="{00000000-0005-0000-0000-00009A040000}"/>
    <cellStyle name="Normal 4 4 7 2" xfId="1339" xr:uid="{00000000-0005-0000-0000-00009B040000}"/>
    <cellStyle name="Normal 4 4 8" xfId="902" xr:uid="{00000000-0005-0000-0000-00009C040000}"/>
    <cellStyle name="Normal 4 5" xfId="75" xr:uid="{00000000-0005-0000-0000-00009D040000}"/>
    <cellStyle name="Normal 4 5 2" xfId="228" xr:uid="{00000000-0005-0000-0000-00009E040000}"/>
    <cellStyle name="Normal 4 5 2 2" xfId="369" xr:uid="{00000000-0005-0000-0000-00009F040000}"/>
    <cellStyle name="Normal 4 5 2 2 2" xfId="764" xr:uid="{00000000-0005-0000-0000-0000A0040000}"/>
    <cellStyle name="Normal 4 5 2 2 2 2" xfId="1648" xr:uid="{00000000-0005-0000-0000-0000A1040000}"/>
    <cellStyle name="Normal 4 5 2 2 3" xfId="1210" xr:uid="{00000000-0005-0000-0000-0000A2040000}"/>
    <cellStyle name="Normal 4 5 2 3" xfId="763" xr:uid="{00000000-0005-0000-0000-0000A3040000}"/>
    <cellStyle name="Normal 4 5 2 3 2" xfId="1508" xr:uid="{00000000-0005-0000-0000-0000A4040000}"/>
    <cellStyle name="Normal 4 5 2 4" xfId="1070" xr:uid="{00000000-0005-0000-0000-0000A5040000}"/>
    <cellStyle name="Normal 4 5 3" xfId="299" xr:uid="{00000000-0005-0000-0000-0000A6040000}"/>
    <cellStyle name="Normal 4 5 3 2" xfId="765" xr:uid="{00000000-0005-0000-0000-0000A7040000}"/>
    <cellStyle name="Normal 4 5 3 2 2" xfId="1578" xr:uid="{00000000-0005-0000-0000-0000A8040000}"/>
    <cellStyle name="Normal 4 5 3 3" xfId="1140" xr:uid="{00000000-0005-0000-0000-0000A9040000}"/>
    <cellStyle name="Normal 4 5 4" xfId="440" xr:uid="{00000000-0005-0000-0000-0000AA040000}"/>
    <cellStyle name="Normal 4 5 4 2" xfId="766" xr:uid="{00000000-0005-0000-0000-0000AB040000}"/>
    <cellStyle name="Normal 4 5 4 2 2" xfId="1718" xr:uid="{00000000-0005-0000-0000-0000AC040000}"/>
    <cellStyle name="Normal 4 5 4 3" xfId="1280" xr:uid="{00000000-0005-0000-0000-0000AD040000}"/>
    <cellStyle name="Normal 4 5 5" xfId="157" xr:uid="{00000000-0005-0000-0000-0000AE040000}"/>
    <cellStyle name="Normal 4 5 5 2" xfId="767" xr:uid="{00000000-0005-0000-0000-0000AF040000}"/>
    <cellStyle name="Normal 4 5 5 2 2" xfId="1438" xr:uid="{00000000-0005-0000-0000-0000B0040000}"/>
    <cellStyle name="Normal 4 5 5 3" xfId="1000" xr:uid="{00000000-0005-0000-0000-0000B1040000}"/>
    <cellStyle name="Normal 4 5 6" xfId="510" xr:uid="{00000000-0005-0000-0000-0000B2040000}"/>
    <cellStyle name="Normal 4 5 6 2" xfId="1368" xr:uid="{00000000-0005-0000-0000-0000B3040000}"/>
    <cellStyle name="Normal 4 5 7" xfId="930" xr:uid="{00000000-0005-0000-0000-0000B4040000}"/>
    <cellStyle name="Normal 4 6" xfId="192" xr:uid="{00000000-0005-0000-0000-0000B5040000}"/>
    <cellStyle name="Normal 4 6 2" xfId="334" xr:uid="{00000000-0005-0000-0000-0000B6040000}"/>
    <cellStyle name="Normal 4 6 2 2" xfId="769" xr:uid="{00000000-0005-0000-0000-0000B7040000}"/>
    <cellStyle name="Normal 4 6 2 2 2" xfId="1613" xr:uid="{00000000-0005-0000-0000-0000B8040000}"/>
    <cellStyle name="Normal 4 6 2 3" xfId="1175" xr:uid="{00000000-0005-0000-0000-0000B9040000}"/>
    <cellStyle name="Normal 4 6 3" xfId="768" xr:uid="{00000000-0005-0000-0000-0000BA040000}"/>
    <cellStyle name="Normal 4 6 3 2" xfId="1473" xr:uid="{00000000-0005-0000-0000-0000BB040000}"/>
    <cellStyle name="Normal 4 6 4" xfId="1035" xr:uid="{00000000-0005-0000-0000-0000BC040000}"/>
    <cellStyle name="Normal 4 7" xfId="264" xr:uid="{00000000-0005-0000-0000-0000BD040000}"/>
    <cellStyle name="Normal 4 7 2" xfId="770" xr:uid="{00000000-0005-0000-0000-0000BE040000}"/>
    <cellStyle name="Normal 4 7 2 2" xfId="1543" xr:uid="{00000000-0005-0000-0000-0000BF040000}"/>
    <cellStyle name="Normal 4 7 3" xfId="1105" xr:uid="{00000000-0005-0000-0000-0000C0040000}"/>
    <cellStyle name="Normal 4 8" xfId="405" xr:uid="{00000000-0005-0000-0000-0000C1040000}"/>
    <cellStyle name="Normal 4 8 2" xfId="771" xr:uid="{00000000-0005-0000-0000-0000C2040000}"/>
    <cellStyle name="Normal 4 8 2 2" xfId="1683" xr:uid="{00000000-0005-0000-0000-0000C3040000}"/>
    <cellStyle name="Normal 4 8 3" xfId="1245" xr:uid="{00000000-0005-0000-0000-0000C4040000}"/>
    <cellStyle name="Normal 4 9" xfId="121" xr:uid="{00000000-0005-0000-0000-0000C5040000}"/>
    <cellStyle name="Normal 4 9 2" xfId="772" xr:uid="{00000000-0005-0000-0000-0000C6040000}"/>
    <cellStyle name="Normal 4 9 2 2" xfId="1403" xr:uid="{00000000-0005-0000-0000-0000C7040000}"/>
    <cellStyle name="Normal 4 9 3" xfId="965" xr:uid="{00000000-0005-0000-0000-0000C8040000}"/>
    <cellStyle name="Normal 5" xfId="37" xr:uid="{00000000-0005-0000-0000-0000C9040000}"/>
    <cellStyle name="Normal 5 10" xfId="483" xr:uid="{00000000-0005-0000-0000-0000CA040000}"/>
    <cellStyle name="Normal 5 10 2" xfId="1340" xr:uid="{00000000-0005-0000-0000-0000CB040000}"/>
    <cellStyle name="Normal 5 11" xfId="903" xr:uid="{00000000-0005-0000-0000-0000CC040000}"/>
    <cellStyle name="Normal 5 2" xfId="38" xr:uid="{00000000-0005-0000-0000-0000CD040000}"/>
    <cellStyle name="Normal 5 2 10" xfId="904" xr:uid="{00000000-0005-0000-0000-0000CE040000}"/>
    <cellStyle name="Normal 5 2 2" xfId="39" xr:uid="{00000000-0005-0000-0000-0000CF040000}"/>
    <cellStyle name="Normal 5 2 2 2" xfId="40" xr:uid="{00000000-0005-0000-0000-0000D0040000}"/>
    <cellStyle name="Normal 5 2 2 2 2" xfId="86" xr:uid="{00000000-0005-0000-0000-0000D1040000}"/>
    <cellStyle name="Normal 5 2 2 2 2 2" xfId="239" xr:uid="{00000000-0005-0000-0000-0000D2040000}"/>
    <cellStyle name="Normal 5 2 2 2 2 2 2" xfId="380" xr:uid="{00000000-0005-0000-0000-0000D3040000}"/>
    <cellStyle name="Normal 5 2 2 2 2 2 2 2" xfId="774" xr:uid="{00000000-0005-0000-0000-0000D4040000}"/>
    <cellStyle name="Normal 5 2 2 2 2 2 2 2 2" xfId="1659" xr:uid="{00000000-0005-0000-0000-0000D5040000}"/>
    <cellStyle name="Normal 5 2 2 2 2 2 2 3" xfId="1221" xr:uid="{00000000-0005-0000-0000-0000D6040000}"/>
    <cellStyle name="Normal 5 2 2 2 2 2 3" xfId="773" xr:uid="{00000000-0005-0000-0000-0000D7040000}"/>
    <cellStyle name="Normal 5 2 2 2 2 2 3 2" xfId="1519" xr:uid="{00000000-0005-0000-0000-0000D8040000}"/>
    <cellStyle name="Normal 5 2 2 2 2 2 4" xfId="1081" xr:uid="{00000000-0005-0000-0000-0000D9040000}"/>
    <cellStyle name="Normal 5 2 2 2 2 3" xfId="310" xr:uid="{00000000-0005-0000-0000-0000DA040000}"/>
    <cellStyle name="Normal 5 2 2 2 2 3 2" xfId="775" xr:uid="{00000000-0005-0000-0000-0000DB040000}"/>
    <cellStyle name="Normal 5 2 2 2 2 3 2 2" xfId="1589" xr:uid="{00000000-0005-0000-0000-0000DC040000}"/>
    <cellStyle name="Normal 5 2 2 2 2 3 3" xfId="1151" xr:uid="{00000000-0005-0000-0000-0000DD040000}"/>
    <cellStyle name="Normal 5 2 2 2 2 4" xfId="451" xr:uid="{00000000-0005-0000-0000-0000DE040000}"/>
    <cellStyle name="Normal 5 2 2 2 2 4 2" xfId="776" xr:uid="{00000000-0005-0000-0000-0000DF040000}"/>
    <cellStyle name="Normal 5 2 2 2 2 4 2 2" xfId="1729" xr:uid="{00000000-0005-0000-0000-0000E0040000}"/>
    <cellStyle name="Normal 5 2 2 2 2 4 3" xfId="1291" xr:uid="{00000000-0005-0000-0000-0000E1040000}"/>
    <cellStyle name="Normal 5 2 2 2 2 5" xfId="168" xr:uid="{00000000-0005-0000-0000-0000E2040000}"/>
    <cellStyle name="Normal 5 2 2 2 2 5 2" xfId="777" xr:uid="{00000000-0005-0000-0000-0000E3040000}"/>
    <cellStyle name="Normal 5 2 2 2 2 5 2 2" xfId="1449" xr:uid="{00000000-0005-0000-0000-0000E4040000}"/>
    <cellStyle name="Normal 5 2 2 2 2 5 3" xfId="1011" xr:uid="{00000000-0005-0000-0000-0000E5040000}"/>
    <cellStyle name="Normal 5 2 2 2 2 6" xfId="521" xr:uid="{00000000-0005-0000-0000-0000E6040000}"/>
    <cellStyle name="Normal 5 2 2 2 2 6 2" xfId="1379" xr:uid="{00000000-0005-0000-0000-0000E7040000}"/>
    <cellStyle name="Normal 5 2 2 2 2 7" xfId="941" xr:uid="{00000000-0005-0000-0000-0000E8040000}"/>
    <cellStyle name="Normal 5 2 2 2 3" xfId="203" xr:uid="{00000000-0005-0000-0000-0000E9040000}"/>
    <cellStyle name="Normal 5 2 2 2 3 2" xfId="345" xr:uid="{00000000-0005-0000-0000-0000EA040000}"/>
    <cellStyle name="Normal 5 2 2 2 3 2 2" xfId="779" xr:uid="{00000000-0005-0000-0000-0000EB040000}"/>
    <cellStyle name="Normal 5 2 2 2 3 2 2 2" xfId="1624" xr:uid="{00000000-0005-0000-0000-0000EC040000}"/>
    <cellStyle name="Normal 5 2 2 2 3 2 3" xfId="1186" xr:uid="{00000000-0005-0000-0000-0000ED040000}"/>
    <cellStyle name="Normal 5 2 2 2 3 3" xfId="778" xr:uid="{00000000-0005-0000-0000-0000EE040000}"/>
    <cellStyle name="Normal 5 2 2 2 3 3 2" xfId="1484" xr:uid="{00000000-0005-0000-0000-0000EF040000}"/>
    <cellStyle name="Normal 5 2 2 2 3 4" xfId="1046" xr:uid="{00000000-0005-0000-0000-0000F0040000}"/>
    <cellStyle name="Normal 5 2 2 2 4" xfId="275" xr:uid="{00000000-0005-0000-0000-0000F1040000}"/>
    <cellStyle name="Normal 5 2 2 2 4 2" xfId="780" xr:uid="{00000000-0005-0000-0000-0000F2040000}"/>
    <cellStyle name="Normal 5 2 2 2 4 2 2" xfId="1554" xr:uid="{00000000-0005-0000-0000-0000F3040000}"/>
    <cellStyle name="Normal 5 2 2 2 4 3" xfId="1116" xr:uid="{00000000-0005-0000-0000-0000F4040000}"/>
    <cellStyle name="Normal 5 2 2 2 5" xfId="416" xr:uid="{00000000-0005-0000-0000-0000F5040000}"/>
    <cellStyle name="Normal 5 2 2 2 5 2" xfId="781" xr:uid="{00000000-0005-0000-0000-0000F6040000}"/>
    <cellStyle name="Normal 5 2 2 2 5 2 2" xfId="1694" xr:uid="{00000000-0005-0000-0000-0000F7040000}"/>
    <cellStyle name="Normal 5 2 2 2 5 3" xfId="1256" xr:uid="{00000000-0005-0000-0000-0000F8040000}"/>
    <cellStyle name="Normal 5 2 2 2 6" xfId="132" xr:uid="{00000000-0005-0000-0000-0000F9040000}"/>
    <cellStyle name="Normal 5 2 2 2 6 2" xfId="782" xr:uid="{00000000-0005-0000-0000-0000FA040000}"/>
    <cellStyle name="Normal 5 2 2 2 6 2 2" xfId="1414" xr:uid="{00000000-0005-0000-0000-0000FB040000}"/>
    <cellStyle name="Normal 5 2 2 2 6 3" xfId="976" xr:uid="{00000000-0005-0000-0000-0000FC040000}"/>
    <cellStyle name="Normal 5 2 2 2 7" xfId="486" xr:uid="{00000000-0005-0000-0000-0000FD040000}"/>
    <cellStyle name="Normal 5 2 2 2 7 2" xfId="1343" xr:uid="{00000000-0005-0000-0000-0000FE040000}"/>
    <cellStyle name="Normal 5 2 2 2 8" xfId="906" xr:uid="{00000000-0005-0000-0000-0000FF040000}"/>
    <cellStyle name="Normal 5 2 2 3" xfId="85" xr:uid="{00000000-0005-0000-0000-000000050000}"/>
    <cellStyle name="Normal 5 2 2 3 2" xfId="238" xr:uid="{00000000-0005-0000-0000-000001050000}"/>
    <cellStyle name="Normal 5 2 2 3 2 2" xfId="379" xr:uid="{00000000-0005-0000-0000-000002050000}"/>
    <cellStyle name="Normal 5 2 2 3 2 2 2" xfId="784" xr:uid="{00000000-0005-0000-0000-000003050000}"/>
    <cellStyle name="Normal 5 2 2 3 2 2 2 2" xfId="1658" xr:uid="{00000000-0005-0000-0000-000004050000}"/>
    <cellStyle name="Normal 5 2 2 3 2 2 3" xfId="1220" xr:uid="{00000000-0005-0000-0000-000005050000}"/>
    <cellStyle name="Normal 5 2 2 3 2 3" xfId="783" xr:uid="{00000000-0005-0000-0000-000006050000}"/>
    <cellStyle name="Normal 5 2 2 3 2 3 2" xfId="1518" xr:uid="{00000000-0005-0000-0000-000007050000}"/>
    <cellStyle name="Normal 5 2 2 3 2 4" xfId="1080" xr:uid="{00000000-0005-0000-0000-000008050000}"/>
    <cellStyle name="Normal 5 2 2 3 3" xfId="309" xr:uid="{00000000-0005-0000-0000-000009050000}"/>
    <cellStyle name="Normal 5 2 2 3 3 2" xfId="785" xr:uid="{00000000-0005-0000-0000-00000A050000}"/>
    <cellStyle name="Normal 5 2 2 3 3 2 2" xfId="1588" xr:uid="{00000000-0005-0000-0000-00000B050000}"/>
    <cellStyle name="Normal 5 2 2 3 3 3" xfId="1150" xr:uid="{00000000-0005-0000-0000-00000C050000}"/>
    <cellStyle name="Normal 5 2 2 3 4" xfId="450" xr:uid="{00000000-0005-0000-0000-00000D050000}"/>
    <cellStyle name="Normal 5 2 2 3 4 2" xfId="786" xr:uid="{00000000-0005-0000-0000-00000E050000}"/>
    <cellStyle name="Normal 5 2 2 3 4 2 2" xfId="1728" xr:uid="{00000000-0005-0000-0000-00000F050000}"/>
    <cellStyle name="Normal 5 2 2 3 4 3" xfId="1290" xr:uid="{00000000-0005-0000-0000-000010050000}"/>
    <cellStyle name="Normal 5 2 2 3 5" xfId="167" xr:uid="{00000000-0005-0000-0000-000011050000}"/>
    <cellStyle name="Normal 5 2 2 3 5 2" xfId="787" xr:uid="{00000000-0005-0000-0000-000012050000}"/>
    <cellStyle name="Normal 5 2 2 3 5 2 2" xfId="1448" xr:uid="{00000000-0005-0000-0000-000013050000}"/>
    <cellStyle name="Normal 5 2 2 3 5 3" xfId="1010" xr:uid="{00000000-0005-0000-0000-000014050000}"/>
    <cellStyle name="Normal 5 2 2 3 6" xfId="520" xr:uid="{00000000-0005-0000-0000-000015050000}"/>
    <cellStyle name="Normal 5 2 2 3 6 2" xfId="1378" xr:uid="{00000000-0005-0000-0000-000016050000}"/>
    <cellStyle name="Normal 5 2 2 3 7" xfId="940" xr:uid="{00000000-0005-0000-0000-000017050000}"/>
    <cellStyle name="Normal 5 2 2 4" xfId="202" xr:uid="{00000000-0005-0000-0000-000018050000}"/>
    <cellStyle name="Normal 5 2 2 4 2" xfId="344" xr:uid="{00000000-0005-0000-0000-000019050000}"/>
    <cellStyle name="Normal 5 2 2 4 2 2" xfId="789" xr:uid="{00000000-0005-0000-0000-00001A050000}"/>
    <cellStyle name="Normal 5 2 2 4 2 2 2" xfId="1623" xr:uid="{00000000-0005-0000-0000-00001B050000}"/>
    <cellStyle name="Normal 5 2 2 4 2 3" xfId="1185" xr:uid="{00000000-0005-0000-0000-00001C050000}"/>
    <cellStyle name="Normal 5 2 2 4 3" xfId="788" xr:uid="{00000000-0005-0000-0000-00001D050000}"/>
    <cellStyle name="Normal 5 2 2 4 3 2" xfId="1483" xr:uid="{00000000-0005-0000-0000-00001E050000}"/>
    <cellStyle name="Normal 5 2 2 4 4" xfId="1045" xr:uid="{00000000-0005-0000-0000-00001F050000}"/>
    <cellStyle name="Normal 5 2 2 5" xfId="274" xr:uid="{00000000-0005-0000-0000-000020050000}"/>
    <cellStyle name="Normal 5 2 2 5 2" xfId="790" xr:uid="{00000000-0005-0000-0000-000021050000}"/>
    <cellStyle name="Normal 5 2 2 5 2 2" xfId="1553" xr:uid="{00000000-0005-0000-0000-000022050000}"/>
    <cellStyle name="Normal 5 2 2 5 3" xfId="1115" xr:uid="{00000000-0005-0000-0000-000023050000}"/>
    <cellStyle name="Normal 5 2 2 6" xfId="415" xr:uid="{00000000-0005-0000-0000-000024050000}"/>
    <cellStyle name="Normal 5 2 2 6 2" xfId="791" xr:uid="{00000000-0005-0000-0000-000025050000}"/>
    <cellStyle name="Normal 5 2 2 6 2 2" xfId="1693" xr:uid="{00000000-0005-0000-0000-000026050000}"/>
    <cellStyle name="Normal 5 2 2 6 3" xfId="1255" xr:uid="{00000000-0005-0000-0000-000027050000}"/>
    <cellStyle name="Normal 5 2 2 7" xfId="131" xr:uid="{00000000-0005-0000-0000-000028050000}"/>
    <cellStyle name="Normal 5 2 2 7 2" xfId="792" xr:uid="{00000000-0005-0000-0000-000029050000}"/>
    <cellStyle name="Normal 5 2 2 7 2 2" xfId="1413" xr:uid="{00000000-0005-0000-0000-00002A050000}"/>
    <cellStyle name="Normal 5 2 2 7 3" xfId="975" xr:uid="{00000000-0005-0000-0000-00002B050000}"/>
    <cellStyle name="Normal 5 2 2 8" xfId="485" xr:uid="{00000000-0005-0000-0000-00002C050000}"/>
    <cellStyle name="Normal 5 2 2 8 2" xfId="1342" xr:uid="{00000000-0005-0000-0000-00002D050000}"/>
    <cellStyle name="Normal 5 2 2 9" xfId="905" xr:uid="{00000000-0005-0000-0000-00002E050000}"/>
    <cellStyle name="Normal 5 2 3" xfId="41" xr:uid="{00000000-0005-0000-0000-00002F050000}"/>
    <cellStyle name="Normal 5 2 3 2" xfId="87" xr:uid="{00000000-0005-0000-0000-000030050000}"/>
    <cellStyle name="Normal 5 2 3 2 2" xfId="240" xr:uid="{00000000-0005-0000-0000-000031050000}"/>
    <cellStyle name="Normal 5 2 3 2 2 2" xfId="381" xr:uid="{00000000-0005-0000-0000-000032050000}"/>
    <cellStyle name="Normal 5 2 3 2 2 2 2" xfId="794" xr:uid="{00000000-0005-0000-0000-000033050000}"/>
    <cellStyle name="Normal 5 2 3 2 2 2 2 2" xfId="1660" xr:uid="{00000000-0005-0000-0000-000034050000}"/>
    <cellStyle name="Normal 5 2 3 2 2 2 3" xfId="1222" xr:uid="{00000000-0005-0000-0000-000035050000}"/>
    <cellStyle name="Normal 5 2 3 2 2 3" xfId="793" xr:uid="{00000000-0005-0000-0000-000036050000}"/>
    <cellStyle name="Normal 5 2 3 2 2 3 2" xfId="1520" xr:uid="{00000000-0005-0000-0000-000037050000}"/>
    <cellStyle name="Normal 5 2 3 2 2 4" xfId="1082" xr:uid="{00000000-0005-0000-0000-000038050000}"/>
    <cellStyle name="Normal 5 2 3 2 3" xfId="311" xr:uid="{00000000-0005-0000-0000-000039050000}"/>
    <cellStyle name="Normal 5 2 3 2 3 2" xfId="795" xr:uid="{00000000-0005-0000-0000-00003A050000}"/>
    <cellStyle name="Normal 5 2 3 2 3 2 2" xfId="1590" xr:uid="{00000000-0005-0000-0000-00003B050000}"/>
    <cellStyle name="Normal 5 2 3 2 3 3" xfId="1152" xr:uid="{00000000-0005-0000-0000-00003C050000}"/>
    <cellStyle name="Normal 5 2 3 2 4" xfId="452" xr:uid="{00000000-0005-0000-0000-00003D050000}"/>
    <cellStyle name="Normal 5 2 3 2 4 2" xfId="796" xr:uid="{00000000-0005-0000-0000-00003E050000}"/>
    <cellStyle name="Normal 5 2 3 2 4 2 2" xfId="1730" xr:uid="{00000000-0005-0000-0000-00003F050000}"/>
    <cellStyle name="Normal 5 2 3 2 4 3" xfId="1292" xr:uid="{00000000-0005-0000-0000-000040050000}"/>
    <cellStyle name="Normal 5 2 3 2 5" xfId="169" xr:uid="{00000000-0005-0000-0000-000041050000}"/>
    <cellStyle name="Normal 5 2 3 2 5 2" xfId="797" xr:uid="{00000000-0005-0000-0000-000042050000}"/>
    <cellStyle name="Normal 5 2 3 2 5 2 2" xfId="1450" xr:uid="{00000000-0005-0000-0000-000043050000}"/>
    <cellStyle name="Normal 5 2 3 2 5 3" xfId="1012" xr:uid="{00000000-0005-0000-0000-000044050000}"/>
    <cellStyle name="Normal 5 2 3 2 6" xfId="522" xr:uid="{00000000-0005-0000-0000-000045050000}"/>
    <cellStyle name="Normal 5 2 3 2 6 2" xfId="1380" xr:uid="{00000000-0005-0000-0000-000046050000}"/>
    <cellStyle name="Normal 5 2 3 2 7" xfId="942" xr:uid="{00000000-0005-0000-0000-000047050000}"/>
    <cellStyle name="Normal 5 2 3 3" xfId="204" xr:uid="{00000000-0005-0000-0000-000048050000}"/>
    <cellStyle name="Normal 5 2 3 3 2" xfId="346" xr:uid="{00000000-0005-0000-0000-000049050000}"/>
    <cellStyle name="Normal 5 2 3 3 2 2" xfId="799" xr:uid="{00000000-0005-0000-0000-00004A050000}"/>
    <cellStyle name="Normal 5 2 3 3 2 2 2" xfId="1625" xr:uid="{00000000-0005-0000-0000-00004B050000}"/>
    <cellStyle name="Normal 5 2 3 3 2 3" xfId="1187" xr:uid="{00000000-0005-0000-0000-00004C050000}"/>
    <cellStyle name="Normal 5 2 3 3 3" xfId="798" xr:uid="{00000000-0005-0000-0000-00004D050000}"/>
    <cellStyle name="Normal 5 2 3 3 3 2" xfId="1485" xr:uid="{00000000-0005-0000-0000-00004E050000}"/>
    <cellStyle name="Normal 5 2 3 3 4" xfId="1047" xr:uid="{00000000-0005-0000-0000-00004F050000}"/>
    <cellStyle name="Normal 5 2 3 4" xfId="276" xr:uid="{00000000-0005-0000-0000-000050050000}"/>
    <cellStyle name="Normal 5 2 3 4 2" xfId="800" xr:uid="{00000000-0005-0000-0000-000051050000}"/>
    <cellStyle name="Normal 5 2 3 4 2 2" xfId="1555" xr:uid="{00000000-0005-0000-0000-000052050000}"/>
    <cellStyle name="Normal 5 2 3 4 3" xfId="1117" xr:uid="{00000000-0005-0000-0000-000053050000}"/>
    <cellStyle name="Normal 5 2 3 5" xfId="417" xr:uid="{00000000-0005-0000-0000-000054050000}"/>
    <cellStyle name="Normal 5 2 3 5 2" xfId="801" xr:uid="{00000000-0005-0000-0000-000055050000}"/>
    <cellStyle name="Normal 5 2 3 5 2 2" xfId="1695" xr:uid="{00000000-0005-0000-0000-000056050000}"/>
    <cellStyle name="Normal 5 2 3 5 3" xfId="1257" xr:uid="{00000000-0005-0000-0000-000057050000}"/>
    <cellStyle name="Normal 5 2 3 6" xfId="133" xr:uid="{00000000-0005-0000-0000-000058050000}"/>
    <cellStyle name="Normal 5 2 3 6 2" xfId="802" xr:uid="{00000000-0005-0000-0000-000059050000}"/>
    <cellStyle name="Normal 5 2 3 6 2 2" xfId="1415" xr:uid="{00000000-0005-0000-0000-00005A050000}"/>
    <cellStyle name="Normal 5 2 3 6 3" xfId="977" xr:uid="{00000000-0005-0000-0000-00005B050000}"/>
    <cellStyle name="Normal 5 2 3 7" xfId="487" xr:uid="{00000000-0005-0000-0000-00005C050000}"/>
    <cellStyle name="Normal 5 2 3 7 2" xfId="1344" xr:uid="{00000000-0005-0000-0000-00005D050000}"/>
    <cellStyle name="Normal 5 2 3 8" xfId="907" xr:uid="{00000000-0005-0000-0000-00005E050000}"/>
    <cellStyle name="Normal 5 2 4" xfId="84" xr:uid="{00000000-0005-0000-0000-00005F050000}"/>
    <cellStyle name="Normal 5 2 4 2" xfId="237" xr:uid="{00000000-0005-0000-0000-000060050000}"/>
    <cellStyle name="Normal 5 2 4 2 2" xfId="378" xr:uid="{00000000-0005-0000-0000-000061050000}"/>
    <cellStyle name="Normal 5 2 4 2 2 2" xfId="804" xr:uid="{00000000-0005-0000-0000-000062050000}"/>
    <cellStyle name="Normal 5 2 4 2 2 2 2" xfId="1657" xr:uid="{00000000-0005-0000-0000-000063050000}"/>
    <cellStyle name="Normal 5 2 4 2 2 3" xfId="1219" xr:uid="{00000000-0005-0000-0000-000064050000}"/>
    <cellStyle name="Normal 5 2 4 2 3" xfId="803" xr:uid="{00000000-0005-0000-0000-000065050000}"/>
    <cellStyle name="Normal 5 2 4 2 3 2" xfId="1517" xr:uid="{00000000-0005-0000-0000-000066050000}"/>
    <cellStyle name="Normal 5 2 4 2 4" xfId="1079" xr:uid="{00000000-0005-0000-0000-000067050000}"/>
    <cellStyle name="Normal 5 2 4 3" xfId="308" xr:uid="{00000000-0005-0000-0000-000068050000}"/>
    <cellStyle name="Normal 5 2 4 3 2" xfId="805" xr:uid="{00000000-0005-0000-0000-000069050000}"/>
    <cellStyle name="Normal 5 2 4 3 2 2" xfId="1587" xr:uid="{00000000-0005-0000-0000-00006A050000}"/>
    <cellStyle name="Normal 5 2 4 3 3" xfId="1149" xr:uid="{00000000-0005-0000-0000-00006B050000}"/>
    <cellStyle name="Normal 5 2 4 4" xfId="449" xr:uid="{00000000-0005-0000-0000-00006C050000}"/>
    <cellStyle name="Normal 5 2 4 4 2" xfId="806" xr:uid="{00000000-0005-0000-0000-00006D050000}"/>
    <cellStyle name="Normal 5 2 4 4 2 2" xfId="1727" xr:uid="{00000000-0005-0000-0000-00006E050000}"/>
    <cellStyle name="Normal 5 2 4 4 3" xfId="1289" xr:uid="{00000000-0005-0000-0000-00006F050000}"/>
    <cellStyle name="Normal 5 2 4 5" xfId="166" xr:uid="{00000000-0005-0000-0000-000070050000}"/>
    <cellStyle name="Normal 5 2 4 5 2" xfId="807" xr:uid="{00000000-0005-0000-0000-000071050000}"/>
    <cellStyle name="Normal 5 2 4 5 2 2" xfId="1447" xr:uid="{00000000-0005-0000-0000-000072050000}"/>
    <cellStyle name="Normal 5 2 4 5 3" xfId="1009" xr:uid="{00000000-0005-0000-0000-000073050000}"/>
    <cellStyle name="Normal 5 2 4 6" xfId="519" xr:uid="{00000000-0005-0000-0000-000074050000}"/>
    <cellStyle name="Normal 5 2 4 6 2" xfId="1377" xr:uid="{00000000-0005-0000-0000-000075050000}"/>
    <cellStyle name="Normal 5 2 4 7" xfId="939" xr:uid="{00000000-0005-0000-0000-000076050000}"/>
    <cellStyle name="Normal 5 2 5" xfId="201" xr:uid="{00000000-0005-0000-0000-000077050000}"/>
    <cellStyle name="Normal 5 2 5 2" xfId="343" xr:uid="{00000000-0005-0000-0000-000078050000}"/>
    <cellStyle name="Normal 5 2 5 2 2" xfId="809" xr:uid="{00000000-0005-0000-0000-000079050000}"/>
    <cellStyle name="Normal 5 2 5 2 2 2" xfId="1622" xr:uid="{00000000-0005-0000-0000-00007A050000}"/>
    <cellStyle name="Normal 5 2 5 2 3" xfId="1184" xr:uid="{00000000-0005-0000-0000-00007B050000}"/>
    <cellStyle name="Normal 5 2 5 3" xfId="808" xr:uid="{00000000-0005-0000-0000-00007C050000}"/>
    <cellStyle name="Normal 5 2 5 3 2" xfId="1482" xr:uid="{00000000-0005-0000-0000-00007D050000}"/>
    <cellStyle name="Normal 5 2 5 4" xfId="1044" xr:uid="{00000000-0005-0000-0000-00007E050000}"/>
    <cellStyle name="Normal 5 2 6" xfId="273" xr:uid="{00000000-0005-0000-0000-00007F050000}"/>
    <cellStyle name="Normal 5 2 6 2" xfId="810" xr:uid="{00000000-0005-0000-0000-000080050000}"/>
    <cellStyle name="Normal 5 2 6 2 2" xfId="1552" xr:uid="{00000000-0005-0000-0000-000081050000}"/>
    <cellStyle name="Normal 5 2 6 3" xfId="1114" xr:uid="{00000000-0005-0000-0000-000082050000}"/>
    <cellStyle name="Normal 5 2 7" xfId="414" xr:uid="{00000000-0005-0000-0000-000083050000}"/>
    <cellStyle name="Normal 5 2 7 2" xfId="811" xr:uid="{00000000-0005-0000-0000-000084050000}"/>
    <cellStyle name="Normal 5 2 7 2 2" xfId="1692" xr:uid="{00000000-0005-0000-0000-000085050000}"/>
    <cellStyle name="Normal 5 2 7 3" xfId="1254" xr:uid="{00000000-0005-0000-0000-000086050000}"/>
    <cellStyle name="Normal 5 2 8" xfId="130" xr:uid="{00000000-0005-0000-0000-000087050000}"/>
    <cellStyle name="Normal 5 2 8 2" xfId="812" xr:uid="{00000000-0005-0000-0000-000088050000}"/>
    <cellStyle name="Normal 5 2 8 2 2" xfId="1412" xr:uid="{00000000-0005-0000-0000-000089050000}"/>
    <cellStyle name="Normal 5 2 8 3" xfId="974" xr:uid="{00000000-0005-0000-0000-00008A050000}"/>
    <cellStyle name="Normal 5 2 9" xfId="484" xr:uid="{00000000-0005-0000-0000-00008B050000}"/>
    <cellStyle name="Normal 5 2 9 2" xfId="1341" xr:uid="{00000000-0005-0000-0000-00008C050000}"/>
    <cellStyle name="Normal 5 3" xfId="42" xr:uid="{00000000-0005-0000-0000-00008D050000}"/>
    <cellStyle name="Normal 5 3 2" xfId="43" xr:uid="{00000000-0005-0000-0000-00008E050000}"/>
    <cellStyle name="Normal 5 3 2 2" xfId="89" xr:uid="{00000000-0005-0000-0000-00008F050000}"/>
    <cellStyle name="Normal 5 3 2 2 2" xfId="242" xr:uid="{00000000-0005-0000-0000-000090050000}"/>
    <cellStyle name="Normal 5 3 2 2 2 2" xfId="383" xr:uid="{00000000-0005-0000-0000-000091050000}"/>
    <cellStyle name="Normal 5 3 2 2 2 2 2" xfId="814" xr:uid="{00000000-0005-0000-0000-000092050000}"/>
    <cellStyle name="Normal 5 3 2 2 2 2 2 2" xfId="1662" xr:uid="{00000000-0005-0000-0000-000093050000}"/>
    <cellStyle name="Normal 5 3 2 2 2 2 3" xfId="1224" xr:uid="{00000000-0005-0000-0000-000094050000}"/>
    <cellStyle name="Normal 5 3 2 2 2 3" xfId="813" xr:uid="{00000000-0005-0000-0000-000095050000}"/>
    <cellStyle name="Normal 5 3 2 2 2 3 2" xfId="1522" xr:uid="{00000000-0005-0000-0000-000096050000}"/>
    <cellStyle name="Normal 5 3 2 2 2 4" xfId="1084" xr:uid="{00000000-0005-0000-0000-000097050000}"/>
    <cellStyle name="Normal 5 3 2 2 3" xfId="313" xr:uid="{00000000-0005-0000-0000-000098050000}"/>
    <cellStyle name="Normal 5 3 2 2 3 2" xfId="815" xr:uid="{00000000-0005-0000-0000-000099050000}"/>
    <cellStyle name="Normal 5 3 2 2 3 2 2" xfId="1592" xr:uid="{00000000-0005-0000-0000-00009A050000}"/>
    <cellStyle name="Normal 5 3 2 2 3 3" xfId="1154" xr:uid="{00000000-0005-0000-0000-00009B050000}"/>
    <cellStyle name="Normal 5 3 2 2 4" xfId="454" xr:uid="{00000000-0005-0000-0000-00009C050000}"/>
    <cellStyle name="Normal 5 3 2 2 4 2" xfId="816" xr:uid="{00000000-0005-0000-0000-00009D050000}"/>
    <cellStyle name="Normal 5 3 2 2 4 2 2" xfId="1732" xr:uid="{00000000-0005-0000-0000-00009E050000}"/>
    <cellStyle name="Normal 5 3 2 2 4 3" xfId="1294" xr:uid="{00000000-0005-0000-0000-00009F050000}"/>
    <cellStyle name="Normal 5 3 2 2 5" xfId="171" xr:uid="{00000000-0005-0000-0000-0000A0050000}"/>
    <cellStyle name="Normal 5 3 2 2 5 2" xfId="817" xr:uid="{00000000-0005-0000-0000-0000A1050000}"/>
    <cellStyle name="Normal 5 3 2 2 5 2 2" xfId="1452" xr:uid="{00000000-0005-0000-0000-0000A2050000}"/>
    <cellStyle name="Normal 5 3 2 2 5 3" xfId="1014" xr:uid="{00000000-0005-0000-0000-0000A3050000}"/>
    <cellStyle name="Normal 5 3 2 2 6" xfId="524" xr:uid="{00000000-0005-0000-0000-0000A4050000}"/>
    <cellStyle name="Normal 5 3 2 2 6 2" xfId="1382" xr:uid="{00000000-0005-0000-0000-0000A5050000}"/>
    <cellStyle name="Normal 5 3 2 2 7" xfId="944" xr:uid="{00000000-0005-0000-0000-0000A6050000}"/>
    <cellStyle name="Normal 5 3 2 3" xfId="206" xr:uid="{00000000-0005-0000-0000-0000A7050000}"/>
    <cellStyle name="Normal 5 3 2 3 2" xfId="348" xr:uid="{00000000-0005-0000-0000-0000A8050000}"/>
    <cellStyle name="Normal 5 3 2 3 2 2" xfId="819" xr:uid="{00000000-0005-0000-0000-0000A9050000}"/>
    <cellStyle name="Normal 5 3 2 3 2 2 2" xfId="1627" xr:uid="{00000000-0005-0000-0000-0000AA050000}"/>
    <cellStyle name="Normal 5 3 2 3 2 3" xfId="1189" xr:uid="{00000000-0005-0000-0000-0000AB050000}"/>
    <cellStyle name="Normal 5 3 2 3 3" xfId="818" xr:uid="{00000000-0005-0000-0000-0000AC050000}"/>
    <cellStyle name="Normal 5 3 2 3 3 2" xfId="1487" xr:uid="{00000000-0005-0000-0000-0000AD050000}"/>
    <cellStyle name="Normal 5 3 2 3 4" xfId="1049" xr:uid="{00000000-0005-0000-0000-0000AE050000}"/>
    <cellStyle name="Normal 5 3 2 4" xfId="278" xr:uid="{00000000-0005-0000-0000-0000AF050000}"/>
    <cellStyle name="Normal 5 3 2 4 2" xfId="820" xr:uid="{00000000-0005-0000-0000-0000B0050000}"/>
    <cellStyle name="Normal 5 3 2 4 2 2" xfId="1557" xr:uid="{00000000-0005-0000-0000-0000B1050000}"/>
    <cellStyle name="Normal 5 3 2 4 3" xfId="1119" xr:uid="{00000000-0005-0000-0000-0000B2050000}"/>
    <cellStyle name="Normal 5 3 2 5" xfId="419" xr:uid="{00000000-0005-0000-0000-0000B3050000}"/>
    <cellStyle name="Normal 5 3 2 5 2" xfId="821" xr:uid="{00000000-0005-0000-0000-0000B4050000}"/>
    <cellStyle name="Normal 5 3 2 5 2 2" xfId="1697" xr:uid="{00000000-0005-0000-0000-0000B5050000}"/>
    <cellStyle name="Normal 5 3 2 5 3" xfId="1259" xr:uid="{00000000-0005-0000-0000-0000B6050000}"/>
    <cellStyle name="Normal 5 3 2 6" xfId="135" xr:uid="{00000000-0005-0000-0000-0000B7050000}"/>
    <cellStyle name="Normal 5 3 2 6 2" xfId="822" xr:uid="{00000000-0005-0000-0000-0000B8050000}"/>
    <cellStyle name="Normal 5 3 2 6 2 2" xfId="1417" xr:uid="{00000000-0005-0000-0000-0000B9050000}"/>
    <cellStyle name="Normal 5 3 2 6 3" xfId="979" xr:uid="{00000000-0005-0000-0000-0000BA050000}"/>
    <cellStyle name="Normal 5 3 2 7" xfId="489" xr:uid="{00000000-0005-0000-0000-0000BB050000}"/>
    <cellStyle name="Normal 5 3 2 7 2" xfId="1346" xr:uid="{00000000-0005-0000-0000-0000BC050000}"/>
    <cellStyle name="Normal 5 3 2 8" xfId="909" xr:uid="{00000000-0005-0000-0000-0000BD050000}"/>
    <cellStyle name="Normal 5 3 3" xfId="88" xr:uid="{00000000-0005-0000-0000-0000BE050000}"/>
    <cellStyle name="Normal 5 3 3 2" xfId="241" xr:uid="{00000000-0005-0000-0000-0000BF050000}"/>
    <cellStyle name="Normal 5 3 3 2 2" xfId="382" xr:uid="{00000000-0005-0000-0000-0000C0050000}"/>
    <cellStyle name="Normal 5 3 3 2 2 2" xfId="824" xr:uid="{00000000-0005-0000-0000-0000C1050000}"/>
    <cellStyle name="Normal 5 3 3 2 2 2 2" xfId="1661" xr:uid="{00000000-0005-0000-0000-0000C2050000}"/>
    <cellStyle name="Normal 5 3 3 2 2 3" xfId="1223" xr:uid="{00000000-0005-0000-0000-0000C3050000}"/>
    <cellStyle name="Normal 5 3 3 2 3" xfId="823" xr:uid="{00000000-0005-0000-0000-0000C4050000}"/>
    <cellStyle name="Normal 5 3 3 2 3 2" xfId="1521" xr:uid="{00000000-0005-0000-0000-0000C5050000}"/>
    <cellStyle name="Normal 5 3 3 2 4" xfId="1083" xr:uid="{00000000-0005-0000-0000-0000C6050000}"/>
    <cellStyle name="Normal 5 3 3 3" xfId="312" xr:uid="{00000000-0005-0000-0000-0000C7050000}"/>
    <cellStyle name="Normal 5 3 3 3 2" xfId="825" xr:uid="{00000000-0005-0000-0000-0000C8050000}"/>
    <cellStyle name="Normal 5 3 3 3 2 2" xfId="1591" xr:uid="{00000000-0005-0000-0000-0000C9050000}"/>
    <cellStyle name="Normal 5 3 3 3 3" xfId="1153" xr:uid="{00000000-0005-0000-0000-0000CA050000}"/>
    <cellStyle name="Normal 5 3 3 4" xfId="453" xr:uid="{00000000-0005-0000-0000-0000CB050000}"/>
    <cellStyle name="Normal 5 3 3 4 2" xfId="826" xr:uid="{00000000-0005-0000-0000-0000CC050000}"/>
    <cellStyle name="Normal 5 3 3 4 2 2" xfId="1731" xr:uid="{00000000-0005-0000-0000-0000CD050000}"/>
    <cellStyle name="Normal 5 3 3 4 3" xfId="1293" xr:uid="{00000000-0005-0000-0000-0000CE050000}"/>
    <cellStyle name="Normal 5 3 3 5" xfId="170" xr:uid="{00000000-0005-0000-0000-0000CF050000}"/>
    <cellStyle name="Normal 5 3 3 5 2" xfId="827" xr:uid="{00000000-0005-0000-0000-0000D0050000}"/>
    <cellStyle name="Normal 5 3 3 5 2 2" xfId="1451" xr:uid="{00000000-0005-0000-0000-0000D1050000}"/>
    <cellStyle name="Normal 5 3 3 5 3" xfId="1013" xr:uid="{00000000-0005-0000-0000-0000D2050000}"/>
    <cellStyle name="Normal 5 3 3 6" xfId="523" xr:uid="{00000000-0005-0000-0000-0000D3050000}"/>
    <cellStyle name="Normal 5 3 3 6 2" xfId="1381" xr:uid="{00000000-0005-0000-0000-0000D4050000}"/>
    <cellStyle name="Normal 5 3 3 7" xfId="943" xr:uid="{00000000-0005-0000-0000-0000D5050000}"/>
    <cellStyle name="Normal 5 3 4" xfId="205" xr:uid="{00000000-0005-0000-0000-0000D6050000}"/>
    <cellStyle name="Normal 5 3 4 2" xfId="347" xr:uid="{00000000-0005-0000-0000-0000D7050000}"/>
    <cellStyle name="Normal 5 3 4 2 2" xfId="829" xr:uid="{00000000-0005-0000-0000-0000D8050000}"/>
    <cellStyle name="Normal 5 3 4 2 2 2" xfId="1626" xr:uid="{00000000-0005-0000-0000-0000D9050000}"/>
    <cellStyle name="Normal 5 3 4 2 3" xfId="1188" xr:uid="{00000000-0005-0000-0000-0000DA050000}"/>
    <cellStyle name="Normal 5 3 4 3" xfId="828" xr:uid="{00000000-0005-0000-0000-0000DB050000}"/>
    <cellStyle name="Normal 5 3 4 3 2" xfId="1486" xr:uid="{00000000-0005-0000-0000-0000DC050000}"/>
    <cellStyle name="Normal 5 3 4 4" xfId="1048" xr:uid="{00000000-0005-0000-0000-0000DD050000}"/>
    <cellStyle name="Normal 5 3 5" xfId="277" xr:uid="{00000000-0005-0000-0000-0000DE050000}"/>
    <cellStyle name="Normal 5 3 5 2" xfId="830" xr:uid="{00000000-0005-0000-0000-0000DF050000}"/>
    <cellStyle name="Normal 5 3 5 2 2" xfId="1556" xr:uid="{00000000-0005-0000-0000-0000E0050000}"/>
    <cellStyle name="Normal 5 3 5 3" xfId="1118" xr:uid="{00000000-0005-0000-0000-0000E1050000}"/>
    <cellStyle name="Normal 5 3 6" xfId="418" xr:uid="{00000000-0005-0000-0000-0000E2050000}"/>
    <cellStyle name="Normal 5 3 6 2" xfId="831" xr:uid="{00000000-0005-0000-0000-0000E3050000}"/>
    <cellStyle name="Normal 5 3 6 2 2" xfId="1696" xr:uid="{00000000-0005-0000-0000-0000E4050000}"/>
    <cellStyle name="Normal 5 3 6 3" xfId="1258" xr:uid="{00000000-0005-0000-0000-0000E5050000}"/>
    <cellStyle name="Normal 5 3 7" xfId="134" xr:uid="{00000000-0005-0000-0000-0000E6050000}"/>
    <cellStyle name="Normal 5 3 7 2" xfId="832" xr:uid="{00000000-0005-0000-0000-0000E7050000}"/>
    <cellStyle name="Normal 5 3 7 2 2" xfId="1416" xr:uid="{00000000-0005-0000-0000-0000E8050000}"/>
    <cellStyle name="Normal 5 3 7 3" xfId="978" xr:uid="{00000000-0005-0000-0000-0000E9050000}"/>
    <cellStyle name="Normal 5 3 8" xfId="488" xr:uid="{00000000-0005-0000-0000-0000EA050000}"/>
    <cellStyle name="Normal 5 3 8 2" xfId="1345" xr:uid="{00000000-0005-0000-0000-0000EB050000}"/>
    <cellStyle name="Normal 5 3 9" xfId="908" xr:uid="{00000000-0005-0000-0000-0000EC050000}"/>
    <cellStyle name="Normal 5 4" xfId="44" xr:uid="{00000000-0005-0000-0000-0000ED050000}"/>
    <cellStyle name="Normal 5 4 2" xfId="90" xr:uid="{00000000-0005-0000-0000-0000EE050000}"/>
    <cellStyle name="Normal 5 4 2 2" xfId="243" xr:uid="{00000000-0005-0000-0000-0000EF050000}"/>
    <cellStyle name="Normal 5 4 2 2 2" xfId="384" xr:uid="{00000000-0005-0000-0000-0000F0050000}"/>
    <cellStyle name="Normal 5 4 2 2 2 2" xfId="834" xr:uid="{00000000-0005-0000-0000-0000F1050000}"/>
    <cellStyle name="Normal 5 4 2 2 2 2 2" xfId="1663" xr:uid="{00000000-0005-0000-0000-0000F2050000}"/>
    <cellStyle name="Normal 5 4 2 2 2 3" xfId="1225" xr:uid="{00000000-0005-0000-0000-0000F3050000}"/>
    <cellStyle name="Normal 5 4 2 2 3" xfId="833" xr:uid="{00000000-0005-0000-0000-0000F4050000}"/>
    <cellStyle name="Normal 5 4 2 2 3 2" xfId="1523" xr:uid="{00000000-0005-0000-0000-0000F5050000}"/>
    <cellStyle name="Normal 5 4 2 2 4" xfId="1085" xr:uid="{00000000-0005-0000-0000-0000F6050000}"/>
    <cellStyle name="Normal 5 4 2 3" xfId="314" xr:uid="{00000000-0005-0000-0000-0000F7050000}"/>
    <cellStyle name="Normal 5 4 2 3 2" xfId="835" xr:uid="{00000000-0005-0000-0000-0000F8050000}"/>
    <cellStyle name="Normal 5 4 2 3 2 2" xfId="1593" xr:uid="{00000000-0005-0000-0000-0000F9050000}"/>
    <cellStyle name="Normal 5 4 2 3 3" xfId="1155" xr:uid="{00000000-0005-0000-0000-0000FA050000}"/>
    <cellStyle name="Normal 5 4 2 4" xfId="455" xr:uid="{00000000-0005-0000-0000-0000FB050000}"/>
    <cellStyle name="Normal 5 4 2 4 2" xfId="836" xr:uid="{00000000-0005-0000-0000-0000FC050000}"/>
    <cellStyle name="Normal 5 4 2 4 2 2" xfId="1733" xr:uid="{00000000-0005-0000-0000-0000FD050000}"/>
    <cellStyle name="Normal 5 4 2 4 3" xfId="1295" xr:uid="{00000000-0005-0000-0000-0000FE050000}"/>
    <cellStyle name="Normal 5 4 2 5" xfId="172" xr:uid="{00000000-0005-0000-0000-0000FF050000}"/>
    <cellStyle name="Normal 5 4 2 5 2" xfId="837" xr:uid="{00000000-0005-0000-0000-000000060000}"/>
    <cellStyle name="Normal 5 4 2 5 2 2" xfId="1453" xr:uid="{00000000-0005-0000-0000-000001060000}"/>
    <cellStyle name="Normal 5 4 2 5 3" xfId="1015" xr:uid="{00000000-0005-0000-0000-000002060000}"/>
    <cellStyle name="Normal 5 4 2 6" xfId="525" xr:uid="{00000000-0005-0000-0000-000003060000}"/>
    <cellStyle name="Normal 5 4 2 6 2" xfId="1383" xr:uid="{00000000-0005-0000-0000-000004060000}"/>
    <cellStyle name="Normal 5 4 2 7" xfId="945" xr:uid="{00000000-0005-0000-0000-000005060000}"/>
    <cellStyle name="Normal 5 4 3" xfId="207" xr:uid="{00000000-0005-0000-0000-000006060000}"/>
    <cellStyle name="Normal 5 4 3 2" xfId="349" xr:uid="{00000000-0005-0000-0000-000007060000}"/>
    <cellStyle name="Normal 5 4 3 2 2" xfId="839" xr:uid="{00000000-0005-0000-0000-000008060000}"/>
    <cellStyle name="Normal 5 4 3 2 2 2" xfId="1628" xr:uid="{00000000-0005-0000-0000-000009060000}"/>
    <cellStyle name="Normal 5 4 3 2 3" xfId="1190" xr:uid="{00000000-0005-0000-0000-00000A060000}"/>
    <cellStyle name="Normal 5 4 3 3" xfId="838" xr:uid="{00000000-0005-0000-0000-00000B060000}"/>
    <cellStyle name="Normal 5 4 3 3 2" xfId="1488" xr:uid="{00000000-0005-0000-0000-00000C060000}"/>
    <cellStyle name="Normal 5 4 3 4" xfId="1050" xr:uid="{00000000-0005-0000-0000-00000D060000}"/>
    <cellStyle name="Normal 5 4 4" xfId="279" xr:uid="{00000000-0005-0000-0000-00000E060000}"/>
    <cellStyle name="Normal 5 4 4 2" xfId="840" xr:uid="{00000000-0005-0000-0000-00000F060000}"/>
    <cellStyle name="Normal 5 4 4 2 2" xfId="1558" xr:uid="{00000000-0005-0000-0000-000010060000}"/>
    <cellStyle name="Normal 5 4 4 3" xfId="1120" xr:uid="{00000000-0005-0000-0000-000011060000}"/>
    <cellStyle name="Normal 5 4 5" xfId="420" xr:uid="{00000000-0005-0000-0000-000012060000}"/>
    <cellStyle name="Normal 5 4 5 2" xfId="841" xr:uid="{00000000-0005-0000-0000-000013060000}"/>
    <cellStyle name="Normal 5 4 5 2 2" xfId="1698" xr:uid="{00000000-0005-0000-0000-000014060000}"/>
    <cellStyle name="Normal 5 4 5 3" xfId="1260" xr:uid="{00000000-0005-0000-0000-000015060000}"/>
    <cellStyle name="Normal 5 4 6" xfId="136" xr:uid="{00000000-0005-0000-0000-000016060000}"/>
    <cellStyle name="Normal 5 4 6 2" xfId="842" xr:uid="{00000000-0005-0000-0000-000017060000}"/>
    <cellStyle name="Normal 5 4 6 2 2" xfId="1418" xr:uid="{00000000-0005-0000-0000-000018060000}"/>
    <cellStyle name="Normal 5 4 6 3" xfId="980" xr:uid="{00000000-0005-0000-0000-000019060000}"/>
    <cellStyle name="Normal 5 4 7" xfId="490" xr:uid="{00000000-0005-0000-0000-00001A060000}"/>
    <cellStyle name="Normal 5 4 7 2" xfId="1347" xr:uid="{00000000-0005-0000-0000-00001B060000}"/>
    <cellStyle name="Normal 5 4 8" xfId="910" xr:uid="{00000000-0005-0000-0000-00001C060000}"/>
    <cellStyle name="Normal 5 5" xfId="83" xr:uid="{00000000-0005-0000-0000-00001D060000}"/>
    <cellStyle name="Normal 5 5 2" xfId="236" xr:uid="{00000000-0005-0000-0000-00001E060000}"/>
    <cellStyle name="Normal 5 5 2 2" xfId="377" xr:uid="{00000000-0005-0000-0000-00001F060000}"/>
    <cellStyle name="Normal 5 5 2 2 2" xfId="844" xr:uid="{00000000-0005-0000-0000-000020060000}"/>
    <cellStyle name="Normal 5 5 2 2 2 2" xfId="1656" xr:uid="{00000000-0005-0000-0000-000021060000}"/>
    <cellStyle name="Normal 5 5 2 2 3" xfId="1218" xr:uid="{00000000-0005-0000-0000-000022060000}"/>
    <cellStyle name="Normal 5 5 2 3" xfId="843" xr:uid="{00000000-0005-0000-0000-000023060000}"/>
    <cellStyle name="Normal 5 5 2 3 2" xfId="1516" xr:uid="{00000000-0005-0000-0000-000024060000}"/>
    <cellStyle name="Normal 5 5 2 4" xfId="1078" xr:uid="{00000000-0005-0000-0000-000025060000}"/>
    <cellStyle name="Normal 5 5 3" xfId="307" xr:uid="{00000000-0005-0000-0000-000026060000}"/>
    <cellStyle name="Normal 5 5 3 2" xfId="845" xr:uid="{00000000-0005-0000-0000-000027060000}"/>
    <cellStyle name="Normal 5 5 3 2 2" xfId="1586" xr:uid="{00000000-0005-0000-0000-000028060000}"/>
    <cellStyle name="Normal 5 5 3 3" xfId="1148" xr:uid="{00000000-0005-0000-0000-000029060000}"/>
    <cellStyle name="Normal 5 5 4" xfId="448" xr:uid="{00000000-0005-0000-0000-00002A060000}"/>
    <cellStyle name="Normal 5 5 4 2" xfId="846" xr:uid="{00000000-0005-0000-0000-00002B060000}"/>
    <cellStyle name="Normal 5 5 4 2 2" xfId="1726" xr:uid="{00000000-0005-0000-0000-00002C060000}"/>
    <cellStyle name="Normal 5 5 4 3" xfId="1288" xr:uid="{00000000-0005-0000-0000-00002D060000}"/>
    <cellStyle name="Normal 5 5 5" xfId="165" xr:uid="{00000000-0005-0000-0000-00002E060000}"/>
    <cellStyle name="Normal 5 5 5 2" xfId="847" xr:uid="{00000000-0005-0000-0000-00002F060000}"/>
    <cellStyle name="Normal 5 5 5 2 2" xfId="1446" xr:uid="{00000000-0005-0000-0000-000030060000}"/>
    <cellStyle name="Normal 5 5 5 3" xfId="1008" xr:uid="{00000000-0005-0000-0000-000031060000}"/>
    <cellStyle name="Normal 5 5 6" xfId="518" xr:uid="{00000000-0005-0000-0000-000032060000}"/>
    <cellStyle name="Normal 5 5 6 2" xfId="1376" xr:uid="{00000000-0005-0000-0000-000033060000}"/>
    <cellStyle name="Normal 5 5 7" xfId="938" xr:uid="{00000000-0005-0000-0000-000034060000}"/>
    <cellStyle name="Normal 5 6" xfId="200" xr:uid="{00000000-0005-0000-0000-000035060000}"/>
    <cellStyle name="Normal 5 6 2" xfId="342" xr:uid="{00000000-0005-0000-0000-000036060000}"/>
    <cellStyle name="Normal 5 6 2 2" xfId="849" xr:uid="{00000000-0005-0000-0000-000037060000}"/>
    <cellStyle name="Normal 5 6 2 2 2" xfId="1621" xr:uid="{00000000-0005-0000-0000-000038060000}"/>
    <cellStyle name="Normal 5 6 2 3" xfId="1183" xr:uid="{00000000-0005-0000-0000-000039060000}"/>
    <cellStyle name="Normal 5 6 3" xfId="848" xr:uid="{00000000-0005-0000-0000-00003A060000}"/>
    <cellStyle name="Normal 5 6 3 2" xfId="1481" xr:uid="{00000000-0005-0000-0000-00003B060000}"/>
    <cellStyle name="Normal 5 6 4" xfId="1043" xr:uid="{00000000-0005-0000-0000-00003C060000}"/>
    <cellStyle name="Normal 5 7" xfId="272" xr:uid="{00000000-0005-0000-0000-00003D060000}"/>
    <cellStyle name="Normal 5 7 2" xfId="850" xr:uid="{00000000-0005-0000-0000-00003E060000}"/>
    <cellStyle name="Normal 5 7 2 2" xfId="1551" xr:uid="{00000000-0005-0000-0000-00003F060000}"/>
    <cellStyle name="Normal 5 7 3" xfId="1113" xr:uid="{00000000-0005-0000-0000-000040060000}"/>
    <cellStyle name="Normal 5 8" xfId="413" xr:uid="{00000000-0005-0000-0000-000041060000}"/>
    <cellStyle name="Normal 5 8 2" xfId="851" xr:uid="{00000000-0005-0000-0000-000042060000}"/>
    <cellStyle name="Normal 5 8 2 2" xfId="1691" xr:uid="{00000000-0005-0000-0000-000043060000}"/>
    <cellStyle name="Normal 5 8 3" xfId="1253" xr:uid="{00000000-0005-0000-0000-000044060000}"/>
    <cellStyle name="Normal 5 9" xfId="129" xr:uid="{00000000-0005-0000-0000-000045060000}"/>
    <cellStyle name="Normal 5 9 2" xfId="852" xr:uid="{00000000-0005-0000-0000-000046060000}"/>
    <cellStyle name="Normal 5 9 2 2" xfId="1411" xr:uid="{00000000-0005-0000-0000-000047060000}"/>
    <cellStyle name="Normal 5 9 3" xfId="973" xr:uid="{00000000-0005-0000-0000-000048060000}"/>
    <cellStyle name="Normal 54" xfId="1304" xr:uid="{00000000-0005-0000-0000-000049060000}"/>
    <cellStyle name="Normal 57" xfId="1305" xr:uid="{00000000-0005-0000-0000-00004A060000}"/>
    <cellStyle name="Normal 6" xfId="45" xr:uid="{00000000-0005-0000-0000-00004B060000}"/>
    <cellStyle name="Normal 7" xfId="46" xr:uid="{00000000-0005-0000-0000-00004C060000}"/>
    <cellStyle name="Normal 8" xfId="47" xr:uid="{00000000-0005-0000-0000-00004D060000}"/>
    <cellStyle name="Normal 8 2" xfId="48" xr:uid="{00000000-0005-0000-0000-00004E060000}"/>
    <cellStyle name="Normal 9" xfId="49" xr:uid="{00000000-0005-0000-0000-00004F060000}"/>
    <cellStyle name="Normal_xxxx-DC-00x Process Engineering Summary Rev x TEMPLATE3 (2)" xfId="2" xr:uid="{00000000-0005-0000-0000-000050060000}"/>
    <cellStyle name="Note" xfId="98" builtinId="10" hidden="1"/>
    <cellStyle name="Note 2" xfId="9" xr:uid="{00000000-0005-0000-0000-000052060000}"/>
    <cellStyle name="Note 2 2" xfId="60" xr:uid="{00000000-0005-0000-0000-000053060000}"/>
    <cellStyle name="Note 2 2 2" xfId="213" xr:uid="{00000000-0005-0000-0000-000054060000}"/>
    <cellStyle name="Note 2 2 2 2" xfId="354" xr:uid="{00000000-0005-0000-0000-000055060000}"/>
    <cellStyle name="Note 2 2 2 2 2" xfId="854" xr:uid="{00000000-0005-0000-0000-000056060000}"/>
    <cellStyle name="Note 2 2 2 2 2 2" xfId="1633" xr:uid="{00000000-0005-0000-0000-000057060000}"/>
    <cellStyle name="Note 2 2 2 2 3" xfId="1195" xr:uid="{00000000-0005-0000-0000-000058060000}"/>
    <cellStyle name="Note 2 2 2 3" xfId="853" xr:uid="{00000000-0005-0000-0000-000059060000}"/>
    <cellStyle name="Note 2 2 2 3 2" xfId="1493" xr:uid="{00000000-0005-0000-0000-00005A060000}"/>
    <cellStyle name="Note 2 2 2 4" xfId="1055" xr:uid="{00000000-0005-0000-0000-00005B060000}"/>
    <cellStyle name="Note 2 2 3" xfId="284" xr:uid="{00000000-0005-0000-0000-00005C060000}"/>
    <cellStyle name="Note 2 2 3 2" xfId="855" xr:uid="{00000000-0005-0000-0000-00005D060000}"/>
    <cellStyle name="Note 2 2 3 2 2" xfId="1563" xr:uid="{00000000-0005-0000-0000-00005E060000}"/>
    <cellStyle name="Note 2 2 3 3" xfId="1125" xr:uid="{00000000-0005-0000-0000-00005F060000}"/>
    <cellStyle name="Note 2 2 4" xfId="425" xr:uid="{00000000-0005-0000-0000-000060060000}"/>
    <cellStyle name="Note 2 2 4 2" xfId="856" xr:uid="{00000000-0005-0000-0000-000061060000}"/>
    <cellStyle name="Note 2 2 4 2 2" xfId="1703" xr:uid="{00000000-0005-0000-0000-000062060000}"/>
    <cellStyle name="Note 2 2 4 3" xfId="1265" xr:uid="{00000000-0005-0000-0000-000063060000}"/>
    <cellStyle name="Note 2 2 5" xfId="142" xr:uid="{00000000-0005-0000-0000-000064060000}"/>
    <cellStyle name="Note 2 2 5 2" xfId="857" xr:uid="{00000000-0005-0000-0000-000065060000}"/>
    <cellStyle name="Note 2 2 5 2 2" xfId="1423" xr:uid="{00000000-0005-0000-0000-000066060000}"/>
    <cellStyle name="Note 2 2 5 3" xfId="985" xr:uid="{00000000-0005-0000-0000-000067060000}"/>
    <cellStyle name="Note 2 2 6" xfId="495" xr:uid="{00000000-0005-0000-0000-000068060000}"/>
    <cellStyle name="Note 2 2 6 2" xfId="1353" xr:uid="{00000000-0005-0000-0000-000069060000}"/>
    <cellStyle name="Note 2 2 7" xfId="915" xr:uid="{00000000-0005-0000-0000-00006A060000}"/>
    <cellStyle name="Note 2 3" xfId="177" xr:uid="{00000000-0005-0000-0000-00006B060000}"/>
    <cellStyle name="Note 2 3 2" xfId="319" xr:uid="{00000000-0005-0000-0000-00006C060000}"/>
    <cellStyle name="Note 2 3 2 2" xfId="859" xr:uid="{00000000-0005-0000-0000-00006D060000}"/>
    <cellStyle name="Note 2 3 2 2 2" xfId="1598" xr:uid="{00000000-0005-0000-0000-00006E060000}"/>
    <cellStyle name="Note 2 3 2 3" xfId="1160" xr:uid="{00000000-0005-0000-0000-00006F060000}"/>
    <cellStyle name="Note 2 3 3" xfId="858" xr:uid="{00000000-0005-0000-0000-000070060000}"/>
    <cellStyle name="Note 2 3 3 2" xfId="1458" xr:uid="{00000000-0005-0000-0000-000071060000}"/>
    <cellStyle name="Note 2 3 4" xfId="1020" xr:uid="{00000000-0005-0000-0000-000072060000}"/>
    <cellStyle name="Note 2 4" xfId="249" xr:uid="{00000000-0005-0000-0000-000073060000}"/>
    <cellStyle name="Note 2 4 2" xfId="860" xr:uid="{00000000-0005-0000-0000-000074060000}"/>
    <cellStyle name="Note 2 4 2 2" xfId="1528" xr:uid="{00000000-0005-0000-0000-000075060000}"/>
    <cellStyle name="Note 2 4 3" xfId="1090" xr:uid="{00000000-0005-0000-0000-000076060000}"/>
    <cellStyle name="Note 2 5" xfId="390" xr:uid="{00000000-0005-0000-0000-000077060000}"/>
    <cellStyle name="Note 2 5 2" xfId="861" xr:uid="{00000000-0005-0000-0000-000078060000}"/>
    <cellStyle name="Note 2 5 2 2" xfId="1668" xr:uid="{00000000-0005-0000-0000-000079060000}"/>
    <cellStyle name="Note 2 5 3" xfId="1230" xr:uid="{00000000-0005-0000-0000-00007A060000}"/>
    <cellStyle name="Note 2 6" xfId="106" xr:uid="{00000000-0005-0000-0000-00007B060000}"/>
    <cellStyle name="Note 2 6 2" xfId="862" xr:uid="{00000000-0005-0000-0000-00007C060000}"/>
    <cellStyle name="Note 2 6 2 2" xfId="1388" xr:uid="{00000000-0005-0000-0000-00007D060000}"/>
    <cellStyle name="Note 2 6 3" xfId="950" xr:uid="{00000000-0005-0000-0000-00007E060000}"/>
    <cellStyle name="Note 2 7" xfId="460" xr:uid="{00000000-0005-0000-0000-00007F060000}"/>
    <cellStyle name="Note 2 7 2" xfId="1317" xr:uid="{00000000-0005-0000-0000-000080060000}"/>
    <cellStyle name="Note 2 8" xfId="880" xr:uid="{00000000-0005-0000-0000-000081060000}"/>
    <cellStyle name="Output 2" xfId="50" xr:uid="{00000000-0005-0000-0000-000082060000}"/>
    <cellStyle name="Output 3" xfId="51" xr:uid="{00000000-0005-0000-0000-000083060000}"/>
    <cellStyle name="Output Line Items_Output 1" xfId="5" xr:uid="{00000000-0005-0000-0000-000084060000}"/>
    <cellStyle name="Percent" xfId="3" builtinId="5"/>
    <cellStyle name="Percent 2" xfId="52" xr:uid="{00000000-0005-0000-0000-000086060000}"/>
    <cellStyle name="Percent 2 2" xfId="53" xr:uid="{00000000-0005-0000-0000-000087060000}"/>
    <cellStyle name="Percent 2 2 2" xfId="54" xr:uid="{00000000-0005-0000-0000-000088060000}"/>
    <cellStyle name="Percent 2 2 2 2" xfId="209" xr:uid="{00000000-0005-0000-0000-000089060000}"/>
    <cellStyle name="Percent 2 2 2 2 2" xfId="351" xr:uid="{00000000-0005-0000-0000-00008A060000}"/>
    <cellStyle name="Percent 2 2 2 2 2 2" xfId="864" xr:uid="{00000000-0005-0000-0000-00008B060000}"/>
    <cellStyle name="Percent 2 2 2 2 2 2 2" xfId="1630" xr:uid="{00000000-0005-0000-0000-00008C060000}"/>
    <cellStyle name="Percent 2 2 2 2 2 3" xfId="1192" xr:uid="{00000000-0005-0000-0000-00008D060000}"/>
    <cellStyle name="Percent 2 2 2 2 3" xfId="863" xr:uid="{00000000-0005-0000-0000-00008E060000}"/>
    <cellStyle name="Percent 2 2 2 2 3 2" xfId="1490" xr:uid="{00000000-0005-0000-0000-00008F060000}"/>
    <cellStyle name="Percent 2 2 2 2 4" xfId="1052" xr:uid="{00000000-0005-0000-0000-000090060000}"/>
    <cellStyle name="Percent 2 2 2 3" xfId="281" xr:uid="{00000000-0005-0000-0000-000091060000}"/>
    <cellStyle name="Percent 2 2 2 3 2" xfId="865" xr:uid="{00000000-0005-0000-0000-000092060000}"/>
    <cellStyle name="Percent 2 2 2 3 2 2" xfId="1560" xr:uid="{00000000-0005-0000-0000-000093060000}"/>
    <cellStyle name="Percent 2 2 2 3 3" xfId="1122" xr:uid="{00000000-0005-0000-0000-000094060000}"/>
    <cellStyle name="Percent 2 2 2 4" xfId="422" xr:uid="{00000000-0005-0000-0000-000095060000}"/>
    <cellStyle name="Percent 2 2 2 4 2" xfId="866" xr:uid="{00000000-0005-0000-0000-000096060000}"/>
    <cellStyle name="Percent 2 2 2 4 2 2" xfId="1700" xr:uid="{00000000-0005-0000-0000-000097060000}"/>
    <cellStyle name="Percent 2 2 2 4 3" xfId="1262" xr:uid="{00000000-0005-0000-0000-000098060000}"/>
    <cellStyle name="Percent 2 2 2 5" xfId="138" xr:uid="{00000000-0005-0000-0000-000099060000}"/>
    <cellStyle name="Percent 2 2 2 5 2" xfId="867" xr:uid="{00000000-0005-0000-0000-00009A060000}"/>
    <cellStyle name="Percent 2 2 2 5 2 2" xfId="1420" xr:uid="{00000000-0005-0000-0000-00009B060000}"/>
    <cellStyle name="Percent 2 2 2 5 3" xfId="982" xr:uid="{00000000-0005-0000-0000-00009C060000}"/>
    <cellStyle name="Percent 2 2 2 6" xfId="492" xr:uid="{00000000-0005-0000-0000-00009D060000}"/>
    <cellStyle name="Percent 2 2 2 6 2" xfId="1349" xr:uid="{00000000-0005-0000-0000-00009E060000}"/>
    <cellStyle name="Percent 2 2 2 7" xfId="912" xr:uid="{00000000-0005-0000-0000-00009F060000}"/>
    <cellStyle name="Percent 2 2 3" xfId="208" xr:uid="{00000000-0005-0000-0000-0000A0060000}"/>
    <cellStyle name="Percent 2 2 3 2" xfId="350" xr:uid="{00000000-0005-0000-0000-0000A1060000}"/>
    <cellStyle name="Percent 2 2 3 2 2" xfId="869" xr:uid="{00000000-0005-0000-0000-0000A2060000}"/>
    <cellStyle name="Percent 2 2 3 2 2 2" xfId="1629" xr:uid="{00000000-0005-0000-0000-0000A3060000}"/>
    <cellStyle name="Percent 2 2 3 2 3" xfId="1191" xr:uid="{00000000-0005-0000-0000-0000A4060000}"/>
    <cellStyle name="Percent 2 2 3 3" xfId="868" xr:uid="{00000000-0005-0000-0000-0000A5060000}"/>
    <cellStyle name="Percent 2 2 3 3 2" xfId="1489" xr:uid="{00000000-0005-0000-0000-0000A6060000}"/>
    <cellStyle name="Percent 2 2 3 4" xfId="1051" xr:uid="{00000000-0005-0000-0000-0000A7060000}"/>
    <cellStyle name="Percent 2 2 4" xfId="280" xr:uid="{00000000-0005-0000-0000-0000A8060000}"/>
    <cellStyle name="Percent 2 2 4 2" xfId="870" xr:uid="{00000000-0005-0000-0000-0000A9060000}"/>
    <cellStyle name="Percent 2 2 4 2 2" xfId="1559" xr:uid="{00000000-0005-0000-0000-0000AA060000}"/>
    <cellStyle name="Percent 2 2 4 3" xfId="1121" xr:uid="{00000000-0005-0000-0000-0000AB060000}"/>
    <cellStyle name="Percent 2 2 5" xfId="421" xr:uid="{00000000-0005-0000-0000-0000AC060000}"/>
    <cellStyle name="Percent 2 2 5 2" xfId="871" xr:uid="{00000000-0005-0000-0000-0000AD060000}"/>
    <cellStyle name="Percent 2 2 5 2 2" xfId="1699" xr:uid="{00000000-0005-0000-0000-0000AE060000}"/>
    <cellStyle name="Percent 2 2 5 3" xfId="1261" xr:uid="{00000000-0005-0000-0000-0000AF060000}"/>
    <cellStyle name="Percent 2 2 6" xfId="137" xr:uid="{00000000-0005-0000-0000-0000B0060000}"/>
    <cellStyle name="Percent 2 2 6 2" xfId="872" xr:uid="{00000000-0005-0000-0000-0000B1060000}"/>
    <cellStyle name="Percent 2 2 6 2 2" xfId="1419" xr:uid="{00000000-0005-0000-0000-0000B2060000}"/>
    <cellStyle name="Percent 2 2 6 3" xfId="981" xr:uid="{00000000-0005-0000-0000-0000B3060000}"/>
    <cellStyle name="Percent 2 2 7" xfId="491" xr:uid="{00000000-0005-0000-0000-0000B4060000}"/>
    <cellStyle name="Percent 2 2 7 2" xfId="1348" xr:uid="{00000000-0005-0000-0000-0000B5060000}"/>
    <cellStyle name="Percent 2 2 8" xfId="911" xr:uid="{00000000-0005-0000-0000-0000B6060000}"/>
    <cellStyle name="Percent 2 3" xfId="101" xr:uid="{00000000-0005-0000-0000-0000B7060000}"/>
    <cellStyle name="Percent 2 3 2" xfId="246" xr:uid="{00000000-0005-0000-0000-0000B8060000}"/>
    <cellStyle name="Percent 2 3 2 2" xfId="387" xr:uid="{00000000-0005-0000-0000-0000B9060000}"/>
    <cellStyle name="Percent 2 3 2 2 2" xfId="874" xr:uid="{00000000-0005-0000-0000-0000BA060000}"/>
    <cellStyle name="Percent 2 3 2 2 2 2" xfId="1665" xr:uid="{00000000-0005-0000-0000-0000BB060000}"/>
    <cellStyle name="Percent 2 3 2 2 3" xfId="1227" xr:uid="{00000000-0005-0000-0000-0000BC060000}"/>
    <cellStyle name="Percent 2 3 2 3" xfId="873" xr:uid="{00000000-0005-0000-0000-0000BD060000}"/>
    <cellStyle name="Percent 2 3 2 3 2" xfId="1525" xr:uid="{00000000-0005-0000-0000-0000BE060000}"/>
    <cellStyle name="Percent 2 3 2 4" xfId="1087" xr:uid="{00000000-0005-0000-0000-0000BF060000}"/>
    <cellStyle name="Percent 2 3 3" xfId="316" xr:uid="{00000000-0005-0000-0000-0000C0060000}"/>
    <cellStyle name="Percent 2 3 3 2" xfId="875" xr:uid="{00000000-0005-0000-0000-0000C1060000}"/>
    <cellStyle name="Percent 2 3 3 2 2" xfId="1595" xr:uid="{00000000-0005-0000-0000-0000C2060000}"/>
    <cellStyle name="Percent 2 3 3 3" xfId="1157" xr:uid="{00000000-0005-0000-0000-0000C3060000}"/>
    <cellStyle name="Percent 2 3 4" xfId="457" xr:uid="{00000000-0005-0000-0000-0000C4060000}"/>
    <cellStyle name="Percent 2 3 4 2" xfId="876" xr:uid="{00000000-0005-0000-0000-0000C5060000}"/>
    <cellStyle name="Percent 2 3 4 2 2" xfId="1735" xr:uid="{00000000-0005-0000-0000-0000C6060000}"/>
    <cellStyle name="Percent 2 3 4 3" xfId="1297" xr:uid="{00000000-0005-0000-0000-0000C7060000}"/>
    <cellStyle name="Percent 2 3 5" xfId="174" xr:uid="{00000000-0005-0000-0000-0000C8060000}"/>
    <cellStyle name="Percent 2 3 5 2" xfId="877" xr:uid="{00000000-0005-0000-0000-0000C9060000}"/>
    <cellStyle name="Percent 2 3 5 2 2" xfId="1455" xr:uid="{00000000-0005-0000-0000-0000CA060000}"/>
    <cellStyle name="Percent 2 3 5 3" xfId="1017" xr:uid="{00000000-0005-0000-0000-0000CB060000}"/>
    <cellStyle name="Percent 2 3 6" xfId="527" xr:uid="{00000000-0005-0000-0000-0000CC060000}"/>
    <cellStyle name="Percent 2 3 6 2" xfId="1385" xr:uid="{00000000-0005-0000-0000-0000CD060000}"/>
    <cellStyle name="Percent 2 3 7" xfId="947" xr:uid="{00000000-0005-0000-0000-0000CE060000}"/>
    <cellStyle name="Percent 3" xfId="102" xr:uid="{00000000-0005-0000-0000-0000CF060000}"/>
    <cellStyle name="Percent 4" xfId="1314" xr:uid="{00000000-0005-0000-0000-0000D0060000}"/>
    <cellStyle name="Rev" xfId="1750" xr:uid="{513D1F64-DEE0-4D0A-9D34-9490E4A44941}"/>
  </cellStyles>
  <dxfs count="91">
    <dxf>
      <fill>
        <patternFill>
          <bgColor theme="5" tint="0.59996337778862885"/>
        </patternFill>
      </fill>
    </dxf>
    <dxf>
      <font>
        <strike val="0"/>
        <color rgb="FF0000FF"/>
      </font>
      <fill>
        <patternFill>
          <bgColor rgb="FFE6B8B7"/>
        </patternFill>
      </fill>
    </dxf>
    <dxf>
      <fill>
        <patternFill>
          <bgColor theme="5" tint="0.59996337778862885"/>
        </patternFill>
      </fill>
    </dxf>
    <dxf>
      <font>
        <color theme="5" tint="0.59996337778862885"/>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5" tint="0.59996337778862885"/>
      </font>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auto="1"/>
      </font>
      <fill>
        <patternFill>
          <bgColor rgb="FFFF0000"/>
        </patternFill>
      </fill>
    </dxf>
    <dxf>
      <font>
        <color rgb="FF0000FF"/>
      </font>
      <fill>
        <patternFill>
          <bgColor rgb="FFE6B8B7"/>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5" tint="0.59996337778862885"/>
        </patternFill>
      </fill>
    </dxf>
    <dxf>
      <fill>
        <patternFill>
          <bgColor theme="5" tint="0.59996337778862885"/>
        </patternFill>
      </fill>
    </dxf>
    <dxf>
      <fill>
        <patternFill>
          <bgColor rgb="FFF6ACAC"/>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0000FF"/>
      </font>
      <fill>
        <patternFill>
          <bgColor rgb="FFE6B8B7"/>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9" defaultPivotStyle="PivotStyleLight16"/>
  <colors>
    <mruColors>
      <color rgb="FF0000FF"/>
      <color rgb="FFFFCDCD"/>
      <color rgb="FFF6ACAC"/>
      <color rgb="FFE43838"/>
      <color rgb="FFFF66FF"/>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0</xdr:row>
      <xdr:rowOff>0</xdr:rowOff>
    </xdr:from>
    <xdr:to>
      <xdr:col>5</xdr:col>
      <xdr:colOff>789492</xdr:colOff>
      <xdr:row>22</xdr:row>
      <xdr:rowOff>61502</xdr:rowOff>
    </xdr:to>
    <xdr:pic>
      <xdr:nvPicPr>
        <xdr:cNvPr id="2" name="Picture 1">
          <a:extLst>
            <a:ext uri="{FF2B5EF4-FFF2-40B4-BE49-F238E27FC236}">
              <a16:creationId xmlns:a16="http://schemas.microsoft.com/office/drawing/2014/main" id="{B7A0E48B-DC4F-440B-BC1B-CC1E84BEF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12" y="0"/>
          <a:ext cx="6470874" cy="4252502"/>
        </a:xfrm>
        <a:prstGeom prst="rect">
          <a:avLst/>
        </a:prstGeom>
      </xdr:spPr>
    </xdr:pic>
    <xdr:clientData/>
  </xdr:twoCellAnchor>
  <xdr:twoCellAnchor editAs="oneCell">
    <xdr:from>
      <xdr:col>0</xdr:col>
      <xdr:colOff>78441</xdr:colOff>
      <xdr:row>32</xdr:row>
      <xdr:rowOff>123265</xdr:rowOff>
    </xdr:from>
    <xdr:to>
      <xdr:col>1</xdr:col>
      <xdr:colOff>636914</xdr:colOff>
      <xdr:row>38</xdr:row>
      <xdr:rowOff>163158</xdr:rowOff>
    </xdr:to>
    <xdr:pic>
      <xdr:nvPicPr>
        <xdr:cNvPr id="3" name="Picture 2" descr="Logo&#10;&#10;Description automatically generated">
          <a:extLst>
            <a:ext uri="{FF2B5EF4-FFF2-40B4-BE49-F238E27FC236}">
              <a16:creationId xmlns:a16="http://schemas.microsoft.com/office/drawing/2014/main" id="{1AB57BA7-F1C4-4E9E-839C-0B5336A43EEA}"/>
            </a:ext>
          </a:extLst>
        </xdr:cNvPr>
        <xdr:cNvPicPr>
          <a:picLocks noChangeAspect="1"/>
        </xdr:cNvPicPr>
      </xdr:nvPicPr>
      <xdr:blipFill>
        <a:blip xmlns:r="http://schemas.openxmlformats.org/officeDocument/2006/relationships" r:embed="rId2"/>
        <a:stretch>
          <a:fillRect/>
        </a:stretch>
      </xdr:blipFill>
      <xdr:spPr>
        <a:xfrm>
          <a:off x="78441" y="6566647"/>
          <a:ext cx="1427452" cy="12712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rwholdings.sharepoint.com/sites/Primero-23517KCGM/Shared%20Documents/Engineering/07.06%20Lists/Electrical/IL%20-%20Instruments/Instrument%20List%20Stg%201/2000-F00-LST-IC-10001_Live%20Instrument%20List%20MASTER%20-%20Stg%201.xlsx" TargetMode="External"/><Relationship Id="rId1" Type="http://schemas.openxmlformats.org/officeDocument/2006/relationships/externalLinkPath" Target="/sites/Primero-23517KCGM/Shared%20Documents/Engineering/07.06%20Lists/Electrical/IL%20-%20Instruments/Instrument%20List%20Stg%201/2000-F00-LST-IC-10001_Live%20Instrument%20List%20MASTER%20-%20Stg%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oAW1TOu470WfPgOC2sUg_eFOlGObptlOkMyV0fKR18p_em3ztjc5TY5NWROXuAGN" itemId="015YRFO5HR7RCMGNV3EFAJQNRWRI57OWRX">
      <xxl21:absoluteUrl r:id="rId2"/>
    </xxl21:alternateUrls>
    <sheetNames>
      <sheetName val="Cover page"/>
      <sheetName val="Notes, Holds"/>
      <sheetName val="IO Count"/>
      <sheetName val="MASTER Instrument List - Stg 1"/>
      <sheetName val="DONOTPRINT-&gt;"/>
      <sheetName val="Loop number check"/>
      <sheetName val="RIO IO COUNT"/>
      <sheetName val="Drawing Numbers"/>
      <sheetName val="ME03 - Primary Crusher"/>
      <sheetName val="ME001.1"/>
      <sheetName val="Sheet1"/>
      <sheetName val="ME001.6"/>
      <sheetName val="ME05 - Cyclones"/>
      <sheetName val="ME08 - SAG Mill"/>
      <sheetName val="ME09 - Ball Mill"/>
      <sheetName val="ME51 - Pebble Crushers"/>
      <sheetName val="ME52 - Int. Cyanide Leach React"/>
      <sheetName val="ME25 - Air Blowers"/>
      <sheetName val="ME-10 - Pre-Leach Thickener"/>
      <sheetName val="ME-16 - Elution Heater"/>
      <sheetName val="ME39 - Regrind Mill"/>
      <sheetName val="IO SumIfs"/>
      <sheetName val="PLC IO counts"/>
      <sheetName val="IO Allocation"/>
      <sheetName val="IO Counts"/>
      <sheetName val="A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alpha val="0"/>
          </a:srgbClr>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spDef>
    <a:lnDef>
      <a:spPr bwMode="auto">
        <a:xfrm>
          <a:off x="0" y="0"/>
          <a:ext cx="1" cy="1"/>
        </a:xfrm>
        <a:custGeom>
          <a:avLst/>
          <a:gdLst/>
          <a:ahLst/>
          <a:cxnLst/>
          <a:rect l="0" t="0" r="0" b="0"/>
          <a:pathLst/>
        </a:custGeom>
        <a:solidFill>
          <a:srgbClr val="FFFFFF">
            <a:alpha val="0"/>
          </a:srgbClr>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3:F46"/>
  <sheetViews>
    <sheetView view="pageBreakPreview" zoomScale="115" zoomScaleNormal="100" zoomScaleSheetLayoutView="115" workbookViewId="0">
      <selection activeCell="C436" sqref="C436"/>
    </sheetView>
  </sheetViews>
  <sheetFormatPr defaultColWidth="10.6640625" defaultRowHeight="15"/>
  <cols>
    <col min="1" max="1" width="15.33203125" style="121" customWidth="1"/>
    <col min="2" max="2" width="16.5" style="121" customWidth="1"/>
    <col min="3" max="3" width="38" style="121" customWidth="1"/>
    <col min="4" max="4" width="14" style="121" customWidth="1"/>
    <col min="5" max="5" width="16" style="121" bestFit="1" customWidth="1"/>
    <col min="6" max="6" width="14" style="121" customWidth="1"/>
    <col min="7" max="7" width="10.6640625" style="121" customWidth="1"/>
    <col min="8" max="16384" width="10.6640625" style="121"/>
  </cols>
  <sheetData>
    <row r="23" spans="1:3" ht="14.1" customHeight="1"/>
    <row r="24" spans="1:3" ht="15" customHeight="1"/>
    <row r="25" spans="1:3" ht="18.75">
      <c r="A25" s="122" t="s">
        <v>0</v>
      </c>
      <c r="B25" s="123"/>
      <c r="C25" s="123"/>
    </row>
    <row r="26" spans="1:3" ht="15" customHeight="1">
      <c r="A26" s="124"/>
    </row>
    <row r="27" spans="1:3" ht="15.75">
      <c r="A27" s="125" t="s">
        <v>1</v>
      </c>
      <c r="B27" s="123"/>
      <c r="C27" s="123"/>
    </row>
    <row r="28" spans="1:3" ht="22.35" customHeight="1">
      <c r="A28" s="124"/>
    </row>
    <row r="29" spans="1:3" ht="15.75">
      <c r="A29" s="125" t="s">
        <v>2</v>
      </c>
      <c r="B29" s="123"/>
      <c r="C29" s="123"/>
    </row>
    <row r="30" spans="1:3" ht="15.75">
      <c r="A30" s="125"/>
      <c r="B30" s="123"/>
      <c r="C30" s="123"/>
    </row>
    <row r="31" spans="1:3" ht="15" customHeight="1">
      <c r="A31" s="124"/>
    </row>
    <row r="32" spans="1:3" ht="15.75">
      <c r="A32" s="125" t="s">
        <v>3</v>
      </c>
      <c r="B32" s="123"/>
      <c r="C32" s="123"/>
    </row>
    <row r="33" spans="1:6" ht="22.35" customHeight="1">
      <c r="A33" s="123"/>
      <c r="B33" s="123"/>
      <c r="C33" s="123"/>
    </row>
    <row r="34" spans="1:6">
      <c r="A34" s="126"/>
      <c r="B34" s="123"/>
      <c r="C34" s="123"/>
    </row>
    <row r="35" spans="1:6">
      <c r="A35" s="126"/>
      <c r="B35" s="123"/>
      <c r="C35" s="123"/>
    </row>
    <row r="36" spans="1:6">
      <c r="A36" s="123"/>
      <c r="B36" s="123"/>
      <c r="C36" s="123"/>
    </row>
    <row r="37" spans="1:6">
      <c r="A37" s="123"/>
      <c r="B37" s="123"/>
      <c r="C37" s="123"/>
    </row>
    <row r="38" spans="1:6">
      <c r="A38" s="123"/>
      <c r="B38" s="123"/>
      <c r="C38" s="123"/>
    </row>
    <row r="39" spans="1:6">
      <c r="A39" s="123"/>
      <c r="B39" s="123"/>
      <c r="C39" s="123"/>
    </row>
    <row r="40" spans="1:6">
      <c r="A40" s="123"/>
      <c r="B40" s="123"/>
      <c r="C40" s="123"/>
    </row>
    <row r="41" spans="1:6" ht="15.75">
      <c r="A41" s="125" t="s">
        <v>4</v>
      </c>
      <c r="B41" s="123"/>
      <c r="C41" s="123"/>
    </row>
    <row r="42" spans="1:6">
      <c r="A42" s="123"/>
      <c r="B42" s="123"/>
      <c r="C42" s="123"/>
    </row>
    <row r="43" spans="1:6" ht="20.100000000000001" customHeight="1">
      <c r="A43" s="127" t="s">
        <v>5</v>
      </c>
      <c r="B43" s="127" t="s">
        <v>6</v>
      </c>
      <c r="C43" s="127" t="s">
        <v>7</v>
      </c>
      <c r="D43" s="127" t="s">
        <v>8</v>
      </c>
      <c r="E43" s="127" t="s">
        <v>9</v>
      </c>
      <c r="F43" s="127" t="s">
        <v>10</v>
      </c>
    </row>
    <row r="44" spans="1:6" ht="20.100000000000001" customHeight="1">
      <c r="A44" s="700">
        <v>45492</v>
      </c>
      <c r="B44" s="577">
        <v>0</v>
      </c>
      <c r="C44" s="577" t="s">
        <v>11</v>
      </c>
      <c r="D44" s="577" t="s">
        <v>12</v>
      </c>
      <c r="E44" s="577" t="s">
        <v>13</v>
      </c>
      <c r="F44" s="577" t="s">
        <v>14</v>
      </c>
    </row>
    <row r="45" spans="1:6" ht="21" customHeight="1">
      <c r="A45" s="700">
        <v>45532</v>
      </c>
      <c r="B45" s="577">
        <v>1</v>
      </c>
      <c r="C45" s="577" t="s">
        <v>15</v>
      </c>
      <c r="D45" s="577" t="s">
        <v>16</v>
      </c>
      <c r="E45" s="577" t="s">
        <v>12</v>
      </c>
      <c r="F45" s="577" t="s">
        <v>14</v>
      </c>
    </row>
    <row r="46" spans="1:6" ht="21" customHeight="1">
      <c r="A46" s="700">
        <v>45602</v>
      </c>
      <c r="B46" s="577">
        <v>2</v>
      </c>
      <c r="C46" s="577" t="s">
        <v>15</v>
      </c>
      <c r="D46" s="577" t="s">
        <v>17</v>
      </c>
      <c r="E46" s="577" t="s">
        <v>18</v>
      </c>
      <c r="F46" s="577" t="s">
        <v>19</v>
      </c>
    </row>
  </sheetData>
  <pageMargins left="0.7" right="0.7" top="0.75" bottom="0.75" header="0.3" footer="0.3"/>
  <pageSetup paperSize="9" scale="97" fitToHeight="0" orientation="portrait" r:id="rId1"/>
  <headerFooter>
    <oddFooter>&amp;Rprimero.com.au
ABN 96 149 964 045</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F37"/>
  <sheetViews>
    <sheetView view="pageBreakPreview" zoomScaleNormal="100" zoomScaleSheetLayoutView="100" workbookViewId="0">
      <selection activeCell="P439" sqref="P439"/>
    </sheetView>
  </sheetViews>
  <sheetFormatPr defaultColWidth="10.6640625" defaultRowHeight="15"/>
  <cols>
    <col min="1" max="1" width="15.33203125" style="121" customWidth="1"/>
    <col min="2" max="2" width="16.5" style="121" customWidth="1"/>
    <col min="3" max="3" width="38" style="121" customWidth="1"/>
    <col min="4" max="4" width="14" style="121" customWidth="1"/>
    <col min="5" max="5" width="16" style="121" bestFit="1" customWidth="1"/>
    <col min="6" max="6" width="14" style="121" customWidth="1"/>
    <col min="7" max="7" width="10.6640625" style="121" customWidth="1"/>
    <col min="8" max="16384" width="10.6640625" style="121"/>
  </cols>
  <sheetData>
    <row r="1" spans="1:6" ht="18.75">
      <c r="A1" s="122" t="s">
        <v>20</v>
      </c>
    </row>
    <row r="2" spans="1:6" ht="18.75">
      <c r="A2" s="122" t="s">
        <v>21</v>
      </c>
    </row>
    <row r="3" spans="1:6" ht="15.75">
      <c r="A3" s="291" t="s">
        <v>1</v>
      </c>
    </row>
    <row r="4" spans="1:6" ht="15.75">
      <c r="A4" s="125" t="str">
        <f>'Cover Page'!A29</f>
        <v>2000-F16-LST-PR-10001</v>
      </c>
    </row>
    <row r="5" spans="1:6" ht="15.75">
      <c r="A5" s="125" t="str">
        <f>'Cover Page'!A32</f>
        <v>NORTHERN STAR RESOURCES LIMITED</v>
      </c>
    </row>
    <row r="6" spans="1:6" ht="15.75" thickBot="1"/>
    <row r="7" spans="1:6" ht="15.75" thickBot="1">
      <c r="A7" s="179" t="s">
        <v>22</v>
      </c>
      <c r="B7" s="180"/>
      <c r="C7" s="1078" t="s">
        <v>23</v>
      </c>
      <c r="D7" s="1079"/>
      <c r="E7" s="1080"/>
      <c r="F7" s="181" t="s">
        <v>24</v>
      </c>
    </row>
    <row r="8" spans="1:6" ht="15" customHeight="1">
      <c r="A8" s="1072" t="s">
        <v>25</v>
      </c>
      <c r="B8" s="1073"/>
      <c r="C8" s="1060" t="s">
        <v>26</v>
      </c>
      <c r="D8" s="1061"/>
      <c r="E8" s="1062"/>
      <c r="F8" s="1063">
        <v>45274</v>
      </c>
    </row>
    <row r="9" spans="1:6" ht="15" customHeight="1">
      <c r="A9" s="1074"/>
      <c r="B9" s="1075"/>
      <c r="C9" s="1066" t="s">
        <v>27</v>
      </c>
      <c r="D9" s="1067"/>
      <c r="E9" s="1068"/>
      <c r="F9" s="1064"/>
    </row>
    <row r="10" spans="1:6" ht="15.75" thickBot="1">
      <c r="A10" s="1076"/>
      <c r="B10" s="1077"/>
      <c r="C10" s="1069"/>
      <c r="D10" s="1070"/>
      <c r="E10" s="1071"/>
      <c r="F10" s="1065"/>
    </row>
    <row r="11" spans="1:6" ht="14.85" customHeight="1">
      <c r="A11" s="1072" t="s">
        <v>28</v>
      </c>
      <c r="B11" s="1073"/>
      <c r="C11" s="1060" t="s">
        <v>26</v>
      </c>
      <c r="D11" s="1061"/>
      <c r="E11" s="1062"/>
      <c r="F11" s="1063">
        <v>45398</v>
      </c>
    </row>
    <row r="12" spans="1:6">
      <c r="A12" s="1074"/>
      <c r="B12" s="1075"/>
      <c r="C12" s="536"/>
      <c r="D12" s="537"/>
      <c r="E12" s="538"/>
      <c r="F12" s="1064"/>
    </row>
    <row r="13" spans="1:6" ht="15.75" thickBot="1">
      <c r="A13" s="1076"/>
      <c r="B13" s="1077"/>
      <c r="C13" s="1069"/>
      <c r="D13" s="1070"/>
      <c r="E13" s="1071"/>
      <c r="F13" s="1065"/>
    </row>
    <row r="14" spans="1:6" ht="14.45" customHeight="1">
      <c r="A14" s="1072" t="s">
        <v>29</v>
      </c>
      <c r="B14" s="1073"/>
      <c r="C14" s="1060" t="s">
        <v>26</v>
      </c>
      <c r="D14" s="1061"/>
      <c r="E14" s="1062"/>
      <c r="F14" s="1063">
        <v>45440</v>
      </c>
    </row>
    <row r="15" spans="1:6">
      <c r="A15" s="1074"/>
      <c r="B15" s="1075"/>
      <c r="C15" s="1066"/>
      <c r="D15" s="1067"/>
      <c r="E15" s="1068"/>
      <c r="F15" s="1064"/>
    </row>
    <row r="16" spans="1:6" ht="15.75" thickBot="1">
      <c r="A16" s="1076"/>
      <c r="B16" s="1077"/>
      <c r="C16" s="1069"/>
      <c r="D16" s="1070"/>
      <c r="E16" s="1071"/>
      <c r="F16" s="1065"/>
    </row>
    <row r="17" spans="1:6">
      <c r="A17" s="1054" t="s">
        <v>30</v>
      </c>
      <c r="B17" s="1055"/>
      <c r="C17" s="1060" t="s">
        <v>26</v>
      </c>
      <c r="D17" s="1061"/>
      <c r="E17" s="1062"/>
      <c r="F17" s="1063">
        <f>'Cover Page'!A44</f>
        <v>45492</v>
      </c>
    </row>
    <row r="18" spans="1:6">
      <c r="A18" s="1056"/>
      <c r="B18" s="1057"/>
      <c r="C18" s="1066"/>
      <c r="D18" s="1067"/>
      <c r="E18" s="1068"/>
      <c r="F18" s="1064"/>
    </row>
    <row r="19" spans="1:6" ht="15.75" thickBot="1">
      <c r="A19" s="1058"/>
      <c r="B19" s="1059"/>
      <c r="C19" s="1069"/>
      <c r="D19" s="1070"/>
      <c r="E19" s="1071"/>
      <c r="F19" s="1065"/>
    </row>
    <row r="20" spans="1:6">
      <c r="A20" s="1054" t="s">
        <v>31</v>
      </c>
      <c r="B20" s="1055"/>
      <c r="C20" s="1060" t="s">
        <v>26</v>
      </c>
      <c r="D20" s="1061"/>
      <c r="E20" s="1062"/>
      <c r="F20" s="1063">
        <v>45532</v>
      </c>
    </row>
    <row r="21" spans="1:6" ht="15" customHeight="1">
      <c r="A21" s="1056"/>
      <c r="B21" s="1057"/>
      <c r="C21" s="1066" t="s">
        <v>32</v>
      </c>
      <c r="D21" s="1067"/>
      <c r="E21" s="1068"/>
      <c r="F21" s="1064"/>
    </row>
    <row r="22" spans="1:6" ht="15.75" thickBot="1">
      <c r="A22" s="1058"/>
      <c r="B22" s="1059"/>
      <c r="C22" s="1069" t="s">
        <v>33</v>
      </c>
      <c r="D22" s="1070"/>
      <c r="E22" s="1071"/>
      <c r="F22" s="1065"/>
    </row>
    <row r="23" spans="1:6">
      <c r="A23" s="1054" t="s">
        <v>34</v>
      </c>
      <c r="B23" s="1055"/>
      <c r="C23" s="1060" t="s">
        <v>26</v>
      </c>
      <c r="D23" s="1061"/>
      <c r="E23" s="1062"/>
      <c r="F23" s="1063">
        <v>45602</v>
      </c>
    </row>
    <row r="24" spans="1:6" ht="15" customHeight="1">
      <c r="A24" s="1056"/>
      <c r="B24" s="1057"/>
      <c r="C24" s="1066" t="s">
        <v>32</v>
      </c>
      <c r="D24" s="1067"/>
      <c r="E24" s="1068"/>
      <c r="F24" s="1064"/>
    </row>
    <row r="25" spans="1:6" ht="15.75" thickBot="1">
      <c r="A25" s="1058"/>
      <c r="B25" s="1059"/>
      <c r="C25" s="1069"/>
      <c r="D25" s="1070"/>
      <c r="E25" s="1071"/>
      <c r="F25" s="1065"/>
    </row>
    <row r="26" spans="1:6" ht="15" customHeight="1"/>
    <row r="27" spans="1:6">
      <c r="B27" s="123"/>
      <c r="C27" s="123"/>
    </row>
    <row r="28" spans="1:6" ht="22.35" customHeight="1">
      <c r="A28" s="123"/>
      <c r="B28" s="123"/>
      <c r="C28" s="123"/>
    </row>
    <row r="29" spans="1:6">
      <c r="A29" s="126"/>
      <c r="B29" s="123"/>
      <c r="C29" s="123"/>
    </row>
    <row r="30" spans="1:6">
      <c r="A30" s="126"/>
      <c r="B30" s="123"/>
      <c r="C30" s="123"/>
    </row>
    <row r="31" spans="1:6">
      <c r="A31" s="123"/>
      <c r="B31" s="123"/>
      <c r="C31" s="123"/>
    </row>
    <row r="32" spans="1:6">
      <c r="A32" s="123"/>
      <c r="B32" s="123"/>
      <c r="C32" s="123"/>
    </row>
    <row r="33" spans="1:3">
      <c r="A33" s="123"/>
      <c r="B33" s="123"/>
      <c r="C33" s="123"/>
    </row>
    <row r="34" spans="1:3">
      <c r="A34" s="123"/>
      <c r="B34" s="123"/>
      <c r="C34" s="123"/>
    </row>
    <row r="35" spans="1:3" ht="20.100000000000001" customHeight="1">
      <c r="A35" s="123"/>
      <c r="B35" s="123"/>
      <c r="C35" s="123"/>
    </row>
    <row r="36" spans="1:3" ht="25.5" customHeight="1"/>
    <row r="37" spans="1:3" ht="25.5" customHeight="1"/>
  </sheetData>
  <mergeCells count="30">
    <mergeCell ref="F20:F22"/>
    <mergeCell ref="C21:E21"/>
    <mergeCell ref="C22:E22"/>
    <mergeCell ref="C7:E7"/>
    <mergeCell ref="C10:E10"/>
    <mergeCell ref="C13:E13"/>
    <mergeCell ref="C8:E8"/>
    <mergeCell ref="C9:E9"/>
    <mergeCell ref="C16:E16"/>
    <mergeCell ref="C17:E17"/>
    <mergeCell ref="C18:E18"/>
    <mergeCell ref="C19:E19"/>
    <mergeCell ref="F17:F19"/>
    <mergeCell ref="F14:F16"/>
    <mergeCell ref="A14:B16"/>
    <mergeCell ref="C14:E14"/>
    <mergeCell ref="C15:E15"/>
    <mergeCell ref="A17:B19"/>
    <mergeCell ref="A20:B22"/>
    <mergeCell ref="C20:E20"/>
    <mergeCell ref="A8:B10"/>
    <mergeCell ref="A11:B13"/>
    <mergeCell ref="F8:F10"/>
    <mergeCell ref="C11:E11"/>
    <mergeCell ref="F11:F13"/>
    <mergeCell ref="A23:B25"/>
    <mergeCell ref="C23:E23"/>
    <mergeCell ref="F23:F25"/>
    <mergeCell ref="C24:E24"/>
    <mergeCell ref="C25:E25"/>
  </mergeCells>
  <pageMargins left="0.7" right="0.7" top="0.75" bottom="0.75" header="0.3" footer="0.3"/>
  <pageSetup paperSize="9" scale="97"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X28"/>
  <sheetViews>
    <sheetView view="pageBreakPreview" zoomScale="70" zoomScaleNormal="100" zoomScaleSheetLayoutView="70" workbookViewId="0">
      <selection activeCell="P439" sqref="P439"/>
    </sheetView>
  </sheetViews>
  <sheetFormatPr defaultColWidth="18.6640625" defaultRowHeight="13.35" customHeight="1"/>
  <cols>
    <col min="1" max="2" width="9.33203125" style="15" customWidth="1"/>
    <col min="3" max="3" width="14.6640625" style="15" bestFit="1" customWidth="1"/>
    <col min="4" max="4" width="9.33203125" style="15" customWidth="1"/>
    <col min="5" max="5" width="10.6640625" style="15" bestFit="1" customWidth="1"/>
    <col min="6" max="6" width="12.6640625" style="206" customWidth="1"/>
    <col min="7" max="7" width="18.6640625" style="15" customWidth="1"/>
    <col min="8" max="10" width="12.6640625" style="15" customWidth="1"/>
    <col min="11" max="11" width="10.33203125" style="15" customWidth="1"/>
    <col min="12" max="12" width="37.1640625" style="15" customWidth="1"/>
    <col min="13" max="13" width="10.6640625" style="15" bestFit="1" customWidth="1"/>
    <col min="14" max="14" width="14.33203125" style="15" bestFit="1" customWidth="1"/>
    <col min="15" max="16" width="14.33203125" style="15" customWidth="1"/>
    <col min="17" max="20" width="9.33203125" style="15" customWidth="1"/>
    <col min="21" max="23" width="10.6640625" style="15" customWidth="1"/>
    <col min="24" max="24" width="9.5" style="15" customWidth="1"/>
    <col min="25" max="25" width="9.33203125" style="15" customWidth="1"/>
    <col min="26" max="16384" width="18.6640625" style="15"/>
  </cols>
  <sheetData>
    <row r="1" spans="1:24" s="53" customFormat="1" ht="20.25">
      <c r="A1" s="20" t="str">
        <f>ProjectTitle</f>
        <v>KCGM GROWTH PROJECT</v>
      </c>
      <c r="B1" s="20"/>
      <c r="C1" s="20"/>
      <c r="D1" s="25"/>
      <c r="E1" s="25"/>
      <c r="F1" s="25"/>
      <c r="G1" s="25"/>
      <c r="H1" s="58"/>
      <c r="I1" s="59"/>
      <c r="J1" s="59"/>
      <c r="K1" s="58"/>
      <c r="L1" s="58"/>
      <c r="M1" s="58"/>
      <c r="N1" s="58"/>
      <c r="O1" s="60"/>
      <c r="P1" s="60"/>
      <c r="Q1" s="60"/>
      <c r="R1" s="60"/>
      <c r="S1" s="60"/>
      <c r="T1" s="60"/>
      <c r="U1" s="60"/>
      <c r="V1" s="60"/>
    </row>
    <row r="2" spans="1:24" s="53" customFormat="1" ht="20.25">
      <c r="A2" s="20" t="str">
        <f>'Cover Page'!DocumentTitle</f>
        <v>PROCESS CONTROL TABLES - FLOTATION (F16, F17, F18)</v>
      </c>
      <c r="B2" s="20"/>
      <c r="C2" s="20"/>
      <c r="D2" s="25"/>
      <c r="E2" s="25"/>
      <c r="F2" s="25"/>
      <c r="G2" s="25"/>
      <c r="H2" s="58"/>
      <c r="I2" s="59"/>
      <c r="J2" s="59"/>
      <c r="K2" s="58"/>
      <c r="L2" s="58"/>
      <c r="M2" s="58"/>
      <c r="N2" s="58"/>
      <c r="O2" s="60"/>
      <c r="P2" s="60"/>
      <c r="Q2" s="60"/>
      <c r="R2" s="60"/>
      <c r="S2" s="60"/>
      <c r="T2" s="60"/>
      <c r="U2" s="60"/>
      <c r="V2" s="60"/>
    </row>
    <row r="3" spans="1:24" s="53" customFormat="1" ht="21" thickBot="1">
      <c r="A3" s="86" t="str">
        <f>'Cover Page'!A29</f>
        <v>2000-F16-LST-PR-10001</v>
      </c>
      <c r="B3" s="62"/>
      <c r="C3" s="37"/>
      <c r="D3" s="710"/>
      <c r="E3" s="711"/>
      <c r="F3" s="712"/>
      <c r="G3" s="21"/>
      <c r="H3" s="62"/>
      <c r="I3" s="63"/>
      <c r="J3" s="63"/>
      <c r="K3" s="62"/>
      <c r="L3" s="62"/>
      <c r="M3" s="62"/>
      <c r="N3" s="62"/>
      <c r="O3" s="64"/>
      <c r="P3" s="64"/>
      <c r="Q3" s="64"/>
      <c r="R3" s="64"/>
      <c r="S3" s="64"/>
      <c r="T3" s="64"/>
      <c r="U3" s="64"/>
      <c r="V3" s="64"/>
      <c r="W3" s="65"/>
    </row>
    <row r="4" spans="1:24" s="2" customFormat="1" ht="30" customHeight="1">
      <c r="A4" s="1082"/>
      <c r="B4" s="1082"/>
      <c r="C4" s="1082"/>
      <c r="D4" s="1082"/>
      <c r="E4" s="1082"/>
      <c r="F4" s="1082"/>
      <c r="G4" s="1082"/>
      <c r="H4" s="1082"/>
      <c r="I4" s="1082"/>
      <c r="J4" s="1082"/>
      <c r="K4" s="1082"/>
      <c r="L4" s="1082"/>
      <c r="M4" s="1082"/>
      <c r="N4" s="1082"/>
      <c r="O4" s="1082"/>
      <c r="P4" s="1082"/>
      <c r="Q4" s="1082"/>
      <c r="R4" s="1082"/>
      <c r="S4" s="1082"/>
      <c r="T4" s="1082"/>
      <c r="U4" s="1082"/>
      <c r="V4" s="1082"/>
      <c r="W4" s="1082"/>
      <c r="X4" s="1082"/>
    </row>
    <row r="5" spans="1:24" s="2" customFormat="1" ht="30">
      <c r="A5" s="44"/>
      <c r="B5" s="45" t="s">
        <v>35</v>
      </c>
      <c r="C5" s="46"/>
      <c r="D5" s="46"/>
      <c r="E5" s="46"/>
      <c r="F5" s="57" t="s">
        <v>36</v>
      </c>
      <c r="G5" s="42" t="s">
        <v>37</v>
      </c>
      <c r="H5" s="16"/>
      <c r="I5" s="44"/>
      <c r="J5" s="44"/>
      <c r="K5" s="156" t="s">
        <v>38</v>
      </c>
      <c r="L5" s="286" t="s">
        <v>39</v>
      </c>
      <c r="M5" s="284" t="s">
        <v>40</v>
      </c>
      <c r="N5" s="284" t="s">
        <v>41</v>
      </c>
      <c r="O5" s="44"/>
      <c r="P5" s="44"/>
      <c r="Q5" s="60"/>
      <c r="R5" s="60"/>
      <c r="S5" s="1086" t="s">
        <v>42</v>
      </c>
      <c r="T5" s="1087"/>
      <c r="U5" s="1087"/>
      <c r="V5" s="1087"/>
      <c r="W5" s="1088"/>
      <c r="X5" s="16"/>
    </row>
    <row r="6" spans="1:24" s="2" customFormat="1" ht="30" customHeight="1">
      <c r="A6" s="44"/>
      <c r="B6" s="47">
        <v>1</v>
      </c>
      <c r="C6" s="70" t="s">
        <v>43</v>
      </c>
      <c r="D6" s="71"/>
      <c r="E6" s="54"/>
      <c r="F6" s="282">
        <f>'1. Analogue Input'!E460</f>
        <v>451</v>
      </c>
      <c r="G6" s="283">
        <v>90</v>
      </c>
      <c r="H6" s="16"/>
      <c r="I6" s="44"/>
      <c r="J6" s="44"/>
      <c r="K6" s="284">
        <v>1</v>
      </c>
      <c r="L6" s="88" t="s">
        <v>44</v>
      </c>
      <c r="M6" s="88">
        <f>COUNTIF('13. Alarm Database'!L7:L653,"Urgent")</f>
        <v>20</v>
      </c>
      <c r="N6" s="287">
        <v>100</v>
      </c>
      <c r="O6" s="44"/>
      <c r="P6" s="44"/>
      <c r="Q6" s="49"/>
      <c r="R6" s="49"/>
      <c r="S6" s="88" t="s">
        <v>45</v>
      </c>
      <c r="T6" s="1081" t="s">
        <v>46</v>
      </c>
      <c r="U6" s="1081"/>
      <c r="V6" s="1081"/>
      <c r="W6" s="1081"/>
      <c r="X6" s="44"/>
    </row>
    <row r="7" spans="1:24" s="2" customFormat="1" ht="30" customHeight="1">
      <c r="A7" s="44"/>
      <c r="B7" s="47">
        <v>2</v>
      </c>
      <c r="C7" s="70" t="s">
        <v>47</v>
      </c>
      <c r="D7" s="71"/>
      <c r="E7" s="54"/>
      <c r="F7" s="282">
        <f>'2. Analogue Output'!E11</f>
        <v>2</v>
      </c>
      <c r="G7" s="283">
        <v>100</v>
      </c>
      <c r="H7" s="16"/>
      <c r="I7" s="44"/>
      <c r="J7" s="44"/>
      <c r="K7" s="284">
        <v>2</v>
      </c>
      <c r="L7" s="88" t="s">
        <v>48</v>
      </c>
      <c r="M7" s="88">
        <f>COUNTIF('13. Alarm Database'!L7:L653,"High")</f>
        <v>210</v>
      </c>
      <c r="N7" s="287">
        <v>100</v>
      </c>
      <c r="O7" s="44"/>
      <c r="P7" s="44"/>
      <c r="Q7" s="49"/>
      <c r="R7" s="49"/>
      <c r="S7" s="88" t="s">
        <v>49</v>
      </c>
      <c r="T7" s="1081" t="s">
        <v>50</v>
      </c>
      <c r="U7" s="1081"/>
      <c r="V7" s="1081"/>
      <c r="W7" s="1081"/>
      <c r="X7" s="44"/>
    </row>
    <row r="8" spans="1:24" s="2" customFormat="1" ht="30" customHeight="1">
      <c r="A8" s="44"/>
      <c r="B8" s="47">
        <v>3</v>
      </c>
      <c r="C8" s="70" t="s">
        <v>51</v>
      </c>
      <c r="D8" s="71"/>
      <c r="E8" s="54"/>
      <c r="F8" s="282">
        <f>'3. Digital Input'!E489</f>
        <v>479</v>
      </c>
      <c r="G8" s="283">
        <v>100</v>
      </c>
      <c r="H8" s="16"/>
      <c r="I8" s="44"/>
      <c r="J8" s="44"/>
      <c r="K8" s="284">
        <v>3</v>
      </c>
      <c r="L8" s="88" t="s">
        <v>52</v>
      </c>
      <c r="M8" s="88">
        <f>COUNTIF('13. Alarm Database'!L7:L653,"Low")</f>
        <v>276</v>
      </c>
      <c r="N8" s="287">
        <v>100</v>
      </c>
      <c r="O8" s="44"/>
      <c r="P8" s="44"/>
      <c r="Q8" s="49"/>
      <c r="R8" s="49"/>
      <c r="S8" s="88" t="s">
        <v>53</v>
      </c>
      <c r="T8" s="1081" t="s">
        <v>54</v>
      </c>
      <c r="U8" s="1081"/>
      <c r="V8" s="1081"/>
      <c r="W8" s="1081"/>
      <c r="X8" s="44"/>
    </row>
    <row r="9" spans="1:24" s="2" customFormat="1" ht="30" customHeight="1">
      <c r="A9" s="44"/>
      <c r="B9" s="47">
        <v>4</v>
      </c>
      <c r="C9" s="70" t="s">
        <v>55</v>
      </c>
      <c r="D9" s="71"/>
      <c r="E9" s="54"/>
      <c r="F9" s="282">
        <f>'4. Digital Output'!E28</f>
        <v>17</v>
      </c>
      <c r="G9" s="283">
        <v>100</v>
      </c>
      <c r="H9" s="16"/>
      <c r="I9" s="44"/>
      <c r="J9" s="44"/>
      <c r="K9" s="284">
        <v>4</v>
      </c>
      <c r="L9" s="88" t="s">
        <v>56</v>
      </c>
      <c r="M9" s="88">
        <f>COUNTIF('13. Alarm Database'!L7:L653,"Logging")+COUNTIF('13. Alarm Database'!L7:L653,"Logging \ Review the alarm for urgency (Incorrect Alarm Ranking)")+COUNTIF('13. Alarm Database'!L7:L653,"Low \ Review the alarm for urgency")+COUNTIF('13. Alarm Database'!L7:L653,"High \ Review the alarm for urgency")+COUNTIF('13. Alarm Database'!L7:L653,"Logging \ Review the alarm priority 
(Invalid Alarm Ranking)")</f>
        <v>141</v>
      </c>
      <c r="N9" s="287">
        <v>100</v>
      </c>
      <c r="O9" s="44"/>
      <c r="P9" s="44"/>
      <c r="Q9" s="49"/>
      <c r="R9" s="49"/>
      <c r="S9" s="88" t="s">
        <v>57</v>
      </c>
      <c r="T9" s="1081" t="s">
        <v>58</v>
      </c>
      <c r="U9" s="1081"/>
      <c r="V9" s="1081"/>
      <c r="W9" s="1081"/>
      <c r="X9" s="44"/>
    </row>
    <row r="10" spans="1:24" s="2" customFormat="1" ht="30" customHeight="1">
      <c r="A10" s="44"/>
      <c r="B10" s="47">
        <v>5</v>
      </c>
      <c r="C10" s="70" t="s">
        <v>59</v>
      </c>
      <c r="D10" s="71"/>
      <c r="E10" s="54"/>
      <c r="F10" s="282">
        <f>'5. Totalisers'!E15</f>
        <v>4</v>
      </c>
      <c r="G10" s="283">
        <v>100</v>
      </c>
      <c r="H10" s="16"/>
      <c r="I10" s="44"/>
      <c r="J10" s="44"/>
      <c r="K10" s="285"/>
      <c r="L10" s="284" t="s">
        <v>36</v>
      </c>
      <c r="M10" s="88">
        <f>SUM(M6:M9)</f>
        <v>647</v>
      </c>
      <c r="N10" s="287">
        <v>100</v>
      </c>
      <c r="O10" s="44"/>
      <c r="P10" s="44"/>
      <c r="Q10" s="49"/>
      <c r="R10" s="49"/>
      <c r="S10" s="88" t="s">
        <v>60</v>
      </c>
      <c r="T10" s="1081" t="s">
        <v>61</v>
      </c>
      <c r="U10" s="1081"/>
      <c r="V10" s="1081"/>
      <c r="W10" s="1081"/>
      <c r="X10" s="44"/>
    </row>
    <row r="11" spans="1:24" s="2" customFormat="1" ht="30" customHeight="1">
      <c r="A11" s="44"/>
      <c r="B11" s="47">
        <v>6</v>
      </c>
      <c r="C11" s="70" t="s">
        <v>62</v>
      </c>
      <c r="D11" s="71"/>
      <c r="E11" s="54"/>
      <c r="F11" s="282">
        <f>'6. OnOff Valves'!E183</f>
        <v>83</v>
      </c>
      <c r="G11" s="283">
        <v>100</v>
      </c>
      <c r="H11" s="16"/>
      <c r="I11" s="44"/>
      <c r="J11" s="44"/>
      <c r="K11" s="44"/>
      <c r="L11" s="44"/>
      <c r="M11" s="44"/>
      <c r="N11" s="44"/>
      <c r="O11" s="44"/>
      <c r="P11" s="44"/>
      <c r="Q11" s="49"/>
      <c r="R11" s="49"/>
      <c r="S11" s="88" t="s">
        <v>63</v>
      </c>
      <c r="T11" s="1081" t="s">
        <v>64</v>
      </c>
      <c r="U11" s="1081"/>
      <c r="V11" s="1081"/>
      <c r="W11" s="1081"/>
      <c r="X11" s="44"/>
    </row>
    <row r="12" spans="1:24" s="2" customFormat="1" ht="30" customHeight="1">
      <c r="A12" s="44"/>
      <c r="B12" s="47">
        <v>7</v>
      </c>
      <c r="C12" s="70" t="s">
        <v>65</v>
      </c>
      <c r="D12" s="71"/>
      <c r="E12" s="54"/>
      <c r="F12" s="282">
        <f>'7. Control Valves'!E54</f>
        <v>37</v>
      </c>
      <c r="G12" s="283">
        <v>100</v>
      </c>
      <c r="H12" s="44"/>
      <c r="I12" s="44"/>
      <c r="J12" s="44"/>
      <c r="K12" s="44"/>
      <c r="L12" s="44"/>
      <c r="M12" s="44"/>
      <c r="N12" s="44"/>
      <c r="O12" s="44"/>
      <c r="P12" s="44"/>
      <c r="Q12" s="49"/>
      <c r="R12" s="49"/>
      <c r="S12" s="88" t="s">
        <v>66</v>
      </c>
      <c r="T12" s="1081" t="s">
        <v>67</v>
      </c>
      <c r="U12" s="1081"/>
      <c r="V12" s="1081"/>
      <c r="W12" s="1081"/>
      <c r="X12" s="44"/>
    </row>
    <row r="13" spans="1:24" s="2" customFormat="1" ht="30" customHeight="1">
      <c r="A13" s="44"/>
      <c r="B13" s="47">
        <v>8</v>
      </c>
      <c r="C13" s="70" t="s">
        <v>68</v>
      </c>
      <c r="D13" s="71"/>
      <c r="E13" s="54"/>
      <c r="F13" s="282">
        <f>'8. PID Cont'!E62</f>
        <v>45</v>
      </c>
      <c r="G13" s="283">
        <v>100</v>
      </c>
      <c r="H13" s="44"/>
      <c r="I13" s="44"/>
      <c r="J13" s="44"/>
      <c r="K13" s="44"/>
      <c r="L13" s="44"/>
      <c r="M13" s="44"/>
      <c r="N13" s="44"/>
      <c r="O13" s="44"/>
      <c r="P13" s="44"/>
      <c r="Q13" s="49"/>
      <c r="R13" s="49"/>
      <c r="S13" s="88" t="s">
        <v>69</v>
      </c>
      <c r="T13" s="1081" t="s">
        <v>70</v>
      </c>
      <c r="U13" s="1081"/>
      <c r="V13" s="1081"/>
      <c r="W13" s="1081"/>
      <c r="X13" s="44"/>
    </row>
    <row r="14" spans="1:24" s="2" customFormat="1" ht="30" customHeight="1">
      <c r="A14" s="44"/>
      <c r="B14" s="47">
        <v>9</v>
      </c>
      <c r="C14" s="70" t="s">
        <v>71</v>
      </c>
      <c r="D14" s="71"/>
      <c r="E14" s="54"/>
      <c r="F14" s="282">
        <f>'9. Drives'!A889</f>
        <v>69</v>
      </c>
      <c r="G14" s="283">
        <v>98</v>
      </c>
      <c r="H14" s="44"/>
      <c r="I14" s="44"/>
      <c r="J14" s="44"/>
      <c r="K14" s="44"/>
      <c r="L14" s="44"/>
      <c r="M14" s="44"/>
      <c r="N14" s="44"/>
      <c r="O14" s="44"/>
      <c r="P14" s="44"/>
      <c r="Q14" s="49"/>
      <c r="R14" s="49"/>
      <c r="S14" s="88" t="s">
        <v>72</v>
      </c>
      <c r="T14" s="1081" t="s">
        <v>73</v>
      </c>
      <c r="U14" s="1081"/>
      <c r="V14" s="1081"/>
      <c r="W14" s="1081"/>
      <c r="X14" s="44"/>
    </row>
    <row r="15" spans="1:24" s="2" customFormat="1" ht="30" customHeight="1">
      <c r="A15" s="44"/>
      <c r="B15" s="47">
        <v>10</v>
      </c>
      <c r="C15" s="70" t="s">
        <v>74</v>
      </c>
      <c r="D15" s="71"/>
      <c r="E15" s="54"/>
      <c r="F15" s="282">
        <f>'10. Sequence'!A13</f>
        <v>0</v>
      </c>
      <c r="G15" s="283">
        <v>100</v>
      </c>
      <c r="H15" s="44"/>
      <c r="I15" s="44"/>
      <c r="J15" s="44"/>
      <c r="K15" s="55"/>
      <c r="L15" s="44"/>
      <c r="M15" s="44"/>
      <c r="N15" s="44"/>
      <c r="O15" s="44"/>
      <c r="P15" s="44"/>
      <c r="Q15" s="49"/>
      <c r="R15" s="44"/>
      <c r="S15" s="88" t="s">
        <v>75</v>
      </c>
      <c r="T15" s="1083" t="s">
        <v>76</v>
      </c>
      <c r="U15" s="1084"/>
      <c r="V15" s="1084"/>
      <c r="W15" s="1085"/>
      <c r="X15" s="44"/>
    </row>
    <row r="16" spans="1:24" s="2" customFormat="1" ht="30" customHeight="1">
      <c r="A16" s="44"/>
      <c r="B16" s="47">
        <v>11</v>
      </c>
      <c r="C16" s="70" t="s">
        <v>77</v>
      </c>
      <c r="D16" s="71"/>
      <c r="E16" s="54"/>
      <c r="F16" s="282">
        <f>'11. Calculation'!A65</f>
        <v>15</v>
      </c>
      <c r="G16" s="283">
        <v>100</v>
      </c>
      <c r="H16" s="16"/>
      <c r="I16" s="44"/>
      <c r="J16" s="44"/>
      <c r="K16" s="16"/>
      <c r="L16" s="44"/>
      <c r="M16" s="44"/>
      <c r="N16" s="44"/>
      <c r="O16" s="44"/>
      <c r="P16" s="44"/>
      <c r="Q16" s="49"/>
      <c r="R16" s="44"/>
      <c r="S16" s="88" t="s">
        <v>78</v>
      </c>
      <c r="T16" s="1081" t="s">
        <v>79</v>
      </c>
      <c r="U16" s="1081"/>
      <c r="V16" s="1081"/>
      <c r="W16" s="1081"/>
      <c r="X16" s="53"/>
    </row>
    <row r="17" spans="1:24" s="2" customFormat="1" ht="30" customHeight="1">
      <c r="A17" s="44"/>
      <c r="B17" s="47">
        <v>12</v>
      </c>
      <c r="C17" s="70" t="s">
        <v>80</v>
      </c>
      <c r="D17" s="71"/>
      <c r="E17" s="54"/>
      <c r="F17" s="282">
        <f>'12. Misc'!A47</f>
        <v>39</v>
      </c>
      <c r="G17" s="283">
        <v>100</v>
      </c>
      <c r="H17" s="16"/>
      <c r="I17" s="44"/>
      <c r="J17" s="44"/>
      <c r="K17" s="16"/>
      <c r="L17" s="44"/>
      <c r="M17" s="44"/>
      <c r="N17" s="44"/>
      <c r="O17" s="44"/>
      <c r="P17" s="44"/>
      <c r="Q17" s="49"/>
      <c r="R17" s="44"/>
      <c r="S17" s="88" t="s">
        <v>81</v>
      </c>
      <c r="T17" s="1081" t="s">
        <v>82</v>
      </c>
      <c r="U17" s="1081"/>
      <c r="V17" s="1081"/>
      <c r="W17" s="1081"/>
      <c r="X17" s="53"/>
    </row>
    <row r="18" spans="1:24" s="2" customFormat="1" ht="30" customHeight="1">
      <c r="A18" s="49"/>
      <c r="B18" s="47"/>
      <c r="C18" s="70"/>
      <c r="D18" s="71"/>
      <c r="E18" s="219" t="s">
        <v>36</v>
      </c>
      <c r="F18" s="282">
        <f>SUM(F6:F17)</f>
        <v>1241</v>
      </c>
      <c r="G18" s="283">
        <v>100</v>
      </c>
      <c r="H18" s="16"/>
      <c r="I18" s="44"/>
      <c r="J18" s="44"/>
      <c r="K18" s="16"/>
      <c r="L18" s="44"/>
      <c r="M18" s="44"/>
      <c r="N18" s="44"/>
      <c r="O18" s="44"/>
      <c r="P18" s="44"/>
      <c r="Q18" s="49"/>
      <c r="R18" s="44"/>
      <c r="S18" s="88" t="s">
        <v>83</v>
      </c>
      <c r="T18" s="1081" t="s">
        <v>84</v>
      </c>
      <c r="U18" s="1081"/>
      <c r="V18" s="1081"/>
      <c r="W18" s="1081"/>
      <c r="X18" s="53"/>
    </row>
    <row r="19" spans="1:24" ht="30" customHeight="1">
      <c r="A19" s="49"/>
      <c r="B19" s="49"/>
      <c r="C19" s="49"/>
      <c r="D19" s="49"/>
      <c r="E19" s="49"/>
      <c r="F19" s="16"/>
      <c r="G19" s="49"/>
      <c r="H19" s="49"/>
      <c r="I19" s="44"/>
      <c r="J19" s="44"/>
      <c r="K19" s="16"/>
      <c r="L19" s="53"/>
      <c r="M19" s="53"/>
      <c r="N19" s="53"/>
      <c r="O19" s="53"/>
      <c r="P19" s="53"/>
      <c r="Q19" s="49"/>
      <c r="R19" s="44"/>
      <c r="S19" s="88" t="s">
        <v>85</v>
      </c>
      <c r="T19" s="1081" t="s">
        <v>86</v>
      </c>
      <c r="U19" s="1081"/>
      <c r="V19" s="1081"/>
      <c r="W19" s="1081"/>
      <c r="X19" s="53"/>
    </row>
    <row r="20" spans="1:24" ht="30" customHeight="1">
      <c r="A20" s="49"/>
      <c r="B20" s="49"/>
      <c r="C20" s="49"/>
      <c r="D20" s="49"/>
      <c r="E20" s="49"/>
      <c r="F20" s="16"/>
      <c r="G20" s="49"/>
      <c r="H20" s="49"/>
      <c r="I20" s="44"/>
      <c r="J20" s="44"/>
      <c r="K20" s="16"/>
      <c r="L20" s="53"/>
      <c r="M20" s="53"/>
      <c r="N20" s="53"/>
      <c r="O20" s="53"/>
      <c r="P20" s="53"/>
      <c r="Q20" s="49"/>
      <c r="R20" s="44"/>
      <c r="S20" s="88" t="s">
        <v>87</v>
      </c>
      <c r="T20" s="1081" t="s">
        <v>88</v>
      </c>
      <c r="U20" s="1081"/>
      <c r="V20" s="1081"/>
      <c r="W20" s="1081"/>
      <c r="X20" s="53"/>
    </row>
    <row r="21" spans="1:24" ht="30" customHeight="1">
      <c r="A21" s="49"/>
      <c r="B21" s="49"/>
      <c r="C21" s="49"/>
      <c r="D21" s="49"/>
      <c r="E21" s="49"/>
      <c r="F21" s="16"/>
      <c r="G21" s="49"/>
      <c r="H21" s="49"/>
      <c r="I21" s="44"/>
      <c r="J21" s="44"/>
      <c r="K21" s="16"/>
      <c r="L21" s="53"/>
      <c r="M21" s="53"/>
      <c r="N21" s="53"/>
      <c r="O21" s="53"/>
      <c r="P21" s="53"/>
      <c r="Q21" s="49"/>
      <c r="R21" s="44"/>
      <c r="S21" s="88" t="s">
        <v>89</v>
      </c>
      <c r="T21" s="1081" t="s">
        <v>90</v>
      </c>
      <c r="U21" s="1081"/>
      <c r="V21" s="1081"/>
      <c r="W21" s="1081"/>
      <c r="X21" s="53"/>
    </row>
    <row r="22" spans="1:24" ht="30" customHeight="1">
      <c r="A22" s="49"/>
      <c r="B22" s="53"/>
      <c r="C22" s="53"/>
      <c r="D22" s="53"/>
      <c r="E22" s="49"/>
      <c r="F22" s="16"/>
      <c r="G22" s="49"/>
      <c r="H22" s="49"/>
      <c r="I22" s="49"/>
      <c r="J22" s="44"/>
      <c r="K22" s="16"/>
      <c r="L22" s="53"/>
      <c r="M22" s="53"/>
      <c r="N22" s="53"/>
      <c r="O22" s="53"/>
      <c r="P22" s="53"/>
      <c r="Q22" s="49"/>
      <c r="R22" s="44"/>
      <c r="S22" s="88" t="s">
        <v>91</v>
      </c>
      <c r="T22" s="1081" t="s">
        <v>92</v>
      </c>
      <c r="U22" s="1081"/>
      <c r="V22" s="1081"/>
      <c r="W22" s="1081"/>
      <c r="X22" s="53"/>
    </row>
    <row r="23" spans="1:24" ht="30" customHeight="1">
      <c r="A23" s="49"/>
      <c r="B23" s="53"/>
      <c r="C23" s="53"/>
      <c r="D23" s="53"/>
      <c r="E23" s="49"/>
      <c r="F23" s="16"/>
      <c r="G23" s="49"/>
      <c r="H23" s="49"/>
      <c r="I23" s="49"/>
      <c r="J23" s="44"/>
      <c r="K23" s="16"/>
      <c r="L23" s="53"/>
      <c r="M23" s="53"/>
      <c r="N23" s="53"/>
      <c r="O23" s="53"/>
      <c r="P23" s="53"/>
      <c r="Q23" s="49"/>
      <c r="R23" s="44"/>
      <c r="S23" s="88" t="s">
        <v>93</v>
      </c>
      <c r="T23" s="1081" t="s">
        <v>94</v>
      </c>
      <c r="U23" s="1081"/>
      <c r="V23" s="1081"/>
      <c r="W23" s="1081"/>
      <c r="X23" s="53"/>
    </row>
    <row r="24" spans="1:24" ht="30" customHeight="1">
      <c r="A24" s="49"/>
      <c r="B24" s="53"/>
      <c r="C24" s="53"/>
      <c r="D24" s="53"/>
      <c r="E24" s="49"/>
      <c r="F24" s="16"/>
      <c r="G24" s="49"/>
      <c r="H24" s="49"/>
      <c r="I24" s="49"/>
      <c r="J24" s="44"/>
      <c r="K24" s="16"/>
      <c r="L24" s="53"/>
      <c r="M24" s="53"/>
      <c r="N24" s="53"/>
      <c r="O24" s="53"/>
      <c r="P24" s="53"/>
      <c r="Q24" s="49"/>
      <c r="R24" s="44"/>
      <c r="S24" s="88" t="s">
        <v>95</v>
      </c>
      <c r="T24" s="1081" t="s">
        <v>96</v>
      </c>
      <c r="U24" s="1081"/>
      <c r="V24" s="1081"/>
      <c r="W24" s="1081"/>
      <c r="X24" s="56"/>
    </row>
    <row r="25" spans="1:24" ht="30" customHeight="1">
      <c r="A25" s="49"/>
      <c r="B25" s="53"/>
      <c r="C25" s="53"/>
      <c r="D25" s="53"/>
      <c r="E25" s="49"/>
      <c r="F25" s="16"/>
      <c r="G25" s="49"/>
      <c r="H25" s="49"/>
      <c r="I25" s="49"/>
      <c r="J25" s="49"/>
      <c r="K25" s="16"/>
      <c r="L25" s="53"/>
      <c r="M25" s="53"/>
      <c r="N25" s="53"/>
      <c r="O25" s="53"/>
      <c r="P25" s="53"/>
      <c r="Q25" s="53"/>
      <c r="R25" s="44"/>
      <c r="S25" s="88" t="s">
        <v>97</v>
      </c>
      <c r="T25" s="1081" t="s">
        <v>98</v>
      </c>
      <c r="U25" s="1081"/>
      <c r="V25" s="1081"/>
      <c r="W25" s="1081"/>
      <c r="X25" s="53"/>
    </row>
    <row r="26" spans="1:24" ht="13.35" customHeight="1">
      <c r="A26" s="53"/>
      <c r="B26" s="53"/>
      <c r="C26" s="53"/>
      <c r="D26" s="53"/>
      <c r="E26" s="53"/>
      <c r="F26" s="60"/>
      <c r="G26" s="53"/>
      <c r="H26" s="53"/>
      <c r="I26" s="53"/>
      <c r="J26" s="53"/>
      <c r="K26" s="53"/>
      <c r="L26" s="53"/>
      <c r="M26" s="53"/>
      <c r="N26" s="53"/>
      <c r="O26" s="53"/>
      <c r="P26" s="53"/>
      <c r="Q26" s="53"/>
      <c r="R26" s="44"/>
      <c r="S26" s="49"/>
      <c r="T26" s="49"/>
      <c r="U26" s="49"/>
      <c r="V26" s="49"/>
      <c r="W26" s="49"/>
      <c r="X26" s="53"/>
    </row>
    <row r="27" spans="1:24" ht="13.35" customHeight="1">
      <c r="A27" s="53"/>
      <c r="B27" s="53"/>
      <c r="C27" s="53"/>
      <c r="D27" s="53"/>
      <c r="E27" s="53"/>
      <c r="F27" s="60"/>
      <c r="G27" s="53"/>
      <c r="H27" s="53"/>
      <c r="I27" s="53"/>
      <c r="J27" s="53"/>
      <c r="K27" s="53"/>
      <c r="L27" s="53"/>
      <c r="M27" s="53"/>
      <c r="N27" s="53"/>
      <c r="O27" s="53"/>
      <c r="P27" s="53"/>
      <c r="Q27" s="53"/>
      <c r="R27" s="49"/>
      <c r="S27" s="49"/>
      <c r="T27" s="49"/>
      <c r="U27" s="49"/>
      <c r="V27" s="49"/>
      <c r="W27" s="56"/>
      <c r="X27" s="53"/>
    </row>
    <row r="28" spans="1:24" ht="13.35" customHeight="1">
      <c r="O28" s="53"/>
      <c r="P28" s="53"/>
    </row>
  </sheetData>
  <mergeCells count="22">
    <mergeCell ref="A4:X4"/>
    <mergeCell ref="T17:W17"/>
    <mergeCell ref="T18:W18"/>
    <mergeCell ref="T16:W16"/>
    <mergeCell ref="T7:W7"/>
    <mergeCell ref="T9:W9"/>
    <mergeCell ref="T10:W10"/>
    <mergeCell ref="T11:W11"/>
    <mergeCell ref="T13:W13"/>
    <mergeCell ref="T15:W15"/>
    <mergeCell ref="T12:W12"/>
    <mergeCell ref="T6:W6"/>
    <mergeCell ref="T8:W8"/>
    <mergeCell ref="T14:W14"/>
    <mergeCell ref="S5:W5"/>
    <mergeCell ref="T25:W25"/>
    <mergeCell ref="T24:W24"/>
    <mergeCell ref="T21:W21"/>
    <mergeCell ref="T19:W19"/>
    <mergeCell ref="T20:W20"/>
    <mergeCell ref="T23:W23"/>
    <mergeCell ref="T22:W22"/>
  </mergeCells>
  <phoneticPr fontId="0" type="noConversion"/>
  <printOptions horizontalCentered="1"/>
  <pageMargins left="0.39370078740157483" right="0.39370078740157483" top="0.59055118110236227" bottom="0.59055118110236227" header="0.59055118110236227" footer="0.39370078740157483"/>
  <pageSetup paperSize="8" scale="84" fitToHeight="50" orientation="landscape" r:id="rId1"/>
  <headerFooter scaleWithDoc="0" alignWithMargins="0"/>
  <ignoredErrors>
    <ignoredError sqref="A1"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filterMode="1">
    <tabColor indexed="39"/>
    <pageSetUpPr fitToPage="1"/>
  </sheetPr>
  <dimension ref="A1:AR460"/>
  <sheetViews>
    <sheetView tabSelected="1" view="pageBreakPreview" topLeftCell="E93" zoomScale="85" zoomScaleNormal="40" zoomScaleSheetLayoutView="85" workbookViewId="0">
      <selection activeCell="F95" sqref="F95:F96"/>
    </sheetView>
  </sheetViews>
  <sheetFormatPr defaultColWidth="18.6640625" defaultRowHeight="13.35" customHeight="1" outlineLevelCol="1"/>
  <cols>
    <col min="1" max="1" width="16" style="209" hidden="1" customWidth="1" outlineLevel="1"/>
    <col min="2" max="2" width="16.1640625" style="209" hidden="1" customWidth="1" outlineLevel="1"/>
    <col min="3" max="3" width="21" style="209" hidden="1" customWidth="1" outlineLevel="1"/>
    <col min="4" max="4" width="17.33203125" style="209" hidden="1" customWidth="1" outlineLevel="1"/>
    <col min="5" max="5" width="25.33203125" style="96" customWidth="1" collapsed="1"/>
    <col min="6" max="6" width="25.33203125" style="96" customWidth="1"/>
    <col min="7" max="7" width="37" style="7" customWidth="1"/>
    <col min="8" max="8" width="105" style="97" customWidth="1" outlineLevel="1"/>
    <col min="9" max="9" width="79.1640625" style="371" bestFit="1" customWidth="1"/>
    <col min="10" max="10" width="10.5" style="102" customWidth="1"/>
    <col min="11" max="11" width="10.5" style="96" customWidth="1"/>
    <col min="12" max="12" width="10.5" style="103" customWidth="1"/>
    <col min="13" max="13" width="10.5" style="96" customWidth="1"/>
    <col min="14" max="14" width="15.6640625" style="96" customWidth="1" outlineLevel="1"/>
    <col min="15" max="15" width="17.1640625" style="96" customWidth="1" outlineLevel="1"/>
    <col min="16" max="16" width="18" style="96" customWidth="1" outlineLevel="1"/>
    <col min="17" max="17" width="13.33203125" style="96" customWidth="1" outlineLevel="1"/>
    <col min="18" max="18" width="17.1640625" style="96" customWidth="1" outlineLevel="1"/>
    <col min="19" max="19" width="18" style="96" customWidth="1" outlineLevel="1"/>
    <col min="20" max="20" width="12.6640625" style="96" customWidth="1" outlineLevel="1"/>
    <col min="21" max="21" width="17.1640625" style="96" customWidth="1" outlineLevel="1"/>
    <col min="22" max="22" width="18" style="96" customWidth="1" outlineLevel="1"/>
    <col min="23" max="23" width="13.6640625" style="96" customWidth="1" outlineLevel="1"/>
    <col min="24" max="24" width="17.1640625" style="96" customWidth="1" outlineLevel="1"/>
    <col min="25" max="25" width="18" style="96" customWidth="1" outlineLevel="1"/>
    <col min="26" max="26" width="13.33203125" style="96" bestFit="1" customWidth="1"/>
    <col min="27" max="27" width="13.6640625" style="96" bestFit="1" customWidth="1"/>
    <col min="28" max="28" width="13.33203125" style="96" bestFit="1" customWidth="1"/>
    <col min="29" max="29" width="13.6640625" style="96" bestFit="1" customWidth="1"/>
    <col min="30" max="30" width="15.33203125" style="96" customWidth="1"/>
    <col min="31" max="33" width="13.6640625" style="96" bestFit="1" customWidth="1"/>
    <col min="34" max="34" width="14.6640625" style="96" hidden="1" customWidth="1" outlineLevel="1"/>
    <col min="35" max="35" width="14.5" style="96" hidden="1" customWidth="1" outlineLevel="1"/>
    <col min="36" max="36" width="14.6640625" style="96" hidden="1" customWidth="1" outlineLevel="1"/>
    <col min="37" max="37" width="19" style="96" hidden="1" customWidth="1" outlineLevel="1"/>
    <col min="38" max="38" width="49.6640625" style="96" customWidth="1" collapsed="1"/>
    <col min="39" max="39" width="69" style="14" customWidth="1"/>
    <col min="40" max="40" width="9.6640625" style="102" customWidth="1"/>
    <col min="41" max="16384" width="18.6640625" style="1"/>
  </cols>
  <sheetData>
    <row r="1" spans="1:41" s="725" customFormat="1" ht="21" customHeight="1">
      <c r="A1" s="99"/>
      <c r="B1" s="99"/>
      <c r="C1" s="99"/>
      <c r="D1" s="99"/>
      <c r="E1" s="20" t="s">
        <v>1</v>
      </c>
      <c r="F1" s="20"/>
      <c r="G1" s="85"/>
      <c r="H1" s="20"/>
      <c r="I1" s="370"/>
      <c r="J1" s="1016"/>
      <c r="K1" s="29"/>
      <c r="L1" s="29"/>
      <c r="M1" s="98"/>
      <c r="N1" s="98"/>
      <c r="O1" s="98"/>
      <c r="P1" s="98"/>
      <c r="Q1" s="98"/>
      <c r="R1" s="98"/>
      <c r="S1" s="98"/>
      <c r="T1" s="98"/>
      <c r="U1" s="98"/>
      <c r="V1" s="98"/>
      <c r="W1" s="98"/>
      <c r="X1" s="98"/>
      <c r="Y1" s="98"/>
      <c r="Z1" s="98"/>
      <c r="AA1" s="99"/>
      <c r="AB1" s="98"/>
      <c r="AC1" s="99"/>
      <c r="AD1" s="98"/>
      <c r="AE1" s="99"/>
      <c r="AF1" s="99"/>
      <c r="AG1" s="99"/>
      <c r="AH1" s="1017"/>
      <c r="AI1" s="99"/>
      <c r="AJ1" s="99"/>
      <c r="AK1" s="99"/>
      <c r="AL1" s="99"/>
      <c r="AM1" s="1018"/>
      <c r="AN1" s="99"/>
    </row>
    <row r="2" spans="1:41" s="725" customFormat="1" ht="21" customHeight="1">
      <c r="A2" s="99"/>
      <c r="B2" s="99"/>
      <c r="C2" s="99"/>
      <c r="D2" s="99"/>
      <c r="E2" s="20" t="s">
        <v>0</v>
      </c>
      <c r="F2" s="20"/>
      <c r="G2" s="85"/>
      <c r="H2" s="20"/>
      <c r="I2" s="370"/>
      <c r="J2" s="1019"/>
      <c r="K2" s="85"/>
      <c r="L2" s="85"/>
      <c r="M2" s="85"/>
      <c r="N2" s="200"/>
      <c r="O2" s="85"/>
      <c r="P2" s="85"/>
      <c r="Q2" s="85"/>
      <c r="R2" s="85"/>
      <c r="S2" s="85"/>
      <c r="T2" s="85"/>
      <c r="U2" s="85"/>
      <c r="V2" s="85"/>
      <c r="W2" s="85"/>
      <c r="X2" s="85"/>
      <c r="Y2" s="85"/>
      <c r="Z2" s="85"/>
      <c r="AA2" s="85"/>
      <c r="AB2" s="85"/>
      <c r="AC2" s="85"/>
      <c r="AD2" s="85"/>
      <c r="AE2" s="85"/>
      <c r="AF2" s="85"/>
      <c r="AG2" s="85"/>
      <c r="AH2" s="1017"/>
      <c r="AI2" s="85"/>
      <c r="AJ2" s="85"/>
      <c r="AK2" s="85"/>
      <c r="AL2" s="85"/>
      <c r="AM2" s="1018"/>
      <c r="AN2" s="99"/>
    </row>
    <row r="3" spans="1:41" s="725" customFormat="1" ht="21" customHeight="1" thickBot="1">
      <c r="A3" s="99"/>
      <c r="B3" s="99"/>
      <c r="C3" s="99"/>
      <c r="D3" s="99"/>
      <c r="E3" s="86" t="s">
        <v>2</v>
      </c>
      <c r="F3" s="86"/>
      <c r="G3" s="1020"/>
      <c r="H3" s="104"/>
      <c r="I3" s="1021"/>
      <c r="J3" s="1022"/>
      <c r="K3" s="104"/>
      <c r="L3" s="104"/>
      <c r="M3" s="104"/>
      <c r="N3" s="104"/>
      <c r="O3" s="104"/>
      <c r="P3" s="104"/>
      <c r="Q3" s="104"/>
      <c r="R3" s="104"/>
      <c r="S3" s="104"/>
      <c r="T3" s="104"/>
      <c r="U3" s="104"/>
      <c r="V3" s="104"/>
      <c r="W3" s="104"/>
      <c r="X3" s="104"/>
      <c r="Y3" s="104"/>
      <c r="Z3" s="104"/>
      <c r="AA3" s="85"/>
      <c r="AB3" s="104"/>
      <c r="AC3" s="85"/>
      <c r="AD3" s="104"/>
      <c r="AE3" s="85"/>
      <c r="AF3" s="104"/>
      <c r="AG3" s="85"/>
      <c r="AH3" s="1017"/>
      <c r="AI3" s="85"/>
      <c r="AJ3" s="85"/>
      <c r="AK3" s="85"/>
      <c r="AL3" s="85"/>
      <c r="AM3" s="1018"/>
      <c r="AN3" s="99"/>
    </row>
    <row r="4" spans="1:41" s="101" customFormat="1" ht="25.5" customHeight="1" thickBot="1">
      <c r="A4" s="1089" t="s">
        <v>99</v>
      </c>
      <c r="B4" s="1090"/>
      <c r="C4" s="1090"/>
      <c r="D4" s="1090"/>
      <c r="E4" s="1090"/>
      <c r="F4" s="1090"/>
      <c r="G4" s="1090"/>
      <c r="H4" s="1090"/>
      <c r="I4" s="1090"/>
      <c r="J4" s="1090"/>
      <c r="K4" s="1090"/>
      <c r="L4" s="1090"/>
      <c r="M4" s="1090"/>
      <c r="N4" s="1090"/>
      <c r="O4" s="1090"/>
      <c r="P4" s="1090"/>
      <c r="Q4" s="1090"/>
      <c r="R4" s="1090"/>
      <c r="S4" s="1090"/>
      <c r="T4" s="1090"/>
      <c r="U4" s="1090"/>
      <c r="V4" s="1090"/>
      <c r="W4" s="1090"/>
      <c r="X4" s="1090"/>
      <c r="Y4" s="1090"/>
      <c r="Z4" s="1090"/>
      <c r="AA4" s="1090"/>
      <c r="AB4" s="1090"/>
      <c r="AC4" s="1090"/>
      <c r="AD4" s="1090"/>
      <c r="AE4" s="1090"/>
      <c r="AF4" s="1090"/>
      <c r="AG4" s="1090"/>
      <c r="AH4" s="1090"/>
      <c r="AI4" s="1090"/>
      <c r="AJ4" s="1090"/>
      <c r="AK4" s="1090"/>
      <c r="AL4" s="1090"/>
      <c r="AM4" s="1090"/>
      <c r="AN4" s="1091"/>
    </row>
    <row r="5" spans="1:41" s="105" customFormat="1" ht="18" customHeight="1">
      <c r="A5" s="208"/>
      <c r="B5" s="208"/>
      <c r="C5" s="208"/>
      <c r="D5" s="208"/>
      <c r="E5" s="1097" t="s">
        <v>100</v>
      </c>
      <c r="F5" s="1097" t="s">
        <v>101</v>
      </c>
      <c r="G5" s="1095" t="s">
        <v>102</v>
      </c>
      <c r="H5" s="1095" t="s">
        <v>103</v>
      </c>
      <c r="I5" s="1095" t="s">
        <v>104</v>
      </c>
      <c r="J5" s="726"/>
      <c r="K5" s="1092" t="s">
        <v>87</v>
      </c>
      <c r="L5" s="1093"/>
      <c r="M5" s="1094"/>
      <c r="N5" s="1092" t="s">
        <v>105</v>
      </c>
      <c r="O5" s="1093"/>
      <c r="P5" s="1093"/>
      <c r="Q5" s="1093"/>
      <c r="R5" s="1093"/>
      <c r="S5" s="1093"/>
      <c r="T5" s="1093"/>
      <c r="U5" s="1093"/>
      <c r="V5" s="1093"/>
      <c r="W5" s="1093"/>
      <c r="X5" s="1093"/>
      <c r="Y5" s="1094"/>
      <c r="Z5" s="1092" t="s">
        <v>38</v>
      </c>
      <c r="AA5" s="1093"/>
      <c r="AB5" s="1093"/>
      <c r="AC5" s="1093"/>
      <c r="AD5" s="1093"/>
      <c r="AE5" s="1093"/>
      <c r="AF5" s="1093"/>
      <c r="AG5" s="1094"/>
      <c r="AH5" s="1092" t="s">
        <v>106</v>
      </c>
      <c r="AI5" s="1093"/>
      <c r="AJ5" s="1093"/>
      <c r="AK5" s="1093"/>
      <c r="AL5" s="1094"/>
      <c r="AM5" s="999"/>
      <c r="AN5" s="727"/>
    </row>
    <row r="6" spans="1:41" s="101" customFormat="1" ht="48.75" hidden="1" customHeight="1">
      <c r="A6" s="207" t="s">
        <v>107</v>
      </c>
      <c r="B6" s="207" t="s">
        <v>108</v>
      </c>
      <c r="C6" s="207" t="s">
        <v>109</v>
      </c>
      <c r="D6" s="207" t="s">
        <v>110</v>
      </c>
      <c r="E6" s="1098"/>
      <c r="F6" s="1098"/>
      <c r="G6" s="1096"/>
      <c r="H6" s="1096"/>
      <c r="I6" s="1096"/>
      <c r="J6" s="960" t="s">
        <v>111</v>
      </c>
      <c r="K6" s="960" t="s">
        <v>112</v>
      </c>
      <c r="L6" s="961" t="s">
        <v>113</v>
      </c>
      <c r="M6" s="960" t="s">
        <v>114</v>
      </c>
      <c r="N6" s="1000" t="s">
        <v>81</v>
      </c>
      <c r="O6" s="1000" t="s">
        <v>115</v>
      </c>
      <c r="P6" s="1000" t="s">
        <v>116</v>
      </c>
      <c r="Q6" s="1000" t="s">
        <v>75</v>
      </c>
      <c r="R6" s="1000" t="s">
        <v>117</v>
      </c>
      <c r="S6" s="1000" t="s">
        <v>118</v>
      </c>
      <c r="T6" s="1000" t="s">
        <v>78</v>
      </c>
      <c r="U6" s="1000" t="s">
        <v>119</v>
      </c>
      <c r="V6" s="1000" t="s">
        <v>120</v>
      </c>
      <c r="W6" s="1000" t="s">
        <v>83</v>
      </c>
      <c r="X6" s="1000" t="s">
        <v>121</v>
      </c>
      <c r="Y6" s="1000" t="s">
        <v>122</v>
      </c>
      <c r="Z6" s="1000" t="s">
        <v>69</v>
      </c>
      <c r="AA6" s="1000" t="s">
        <v>123</v>
      </c>
      <c r="AB6" s="1000" t="s">
        <v>63</v>
      </c>
      <c r="AC6" s="1000" t="s">
        <v>124</v>
      </c>
      <c r="AD6" s="1000" t="s">
        <v>66</v>
      </c>
      <c r="AE6" s="1000" t="s">
        <v>125</v>
      </c>
      <c r="AF6" s="1000" t="s">
        <v>72</v>
      </c>
      <c r="AG6" s="1000" t="s">
        <v>126</v>
      </c>
      <c r="AH6" s="1000" t="s">
        <v>69</v>
      </c>
      <c r="AI6" s="1000" t="s">
        <v>63</v>
      </c>
      <c r="AJ6" s="1000" t="s">
        <v>66</v>
      </c>
      <c r="AK6" s="1000" t="s">
        <v>72</v>
      </c>
      <c r="AL6" s="1000" t="s">
        <v>127</v>
      </c>
      <c r="AM6" s="1000" t="s">
        <v>128</v>
      </c>
      <c r="AN6" s="1000" t="s">
        <v>129</v>
      </c>
    </row>
    <row r="7" spans="1:41" s="101" customFormat="1" ht="103.5" hidden="1" customHeight="1">
      <c r="A7" s="968"/>
      <c r="B7" s="968"/>
      <c r="C7" s="968"/>
      <c r="D7" s="968"/>
      <c r="E7" s="750" t="s">
        <v>130</v>
      </c>
      <c r="F7" s="5" t="s">
        <v>131</v>
      </c>
      <c r="G7" s="5" t="s">
        <v>132</v>
      </c>
      <c r="H7" s="718" t="s">
        <v>133</v>
      </c>
      <c r="I7" s="12" t="s">
        <v>134</v>
      </c>
      <c r="J7" s="13">
        <v>1</v>
      </c>
      <c r="K7" s="13">
        <v>0</v>
      </c>
      <c r="L7" s="13">
        <v>700</v>
      </c>
      <c r="M7" s="13" t="s">
        <v>135</v>
      </c>
      <c r="N7" s="13"/>
      <c r="O7" s="13"/>
      <c r="P7" s="13"/>
      <c r="Q7" s="13"/>
      <c r="R7" s="13"/>
      <c r="S7" s="13"/>
      <c r="T7" s="13"/>
      <c r="U7" s="13"/>
      <c r="V7" s="13"/>
      <c r="W7" s="13"/>
      <c r="X7" s="13"/>
      <c r="Y7" s="13"/>
      <c r="Z7" s="13"/>
      <c r="AA7" s="13"/>
      <c r="AB7" s="13">
        <v>200</v>
      </c>
      <c r="AC7" s="12">
        <v>5</v>
      </c>
      <c r="AD7" s="13">
        <v>500</v>
      </c>
      <c r="AE7" s="12">
        <v>5</v>
      </c>
      <c r="AF7" s="13"/>
      <c r="AG7" s="13"/>
      <c r="AH7" s="13"/>
      <c r="AI7" s="13"/>
      <c r="AJ7" s="13"/>
      <c r="AK7" s="13"/>
      <c r="AL7" s="13" t="s">
        <v>136</v>
      </c>
      <c r="AM7" s="8" t="s">
        <v>137</v>
      </c>
      <c r="AN7" s="13" t="s">
        <v>138</v>
      </c>
      <c r="AO7" s="2"/>
    </row>
    <row r="8" spans="1:41" s="2" customFormat="1" ht="108" hidden="1" customHeight="1">
      <c r="A8" s="12"/>
      <c r="B8" s="12"/>
      <c r="C8" s="12"/>
      <c r="D8" s="5"/>
      <c r="E8" s="5" t="s">
        <v>139</v>
      </c>
      <c r="F8" s="5" t="s">
        <v>140</v>
      </c>
      <c r="G8" s="5" t="s">
        <v>132</v>
      </c>
      <c r="H8" s="718" t="s">
        <v>141</v>
      </c>
      <c r="I8" s="13" t="s">
        <v>142</v>
      </c>
      <c r="J8" s="13">
        <v>1</v>
      </c>
      <c r="K8" s="13">
        <v>0</v>
      </c>
      <c r="L8" s="13">
        <v>500</v>
      </c>
      <c r="M8" s="13" t="s">
        <v>143</v>
      </c>
      <c r="N8" s="13"/>
      <c r="O8" s="13"/>
      <c r="P8" s="13"/>
      <c r="Q8" s="13"/>
      <c r="R8" s="13"/>
      <c r="S8" s="13"/>
      <c r="T8" s="13"/>
      <c r="U8" s="13"/>
      <c r="V8" s="13"/>
      <c r="W8" s="13"/>
      <c r="X8" s="13"/>
      <c r="Y8" s="13"/>
      <c r="Z8" s="12"/>
      <c r="AA8" s="12"/>
      <c r="AB8" s="12">
        <v>90</v>
      </c>
      <c r="AC8" s="12">
        <v>5</v>
      </c>
      <c r="AD8" s="12">
        <v>130</v>
      </c>
      <c r="AE8" s="12">
        <v>5</v>
      </c>
      <c r="AF8" s="12"/>
      <c r="AG8" s="12"/>
      <c r="AH8" s="728"/>
      <c r="AI8" s="728"/>
      <c r="AJ8" s="728"/>
      <c r="AK8" s="728"/>
      <c r="AL8" s="13" t="s">
        <v>144</v>
      </c>
      <c r="AM8" s="8" t="s">
        <v>145</v>
      </c>
      <c r="AN8" s="13">
        <v>0</v>
      </c>
    </row>
    <row r="9" spans="1:41" s="2" customFormat="1" ht="164.25" hidden="1" customHeight="1">
      <c r="A9" s="12"/>
      <c r="B9" s="12"/>
      <c r="C9" s="12"/>
      <c r="D9" s="5"/>
      <c r="E9" s="5" t="s">
        <v>146</v>
      </c>
      <c r="F9" s="5" t="s">
        <v>147</v>
      </c>
      <c r="G9" s="5" t="s">
        <v>132</v>
      </c>
      <c r="H9" s="718" t="s">
        <v>148</v>
      </c>
      <c r="I9" s="13" t="s">
        <v>149</v>
      </c>
      <c r="J9" s="13">
        <v>1</v>
      </c>
      <c r="K9" s="13">
        <v>-5</v>
      </c>
      <c r="L9" s="13">
        <v>300</v>
      </c>
      <c r="M9" s="13" t="s">
        <v>150</v>
      </c>
      <c r="N9" s="13">
        <v>15</v>
      </c>
      <c r="O9" s="13">
        <v>5</v>
      </c>
      <c r="P9" s="13"/>
      <c r="Q9" s="13">
        <v>23</v>
      </c>
      <c r="R9" s="13">
        <v>5</v>
      </c>
      <c r="S9" s="13"/>
      <c r="T9" s="13">
        <v>55</v>
      </c>
      <c r="U9" s="13">
        <v>5</v>
      </c>
      <c r="V9" s="13"/>
      <c r="W9" s="13">
        <v>65</v>
      </c>
      <c r="X9" s="13">
        <v>5</v>
      </c>
      <c r="Y9" s="13"/>
      <c r="Z9" s="12"/>
      <c r="AA9" s="12"/>
      <c r="AB9" s="12"/>
      <c r="AC9" s="12"/>
      <c r="AD9" s="12">
        <v>80</v>
      </c>
      <c r="AE9" s="12">
        <v>5</v>
      </c>
      <c r="AF9" s="12">
        <v>90</v>
      </c>
      <c r="AG9" s="12">
        <v>5</v>
      </c>
      <c r="AH9" s="728"/>
      <c r="AI9" s="728"/>
      <c r="AJ9" s="728"/>
      <c r="AK9" s="728"/>
      <c r="AL9" s="13"/>
      <c r="AM9" s="729" t="s">
        <v>151</v>
      </c>
      <c r="AN9" s="13">
        <v>1</v>
      </c>
    </row>
    <row r="10" spans="1:41" s="2" customFormat="1" ht="109.5" hidden="1" customHeight="1">
      <c r="A10" s="12"/>
      <c r="B10" s="12"/>
      <c r="C10" s="12"/>
      <c r="D10" s="5"/>
      <c r="E10" s="5" t="s">
        <v>152</v>
      </c>
      <c r="F10" s="5" t="s">
        <v>153</v>
      </c>
      <c r="G10" s="5" t="s">
        <v>132</v>
      </c>
      <c r="H10" s="718" t="s">
        <v>154</v>
      </c>
      <c r="I10" s="13" t="s">
        <v>149</v>
      </c>
      <c r="J10" s="13">
        <v>1</v>
      </c>
      <c r="K10" s="13">
        <v>0</v>
      </c>
      <c r="L10" s="13">
        <v>1600</v>
      </c>
      <c r="M10" s="13" t="s">
        <v>143</v>
      </c>
      <c r="N10" s="13"/>
      <c r="O10" s="13"/>
      <c r="P10" s="13"/>
      <c r="Q10" s="13"/>
      <c r="R10" s="13"/>
      <c r="S10" s="13"/>
      <c r="T10" s="13"/>
      <c r="U10" s="13"/>
      <c r="V10" s="13"/>
      <c r="W10" s="13"/>
      <c r="X10" s="13"/>
      <c r="Y10" s="13"/>
      <c r="Z10" s="13">
        <v>50</v>
      </c>
      <c r="AA10" s="13">
        <v>5</v>
      </c>
      <c r="AB10" s="12">
        <v>70</v>
      </c>
      <c r="AC10" s="12">
        <v>5</v>
      </c>
      <c r="AD10" s="12">
        <v>800</v>
      </c>
      <c r="AE10" s="12">
        <v>5</v>
      </c>
      <c r="AF10" s="12">
        <v>1000</v>
      </c>
      <c r="AG10" s="12">
        <v>5</v>
      </c>
      <c r="AH10" s="728"/>
      <c r="AI10" s="728"/>
      <c r="AJ10" s="728"/>
      <c r="AK10" s="728"/>
      <c r="AL10" s="13"/>
      <c r="AM10" s="8" t="s">
        <v>155</v>
      </c>
      <c r="AN10" s="13">
        <v>0</v>
      </c>
    </row>
    <row r="11" spans="1:41" s="2" customFormat="1" ht="69" hidden="1" customHeight="1">
      <c r="A11" s="12"/>
      <c r="B11" s="12"/>
      <c r="C11" s="12"/>
      <c r="D11" s="5"/>
      <c r="E11" s="5" t="s">
        <v>156</v>
      </c>
      <c r="F11" s="5" t="s">
        <v>157</v>
      </c>
      <c r="G11" s="5" t="s">
        <v>132</v>
      </c>
      <c r="H11" s="718" t="s">
        <v>158</v>
      </c>
      <c r="I11" s="13" t="s">
        <v>159</v>
      </c>
      <c r="J11" s="13">
        <v>1</v>
      </c>
      <c r="K11" s="13">
        <v>-100</v>
      </c>
      <c r="L11" s="13">
        <v>600</v>
      </c>
      <c r="M11" s="13" t="s">
        <v>143</v>
      </c>
      <c r="N11" s="13"/>
      <c r="O11" s="13"/>
      <c r="P11" s="13"/>
      <c r="Q11" s="13"/>
      <c r="R11" s="13"/>
      <c r="S11" s="13"/>
      <c r="T11" s="13"/>
      <c r="U11" s="13"/>
      <c r="V11" s="13"/>
      <c r="W11" s="13"/>
      <c r="X11" s="13"/>
      <c r="Y11" s="13"/>
      <c r="Z11" s="12"/>
      <c r="AA11" s="12"/>
      <c r="AB11" s="12"/>
      <c r="AC11" s="12"/>
      <c r="AD11" s="12">
        <v>200</v>
      </c>
      <c r="AE11" s="12">
        <v>5</v>
      </c>
      <c r="AF11" s="12"/>
      <c r="AG11" s="12"/>
      <c r="AH11" s="728"/>
      <c r="AI11" s="728"/>
      <c r="AJ11" s="728"/>
      <c r="AK11" s="728"/>
      <c r="AL11" s="13"/>
      <c r="AM11" s="8" t="s">
        <v>160</v>
      </c>
      <c r="AN11" s="13">
        <v>1</v>
      </c>
    </row>
    <row r="12" spans="1:41" s="2" customFormat="1" ht="75" hidden="1" customHeight="1">
      <c r="A12" s="12"/>
      <c r="B12" s="12"/>
      <c r="C12" s="12"/>
      <c r="D12" s="5"/>
      <c r="E12" s="5" t="s">
        <v>161</v>
      </c>
      <c r="F12" s="5" t="s">
        <v>162</v>
      </c>
      <c r="G12" s="5" t="s">
        <v>132</v>
      </c>
      <c r="H12" s="718" t="s">
        <v>163</v>
      </c>
      <c r="I12" s="13" t="s">
        <v>164</v>
      </c>
      <c r="J12" s="13">
        <v>1</v>
      </c>
      <c r="K12" s="13">
        <v>0</v>
      </c>
      <c r="L12" s="13">
        <v>15</v>
      </c>
      <c r="M12" s="13" t="s">
        <v>165</v>
      </c>
      <c r="N12" s="13"/>
      <c r="O12" s="13"/>
      <c r="P12" s="13"/>
      <c r="Q12" s="13"/>
      <c r="R12" s="13"/>
      <c r="S12" s="13"/>
      <c r="T12" s="13"/>
      <c r="U12" s="13"/>
      <c r="V12" s="13"/>
      <c r="W12" s="13"/>
      <c r="X12" s="13"/>
      <c r="Y12" s="13"/>
      <c r="Z12" s="12"/>
      <c r="AA12" s="12"/>
      <c r="AB12" s="12"/>
      <c r="AC12" s="12"/>
      <c r="AD12" s="12">
        <v>8</v>
      </c>
      <c r="AE12" s="12">
        <v>5</v>
      </c>
      <c r="AF12" s="12">
        <v>12</v>
      </c>
      <c r="AG12" s="12">
        <v>5</v>
      </c>
      <c r="AH12" s="728"/>
      <c r="AI12" s="728"/>
      <c r="AJ12" s="728"/>
      <c r="AK12" s="728"/>
      <c r="AL12" s="13"/>
      <c r="AM12" s="8" t="s">
        <v>160</v>
      </c>
      <c r="AN12" s="13">
        <v>1</v>
      </c>
    </row>
    <row r="13" spans="1:41" s="2" customFormat="1" ht="75" hidden="1" customHeight="1">
      <c r="A13" s="12"/>
      <c r="B13" s="12"/>
      <c r="C13" s="12"/>
      <c r="D13" s="5"/>
      <c r="E13" s="5" t="s">
        <v>166</v>
      </c>
      <c r="F13" s="5" t="s">
        <v>167</v>
      </c>
      <c r="G13" s="5" t="s">
        <v>132</v>
      </c>
      <c r="H13" s="718" t="s">
        <v>168</v>
      </c>
      <c r="I13" s="13" t="s">
        <v>169</v>
      </c>
      <c r="J13" s="13">
        <v>1</v>
      </c>
      <c r="K13" s="13">
        <v>0</v>
      </c>
      <c r="L13" s="13">
        <v>15</v>
      </c>
      <c r="M13" s="13" t="s">
        <v>165</v>
      </c>
      <c r="N13" s="13"/>
      <c r="O13" s="13"/>
      <c r="P13" s="13"/>
      <c r="Q13" s="13"/>
      <c r="R13" s="13"/>
      <c r="S13" s="13"/>
      <c r="T13" s="13"/>
      <c r="U13" s="13"/>
      <c r="V13" s="13"/>
      <c r="W13" s="13"/>
      <c r="X13" s="13"/>
      <c r="Y13" s="13"/>
      <c r="Z13" s="12"/>
      <c r="AA13" s="12"/>
      <c r="AB13" s="12"/>
      <c r="AC13" s="12"/>
      <c r="AD13" s="12">
        <v>4</v>
      </c>
      <c r="AE13" s="12">
        <v>5</v>
      </c>
      <c r="AF13" s="12">
        <v>7.1</v>
      </c>
      <c r="AG13" s="12">
        <v>5</v>
      </c>
      <c r="AH13" s="728"/>
      <c r="AI13" s="728"/>
      <c r="AJ13" s="728"/>
      <c r="AK13" s="728"/>
      <c r="AL13" s="13"/>
      <c r="AM13" s="8" t="s">
        <v>160</v>
      </c>
      <c r="AN13" s="13">
        <v>1</v>
      </c>
    </row>
    <row r="14" spans="1:41" s="2" customFormat="1" ht="100.5" hidden="1" customHeight="1">
      <c r="A14" s="12"/>
      <c r="B14" s="12"/>
      <c r="C14" s="12"/>
      <c r="D14" s="5"/>
      <c r="E14" s="5" t="s">
        <v>170</v>
      </c>
      <c r="F14" s="5" t="s">
        <v>171</v>
      </c>
      <c r="G14" s="5" t="s">
        <v>172</v>
      </c>
      <c r="H14" s="718" t="s">
        <v>173</v>
      </c>
      <c r="I14" s="13" t="s">
        <v>174</v>
      </c>
      <c r="J14" s="13">
        <v>1</v>
      </c>
      <c r="K14" s="13">
        <v>0</v>
      </c>
      <c r="L14" s="13">
        <v>500</v>
      </c>
      <c r="M14" s="13" t="s">
        <v>143</v>
      </c>
      <c r="N14" s="13"/>
      <c r="O14" s="13"/>
      <c r="P14" s="13"/>
      <c r="Q14" s="13"/>
      <c r="R14" s="13"/>
      <c r="S14" s="13"/>
      <c r="T14" s="13"/>
      <c r="U14" s="13"/>
      <c r="V14" s="13"/>
      <c r="W14" s="13"/>
      <c r="X14" s="13"/>
      <c r="Y14" s="13"/>
      <c r="Z14" s="12"/>
      <c r="AA14" s="12"/>
      <c r="AB14" s="12">
        <v>90</v>
      </c>
      <c r="AC14" s="12">
        <v>5</v>
      </c>
      <c r="AD14" s="12">
        <v>130</v>
      </c>
      <c r="AE14" s="12">
        <v>5</v>
      </c>
      <c r="AF14" s="12"/>
      <c r="AG14" s="12"/>
      <c r="AH14" s="728"/>
      <c r="AI14" s="728"/>
      <c r="AJ14" s="728"/>
      <c r="AK14" s="728"/>
      <c r="AL14" s="13" t="s">
        <v>144</v>
      </c>
      <c r="AM14" s="8" t="s">
        <v>145</v>
      </c>
      <c r="AN14" s="13">
        <v>0</v>
      </c>
    </row>
    <row r="15" spans="1:41" s="2" customFormat="1" ht="138" hidden="1" customHeight="1">
      <c r="A15" s="12"/>
      <c r="B15" s="12"/>
      <c r="C15" s="12"/>
      <c r="D15" s="5"/>
      <c r="E15" s="5" t="s">
        <v>175</v>
      </c>
      <c r="F15" s="5" t="s">
        <v>176</v>
      </c>
      <c r="G15" s="5" t="s">
        <v>172</v>
      </c>
      <c r="H15" s="718" t="s">
        <v>177</v>
      </c>
      <c r="I15" s="13" t="s">
        <v>178</v>
      </c>
      <c r="J15" s="13">
        <v>1</v>
      </c>
      <c r="K15" s="13">
        <v>-5</v>
      </c>
      <c r="L15" s="13">
        <v>300</v>
      </c>
      <c r="M15" s="13" t="s">
        <v>150</v>
      </c>
      <c r="N15" s="13">
        <v>15</v>
      </c>
      <c r="O15" s="13">
        <v>5</v>
      </c>
      <c r="P15" s="13"/>
      <c r="Q15" s="13">
        <v>23</v>
      </c>
      <c r="R15" s="13">
        <v>5</v>
      </c>
      <c r="S15" s="13"/>
      <c r="T15" s="13">
        <v>55</v>
      </c>
      <c r="U15" s="13">
        <v>5</v>
      </c>
      <c r="V15" s="13"/>
      <c r="W15" s="13">
        <v>65</v>
      </c>
      <c r="X15" s="13">
        <v>5</v>
      </c>
      <c r="Y15" s="13"/>
      <c r="Z15" s="12"/>
      <c r="AA15" s="12"/>
      <c r="AB15" s="12"/>
      <c r="AC15" s="12"/>
      <c r="AD15" s="12">
        <v>80</v>
      </c>
      <c r="AE15" s="12">
        <v>5</v>
      </c>
      <c r="AF15" s="12">
        <v>90</v>
      </c>
      <c r="AG15" s="12">
        <v>5</v>
      </c>
      <c r="AH15" s="728"/>
      <c r="AI15" s="728"/>
      <c r="AJ15" s="728"/>
      <c r="AK15" s="728"/>
      <c r="AL15" s="13"/>
      <c r="AM15" s="729" t="s">
        <v>179</v>
      </c>
      <c r="AN15" s="13">
        <v>1</v>
      </c>
    </row>
    <row r="16" spans="1:41" s="2" customFormat="1" ht="96" hidden="1" customHeight="1">
      <c r="A16" s="12"/>
      <c r="B16" s="12"/>
      <c r="C16" s="12"/>
      <c r="D16" s="5"/>
      <c r="E16" s="5" t="s">
        <v>180</v>
      </c>
      <c r="F16" s="5" t="s">
        <v>181</v>
      </c>
      <c r="G16" s="5" t="s">
        <v>172</v>
      </c>
      <c r="H16" s="718" t="s">
        <v>182</v>
      </c>
      <c r="I16" s="13" t="s">
        <v>178</v>
      </c>
      <c r="J16" s="13">
        <v>1</v>
      </c>
      <c r="K16" s="13">
        <v>0</v>
      </c>
      <c r="L16" s="13">
        <v>1600</v>
      </c>
      <c r="M16" s="13" t="s">
        <v>183</v>
      </c>
      <c r="N16" s="13"/>
      <c r="O16" s="13"/>
      <c r="P16" s="13"/>
      <c r="Q16" s="13"/>
      <c r="R16" s="13"/>
      <c r="S16" s="13"/>
      <c r="T16" s="13"/>
      <c r="U16" s="13"/>
      <c r="V16" s="13"/>
      <c r="W16" s="13"/>
      <c r="X16" s="13"/>
      <c r="Y16" s="13"/>
      <c r="Z16" s="13">
        <v>50</v>
      </c>
      <c r="AA16" s="13">
        <v>5</v>
      </c>
      <c r="AB16" s="12">
        <v>70</v>
      </c>
      <c r="AC16" s="12">
        <v>5</v>
      </c>
      <c r="AD16" s="12">
        <v>800</v>
      </c>
      <c r="AE16" s="12">
        <v>5</v>
      </c>
      <c r="AF16" s="12">
        <v>1000</v>
      </c>
      <c r="AG16" s="12">
        <v>5</v>
      </c>
      <c r="AH16" s="728"/>
      <c r="AI16" s="728"/>
      <c r="AJ16" s="728"/>
      <c r="AK16" s="728"/>
      <c r="AL16" s="13"/>
      <c r="AM16" s="8" t="s">
        <v>155</v>
      </c>
      <c r="AN16" s="13" t="s">
        <v>184</v>
      </c>
    </row>
    <row r="17" spans="1:40" s="2" customFormat="1" ht="72.95" hidden="1" customHeight="1">
      <c r="A17" s="12"/>
      <c r="B17" s="12"/>
      <c r="C17" s="12"/>
      <c r="D17" s="5"/>
      <c r="E17" s="5" t="s">
        <v>185</v>
      </c>
      <c r="F17" s="5" t="s">
        <v>186</v>
      </c>
      <c r="G17" s="5" t="s">
        <v>172</v>
      </c>
      <c r="H17" s="718" t="s">
        <v>187</v>
      </c>
      <c r="I17" s="13" t="s">
        <v>188</v>
      </c>
      <c r="J17" s="13">
        <v>1</v>
      </c>
      <c r="K17" s="13">
        <v>-100</v>
      </c>
      <c r="L17" s="13">
        <v>600</v>
      </c>
      <c r="M17" s="13" t="s">
        <v>143</v>
      </c>
      <c r="N17" s="13"/>
      <c r="O17" s="13"/>
      <c r="P17" s="13"/>
      <c r="Q17" s="13"/>
      <c r="R17" s="13"/>
      <c r="S17" s="13"/>
      <c r="T17" s="13"/>
      <c r="U17" s="13"/>
      <c r="V17" s="13"/>
      <c r="W17" s="13"/>
      <c r="X17" s="13"/>
      <c r="Y17" s="13"/>
      <c r="Z17" s="12"/>
      <c r="AA17" s="12"/>
      <c r="AB17" s="12"/>
      <c r="AC17" s="12"/>
      <c r="AD17" s="12">
        <v>200</v>
      </c>
      <c r="AE17" s="12">
        <v>5</v>
      </c>
      <c r="AF17" s="12"/>
      <c r="AG17" s="12"/>
      <c r="AH17" s="728"/>
      <c r="AI17" s="728"/>
      <c r="AJ17" s="728"/>
      <c r="AK17" s="728"/>
      <c r="AL17" s="13"/>
      <c r="AM17" s="8" t="s">
        <v>160</v>
      </c>
      <c r="AN17" s="13">
        <v>1</v>
      </c>
    </row>
    <row r="18" spans="1:40" s="2" customFormat="1" ht="72.95" hidden="1" customHeight="1">
      <c r="A18" s="12"/>
      <c r="B18" s="12"/>
      <c r="C18" s="12"/>
      <c r="D18" s="5"/>
      <c r="E18" s="5" t="s">
        <v>189</v>
      </c>
      <c r="F18" s="5" t="s">
        <v>190</v>
      </c>
      <c r="G18" s="5" t="s">
        <v>172</v>
      </c>
      <c r="H18" s="718" t="s">
        <v>191</v>
      </c>
      <c r="I18" s="13" t="s">
        <v>192</v>
      </c>
      <c r="J18" s="13">
        <v>1</v>
      </c>
      <c r="K18" s="13">
        <v>0</v>
      </c>
      <c r="L18" s="13">
        <v>15</v>
      </c>
      <c r="M18" s="13" t="s">
        <v>165</v>
      </c>
      <c r="N18" s="13"/>
      <c r="O18" s="13"/>
      <c r="P18" s="13"/>
      <c r="Q18" s="13"/>
      <c r="R18" s="13"/>
      <c r="S18" s="13"/>
      <c r="T18" s="13"/>
      <c r="U18" s="13"/>
      <c r="V18" s="13"/>
      <c r="W18" s="13"/>
      <c r="X18" s="13"/>
      <c r="Y18" s="13"/>
      <c r="Z18" s="12"/>
      <c r="AA18" s="12"/>
      <c r="AB18" s="12"/>
      <c r="AC18" s="12"/>
      <c r="AD18" s="12">
        <v>8</v>
      </c>
      <c r="AE18" s="12">
        <v>5</v>
      </c>
      <c r="AF18" s="12">
        <v>12</v>
      </c>
      <c r="AG18" s="12">
        <v>5</v>
      </c>
      <c r="AH18" s="728"/>
      <c r="AI18" s="728"/>
      <c r="AJ18" s="728"/>
      <c r="AK18" s="728"/>
      <c r="AL18" s="13"/>
      <c r="AM18" s="8" t="s">
        <v>160</v>
      </c>
      <c r="AN18" s="13">
        <v>1</v>
      </c>
    </row>
    <row r="19" spans="1:40" s="2" customFormat="1" ht="72.95" hidden="1" customHeight="1">
      <c r="A19" s="12"/>
      <c r="B19" s="12"/>
      <c r="C19" s="12"/>
      <c r="D19" s="5"/>
      <c r="E19" s="5" t="s">
        <v>193</v>
      </c>
      <c r="F19" s="5" t="s">
        <v>194</v>
      </c>
      <c r="G19" s="5" t="s">
        <v>172</v>
      </c>
      <c r="H19" s="718" t="s">
        <v>195</v>
      </c>
      <c r="I19" s="13" t="s">
        <v>196</v>
      </c>
      <c r="J19" s="13">
        <v>1</v>
      </c>
      <c r="K19" s="13">
        <v>0</v>
      </c>
      <c r="L19" s="13">
        <v>15</v>
      </c>
      <c r="M19" s="13" t="s">
        <v>165</v>
      </c>
      <c r="N19" s="13"/>
      <c r="O19" s="13"/>
      <c r="P19" s="13"/>
      <c r="Q19" s="13"/>
      <c r="R19" s="13"/>
      <c r="S19" s="13"/>
      <c r="T19" s="13"/>
      <c r="U19" s="13"/>
      <c r="V19" s="13"/>
      <c r="W19" s="13"/>
      <c r="X19" s="13"/>
      <c r="Y19" s="13"/>
      <c r="Z19" s="12"/>
      <c r="AA19" s="12"/>
      <c r="AB19" s="12"/>
      <c r="AC19" s="12"/>
      <c r="AD19" s="12">
        <v>4</v>
      </c>
      <c r="AE19" s="12">
        <v>5</v>
      </c>
      <c r="AF19" s="12">
        <v>7.1</v>
      </c>
      <c r="AG19" s="12">
        <v>5</v>
      </c>
      <c r="AH19" s="728"/>
      <c r="AI19" s="728"/>
      <c r="AJ19" s="728"/>
      <c r="AK19" s="728"/>
      <c r="AL19" s="13"/>
      <c r="AM19" s="8" t="s">
        <v>160</v>
      </c>
      <c r="AN19" s="13">
        <v>1</v>
      </c>
    </row>
    <row r="20" spans="1:40" s="2" customFormat="1" ht="114" hidden="1" customHeight="1">
      <c r="A20" s="12"/>
      <c r="B20" s="12"/>
      <c r="C20" s="12"/>
      <c r="D20" s="5"/>
      <c r="E20" s="5" t="s">
        <v>197</v>
      </c>
      <c r="F20" s="5" t="s">
        <v>198</v>
      </c>
      <c r="G20" s="5" t="s">
        <v>172</v>
      </c>
      <c r="H20" s="718" t="s">
        <v>199</v>
      </c>
      <c r="I20" s="13" t="s">
        <v>200</v>
      </c>
      <c r="J20" s="13">
        <v>1</v>
      </c>
      <c r="K20" s="13">
        <v>0</v>
      </c>
      <c r="L20" s="13">
        <v>500</v>
      </c>
      <c r="M20" s="13" t="s">
        <v>143</v>
      </c>
      <c r="N20" s="13"/>
      <c r="O20" s="13"/>
      <c r="P20" s="13"/>
      <c r="Q20" s="13"/>
      <c r="R20" s="13"/>
      <c r="S20" s="13"/>
      <c r="T20" s="13"/>
      <c r="U20" s="13"/>
      <c r="V20" s="13"/>
      <c r="W20" s="13"/>
      <c r="X20" s="13"/>
      <c r="Y20" s="13"/>
      <c r="Z20" s="12"/>
      <c r="AA20" s="12"/>
      <c r="AB20" s="12">
        <v>90</v>
      </c>
      <c r="AC20" s="12">
        <v>5</v>
      </c>
      <c r="AD20" s="12">
        <v>130</v>
      </c>
      <c r="AE20" s="12">
        <v>5</v>
      </c>
      <c r="AF20" s="12"/>
      <c r="AG20" s="12"/>
      <c r="AH20" s="728"/>
      <c r="AI20" s="728"/>
      <c r="AJ20" s="728"/>
      <c r="AK20" s="728"/>
      <c r="AL20" s="13" t="s">
        <v>144</v>
      </c>
      <c r="AM20" s="8" t="s">
        <v>145</v>
      </c>
      <c r="AN20" s="13">
        <v>0</v>
      </c>
    </row>
    <row r="21" spans="1:40" s="2" customFormat="1" ht="137.25" hidden="1" customHeight="1">
      <c r="A21" s="12"/>
      <c r="B21" s="12"/>
      <c r="C21" s="12"/>
      <c r="D21" s="5"/>
      <c r="E21" s="5" t="s">
        <v>201</v>
      </c>
      <c r="F21" s="5" t="s">
        <v>202</v>
      </c>
      <c r="G21" s="5" t="s">
        <v>172</v>
      </c>
      <c r="H21" s="718" t="s">
        <v>203</v>
      </c>
      <c r="I21" s="13" t="s">
        <v>204</v>
      </c>
      <c r="J21" s="13">
        <v>1</v>
      </c>
      <c r="K21" s="13">
        <v>-5</v>
      </c>
      <c r="L21" s="13">
        <v>300</v>
      </c>
      <c r="M21" s="13" t="s">
        <v>150</v>
      </c>
      <c r="N21" s="13">
        <v>15</v>
      </c>
      <c r="O21" s="13">
        <v>5</v>
      </c>
      <c r="P21" s="13"/>
      <c r="Q21" s="13">
        <v>23</v>
      </c>
      <c r="R21" s="13">
        <v>5</v>
      </c>
      <c r="S21" s="13"/>
      <c r="T21" s="13">
        <v>55</v>
      </c>
      <c r="U21" s="13">
        <v>5</v>
      </c>
      <c r="V21" s="13"/>
      <c r="W21" s="13">
        <v>65</v>
      </c>
      <c r="X21" s="13">
        <v>5</v>
      </c>
      <c r="Y21" s="13"/>
      <c r="Z21" s="12"/>
      <c r="AA21" s="12"/>
      <c r="AB21" s="12"/>
      <c r="AC21" s="12"/>
      <c r="AD21" s="12">
        <v>80</v>
      </c>
      <c r="AE21" s="12">
        <v>5</v>
      </c>
      <c r="AF21" s="12">
        <v>90</v>
      </c>
      <c r="AG21" s="12">
        <v>5</v>
      </c>
      <c r="AH21" s="728"/>
      <c r="AI21" s="728"/>
      <c r="AJ21" s="728"/>
      <c r="AK21" s="728"/>
      <c r="AL21" s="13"/>
      <c r="AM21" s="729" t="s">
        <v>205</v>
      </c>
      <c r="AN21" s="13">
        <v>1</v>
      </c>
    </row>
    <row r="22" spans="1:40" s="2" customFormat="1" ht="110.25" hidden="1" customHeight="1">
      <c r="A22" s="12"/>
      <c r="B22" s="12"/>
      <c r="C22" s="12"/>
      <c r="D22" s="5"/>
      <c r="E22" s="5" t="s">
        <v>206</v>
      </c>
      <c r="F22" s="5" t="s">
        <v>207</v>
      </c>
      <c r="G22" s="5" t="s">
        <v>172</v>
      </c>
      <c r="H22" s="718" t="s">
        <v>208</v>
      </c>
      <c r="I22" s="13" t="s">
        <v>204</v>
      </c>
      <c r="J22" s="13">
        <v>1</v>
      </c>
      <c r="K22" s="13">
        <v>0</v>
      </c>
      <c r="L22" s="13">
        <v>1600</v>
      </c>
      <c r="M22" s="13" t="s">
        <v>183</v>
      </c>
      <c r="N22" s="13"/>
      <c r="O22" s="13"/>
      <c r="P22" s="13"/>
      <c r="Q22" s="13"/>
      <c r="R22" s="13"/>
      <c r="S22" s="13"/>
      <c r="T22" s="13"/>
      <c r="U22" s="13"/>
      <c r="V22" s="13"/>
      <c r="W22" s="13"/>
      <c r="X22" s="13"/>
      <c r="Y22" s="13"/>
      <c r="Z22" s="13">
        <v>50</v>
      </c>
      <c r="AA22" s="13">
        <v>5</v>
      </c>
      <c r="AB22" s="12">
        <v>70</v>
      </c>
      <c r="AC22" s="12">
        <v>5</v>
      </c>
      <c r="AD22" s="12">
        <v>800</v>
      </c>
      <c r="AE22" s="12">
        <v>5</v>
      </c>
      <c r="AF22" s="12">
        <v>1000</v>
      </c>
      <c r="AG22" s="12">
        <v>5</v>
      </c>
      <c r="AH22" s="728"/>
      <c r="AI22" s="728"/>
      <c r="AJ22" s="728"/>
      <c r="AK22" s="728"/>
      <c r="AL22" s="13"/>
      <c r="AM22" s="8" t="s">
        <v>155</v>
      </c>
      <c r="AN22" s="13" t="s">
        <v>184</v>
      </c>
    </row>
    <row r="23" spans="1:40" s="2" customFormat="1" ht="81.75" hidden="1" customHeight="1">
      <c r="A23" s="12"/>
      <c r="B23" s="12"/>
      <c r="C23" s="12"/>
      <c r="D23" s="5"/>
      <c r="E23" s="5" t="s">
        <v>209</v>
      </c>
      <c r="F23" s="5" t="s">
        <v>210</v>
      </c>
      <c r="G23" s="5" t="s">
        <v>172</v>
      </c>
      <c r="H23" s="718" t="s">
        <v>211</v>
      </c>
      <c r="I23" s="13" t="s">
        <v>212</v>
      </c>
      <c r="J23" s="13">
        <v>1</v>
      </c>
      <c r="K23" s="13">
        <v>-100</v>
      </c>
      <c r="L23" s="13">
        <v>600</v>
      </c>
      <c r="M23" s="13" t="s">
        <v>143</v>
      </c>
      <c r="N23" s="13"/>
      <c r="O23" s="13"/>
      <c r="P23" s="13"/>
      <c r="Q23" s="13"/>
      <c r="R23" s="13"/>
      <c r="S23" s="13"/>
      <c r="T23" s="13"/>
      <c r="U23" s="13"/>
      <c r="V23" s="13"/>
      <c r="W23" s="13"/>
      <c r="X23" s="13"/>
      <c r="Y23" s="13"/>
      <c r="Z23" s="12"/>
      <c r="AA23" s="12"/>
      <c r="AB23" s="12"/>
      <c r="AC23" s="12"/>
      <c r="AD23" s="12">
        <v>200</v>
      </c>
      <c r="AE23" s="12">
        <v>5</v>
      </c>
      <c r="AF23" s="12"/>
      <c r="AG23" s="12"/>
      <c r="AH23" s="728"/>
      <c r="AI23" s="728"/>
      <c r="AJ23" s="728"/>
      <c r="AK23" s="728"/>
      <c r="AL23" s="13"/>
      <c r="AM23" s="8" t="s">
        <v>160</v>
      </c>
      <c r="AN23" s="13">
        <v>1</v>
      </c>
    </row>
    <row r="24" spans="1:40" s="2" customFormat="1" ht="81.75" hidden="1" customHeight="1">
      <c r="A24" s="12"/>
      <c r="B24" s="12"/>
      <c r="C24" s="12"/>
      <c r="D24" s="5"/>
      <c r="E24" s="5" t="s">
        <v>213</v>
      </c>
      <c r="F24" s="5" t="s">
        <v>214</v>
      </c>
      <c r="G24" s="5" t="s">
        <v>172</v>
      </c>
      <c r="H24" s="718" t="s">
        <v>215</v>
      </c>
      <c r="I24" s="13" t="s">
        <v>216</v>
      </c>
      <c r="J24" s="13">
        <v>1</v>
      </c>
      <c r="K24" s="13">
        <v>0</v>
      </c>
      <c r="L24" s="13">
        <v>15</v>
      </c>
      <c r="M24" s="13" t="s">
        <v>165</v>
      </c>
      <c r="N24" s="13"/>
      <c r="O24" s="13"/>
      <c r="P24" s="13"/>
      <c r="Q24" s="13"/>
      <c r="R24" s="13"/>
      <c r="S24" s="13"/>
      <c r="T24" s="13"/>
      <c r="U24" s="13"/>
      <c r="V24" s="13"/>
      <c r="W24" s="13"/>
      <c r="X24" s="13"/>
      <c r="Y24" s="13"/>
      <c r="Z24" s="12"/>
      <c r="AA24" s="12"/>
      <c r="AB24" s="12"/>
      <c r="AC24" s="12"/>
      <c r="AD24" s="12">
        <v>8</v>
      </c>
      <c r="AE24" s="12">
        <v>5</v>
      </c>
      <c r="AF24" s="12">
        <v>12</v>
      </c>
      <c r="AG24" s="12">
        <v>5</v>
      </c>
      <c r="AH24" s="728"/>
      <c r="AI24" s="728"/>
      <c r="AJ24" s="728"/>
      <c r="AK24" s="728"/>
      <c r="AL24" s="13"/>
      <c r="AM24" s="8" t="s">
        <v>160</v>
      </c>
      <c r="AN24" s="13">
        <v>1</v>
      </c>
    </row>
    <row r="25" spans="1:40" s="2" customFormat="1" ht="81.75" hidden="1" customHeight="1">
      <c r="A25" s="12"/>
      <c r="B25" s="12"/>
      <c r="C25" s="12"/>
      <c r="D25" s="5"/>
      <c r="E25" s="5" t="s">
        <v>217</v>
      </c>
      <c r="F25" s="5" t="s">
        <v>218</v>
      </c>
      <c r="G25" s="5" t="s">
        <v>172</v>
      </c>
      <c r="H25" s="718" t="s">
        <v>219</v>
      </c>
      <c r="I25" s="13" t="s">
        <v>220</v>
      </c>
      <c r="J25" s="13">
        <v>1</v>
      </c>
      <c r="K25" s="13">
        <v>0</v>
      </c>
      <c r="L25" s="13">
        <v>15</v>
      </c>
      <c r="M25" s="13" t="s">
        <v>165</v>
      </c>
      <c r="N25" s="13"/>
      <c r="O25" s="13"/>
      <c r="P25" s="13"/>
      <c r="Q25" s="13"/>
      <c r="R25" s="13"/>
      <c r="S25" s="13"/>
      <c r="T25" s="13"/>
      <c r="U25" s="13"/>
      <c r="V25" s="13"/>
      <c r="W25" s="13"/>
      <c r="X25" s="13"/>
      <c r="Y25" s="13"/>
      <c r="Z25" s="12"/>
      <c r="AA25" s="12"/>
      <c r="AB25" s="12"/>
      <c r="AC25" s="12"/>
      <c r="AD25" s="12">
        <v>4</v>
      </c>
      <c r="AE25" s="12">
        <v>5</v>
      </c>
      <c r="AF25" s="12">
        <v>7.1</v>
      </c>
      <c r="AG25" s="12">
        <v>5</v>
      </c>
      <c r="AH25" s="728"/>
      <c r="AI25" s="728"/>
      <c r="AJ25" s="728"/>
      <c r="AK25" s="728"/>
      <c r="AL25" s="13"/>
      <c r="AM25" s="8" t="s">
        <v>160</v>
      </c>
      <c r="AN25" s="13">
        <v>1</v>
      </c>
    </row>
    <row r="26" spans="1:40" s="2" customFormat="1" ht="108.75" hidden="1" customHeight="1">
      <c r="A26" s="12"/>
      <c r="B26" s="12"/>
      <c r="C26" s="12"/>
      <c r="D26" s="5"/>
      <c r="E26" s="5" t="s">
        <v>221</v>
      </c>
      <c r="F26" s="5" t="s">
        <v>222</v>
      </c>
      <c r="G26" s="5" t="s">
        <v>223</v>
      </c>
      <c r="H26" s="718" t="s">
        <v>224</v>
      </c>
      <c r="I26" s="13" t="s">
        <v>225</v>
      </c>
      <c r="J26" s="13">
        <v>1</v>
      </c>
      <c r="K26" s="13">
        <v>0</v>
      </c>
      <c r="L26" s="13">
        <v>500</v>
      </c>
      <c r="M26" s="13" t="s">
        <v>143</v>
      </c>
      <c r="N26" s="13"/>
      <c r="O26" s="13"/>
      <c r="P26" s="13"/>
      <c r="Q26" s="13"/>
      <c r="R26" s="13"/>
      <c r="S26" s="13"/>
      <c r="T26" s="13"/>
      <c r="U26" s="13"/>
      <c r="V26" s="13"/>
      <c r="W26" s="13"/>
      <c r="X26" s="13"/>
      <c r="Y26" s="13"/>
      <c r="Z26" s="12"/>
      <c r="AA26" s="12"/>
      <c r="AB26" s="12">
        <v>90</v>
      </c>
      <c r="AC26" s="12">
        <v>5</v>
      </c>
      <c r="AD26" s="12">
        <v>130</v>
      </c>
      <c r="AE26" s="12">
        <v>5</v>
      </c>
      <c r="AF26" s="12"/>
      <c r="AG26" s="12"/>
      <c r="AH26" s="728"/>
      <c r="AI26" s="728"/>
      <c r="AJ26" s="728"/>
      <c r="AK26" s="728"/>
      <c r="AL26" s="13" t="s">
        <v>144</v>
      </c>
      <c r="AM26" s="8" t="s">
        <v>145</v>
      </c>
      <c r="AN26" s="13">
        <v>0</v>
      </c>
    </row>
    <row r="27" spans="1:40" s="2" customFormat="1" ht="175.5" hidden="1" customHeight="1">
      <c r="A27" s="12"/>
      <c r="B27" s="12"/>
      <c r="C27" s="12"/>
      <c r="D27" s="5"/>
      <c r="E27" s="5" t="s">
        <v>226</v>
      </c>
      <c r="F27" s="5" t="s">
        <v>227</v>
      </c>
      <c r="G27" s="5" t="s">
        <v>223</v>
      </c>
      <c r="H27" s="718" t="s">
        <v>228</v>
      </c>
      <c r="I27" s="13" t="s">
        <v>229</v>
      </c>
      <c r="J27" s="13">
        <v>1</v>
      </c>
      <c r="K27" s="13">
        <v>-5</v>
      </c>
      <c r="L27" s="13">
        <v>300</v>
      </c>
      <c r="M27" s="13" t="s">
        <v>150</v>
      </c>
      <c r="N27" s="13">
        <v>15</v>
      </c>
      <c r="O27" s="13">
        <v>5</v>
      </c>
      <c r="P27" s="13"/>
      <c r="Q27" s="13">
        <v>23</v>
      </c>
      <c r="R27" s="13">
        <v>5</v>
      </c>
      <c r="S27" s="13"/>
      <c r="T27" s="13">
        <v>55</v>
      </c>
      <c r="U27" s="13">
        <v>5</v>
      </c>
      <c r="V27" s="13"/>
      <c r="W27" s="13">
        <v>65</v>
      </c>
      <c r="X27" s="13">
        <v>5</v>
      </c>
      <c r="Y27" s="13"/>
      <c r="Z27" s="12"/>
      <c r="AA27" s="12"/>
      <c r="AB27" s="12"/>
      <c r="AC27" s="12"/>
      <c r="AD27" s="12">
        <v>80</v>
      </c>
      <c r="AE27" s="12">
        <v>5</v>
      </c>
      <c r="AF27" s="12">
        <v>90</v>
      </c>
      <c r="AG27" s="12">
        <v>5</v>
      </c>
      <c r="AH27" s="728"/>
      <c r="AI27" s="728"/>
      <c r="AJ27" s="728"/>
      <c r="AK27" s="728"/>
      <c r="AL27" s="13"/>
      <c r="AM27" s="729" t="s">
        <v>230</v>
      </c>
      <c r="AN27" s="13">
        <v>1</v>
      </c>
    </row>
    <row r="28" spans="1:40" s="2" customFormat="1" ht="113.25" hidden="1" customHeight="1">
      <c r="A28" s="12"/>
      <c r="B28" s="12"/>
      <c r="C28" s="12"/>
      <c r="D28" s="5"/>
      <c r="E28" s="5" t="s">
        <v>231</v>
      </c>
      <c r="F28" s="5" t="s">
        <v>232</v>
      </c>
      <c r="G28" s="5" t="s">
        <v>223</v>
      </c>
      <c r="H28" s="718" t="s">
        <v>233</v>
      </c>
      <c r="I28" s="13" t="s">
        <v>229</v>
      </c>
      <c r="J28" s="13">
        <v>1</v>
      </c>
      <c r="K28" s="13">
        <v>0</v>
      </c>
      <c r="L28" s="13">
        <v>1600</v>
      </c>
      <c r="M28" s="13" t="s">
        <v>183</v>
      </c>
      <c r="N28" s="13"/>
      <c r="O28" s="13"/>
      <c r="P28" s="13"/>
      <c r="Q28" s="13"/>
      <c r="R28" s="13"/>
      <c r="S28" s="13"/>
      <c r="T28" s="13"/>
      <c r="U28" s="13"/>
      <c r="V28" s="13"/>
      <c r="W28" s="13"/>
      <c r="X28" s="13"/>
      <c r="Y28" s="13"/>
      <c r="Z28" s="13">
        <v>50</v>
      </c>
      <c r="AA28" s="13">
        <v>5</v>
      </c>
      <c r="AB28" s="12">
        <v>70</v>
      </c>
      <c r="AC28" s="12">
        <v>5</v>
      </c>
      <c r="AD28" s="12">
        <v>800</v>
      </c>
      <c r="AE28" s="12">
        <v>5</v>
      </c>
      <c r="AF28" s="12">
        <v>1000</v>
      </c>
      <c r="AG28" s="12">
        <v>5</v>
      </c>
      <c r="AH28" s="728"/>
      <c r="AI28" s="728"/>
      <c r="AJ28" s="728"/>
      <c r="AK28" s="728"/>
      <c r="AL28" s="13"/>
      <c r="AM28" s="8" t="s">
        <v>155</v>
      </c>
      <c r="AN28" s="13" t="s">
        <v>138</v>
      </c>
    </row>
    <row r="29" spans="1:40" s="2" customFormat="1" ht="72.75" hidden="1" customHeight="1">
      <c r="A29" s="12"/>
      <c r="B29" s="12"/>
      <c r="C29" s="12"/>
      <c r="D29" s="5"/>
      <c r="E29" s="5" t="s">
        <v>234</v>
      </c>
      <c r="F29" s="5" t="s">
        <v>235</v>
      </c>
      <c r="G29" s="5" t="s">
        <v>223</v>
      </c>
      <c r="H29" s="718" t="s">
        <v>236</v>
      </c>
      <c r="I29" s="13" t="s">
        <v>237</v>
      </c>
      <c r="J29" s="13">
        <v>1</v>
      </c>
      <c r="K29" s="13">
        <v>-100</v>
      </c>
      <c r="L29" s="13">
        <v>600</v>
      </c>
      <c r="M29" s="13" t="s">
        <v>143</v>
      </c>
      <c r="N29" s="13"/>
      <c r="O29" s="13"/>
      <c r="P29" s="13"/>
      <c r="Q29" s="13"/>
      <c r="R29" s="13"/>
      <c r="S29" s="13"/>
      <c r="T29" s="13"/>
      <c r="U29" s="13"/>
      <c r="V29" s="13"/>
      <c r="W29" s="13"/>
      <c r="X29" s="13"/>
      <c r="Y29" s="13"/>
      <c r="Z29" s="12"/>
      <c r="AA29" s="12"/>
      <c r="AB29" s="12"/>
      <c r="AC29" s="12"/>
      <c r="AD29" s="12">
        <v>200</v>
      </c>
      <c r="AE29" s="12">
        <v>5</v>
      </c>
      <c r="AF29" s="12"/>
      <c r="AG29" s="12"/>
      <c r="AH29" s="728"/>
      <c r="AI29" s="728"/>
      <c r="AJ29" s="728"/>
      <c r="AK29" s="728"/>
      <c r="AL29" s="13"/>
      <c r="AM29" s="8" t="s">
        <v>160</v>
      </c>
      <c r="AN29" s="13">
        <v>1</v>
      </c>
    </row>
    <row r="30" spans="1:40" s="2" customFormat="1" ht="72.75" hidden="1" customHeight="1">
      <c r="A30" s="12"/>
      <c r="B30" s="12"/>
      <c r="C30" s="12"/>
      <c r="D30" s="5"/>
      <c r="E30" s="5" t="s">
        <v>238</v>
      </c>
      <c r="F30" s="5" t="s">
        <v>239</v>
      </c>
      <c r="G30" s="5" t="s">
        <v>223</v>
      </c>
      <c r="H30" s="718" t="s">
        <v>240</v>
      </c>
      <c r="I30" s="13" t="s">
        <v>241</v>
      </c>
      <c r="J30" s="13">
        <v>1</v>
      </c>
      <c r="K30" s="13">
        <v>0</v>
      </c>
      <c r="L30" s="13">
        <v>15</v>
      </c>
      <c r="M30" s="13" t="s">
        <v>165</v>
      </c>
      <c r="N30" s="13"/>
      <c r="O30" s="13"/>
      <c r="P30" s="13"/>
      <c r="Q30" s="13"/>
      <c r="R30" s="13"/>
      <c r="S30" s="13"/>
      <c r="T30" s="13"/>
      <c r="U30" s="13"/>
      <c r="V30" s="13"/>
      <c r="W30" s="13"/>
      <c r="X30" s="13"/>
      <c r="Y30" s="13"/>
      <c r="Z30" s="12"/>
      <c r="AA30" s="12"/>
      <c r="AB30" s="12"/>
      <c r="AC30" s="12"/>
      <c r="AD30" s="12">
        <v>8</v>
      </c>
      <c r="AE30" s="12">
        <v>5</v>
      </c>
      <c r="AF30" s="12">
        <v>12</v>
      </c>
      <c r="AG30" s="12">
        <v>5</v>
      </c>
      <c r="AH30" s="728"/>
      <c r="AI30" s="728"/>
      <c r="AJ30" s="728"/>
      <c r="AK30" s="728"/>
      <c r="AL30" s="13"/>
      <c r="AM30" s="8" t="s">
        <v>160</v>
      </c>
      <c r="AN30" s="13">
        <v>1</v>
      </c>
    </row>
    <row r="31" spans="1:40" s="2" customFormat="1" ht="72.75" hidden="1" customHeight="1">
      <c r="A31" s="12"/>
      <c r="B31" s="12"/>
      <c r="C31" s="12"/>
      <c r="D31" s="5"/>
      <c r="E31" s="5" t="s">
        <v>242</v>
      </c>
      <c r="F31" s="5" t="s">
        <v>243</v>
      </c>
      <c r="G31" s="5" t="s">
        <v>223</v>
      </c>
      <c r="H31" s="718" t="s">
        <v>244</v>
      </c>
      <c r="I31" s="13" t="s">
        <v>245</v>
      </c>
      <c r="J31" s="13">
        <v>1</v>
      </c>
      <c r="K31" s="13">
        <v>0</v>
      </c>
      <c r="L31" s="13">
        <v>15</v>
      </c>
      <c r="M31" s="13" t="s">
        <v>165</v>
      </c>
      <c r="N31" s="13"/>
      <c r="O31" s="13"/>
      <c r="P31" s="13"/>
      <c r="Q31" s="13"/>
      <c r="R31" s="13"/>
      <c r="S31" s="13"/>
      <c r="T31" s="13"/>
      <c r="U31" s="13"/>
      <c r="V31" s="13"/>
      <c r="W31" s="13"/>
      <c r="X31" s="13"/>
      <c r="Y31" s="13"/>
      <c r="Z31" s="12"/>
      <c r="AA31" s="12"/>
      <c r="AB31" s="12"/>
      <c r="AC31" s="12"/>
      <c r="AD31" s="12">
        <v>4</v>
      </c>
      <c r="AE31" s="12">
        <v>5</v>
      </c>
      <c r="AF31" s="12">
        <v>7.1</v>
      </c>
      <c r="AG31" s="12">
        <v>5</v>
      </c>
      <c r="AH31" s="728"/>
      <c r="AI31" s="728"/>
      <c r="AJ31" s="728"/>
      <c r="AK31" s="728"/>
      <c r="AL31" s="13"/>
      <c r="AM31" s="8" t="s">
        <v>160</v>
      </c>
      <c r="AN31" s="13">
        <v>1</v>
      </c>
    </row>
    <row r="32" spans="1:40" s="2" customFormat="1" ht="122.25" hidden="1" customHeight="1">
      <c r="A32" s="12"/>
      <c r="B32" s="12"/>
      <c r="C32" s="12"/>
      <c r="D32" s="5"/>
      <c r="E32" s="5" t="s">
        <v>246</v>
      </c>
      <c r="F32" s="5" t="s">
        <v>247</v>
      </c>
      <c r="G32" s="5" t="s">
        <v>223</v>
      </c>
      <c r="H32" s="718" t="s">
        <v>248</v>
      </c>
      <c r="I32" s="13" t="s">
        <v>249</v>
      </c>
      <c r="J32" s="13">
        <v>1</v>
      </c>
      <c r="K32" s="13">
        <v>0</v>
      </c>
      <c r="L32" s="13">
        <v>500</v>
      </c>
      <c r="M32" s="13" t="s">
        <v>143</v>
      </c>
      <c r="N32" s="13"/>
      <c r="O32" s="13"/>
      <c r="P32" s="13"/>
      <c r="Q32" s="13"/>
      <c r="R32" s="13"/>
      <c r="S32" s="13"/>
      <c r="T32" s="13"/>
      <c r="U32" s="13"/>
      <c r="V32" s="13"/>
      <c r="W32" s="13"/>
      <c r="X32" s="13"/>
      <c r="Y32" s="13"/>
      <c r="Z32" s="12"/>
      <c r="AA32" s="12"/>
      <c r="AB32" s="12">
        <v>90</v>
      </c>
      <c r="AC32" s="12">
        <v>5</v>
      </c>
      <c r="AD32" s="12">
        <v>130</v>
      </c>
      <c r="AE32" s="12">
        <v>5</v>
      </c>
      <c r="AF32" s="12"/>
      <c r="AG32" s="12"/>
      <c r="AH32" s="728"/>
      <c r="AI32" s="728"/>
      <c r="AJ32" s="728"/>
      <c r="AK32" s="728"/>
      <c r="AL32" s="13" t="s">
        <v>144</v>
      </c>
      <c r="AM32" s="8" t="s">
        <v>145</v>
      </c>
      <c r="AN32" s="13">
        <v>0</v>
      </c>
    </row>
    <row r="33" spans="1:40" s="2" customFormat="1" ht="176.25" hidden="1" customHeight="1">
      <c r="A33" s="12"/>
      <c r="B33" s="12"/>
      <c r="C33" s="12"/>
      <c r="D33" s="5"/>
      <c r="E33" s="5" t="s">
        <v>250</v>
      </c>
      <c r="F33" s="5" t="s">
        <v>251</v>
      </c>
      <c r="G33" s="5" t="s">
        <v>223</v>
      </c>
      <c r="H33" s="718" t="s">
        <v>252</v>
      </c>
      <c r="I33" s="13" t="s">
        <v>253</v>
      </c>
      <c r="J33" s="13">
        <v>1</v>
      </c>
      <c r="K33" s="13">
        <v>-5</v>
      </c>
      <c r="L33" s="13">
        <v>300</v>
      </c>
      <c r="M33" s="13" t="s">
        <v>150</v>
      </c>
      <c r="N33" s="13">
        <v>15</v>
      </c>
      <c r="O33" s="13">
        <v>5</v>
      </c>
      <c r="P33" s="13"/>
      <c r="Q33" s="13">
        <v>23</v>
      </c>
      <c r="R33" s="13">
        <v>5</v>
      </c>
      <c r="S33" s="13"/>
      <c r="T33" s="13">
        <v>55</v>
      </c>
      <c r="U33" s="13">
        <v>5</v>
      </c>
      <c r="V33" s="13"/>
      <c r="W33" s="13">
        <v>65</v>
      </c>
      <c r="X33" s="13">
        <v>5</v>
      </c>
      <c r="Y33" s="13"/>
      <c r="Z33" s="12"/>
      <c r="AA33" s="12"/>
      <c r="AB33" s="12"/>
      <c r="AC33" s="12"/>
      <c r="AD33" s="12">
        <v>80</v>
      </c>
      <c r="AE33" s="12">
        <v>5</v>
      </c>
      <c r="AF33" s="12">
        <v>90</v>
      </c>
      <c r="AG33" s="12">
        <v>5</v>
      </c>
      <c r="AH33" s="728"/>
      <c r="AI33" s="728"/>
      <c r="AJ33" s="728"/>
      <c r="AK33" s="728"/>
      <c r="AL33" s="13"/>
      <c r="AM33" s="729" t="s">
        <v>254</v>
      </c>
      <c r="AN33" s="13">
        <v>1</v>
      </c>
    </row>
    <row r="34" spans="1:40" s="2" customFormat="1" ht="129" hidden="1" customHeight="1">
      <c r="A34" s="12"/>
      <c r="B34" s="12"/>
      <c r="C34" s="12"/>
      <c r="D34" s="5"/>
      <c r="E34" s="5" t="s">
        <v>255</v>
      </c>
      <c r="F34" s="5" t="s">
        <v>256</v>
      </c>
      <c r="G34" s="5" t="s">
        <v>223</v>
      </c>
      <c r="H34" s="718" t="s">
        <v>257</v>
      </c>
      <c r="I34" s="13" t="s">
        <v>253</v>
      </c>
      <c r="J34" s="13">
        <v>1</v>
      </c>
      <c r="K34" s="13">
        <v>0</v>
      </c>
      <c r="L34" s="13">
        <v>1600</v>
      </c>
      <c r="M34" s="13" t="s">
        <v>183</v>
      </c>
      <c r="N34" s="13"/>
      <c r="O34" s="13"/>
      <c r="P34" s="13"/>
      <c r="Q34" s="13"/>
      <c r="R34" s="13"/>
      <c r="S34" s="13"/>
      <c r="T34" s="13"/>
      <c r="U34" s="13"/>
      <c r="V34" s="13"/>
      <c r="W34" s="13"/>
      <c r="X34" s="13"/>
      <c r="Y34" s="13"/>
      <c r="Z34" s="13">
        <v>50</v>
      </c>
      <c r="AA34" s="13">
        <v>5</v>
      </c>
      <c r="AB34" s="12">
        <v>70</v>
      </c>
      <c r="AC34" s="12">
        <v>5</v>
      </c>
      <c r="AD34" s="12">
        <v>800</v>
      </c>
      <c r="AE34" s="12">
        <v>5</v>
      </c>
      <c r="AF34" s="12">
        <v>1000</v>
      </c>
      <c r="AG34" s="12">
        <v>5</v>
      </c>
      <c r="AH34" s="728"/>
      <c r="AI34" s="728"/>
      <c r="AJ34" s="728"/>
      <c r="AK34" s="728"/>
      <c r="AL34" s="13"/>
      <c r="AM34" s="8" t="s">
        <v>258</v>
      </c>
      <c r="AN34" s="13" t="s">
        <v>138</v>
      </c>
    </row>
    <row r="35" spans="1:40" s="2" customFormat="1" ht="72.75" hidden="1" customHeight="1">
      <c r="A35" s="12"/>
      <c r="B35" s="12"/>
      <c r="C35" s="12"/>
      <c r="D35" s="5"/>
      <c r="E35" s="5" t="s">
        <v>259</v>
      </c>
      <c r="F35" s="5" t="s">
        <v>260</v>
      </c>
      <c r="G35" s="5" t="s">
        <v>223</v>
      </c>
      <c r="H35" s="718" t="s">
        <v>261</v>
      </c>
      <c r="I35" s="13" t="s">
        <v>262</v>
      </c>
      <c r="J35" s="13">
        <v>1</v>
      </c>
      <c r="K35" s="13">
        <v>-100</v>
      </c>
      <c r="L35" s="13">
        <v>600</v>
      </c>
      <c r="M35" s="13" t="s">
        <v>143</v>
      </c>
      <c r="N35" s="13"/>
      <c r="O35" s="13"/>
      <c r="P35" s="13"/>
      <c r="Q35" s="13"/>
      <c r="R35" s="13"/>
      <c r="S35" s="13"/>
      <c r="T35" s="13"/>
      <c r="U35" s="13"/>
      <c r="V35" s="13"/>
      <c r="W35" s="13"/>
      <c r="X35" s="13"/>
      <c r="Y35" s="13"/>
      <c r="Z35" s="12"/>
      <c r="AA35" s="12"/>
      <c r="AB35" s="12"/>
      <c r="AC35" s="12"/>
      <c r="AD35" s="12">
        <v>200</v>
      </c>
      <c r="AE35" s="12">
        <v>5</v>
      </c>
      <c r="AF35" s="12"/>
      <c r="AG35" s="12"/>
      <c r="AH35" s="728"/>
      <c r="AI35" s="728"/>
      <c r="AJ35" s="728"/>
      <c r="AK35" s="728"/>
      <c r="AL35" s="13"/>
      <c r="AM35" s="8" t="s">
        <v>160</v>
      </c>
      <c r="AN35" s="13">
        <v>1</v>
      </c>
    </row>
    <row r="36" spans="1:40" s="2" customFormat="1" ht="72.75" hidden="1" customHeight="1">
      <c r="A36" s="12"/>
      <c r="B36" s="12"/>
      <c r="C36" s="12"/>
      <c r="D36" s="5"/>
      <c r="E36" s="5" t="s">
        <v>263</v>
      </c>
      <c r="F36" s="5" t="s">
        <v>264</v>
      </c>
      <c r="G36" s="5" t="s">
        <v>223</v>
      </c>
      <c r="H36" s="718" t="s">
        <v>265</v>
      </c>
      <c r="I36" s="13" t="s">
        <v>266</v>
      </c>
      <c r="J36" s="13">
        <v>1</v>
      </c>
      <c r="K36" s="13">
        <v>0</v>
      </c>
      <c r="L36" s="13">
        <v>15</v>
      </c>
      <c r="M36" s="13" t="s">
        <v>165</v>
      </c>
      <c r="N36" s="13"/>
      <c r="O36" s="13"/>
      <c r="P36" s="13"/>
      <c r="Q36" s="13"/>
      <c r="R36" s="13"/>
      <c r="S36" s="13"/>
      <c r="T36" s="13"/>
      <c r="U36" s="13"/>
      <c r="V36" s="13"/>
      <c r="W36" s="13"/>
      <c r="X36" s="13"/>
      <c r="Y36" s="13"/>
      <c r="Z36" s="12"/>
      <c r="AA36" s="12"/>
      <c r="AB36" s="12"/>
      <c r="AC36" s="12"/>
      <c r="AD36" s="12">
        <v>8</v>
      </c>
      <c r="AE36" s="12">
        <v>5</v>
      </c>
      <c r="AF36" s="12">
        <v>12</v>
      </c>
      <c r="AG36" s="12">
        <v>5</v>
      </c>
      <c r="AH36" s="728"/>
      <c r="AI36" s="728"/>
      <c r="AJ36" s="728"/>
      <c r="AK36" s="728"/>
      <c r="AL36" s="13"/>
      <c r="AM36" s="8" t="s">
        <v>160</v>
      </c>
      <c r="AN36" s="13">
        <v>1</v>
      </c>
    </row>
    <row r="37" spans="1:40" s="2" customFormat="1" ht="72.75" hidden="1" customHeight="1">
      <c r="A37" s="12"/>
      <c r="B37" s="12"/>
      <c r="C37" s="12"/>
      <c r="D37" s="5"/>
      <c r="E37" s="5" t="s">
        <v>267</v>
      </c>
      <c r="F37" s="5" t="s">
        <v>268</v>
      </c>
      <c r="G37" s="5" t="s">
        <v>223</v>
      </c>
      <c r="H37" s="718" t="s">
        <v>269</v>
      </c>
      <c r="I37" s="13" t="s">
        <v>270</v>
      </c>
      <c r="J37" s="13">
        <v>1</v>
      </c>
      <c r="K37" s="13">
        <v>0</v>
      </c>
      <c r="L37" s="13">
        <v>15</v>
      </c>
      <c r="M37" s="13" t="s">
        <v>165</v>
      </c>
      <c r="N37" s="13"/>
      <c r="O37" s="13"/>
      <c r="P37" s="13"/>
      <c r="Q37" s="13"/>
      <c r="R37" s="13"/>
      <c r="S37" s="13"/>
      <c r="T37" s="13"/>
      <c r="U37" s="13"/>
      <c r="V37" s="13"/>
      <c r="W37" s="13"/>
      <c r="X37" s="13"/>
      <c r="Y37" s="13"/>
      <c r="Z37" s="12"/>
      <c r="AA37" s="12"/>
      <c r="AB37" s="12"/>
      <c r="AC37" s="12"/>
      <c r="AD37" s="12">
        <v>4</v>
      </c>
      <c r="AE37" s="12">
        <v>5</v>
      </c>
      <c r="AF37" s="12">
        <v>7.1</v>
      </c>
      <c r="AG37" s="12">
        <v>5</v>
      </c>
      <c r="AH37" s="728"/>
      <c r="AI37" s="728"/>
      <c r="AJ37" s="728"/>
      <c r="AK37" s="728"/>
      <c r="AL37" s="13"/>
      <c r="AM37" s="8" t="s">
        <v>160</v>
      </c>
      <c r="AN37" s="13">
        <v>1</v>
      </c>
    </row>
    <row r="38" spans="1:40" s="2" customFormat="1" ht="120" hidden="1" customHeight="1">
      <c r="A38" s="12"/>
      <c r="B38" s="12"/>
      <c r="C38" s="12"/>
      <c r="D38" s="5"/>
      <c r="E38" s="5" t="s">
        <v>271</v>
      </c>
      <c r="F38" s="5" t="s">
        <v>272</v>
      </c>
      <c r="G38" s="5" t="s">
        <v>223</v>
      </c>
      <c r="H38" s="718" t="s">
        <v>273</v>
      </c>
      <c r="I38" s="13" t="s">
        <v>274</v>
      </c>
      <c r="J38" s="13">
        <v>1</v>
      </c>
      <c r="K38" s="13">
        <v>0</v>
      </c>
      <c r="L38" s="13">
        <v>500</v>
      </c>
      <c r="M38" s="13" t="s">
        <v>143</v>
      </c>
      <c r="N38" s="13"/>
      <c r="O38" s="13"/>
      <c r="P38" s="13"/>
      <c r="Q38" s="13"/>
      <c r="R38" s="13"/>
      <c r="S38" s="13"/>
      <c r="T38" s="13"/>
      <c r="U38" s="13"/>
      <c r="V38" s="13"/>
      <c r="W38" s="13"/>
      <c r="X38" s="13"/>
      <c r="Y38" s="13"/>
      <c r="Z38" s="12"/>
      <c r="AA38" s="12"/>
      <c r="AB38" s="12">
        <v>90</v>
      </c>
      <c r="AC38" s="12">
        <v>5</v>
      </c>
      <c r="AD38" s="12">
        <v>130</v>
      </c>
      <c r="AE38" s="12">
        <v>5</v>
      </c>
      <c r="AF38" s="12"/>
      <c r="AG38" s="12"/>
      <c r="AH38" s="728"/>
      <c r="AI38" s="728"/>
      <c r="AJ38" s="728"/>
      <c r="AK38" s="728"/>
      <c r="AL38" s="13" t="s">
        <v>144</v>
      </c>
      <c r="AM38" s="8" t="s">
        <v>145</v>
      </c>
      <c r="AN38" s="13">
        <v>0</v>
      </c>
    </row>
    <row r="39" spans="1:40" s="2" customFormat="1" ht="160.5" hidden="1" customHeight="1">
      <c r="A39" s="12"/>
      <c r="B39" s="12"/>
      <c r="C39" s="12"/>
      <c r="D39" s="5"/>
      <c r="E39" s="5" t="s">
        <v>275</v>
      </c>
      <c r="F39" s="5" t="s">
        <v>276</v>
      </c>
      <c r="G39" s="5" t="s">
        <v>223</v>
      </c>
      <c r="H39" s="718" t="s">
        <v>277</v>
      </c>
      <c r="I39" s="13" t="s">
        <v>278</v>
      </c>
      <c r="J39" s="13">
        <v>1</v>
      </c>
      <c r="K39" s="13">
        <v>-5</v>
      </c>
      <c r="L39" s="13">
        <v>300</v>
      </c>
      <c r="M39" s="13" t="s">
        <v>150</v>
      </c>
      <c r="N39" s="13">
        <v>15</v>
      </c>
      <c r="O39" s="13">
        <v>5</v>
      </c>
      <c r="P39" s="13"/>
      <c r="Q39" s="13">
        <v>23</v>
      </c>
      <c r="R39" s="13">
        <v>5</v>
      </c>
      <c r="S39" s="13"/>
      <c r="T39" s="13">
        <v>55</v>
      </c>
      <c r="U39" s="13">
        <v>5</v>
      </c>
      <c r="V39" s="13"/>
      <c r="W39" s="13">
        <v>65</v>
      </c>
      <c r="X39" s="13">
        <v>5</v>
      </c>
      <c r="Y39" s="13"/>
      <c r="Z39" s="12"/>
      <c r="AA39" s="12"/>
      <c r="AB39" s="12"/>
      <c r="AC39" s="12"/>
      <c r="AD39" s="12">
        <v>80</v>
      </c>
      <c r="AE39" s="12">
        <v>5</v>
      </c>
      <c r="AF39" s="12">
        <v>90</v>
      </c>
      <c r="AG39" s="12">
        <v>5</v>
      </c>
      <c r="AH39" s="728"/>
      <c r="AI39" s="728"/>
      <c r="AJ39" s="728"/>
      <c r="AK39" s="728"/>
      <c r="AL39" s="13"/>
      <c r="AM39" s="729" t="s">
        <v>279</v>
      </c>
      <c r="AN39" s="13">
        <v>1</v>
      </c>
    </row>
    <row r="40" spans="1:40" s="2" customFormat="1" ht="160.5" hidden="1" customHeight="1">
      <c r="A40" s="12"/>
      <c r="B40" s="12"/>
      <c r="C40" s="12"/>
      <c r="D40" s="5"/>
      <c r="E40" s="5" t="s">
        <v>280</v>
      </c>
      <c r="F40" s="5" t="s">
        <v>281</v>
      </c>
      <c r="G40" s="5" t="s">
        <v>223</v>
      </c>
      <c r="H40" s="718" t="s">
        <v>282</v>
      </c>
      <c r="I40" s="13" t="s">
        <v>278</v>
      </c>
      <c r="J40" s="13">
        <v>1</v>
      </c>
      <c r="K40" s="13">
        <v>0</v>
      </c>
      <c r="L40" s="13">
        <v>1600</v>
      </c>
      <c r="M40" s="13" t="s">
        <v>183</v>
      </c>
      <c r="N40" s="13"/>
      <c r="O40" s="13"/>
      <c r="P40" s="13"/>
      <c r="Q40" s="13"/>
      <c r="R40" s="13"/>
      <c r="S40" s="13"/>
      <c r="T40" s="13"/>
      <c r="U40" s="13"/>
      <c r="V40" s="13"/>
      <c r="W40" s="13"/>
      <c r="X40" s="13"/>
      <c r="Y40" s="13"/>
      <c r="Z40" s="13">
        <v>50</v>
      </c>
      <c r="AA40" s="13">
        <v>5</v>
      </c>
      <c r="AB40" s="12">
        <v>70</v>
      </c>
      <c r="AC40" s="12">
        <v>5</v>
      </c>
      <c r="AD40" s="12">
        <v>800</v>
      </c>
      <c r="AE40" s="12">
        <v>5</v>
      </c>
      <c r="AF40" s="12">
        <v>1000</v>
      </c>
      <c r="AG40" s="12">
        <v>5</v>
      </c>
      <c r="AH40" s="728"/>
      <c r="AI40" s="728"/>
      <c r="AJ40" s="728"/>
      <c r="AK40" s="728"/>
      <c r="AL40" s="13"/>
      <c r="AM40" s="8" t="s">
        <v>258</v>
      </c>
      <c r="AN40" s="13" t="s">
        <v>138</v>
      </c>
    </row>
    <row r="41" spans="1:40" s="2" customFormat="1" ht="77.25" hidden="1" customHeight="1">
      <c r="A41" s="12"/>
      <c r="B41" s="12"/>
      <c r="C41" s="12"/>
      <c r="D41" s="5"/>
      <c r="E41" s="5" t="s">
        <v>283</v>
      </c>
      <c r="F41" s="5" t="s">
        <v>284</v>
      </c>
      <c r="G41" s="5" t="s">
        <v>223</v>
      </c>
      <c r="H41" s="718" t="s">
        <v>285</v>
      </c>
      <c r="I41" s="13" t="s">
        <v>286</v>
      </c>
      <c r="J41" s="13">
        <v>1</v>
      </c>
      <c r="K41" s="13">
        <v>-100</v>
      </c>
      <c r="L41" s="13">
        <v>600</v>
      </c>
      <c r="M41" s="13" t="s">
        <v>143</v>
      </c>
      <c r="N41" s="13"/>
      <c r="O41" s="13"/>
      <c r="P41" s="13"/>
      <c r="Q41" s="13"/>
      <c r="R41" s="13"/>
      <c r="S41" s="13"/>
      <c r="T41" s="13"/>
      <c r="U41" s="13"/>
      <c r="V41" s="13"/>
      <c r="W41" s="13"/>
      <c r="X41" s="13"/>
      <c r="Y41" s="13"/>
      <c r="Z41" s="12"/>
      <c r="AA41" s="12"/>
      <c r="AB41" s="12"/>
      <c r="AC41" s="12"/>
      <c r="AD41" s="12">
        <v>200</v>
      </c>
      <c r="AE41" s="12">
        <v>5</v>
      </c>
      <c r="AF41" s="12"/>
      <c r="AG41" s="12"/>
      <c r="AH41" s="728"/>
      <c r="AI41" s="728"/>
      <c r="AJ41" s="728"/>
      <c r="AK41" s="728"/>
      <c r="AL41" s="13"/>
      <c r="AM41" s="8" t="s">
        <v>160</v>
      </c>
      <c r="AN41" s="13">
        <v>1</v>
      </c>
    </row>
    <row r="42" spans="1:40" s="2" customFormat="1" ht="77.25" hidden="1" customHeight="1">
      <c r="A42" s="12"/>
      <c r="B42" s="12"/>
      <c r="C42" s="12"/>
      <c r="D42" s="5"/>
      <c r="E42" s="5" t="s">
        <v>287</v>
      </c>
      <c r="F42" s="5" t="s">
        <v>288</v>
      </c>
      <c r="G42" s="5" t="s">
        <v>223</v>
      </c>
      <c r="H42" s="718" t="s">
        <v>289</v>
      </c>
      <c r="I42" s="13" t="s">
        <v>290</v>
      </c>
      <c r="J42" s="13">
        <v>1</v>
      </c>
      <c r="K42" s="13">
        <v>0</v>
      </c>
      <c r="L42" s="13">
        <v>15</v>
      </c>
      <c r="M42" s="13" t="s">
        <v>165</v>
      </c>
      <c r="N42" s="13"/>
      <c r="O42" s="13"/>
      <c r="P42" s="13"/>
      <c r="Q42" s="13"/>
      <c r="R42" s="13"/>
      <c r="S42" s="13"/>
      <c r="T42" s="13"/>
      <c r="U42" s="13"/>
      <c r="V42" s="13"/>
      <c r="W42" s="13"/>
      <c r="X42" s="13"/>
      <c r="Y42" s="13"/>
      <c r="Z42" s="12"/>
      <c r="AA42" s="12"/>
      <c r="AB42" s="12"/>
      <c r="AC42" s="12"/>
      <c r="AD42" s="12">
        <v>8</v>
      </c>
      <c r="AE42" s="12">
        <v>5</v>
      </c>
      <c r="AF42" s="12">
        <v>12</v>
      </c>
      <c r="AG42" s="12">
        <v>5</v>
      </c>
      <c r="AH42" s="728"/>
      <c r="AI42" s="728"/>
      <c r="AJ42" s="728"/>
      <c r="AK42" s="728"/>
      <c r="AL42" s="13"/>
      <c r="AM42" s="8" t="s">
        <v>160</v>
      </c>
      <c r="AN42" s="13">
        <v>1</v>
      </c>
    </row>
    <row r="43" spans="1:40" s="2" customFormat="1" ht="77.25" hidden="1" customHeight="1">
      <c r="A43" s="12"/>
      <c r="B43" s="12"/>
      <c r="C43" s="12"/>
      <c r="D43" s="5"/>
      <c r="E43" s="5" t="s">
        <v>291</v>
      </c>
      <c r="F43" s="5" t="s">
        <v>292</v>
      </c>
      <c r="G43" s="5" t="s">
        <v>223</v>
      </c>
      <c r="H43" s="718" t="s">
        <v>293</v>
      </c>
      <c r="I43" s="13" t="s">
        <v>294</v>
      </c>
      <c r="J43" s="13">
        <v>1</v>
      </c>
      <c r="K43" s="13">
        <v>0</v>
      </c>
      <c r="L43" s="13">
        <v>15</v>
      </c>
      <c r="M43" s="13" t="s">
        <v>165</v>
      </c>
      <c r="N43" s="13"/>
      <c r="O43" s="13"/>
      <c r="P43" s="13"/>
      <c r="Q43" s="13"/>
      <c r="R43" s="13"/>
      <c r="S43" s="13"/>
      <c r="T43" s="13"/>
      <c r="U43" s="13"/>
      <c r="V43" s="13"/>
      <c r="W43" s="13"/>
      <c r="X43" s="13"/>
      <c r="Y43" s="13"/>
      <c r="Z43" s="12"/>
      <c r="AA43" s="12"/>
      <c r="AB43" s="12"/>
      <c r="AC43" s="12"/>
      <c r="AD43" s="12">
        <v>4</v>
      </c>
      <c r="AE43" s="12">
        <v>5</v>
      </c>
      <c r="AF43" s="12">
        <v>7.1</v>
      </c>
      <c r="AG43" s="12">
        <v>5</v>
      </c>
      <c r="AH43" s="728"/>
      <c r="AI43" s="728"/>
      <c r="AJ43" s="728"/>
      <c r="AK43" s="728"/>
      <c r="AL43" s="13"/>
      <c r="AM43" s="8" t="s">
        <v>160</v>
      </c>
      <c r="AN43" s="13">
        <v>1</v>
      </c>
    </row>
    <row r="44" spans="1:40" s="2" customFormat="1" ht="122.25" hidden="1" customHeight="1">
      <c r="A44" s="12"/>
      <c r="B44" s="12"/>
      <c r="C44" s="12"/>
      <c r="D44" s="5"/>
      <c r="E44" s="5" t="s">
        <v>295</v>
      </c>
      <c r="F44" s="5" t="s">
        <v>296</v>
      </c>
      <c r="G44" s="5" t="s">
        <v>223</v>
      </c>
      <c r="H44" s="718" t="s">
        <v>297</v>
      </c>
      <c r="I44" s="13" t="s">
        <v>298</v>
      </c>
      <c r="J44" s="13">
        <v>1</v>
      </c>
      <c r="K44" s="13">
        <v>0</v>
      </c>
      <c r="L44" s="13">
        <v>500</v>
      </c>
      <c r="M44" s="13" t="s">
        <v>143</v>
      </c>
      <c r="N44" s="13"/>
      <c r="O44" s="13"/>
      <c r="P44" s="13"/>
      <c r="Q44" s="13"/>
      <c r="R44" s="13"/>
      <c r="S44" s="13"/>
      <c r="T44" s="13"/>
      <c r="U44" s="13"/>
      <c r="V44" s="13"/>
      <c r="W44" s="13"/>
      <c r="X44" s="13"/>
      <c r="Y44" s="13"/>
      <c r="Z44" s="12"/>
      <c r="AA44" s="12"/>
      <c r="AB44" s="12">
        <v>90</v>
      </c>
      <c r="AC44" s="12">
        <v>5</v>
      </c>
      <c r="AD44" s="12">
        <v>130</v>
      </c>
      <c r="AE44" s="12">
        <v>5</v>
      </c>
      <c r="AF44" s="12"/>
      <c r="AG44" s="12"/>
      <c r="AH44" s="728"/>
      <c r="AI44" s="728"/>
      <c r="AJ44" s="728"/>
      <c r="AK44" s="728"/>
      <c r="AL44" s="13" t="s">
        <v>144</v>
      </c>
      <c r="AM44" s="8" t="s">
        <v>145</v>
      </c>
      <c r="AN44" s="13">
        <v>0</v>
      </c>
    </row>
    <row r="45" spans="1:40" s="2" customFormat="1" ht="178.5" hidden="1" customHeight="1">
      <c r="A45" s="12"/>
      <c r="B45" s="12"/>
      <c r="C45" s="12"/>
      <c r="D45" s="5"/>
      <c r="E45" s="5" t="s">
        <v>299</v>
      </c>
      <c r="F45" s="5" t="s">
        <v>300</v>
      </c>
      <c r="G45" s="5" t="s">
        <v>223</v>
      </c>
      <c r="H45" s="718" t="s">
        <v>301</v>
      </c>
      <c r="I45" s="13" t="s">
        <v>302</v>
      </c>
      <c r="J45" s="13">
        <v>1</v>
      </c>
      <c r="K45" s="13">
        <v>-5</v>
      </c>
      <c r="L45" s="13">
        <v>300</v>
      </c>
      <c r="M45" s="13" t="s">
        <v>150</v>
      </c>
      <c r="N45" s="13">
        <v>15</v>
      </c>
      <c r="O45" s="13">
        <v>5</v>
      </c>
      <c r="P45" s="13"/>
      <c r="Q45" s="13">
        <v>23</v>
      </c>
      <c r="R45" s="13">
        <v>5</v>
      </c>
      <c r="S45" s="13"/>
      <c r="T45" s="13">
        <v>55</v>
      </c>
      <c r="U45" s="13">
        <v>5</v>
      </c>
      <c r="V45" s="13"/>
      <c r="W45" s="13">
        <v>65</v>
      </c>
      <c r="X45" s="13">
        <v>5</v>
      </c>
      <c r="Y45" s="13"/>
      <c r="Z45" s="12"/>
      <c r="AA45" s="12"/>
      <c r="AB45" s="12"/>
      <c r="AC45" s="12"/>
      <c r="AD45" s="12">
        <v>80</v>
      </c>
      <c r="AE45" s="12">
        <v>5</v>
      </c>
      <c r="AF45" s="12">
        <v>90</v>
      </c>
      <c r="AG45" s="12">
        <v>5</v>
      </c>
      <c r="AH45" s="728"/>
      <c r="AI45" s="728"/>
      <c r="AJ45" s="728"/>
      <c r="AK45" s="728"/>
      <c r="AL45" s="13"/>
      <c r="AM45" s="729" t="s">
        <v>303</v>
      </c>
      <c r="AN45" s="13">
        <v>1</v>
      </c>
    </row>
    <row r="46" spans="1:40" s="2" customFormat="1" ht="113.25" hidden="1" customHeight="1">
      <c r="A46" s="12"/>
      <c r="B46" s="12"/>
      <c r="C46" s="12"/>
      <c r="D46" s="5"/>
      <c r="E46" s="5" t="s">
        <v>304</v>
      </c>
      <c r="F46" s="5" t="s">
        <v>305</v>
      </c>
      <c r="G46" s="5" t="s">
        <v>223</v>
      </c>
      <c r="H46" s="718" t="s">
        <v>306</v>
      </c>
      <c r="I46" s="13" t="s">
        <v>302</v>
      </c>
      <c r="J46" s="13">
        <v>1</v>
      </c>
      <c r="K46" s="13">
        <v>0</v>
      </c>
      <c r="L46" s="13">
        <v>1600</v>
      </c>
      <c r="M46" s="13" t="s">
        <v>183</v>
      </c>
      <c r="N46" s="13"/>
      <c r="O46" s="13"/>
      <c r="P46" s="13"/>
      <c r="Q46" s="13"/>
      <c r="R46" s="13"/>
      <c r="S46" s="13"/>
      <c r="T46" s="13"/>
      <c r="U46" s="13"/>
      <c r="V46" s="13"/>
      <c r="W46" s="13"/>
      <c r="X46" s="13"/>
      <c r="Y46" s="13"/>
      <c r="Z46" s="13">
        <v>50</v>
      </c>
      <c r="AA46" s="13">
        <v>5</v>
      </c>
      <c r="AB46" s="12">
        <v>70</v>
      </c>
      <c r="AC46" s="12">
        <v>5</v>
      </c>
      <c r="AD46" s="12">
        <v>800</v>
      </c>
      <c r="AE46" s="12">
        <v>5</v>
      </c>
      <c r="AF46" s="12">
        <v>1000</v>
      </c>
      <c r="AG46" s="12">
        <v>5</v>
      </c>
      <c r="AH46" s="728"/>
      <c r="AI46" s="728"/>
      <c r="AJ46" s="728"/>
      <c r="AK46" s="728"/>
      <c r="AL46" s="13"/>
      <c r="AM46" s="8" t="s">
        <v>155</v>
      </c>
      <c r="AN46" s="13" t="s">
        <v>138</v>
      </c>
    </row>
    <row r="47" spans="1:40" s="2" customFormat="1" ht="73.5" hidden="1" customHeight="1">
      <c r="A47" s="12"/>
      <c r="B47" s="12"/>
      <c r="C47" s="12"/>
      <c r="D47" s="5"/>
      <c r="E47" s="5" t="s">
        <v>307</v>
      </c>
      <c r="F47" s="5" t="s">
        <v>308</v>
      </c>
      <c r="G47" s="5" t="s">
        <v>223</v>
      </c>
      <c r="H47" s="718" t="s">
        <v>309</v>
      </c>
      <c r="I47" s="13" t="s">
        <v>310</v>
      </c>
      <c r="J47" s="13">
        <v>1</v>
      </c>
      <c r="K47" s="13">
        <v>-100</v>
      </c>
      <c r="L47" s="13">
        <v>600</v>
      </c>
      <c r="M47" s="13" t="s">
        <v>143</v>
      </c>
      <c r="N47" s="13"/>
      <c r="O47" s="13"/>
      <c r="P47" s="13"/>
      <c r="Q47" s="13"/>
      <c r="R47" s="13"/>
      <c r="S47" s="13"/>
      <c r="T47" s="13"/>
      <c r="U47" s="13"/>
      <c r="V47" s="13"/>
      <c r="W47" s="13"/>
      <c r="X47" s="13"/>
      <c r="Y47" s="13"/>
      <c r="Z47" s="12"/>
      <c r="AA47" s="12"/>
      <c r="AB47" s="12"/>
      <c r="AC47" s="12"/>
      <c r="AD47" s="12">
        <v>200</v>
      </c>
      <c r="AE47" s="12">
        <v>5</v>
      </c>
      <c r="AF47" s="12"/>
      <c r="AG47" s="12"/>
      <c r="AH47" s="728"/>
      <c r="AI47" s="728"/>
      <c r="AJ47" s="728"/>
      <c r="AK47" s="728"/>
      <c r="AL47" s="13"/>
      <c r="AM47" s="8" t="s">
        <v>160</v>
      </c>
      <c r="AN47" s="13">
        <v>1</v>
      </c>
    </row>
    <row r="48" spans="1:40" s="2" customFormat="1" ht="73.5" hidden="1" customHeight="1">
      <c r="A48" s="12"/>
      <c r="B48" s="12"/>
      <c r="C48" s="12"/>
      <c r="D48" s="5"/>
      <c r="E48" s="5" t="s">
        <v>311</v>
      </c>
      <c r="F48" s="5" t="s">
        <v>312</v>
      </c>
      <c r="G48" s="5" t="s">
        <v>223</v>
      </c>
      <c r="H48" s="718" t="s">
        <v>313</v>
      </c>
      <c r="I48" s="13" t="s">
        <v>314</v>
      </c>
      <c r="J48" s="13">
        <v>1</v>
      </c>
      <c r="K48" s="13">
        <v>0</v>
      </c>
      <c r="L48" s="13">
        <v>15</v>
      </c>
      <c r="M48" s="13" t="s">
        <v>165</v>
      </c>
      <c r="N48" s="13"/>
      <c r="O48" s="13"/>
      <c r="P48" s="13"/>
      <c r="Q48" s="13"/>
      <c r="R48" s="13"/>
      <c r="S48" s="13"/>
      <c r="T48" s="13"/>
      <c r="U48" s="13"/>
      <c r="V48" s="13"/>
      <c r="W48" s="13"/>
      <c r="X48" s="13"/>
      <c r="Y48" s="13"/>
      <c r="Z48" s="12"/>
      <c r="AA48" s="12"/>
      <c r="AB48" s="12"/>
      <c r="AC48" s="12"/>
      <c r="AD48" s="12">
        <v>8</v>
      </c>
      <c r="AE48" s="12">
        <v>5</v>
      </c>
      <c r="AF48" s="12">
        <v>12</v>
      </c>
      <c r="AG48" s="12">
        <v>5</v>
      </c>
      <c r="AH48" s="728"/>
      <c r="AI48" s="728"/>
      <c r="AJ48" s="728"/>
      <c r="AK48" s="728"/>
      <c r="AL48" s="13"/>
      <c r="AM48" s="8" t="s">
        <v>160</v>
      </c>
      <c r="AN48" s="13">
        <v>1</v>
      </c>
    </row>
    <row r="49" spans="1:40" s="2" customFormat="1" ht="73.5" hidden="1" customHeight="1">
      <c r="A49" s="12"/>
      <c r="B49" s="12"/>
      <c r="C49" s="12"/>
      <c r="D49" s="5"/>
      <c r="E49" s="5" t="s">
        <v>315</v>
      </c>
      <c r="F49" s="5" t="s">
        <v>316</v>
      </c>
      <c r="G49" s="5" t="s">
        <v>223</v>
      </c>
      <c r="H49" s="718" t="s">
        <v>317</v>
      </c>
      <c r="I49" s="13" t="s">
        <v>318</v>
      </c>
      <c r="J49" s="13">
        <v>1</v>
      </c>
      <c r="K49" s="13">
        <v>0</v>
      </c>
      <c r="L49" s="13">
        <v>15</v>
      </c>
      <c r="M49" s="13" t="s">
        <v>165</v>
      </c>
      <c r="N49" s="13"/>
      <c r="O49" s="13"/>
      <c r="P49" s="13"/>
      <c r="Q49" s="13"/>
      <c r="R49" s="13"/>
      <c r="S49" s="13"/>
      <c r="T49" s="13"/>
      <c r="U49" s="13"/>
      <c r="V49" s="13"/>
      <c r="W49" s="13"/>
      <c r="X49" s="13"/>
      <c r="Y49" s="13"/>
      <c r="Z49" s="12"/>
      <c r="AA49" s="12"/>
      <c r="AB49" s="12"/>
      <c r="AC49" s="12"/>
      <c r="AD49" s="12">
        <v>4</v>
      </c>
      <c r="AE49" s="12">
        <v>5</v>
      </c>
      <c r="AF49" s="12">
        <v>7.1</v>
      </c>
      <c r="AG49" s="12">
        <v>5</v>
      </c>
      <c r="AH49" s="728"/>
      <c r="AI49" s="728"/>
      <c r="AJ49" s="728"/>
      <c r="AK49" s="728"/>
      <c r="AL49" s="13"/>
      <c r="AM49" s="8" t="s">
        <v>160</v>
      </c>
      <c r="AN49" s="13">
        <v>1</v>
      </c>
    </row>
    <row r="50" spans="1:40" s="2" customFormat="1" ht="178.5" hidden="1" customHeight="1">
      <c r="A50" s="12"/>
      <c r="B50" s="12"/>
      <c r="C50" s="12"/>
      <c r="D50" s="5"/>
      <c r="E50" s="5" t="s">
        <v>319</v>
      </c>
      <c r="F50" s="5" t="s">
        <v>320</v>
      </c>
      <c r="G50" s="5" t="s">
        <v>321</v>
      </c>
      <c r="H50" s="718" t="s">
        <v>322</v>
      </c>
      <c r="I50" s="13" t="s">
        <v>323</v>
      </c>
      <c r="J50" s="13">
        <v>1</v>
      </c>
      <c r="K50" s="13">
        <v>0</v>
      </c>
      <c r="L50" s="13">
        <v>1100</v>
      </c>
      <c r="M50" s="13" t="s">
        <v>183</v>
      </c>
      <c r="N50" s="13"/>
      <c r="O50" s="13"/>
      <c r="P50" s="13"/>
      <c r="Q50" s="13"/>
      <c r="R50" s="13"/>
      <c r="S50" s="13"/>
      <c r="T50" s="13"/>
      <c r="U50" s="13"/>
      <c r="V50" s="13"/>
      <c r="W50" s="13"/>
      <c r="X50" s="13"/>
      <c r="Y50" s="13"/>
      <c r="Z50" s="13"/>
      <c r="AA50" s="13"/>
      <c r="AB50" s="13">
        <v>600</v>
      </c>
      <c r="AC50" s="13">
        <v>5</v>
      </c>
      <c r="AD50" s="13">
        <v>1000</v>
      </c>
      <c r="AE50" s="13">
        <v>5</v>
      </c>
      <c r="AF50" s="13"/>
      <c r="AG50" s="13"/>
      <c r="AH50" s="13" t="s">
        <v>324</v>
      </c>
      <c r="AI50" s="13" t="s">
        <v>325</v>
      </c>
      <c r="AJ50" s="8" t="s">
        <v>326</v>
      </c>
      <c r="AK50" s="13">
        <v>0</v>
      </c>
      <c r="AL50" s="13" t="s">
        <v>327</v>
      </c>
      <c r="AM50" s="8" t="s">
        <v>328</v>
      </c>
      <c r="AN50" s="13">
        <v>0</v>
      </c>
    </row>
    <row r="51" spans="1:40" s="2" customFormat="1" ht="64.5" hidden="1" customHeight="1">
      <c r="A51" s="12"/>
      <c r="B51" s="12"/>
      <c r="C51" s="12"/>
      <c r="D51" s="5"/>
      <c r="E51" s="5" t="s">
        <v>329</v>
      </c>
      <c r="F51" s="5" t="s">
        <v>330</v>
      </c>
      <c r="G51" s="5" t="s">
        <v>331</v>
      </c>
      <c r="H51" s="718" t="s">
        <v>332</v>
      </c>
      <c r="I51" s="13" t="s">
        <v>333</v>
      </c>
      <c r="J51" s="13">
        <v>1</v>
      </c>
      <c r="K51" s="13">
        <v>-5</v>
      </c>
      <c r="L51" s="13">
        <v>200</v>
      </c>
      <c r="M51" s="13" t="s">
        <v>150</v>
      </c>
      <c r="N51" s="969"/>
      <c r="O51" s="13"/>
      <c r="P51" s="13"/>
      <c r="Q51" s="13"/>
      <c r="R51" s="13"/>
      <c r="S51" s="13"/>
      <c r="T51" s="13"/>
      <c r="U51" s="13"/>
      <c r="V51" s="13"/>
      <c r="W51" s="13"/>
      <c r="X51" s="13"/>
      <c r="Y51" s="13"/>
      <c r="Z51" s="12"/>
      <c r="AA51" s="12"/>
      <c r="AB51" s="12"/>
      <c r="AC51" s="12"/>
      <c r="AD51" s="12">
        <v>130</v>
      </c>
      <c r="AE51" s="12">
        <v>5</v>
      </c>
      <c r="AF51" s="12">
        <v>155</v>
      </c>
      <c r="AG51" s="12">
        <v>5</v>
      </c>
      <c r="AH51" s="728"/>
      <c r="AI51" s="728"/>
      <c r="AJ51" s="728"/>
      <c r="AK51" s="728"/>
      <c r="AL51" s="13"/>
      <c r="AM51" s="8" t="s">
        <v>334</v>
      </c>
      <c r="AN51" s="13">
        <v>1</v>
      </c>
    </row>
    <row r="52" spans="1:40" s="2" customFormat="1" ht="64.5" hidden="1" customHeight="1">
      <c r="A52" s="12"/>
      <c r="B52" s="12"/>
      <c r="C52" s="12"/>
      <c r="D52" s="5"/>
      <c r="E52" s="5" t="s">
        <v>335</v>
      </c>
      <c r="F52" s="5" t="s">
        <v>336</v>
      </c>
      <c r="G52" s="5" t="s">
        <v>331</v>
      </c>
      <c r="H52" s="718" t="s">
        <v>337</v>
      </c>
      <c r="I52" s="13" t="s">
        <v>338</v>
      </c>
      <c r="J52" s="13">
        <v>1</v>
      </c>
      <c r="K52" s="13">
        <v>-5</v>
      </c>
      <c r="L52" s="13">
        <v>200</v>
      </c>
      <c r="M52" s="13" t="s">
        <v>150</v>
      </c>
      <c r="N52" s="13"/>
      <c r="O52" s="13"/>
      <c r="P52" s="13"/>
      <c r="Q52" s="13"/>
      <c r="R52" s="13"/>
      <c r="S52" s="13"/>
      <c r="T52" s="13"/>
      <c r="U52" s="13"/>
      <c r="V52" s="13"/>
      <c r="W52" s="13"/>
      <c r="X52" s="13"/>
      <c r="Y52" s="13"/>
      <c r="Z52" s="12"/>
      <c r="AA52" s="12"/>
      <c r="AB52" s="12"/>
      <c r="AC52" s="12"/>
      <c r="AD52" s="12">
        <v>130</v>
      </c>
      <c r="AE52" s="12">
        <v>5</v>
      </c>
      <c r="AF52" s="12">
        <v>155</v>
      </c>
      <c r="AG52" s="12">
        <v>5</v>
      </c>
      <c r="AH52" s="728"/>
      <c r="AI52" s="728"/>
      <c r="AJ52" s="728"/>
      <c r="AK52" s="728"/>
      <c r="AL52" s="13"/>
      <c r="AM52" s="8" t="s">
        <v>334</v>
      </c>
      <c r="AN52" s="13">
        <v>1</v>
      </c>
    </row>
    <row r="53" spans="1:40" s="2" customFormat="1" ht="64.5" hidden="1" customHeight="1">
      <c r="A53" s="12"/>
      <c r="B53" s="12"/>
      <c r="C53" s="12"/>
      <c r="D53" s="5"/>
      <c r="E53" s="5" t="s">
        <v>339</v>
      </c>
      <c r="F53" s="5" t="s">
        <v>340</v>
      </c>
      <c r="G53" s="5" t="s">
        <v>331</v>
      </c>
      <c r="H53" s="718" t="s">
        <v>341</v>
      </c>
      <c r="I53" s="13" t="s">
        <v>342</v>
      </c>
      <c r="J53" s="13">
        <v>1</v>
      </c>
      <c r="K53" s="13">
        <v>-5</v>
      </c>
      <c r="L53" s="13">
        <v>200</v>
      </c>
      <c r="M53" s="13" t="s">
        <v>150</v>
      </c>
      <c r="N53" s="13"/>
      <c r="O53" s="13"/>
      <c r="P53" s="13"/>
      <c r="Q53" s="13"/>
      <c r="R53" s="13"/>
      <c r="S53" s="13"/>
      <c r="T53" s="13"/>
      <c r="U53" s="13"/>
      <c r="V53" s="13"/>
      <c r="W53" s="13"/>
      <c r="X53" s="13"/>
      <c r="Y53" s="13"/>
      <c r="Z53" s="12"/>
      <c r="AA53" s="12"/>
      <c r="AB53" s="12"/>
      <c r="AC53" s="12"/>
      <c r="AD53" s="12">
        <v>130</v>
      </c>
      <c r="AE53" s="12">
        <v>5</v>
      </c>
      <c r="AF53" s="12">
        <v>155</v>
      </c>
      <c r="AG53" s="12">
        <v>5</v>
      </c>
      <c r="AH53" s="728"/>
      <c r="AI53" s="728"/>
      <c r="AJ53" s="728"/>
      <c r="AK53" s="728"/>
      <c r="AL53" s="13"/>
      <c r="AM53" s="8" t="s">
        <v>334</v>
      </c>
      <c r="AN53" s="13">
        <v>1</v>
      </c>
    </row>
    <row r="54" spans="1:40" s="2" customFormat="1" ht="64.5" hidden="1" customHeight="1">
      <c r="A54" s="12"/>
      <c r="B54" s="12"/>
      <c r="C54" s="12"/>
      <c r="D54" s="5"/>
      <c r="E54" s="5" t="s">
        <v>343</v>
      </c>
      <c r="F54" s="5" t="s">
        <v>344</v>
      </c>
      <c r="G54" s="5" t="s">
        <v>331</v>
      </c>
      <c r="H54" s="718" t="s">
        <v>345</v>
      </c>
      <c r="I54" s="13" t="s">
        <v>346</v>
      </c>
      <c r="J54" s="13">
        <v>1</v>
      </c>
      <c r="K54" s="13">
        <v>-5</v>
      </c>
      <c r="L54" s="13">
        <v>200</v>
      </c>
      <c r="M54" s="13" t="s">
        <v>150</v>
      </c>
      <c r="N54" s="13"/>
      <c r="O54" s="13"/>
      <c r="P54" s="13"/>
      <c r="Q54" s="13"/>
      <c r="R54" s="13"/>
      <c r="S54" s="13"/>
      <c r="T54" s="13"/>
      <c r="U54" s="13"/>
      <c r="V54" s="13"/>
      <c r="W54" s="13"/>
      <c r="X54" s="13"/>
      <c r="Y54" s="13"/>
      <c r="Z54" s="12"/>
      <c r="AA54" s="12"/>
      <c r="AB54" s="12"/>
      <c r="AC54" s="12"/>
      <c r="AD54" s="12">
        <v>90</v>
      </c>
      <c r="AE54" s="12">
        <v>5</v>
      </c>
      <c r="AF54" s="12">
        <v>110</v>
      </c>
      <c r="AG54" s="12">
        <v>5</v>
      </c>
      <c r="AH54" s="728"/>
      <c r="AI54" s="728"/>
      <c r="AJ54" s="728"/>
      <c r="AK54" s="728"/>
      <c r="AL54" s="13"/>
      <c r="AM54" s="8" t="s">
        <v>334</v>
      </c>
      <c r="AN54" s="13">
        <v>1</v>
      </c>
    </row>
    <row r="55" spans="1:40" s="2" customFormat="1" ht="64.5" hidden="1" customHeight="1">
      <c r="A55" s="12"/>
      <c r="B55" s="12"/>
      <c r="C55" s="12"/>
      <c r="D55" s="5"/>
      <c r="E55" s="5" t="s">
        <v>347</v>
      </c>
      <c r="F55" s="5" t="s">
        <v>348</v>
      </c>
      <c r="G55" s="5" t="s">
        <v>331</v>
      </c>
      <c r="H55" s="718" t="s">
        <v>349</v>
      </c>
      <c r="I55" s="13" t="s">
        <v>350</v>
      </c>
      <c r="J55" s="13">
        <v>1</v>
      </c>
      <c r="K55" s="13">
        <v>-5</v>
      </c>
      <c r="L55" s="13">
        <v>200</v>
      </c>
      <c r="M55" s="13" t="s">
        <v>150</v>
      </c>
      <c r="N55" s="13"/>
      <c r="O55" s="13"/>
      <c r="P55" s="13"/>
      <c r="Q55" s="13"/>
      <c r="R55" s="13"/>
      <c r="S55" s="13"/>
      <c r="T55" s="13"/>
      <c r="U55" s="13"/>
      <c r="V55" s="13"/>
      <c r="W55" s="13"/>
      <c r="X55" s="13"/>
      <c r="Y55" s="13"/>
      <c r="Z55" s="12"/>
      <c r="AA55" s="12"/>
      <c r="AB55" s="12"/>
      <c r="AC55" s="12"/>
      <c r="AD55" s="12">
        <v>90</v>
      </c>
      <c r="AE55" s="12">
        <v>5</v>
      </c>
      <c r="AF55" s="12">
        <v>110</v>
      </c>
      <c r="AG55" s="12">
        <v>5</v>
      </c>
      <c r="AH55" s="728"/>
      <c r="AI55" s="728"/>
      <c r="AJ55" s="728"/>
      <c r="AK55" s="728"/>
      <c r="AL55" s="13"/>
      <c r="AM55" s="8" t="s">
        <v>334</v>
      </c>
      <c r="AN55" s="13">
        <v>1</v>
      </c>
    </row>
    <row r="56" spans="1:40" s="2" customFormat="1" ht="64.5" hidden="1" customHeight="1">
      <c r="A56" s="12"/>
      <c r="B56" s="12"/>
      <c r="C56" s="12"/>
      <c r="D56" s="5"/>
      <c r="E56" s="5" t="s">
        <v>351</v>
      </c>
      <c r="F56" s="5" t="s">
        <v>352</v>
      </c>
      <c r="G56" s="5" t="s">
        <v>331</v>
      </c>
      <c r="H56" s="718" t="s">
        <v>353</v>
      </c>
      <c r="I56" s="13" t="s">
        <v>354</v>
      </c>
      <c r="J56" s="13">
        <v>1</v>
      </c>
      <c r="K56" s="13">
        <v>-100</v>
      </c>
      <c r="L56" s="13">
        <v>150</v>
      </c>
      <c r="M56" s="13" t="s">
        <v>143</v>
      </c>
      <c r="N56" s="13"/>
      <c r="O56" s="13"/>
      <c r="P56" s="13"/>
      <c r="Q56" s="13"/>
      <c r="R56" s="13"/>
      <c r="S56" s="13"/>
      <c r="T56" s="13"/>
      <c r="U56" s="13"/>
      <c r="V56" s="13"/>
      <c r="W56" s="13"/>
      <c r="X56" s="13"/>
      <c r="Y56" s="13"/>
      <c r="Z56" s="12">
        <v>-8</v>
      </c>
      <c r="AA56" s="12">
        <v>5</v>
      </c>
      <c r="AB56" s="12">
        <v>-6</v>
      </c>
      <c r="AC56" s="12">
        <v>5</v>
      </c>
      <c r="AD56" s="12"/>
      <c r="AE56" s="12"/>
      <c r="AF56" s="12"/>
      <c r="AG56" s="12"/>
      <c r="AH56" s="728"/>
      <c r="AI56" s="728"/>
      <c r="AJ56" s="728"/>
      <c r="AK56" s="728"/>
      <c r="AL56" s="13" t="s">
        <v>355</v>
      </c>
      <c r="AM56" s="8" t="s">
        <v>356</v>
      </c>
      <c r="AN56" s="13">
        <v>1</v>
      </c>
    </row>
    <row r="57" spans="1:40" s="2" customFormat="1" ht="64.5" hidden="1" customHeight="1">
      <c r="A57" s="12"/>
      <c r="B57" s="12"/>
      <c r="C57" s="12"/>
      <c r="D57" s="5"/>
      <c r="E57" s="5" t="s">
        <v>357</v>
      </c>
      <c r="F57" s="5" t="s">
        <v>358</v>
      </c>
      <c r="G57" s="5" t="s">
        <v>331</v>
      </c>
      <c r="H57" s="718" t="s">
        <v>359</v>
      </c>
      <c r="I57" s="13" t="s">
        <v>360</v>
      </c>
      <c r="J57" s="13">
        <v>1</v>
      </c>
      <c r="K57" s="13">
        <v>-50</v>
      </c>
      <c r="L57" s="13">
        <v>200</v>
      </c>
      <c r="M57" s="13" t="s">
        <v>150</v>
      </c>
      <c r="N57" s="13"/>
      <c r="O57" s="13"/>
      <c r="P57" s="13"/>
      <c r="Q57" s="13"/>
      <c r="R57" s="13"/>
      <c r="S57" s="13"/>
      <c r="T57" s="13"/>
      <c r="U57" s="13"/>
      <c r="V57" s="13"/>
      <c r="W57" s="13"/>
      <c r="X57" s="13"/>
      <c r="Y57" s="13"/>
      <c r="Z57" s="12"/>
      <c r="AA57" s="12"/>
      <c r="AB57" s="12"/>
      <c r="AC57" s="12"/>
      <c r="AD57" s="12">
        <v>172</v>
      </c>
      <c r="AE57" s="12">
        <v>5</v>
      </c>
      <c r="AF57" s="12">
        <v>177</v>
      </c>
      <c r="AG57" s="12">
        <v>5</v>
      </c>
      <c r="AH57" s="728"/>
      <c r="AI57" s="728"/>
      <c r="AJ57" s="728"/>
      <c r="AK57" s="728"/>
      <c r="AL57" s="13"/>
      <c r="AM57" s="8" t="s">
        <v>361</v>
      </c>
      <c r="AN57" s="13" t="s">
        <v>138</v>
      </c>
    </row>
    <row r="58" spans="1:40" s="2" customFormat="1" ht="64.5" hidden="1" customHeight="1">
      <c r="A58" s="12"/>
      <c r="B58" s="12"/>
      <c r="C58" s="12"/>
      <c r="D58" s="5"/>
      <c r="E58" s="5" t="s">
        <v>362</v>
      </c>
      <c r="F58" s="5" t="s">
        <v>363</v>
      </c>
      <c r="G58" s="5" t="s">
        <v>331</v>
      </c>
      <c r="H58" s="718" t="s">
        <v>364</v>
      </c>
      <c r="I58" s="13" t="s">
        <v>365</v>
      </c>
      <c r="J58" s="13">
        <v>1</v>
      </c>
      <c r="K58" s="13">
        <v>-50</v>
      </c>
      <c r="L58" s="13">
        <v>200</v>
      </c>
      <c r="M58" s="13" t="s">
        <v>150</v>
      </c>
      <c r="N58" s="13"/>
      <c r="O58" s="13"/>
      <c r="P58" s="13"/>
      <c r="Q58" s="13"/>
      <c r="R58" s="13"/>
      <c r="S58" s="13"/>
      <c r="T58" s="13"/>
      <c r="U58" s="13"/>
      <c r="V58" s="13"/>
      <c r="W58" s="13"/>
      <c r="X58" s="13"/>
      <c r="Y58" s="13"/>
      <c r="Z58" s="12"/>
      <c r="AA58" s="12"/>
      <c r="AB58" s="12"/>
      <c r="AC58" s="12"/>
      <c r="AD58" s="12">
        <v>113</v>
      </c>
      <c r="AE58" s="12">
        <v>5</v>
      </c>
      <c r="AF58" s="12">
        <v>118</v>
      </c>
      <c r="AG58" s="12">
        <v>5</v>
      </c>
      <c r="AH58" s="728"/>
      <c r="AI58" s="728"/>
      <c r="AJ58" s="728"/>
      <c r="AK58" s="728"/>
      <c r="AL58" s="13"/>
      <c r="AM58" s="8" t="s">
        <v>366</v>
      </c>
      <c r="AN58" s="13" t="s">
        <v>138</v>
      </c>
    </row>
    <row r="59" spans="1:40" s="2" customFormat="1" ht="64.5" hidden="1" customHeight="1">
      <c r="A59" s="12"/>
      <c r="B59" s="12"/>
      <c r="C59" s="12"/>
      <c r="D59" s="5"/>
      <c r="E59" s="5" t="s">
        <v>367</v>
      </c>
      <c r="F59" s="5" t="s">
        <v>368</v>
      </c>
      <c r="G59" s="5" t="s">
        <v>331</v>
      </c>
      <c r="H59" s="718" t="s">
        <v>369</v>
      </c>
      <c r="I59" s="13" t="s">
        <v>370</v>
      </c>
      <c r="J59" s="13">
        <v>1</v>
      </c>
      <c r="K59" s="13">
        <v>-50</v>
      </c>
      <c r="L59" s="13">
        <v>200</v>
      </c>
      <c r="M59" s="13" t="s">
        <v>150</v>
      </c>
      <c r="N59" s="13"/>
      <c r="O59" s="13"/>
      <c r="P59" s="13"/>
      <c r="Q59" s="13"/>
      <c r="R59" s="13"/>
      <c r="S59" s="13"/>
      <c r="T59" s="13"/>
      <c r="U59" s="13"/>
      <c r="V59" s="13"/>
      <c r="W59" s="13"/>
      <c r="X59" s="13"/>
      <c r="Y59" s="13"/>
      <c r="Z59" s="12"/>
      <c r="AA59" s="12"/>
      <c r="AB59" s="12"/>
      <c r="AC59" s="12"/>
      <c r="AD59" s="12">
        <v>50</v>
      </c>
      <c r="AE59" s="12">
        <v>5</v>
      </c>
      <c r="AF59" s="12">
        <v>52</v>
      </c>
      <c r="AG59" s="12">
        <v>5</v>
      </c>
      <c r="AH59" s="728"/>
      <c r="AI59" s="728"/>
      <c r="AJ59" s="728"/>
      <c r="AK59" s="728"/>
      <c r="AL59" s="13"/>
      <c r="AM59" s="8" t="s">
        <v>371</v>
      </c>
      <c r="AN59" s="13" t="s">
        <v>138</v>
      </c>
    </row>
    <row r="60" spans="1:40" s="2" customFormat="1" ht="64.5" hidden="1" customHeight="1">
      <c r="A60" s="12"/>
      <c r="B60" s="12"/>
      <c r="C60" s="12"/>
      <c r="D60" s="5"/>
      <c r="E60" s="5" t="s">
        <v>372</v>
      </c>
      <c r="F60" s="5" t="s">
        <v>373</v>
      </c>
      <c r="G60" s="5" t="s">
        <v>331</v>
      </c>
      <c r="H60" s="718" t="s">
        <v>374</v>
      </c>
      <c r="I60" s="13" t="s">
        <v>375</v>
      </c>
      <c r="J60" s="13">
        <v>1</v>
      </c>
      <c r="K60" s="13">
        <v>-5</v>
      </c>
      <c r="L60" s="13">
        <v>200</v>
      </c>
      <c r="M60" s="13" t="s">
        <v>150</v>
      </c>
      <c r="N60" s="13"/>
      <c r="O60" s="13"/>
      <c r="P60" s="13"/>
      <c r="Q60" s="13"/>
      <c r="R60" s="13"/>
      <c r="S60" s="13"/>
      <c r="T60" s="13"/>
      <c r="U60" s="13"/>
      <c r="V60" s="13"/>
      <c r="W60" s="13"/>
      <c r="X60" s="13"/>
      <c r="Y60" s="13"/>
      <c r="Z60" s="12"/>
      <c r="AA60" s="12"/>
      <c r="AB60" s="12"/>
      <c r="AC60" s="12"/>
      <c r="AD60" s="12">
        <v>130</v>
      </c>
      <c r="AE60" s="12">
        <v>5</v>
      </c>
      <c r="AF60" s="12">
        <v>155</v>
      </c>
      <c r="AG60" s="12">
        <v>5</v>
      </c>
      <c r="AH60" s="728"/>
      <c r="AI60" s="728"/>
      <c r="AJ60" s="728"/>
      <c r="AK60" s="728"/>
      <c r="AL60" s="13"/>
      <c r="AM60" s="8" t="s">
        <v>376</v>
      </c>
      <c r="AN60" s="13" t="s">
        <v>138</v>
      </c>
    </row>
    <row r="61" spans="1:40" s="2" customFormat="1" ht="64.5" hidden="1" customHeight="1">
      <c r="A61" s="12"/>
      <c r="B61" s="12"/>
      <c r="C61" s="12"/>
      <c r="D61" s="5"/>
      <c r="E61" s="5" t="s">
        <v>377</v>
      </c>
      <c r="F61" s="5" t="s">
        <v>378</v>
      </c>
      <c r="G61" s="5" t="s">
        <v>331</v>
      </c>
      <c r="H61" s="718" t="s">
        <v>379</v>
      </c>
      <c r="I61" s="13" t="s">
        <v>380</v>
      </c>
      <c r="J61" s="13">
        <v>1</v>
      </c>
      <c r="K61" s="13">
        <v>-5</v>
      </c>
      <c r="L61" s="13">
        <v>200</v>
      </c>
      <c r="M61" s="13" t="s">
        <v>150</v>
      </c>
      <c r="N61" s="13"/>
      <c r="O61" s="13"/>
      <c r="P61" s="13"/>
      <c r="Q61" s="13"/>
      <c r="R61" s="13"/>
      <c r="S61" s="13"/>
      <c r="T61" s="13"/>
      <c r="U61" s="13"/>
      <c r="V61" s="13"/>
      <c r="W61" s="13"/>
      <c r="X61" s="13"/>
      <c r="Y61" s="13"/>
      <c r="Z61" s="12"/>
      <c r="AA61" s="12"/>
      <c r="AB61" s="12"/>
      <c r="AC61" s="12"/>
      <c r="AD61" s="12">
        <v>130</v>
      </c>
      <c r="AE61" s="12">
        <v>5</v>
      </c>
      <c r="AF61" s="12">
        <v>155</v>
      </c>
      <c r="AG61" s="12">
        <v>5</v>
      </c>
      <c r="AH61" s="728"/>
      <c r="AI61" s="728"/>
      <c r="AJ61" s="728"/>
      <c r="AK61" s="728"/>
      <c r="AL61" s="13"/>
      <c r="AM61" s="8" t="s">
        <v>376</v>
      </c>
      <c r="AN61" s="13" t="s">
        <v>138</v>
      </c>
    </row>
    <row r="62" spans="1:40" s="2" customFormat="1" ht="64.5" hidden="1" customHeight="1">
      <c r="A62" s="12"/>
      <c r="B62" s="12"/>
      <c r="C62" s="12"/>
      <c r="D62" s="5"/>
      <c r="E62" s="5" t="s">
        <v>381</v>
      </c>
      <c r="F62" s="5" t="s">
        <v>382</v>
      </c>
      <c r="G62" s="5" t="s">
        <v>331</v>
      </c>
      <c r="H62" s="718" t="s">
        <v>383</v>
      </c>
      <c r="I62" s="13" t="s">
        <v>384</v>
      </c>
      <c r="J62" s="13">
        <v>1</v>
      </c>
      <c r="K62" s="13">
        <v>-5</v>
      </c>
      <c r="L62" s="13">
        <v>200</v>
      </c>
      <c r="M62" s="13" t="s">
        <v>150</v>
      </c>
      <c r="N62" s="13"/>
      <c r="O62" s="13"/>
      <c r="P62" s="13"/>
      <c r="Q62" s="13"/>
      <c r="R62" s="13"/>
      <c r="S62" s="13"/>
      <c r="T62" s="13"/>
      <c r="U62" s="13"/>
      <c r="V62" s="13"/>
      <c r="W62" s="13"/>
      <c r="X62" s="13"/>
      <c r="Y62" s="13"/>
      <c r="Z62" s="12"/>
      <c r="AA62" s="12"/>
      <c r="AB62" s="12"/>
      <c r="AC62" s="12"/>
      <c r="AD62" s="12">
        <v>130</v>
      </c>
      <c r="AE62" s="12">
        <v>5</v>
      </c>
      <c r="AF62" s="12">
        <v>155</v>
      </c>
      <c r="AG62" s="12">
        <v>5</v>
      </c>
      <c r="AH62" s="728"/>
      <c r="AI62" s="728"/>
      <c r="AJ62" s="728"/>
      <c r="AK62" s="728"/>
      <c r="AL62" s="13"/>
      <c r="AM62" s="8" t="s">
        <v>376</v>
      </c>
      <c r="AN62" s="13" t="s">
        <v>138</v>
      </c>
    </row>
    <row r="63" spans="1:40" s="2" customFormat="1" ht="64.5" hidden="1" customHeight="1">
      <c r="A63" s="12"/>
      <c r="B63" s="12"/>
      <c r="C63" s="12"/>
      <c r="D63" s="5"/>
      <c r="E63" s="5" t="s">
        <v>385</v>
      </c>
      <c r="F63" s="5" t="s">
        <v>386</v>
      </c>
      <c r="G63" s="5" t="s">
        <v>331</v>
      </c>
      <c r="H63" s="718" t="s">
        <v>387</v>
      </c>
      <c r="I63" s="13" t="s">
        <v>388</v>
      </c>
      <c r="J63" s="13">
        <v>1</v>
      </c>
      <c r="K63" s="13">
        <v>-5</v>
      </c>
      <c r="L63" s="13">
        <v>200</v>
      </c>
      <c r="M63" s="13" t="s">
        <v>150</v>
      </c>
      <c r="N63" s="13"/>
      <c r="O63" s="13"/>
      <c r="P63" s="13"/>
      <c r="Q63" s="13"/>
      <c r="R63" s="13"/>
      <c r="S63" s="13"/>
      <c r="T63" s="13"/>
      <c r="U63" s="13"/>
      <c r="V63" s="13"/>
      <c r="W63" s="13"/>
      <c r="X63" s="13"/>
      <c r="Y63" s="13"/>
      <c r="Z63" s="12"/>
      <c r="AA63" s="12"/>
      <c r="AB63" s="12"/>
      <c r="AC63" s="12"/>
      <c r="AD63" s="12">
        <v>90</v>
      </c>
      <c r="AE63" s="12">
        <v>5</v>
      </c>
      <c r="AF63" s="12">
        <v>110</v>
      </c>
      <c r="AG63" s="12">
        <v>5</v>
      </c>
      <c r="AH63" s="728"/>
      <c r="AI63" s="728"/>
      <c r="AJ63" s="728"/>
      <c r="AK63" s="728"/>
      <c r="AL63" s="13"/>
      <c r="AM63" s="8" t="s">
        <v>376</v>
      </c>
      <c r="AN63" s="13">
        <v>1</v>
      </c>
    </row>
    <row r="64" spans="1:40" s="2" customFormat="1" ht="64.5" hidden="1" customHeight="1">
      <c r="A64" s="12"/>
      <c r="B64" s="12"/>
      <c r="C64" s="12"/>
      <c r="D64" s="5"/>
      <c r="E64" s="5" t="s">
        <v>389</v>
      </c>
      <c r="F64" s="5" t="s">
        <v>390</v>
      </c>
      <c r="G64" s="5" t="s">
        <v>331</v>
      </c>
      <c r="H64" s="718" t="s">
        <v>391</v>
      </c>
      <c r="I64" s="13" t="s">
        <v>392</v>
      </c>
      <c r="J64" s="13">
        <v>1</v>
      </c>
      <c r="K64" s="13">
        <v>-5</v>
      </c>
      <c r="L64" s="13">
        <v>200</v>
      </c>
      <c r="M64" s="13" t="s">
        <v>150</v>
      </c>
      <c r="N64" s="13"/>
      <c r="O64" s="13"/>
      <c r="P64" s="13"/>
      <c r="Q64" s="13"/>
      <c r="R64" s="13"/>
      <c r="S64" s="13"/>
      <c r="T64" s="13"/>
      <c r="U64" s="13"/>
      <c r="V64" s="13"/>
      <c r="W64" s="13"/>
      <c r="X64" s="13"/>
      <c r="Y64" s="13"/>
      <c r="Z64" s="12"/>
      <c r="AA64" s="12"/>
      <c r="AB64" s="12"/>
      <c r="AC64" s="12"/>
      <c r="AD64" s="12">
        <v>90</v>
      </c>
      <c r="AE64" s="12">
        <v>5</v>
      </c>
      <c r="AF64" s="12">
        <v>110</v>
      </c>
      <c r="AG64" s="12">
        <v>5</v>
      </c>
      <c r="AH64" s="728"/>
      <c r="AI64" s="728"/>
      <c r="AJ64" s="728"/>
      <c r="AK64" s="728"/>
      <c r="AL64" s="13"/>
      <c r="AM64" s="8" t="s">
        <v>376</v>
      </c>
      <c r="AN64" s="13">
        <v>1</v>
      </c>
    </row>
    <row r="65" spans="1:40" s="2" customFormat="1" ht="64.5" hidden="1" customHeight="1">
      <c r="A65" s="12"/>
      <c r="B65" s="12"/>
      <c r="C65" s="12"/>
      <c r="D65" s="5"/>
      <c r="E65" s="5" t="s">
        <v>393</v>
      </c>
      <c r="F65" s="5" t="s">
        <v>394</v>
      </c>
      <c r="G65" s="5" t="s">
        <v>331</v>
      </c>
      <c r="H65" s="718" t="s">
        <v>395</v>
      </c>
      <c r="I65" s="13" t="s">
        <v>396</v>
      </c>
      <c r="J65" s="13">
        <v>1</v>
      </c>
      <c r="K65" s="13">
        <v>-100</v>
      </c>
      <c r="L65" s="13">
        <v>150</v>
      </c>
      <c r="M65" s="13" t="s">
        <v>143</v>
      </c>
      <c r="N65" s="13"/>
      <c r="O65" s="13"/>
      <c r="P65" s="13"/>
      <c r="Q65" s="13"/>
      <c r="R65" s="13"/>
      <c r="S65" s="13"/>
      <c r="T65" s="13"/>
      <c r="U65" s="13"/>
      <c r="V65" s="13"/>
      <c r="W65" s="13"/>
      <c r="X65" s="13"/>
      <c r="Y65" s="13"/>
      <c r="Z65" s="12">
        <v>-8</v>
      </c>
      <c r="AA65" s="12">
        <v>5</v>
      </c>
      <c r="AB65" s="12">
        <v>-6</v>
      </c>
      <c r="AC65" s="12">
        <v>5</v>
      </c>
      <c r="AD65" s="12"/>
      <c r="AE65" s="12"/>
      <c r="AF65" s="12"/>
      <c r="AG65" s="12"/>
      <c r="AH65" s="728"/>
      <c r="AI65" s="728"/>
      <c r="AJ65" s="728"/>
      <c r="AK65" s="728"/>
      <c r="AL65" s="13" t="s">
        <v>397</v>
      </c>
      <c r="AM65" s="8" t="s">
        <v>398</v>
      </c>
      <c r="AN65" s="13">
        <v>1</v>
      </c>
    </row>
    <row r="66" spans="1:40" s="2" customFormat="1" ht="64.5" hidden="1" customHeight="1">
      <c r="A66" s="12"/>
      <c r="B66" s="12"/>
      <c r="C66" s="12"/>
      <c r="D66" s="5"/>
      <c r="E66" s="5" t="s">
        <v>399</v>
      </c>
      <c r="F66" s="5" t="s">
        <v>400</v>
      </c>
      <c r="G66" s="5" t="s">
        <v>331</v>
      </c>
      <c r="H66" s="718" t="s">
        <v>401</v>
      </c>
      <c r="I66" s="13" t="s">
        <v>402</v>
      </c>
      <c r="J66" s="13">
        <v>1</v>
      </c>
      <c r="K66" s="13">
        <v>-50</v>
      </c>
      <c r="L66" s="13">
        <v>200</v>
      </c>
      <c r="M66" s="13" t="s">
        <v>150</v>
      </c>
      <c r="N66" s="13"/>
      <c r="O66" s="13"/>
      <c r="P66" s="13"/>
      <c r="Q66" s="13"/>
      <c r="R66" s="13"/>
      <c r="S66" s="13"/>
      <c r="T66" s="13"/>
      <c r="U66" s="13"/>
      <c r="V66" s="13"/>
      <c r="W66" s="13"/>
      <c r="X66" s="13"/>
      <c r="Y66" s="13"/>
      <c r="Z66" s="12"/>
      <c r="AA66" s="12"/>
      <c r="AB66" s="12"/>
      <c r="AC66" s="12"/>
      <c r="AD66" s="12">
        <v>172</v>
      </c>
      <c r="AE66" s="12">
        <v>5</v>
      </c>
      <c r="AF66" s="12">
        <v>177</v>
      </c>
      <c r="AG66" s="12">
        <v>5</v>
      </c>
      <c r="AH66" s="728"/>
      <c r="AI66" s="728"/>
      <c r="AJ66" s="728"/>
      <c r="AK66" s="728"/>
      <c r="AL66" s="13"/>
      <c r="AM66" s="8" t="s">
        <v>403</v>
      </c>
      <c r="AN66" s="13" t="s">
        <v>138</v>
      </c>
    </row>
    <row r="67" spans="1:40" s="2" customFormat="1" ht="64.5" hidden="1" customHeight="1">
      <c r="A67" s="12"/>
      <c r="B67" s="12"/>
      <c r="C67" s="12"/>
      <c r="D67" s="5"/>
      <c r="E67" s="5" t="s">
        <v>404</v>
      </c>
      <c r="F67" s="5" t="s">
        <v>405</v>
      </c>
      <c r="G67" s="5" t="s">
        <v>331</v>
      </c>
      <c r="H67" s="718" t="s">
        <v>406</v>
      </c>
      <c r="I67" s="13" t="s">
        <v>407</v>
      </c>
      <c r="J67" s="13">
        <v>1</v>
      </c>
      <c r="K67" s="13">
        <v>-50</v>
      </c>
      <c r="L67" s="13">
        <v>200</v>
      </c>
      <c r="M67" s="13" t="s">
        <v>150</v>
      </c>
      <c r="N67" s="13"/>
      <c r="O67" s="13"/>
      <c r="P67" s="13"/>
      <c r="Q67" s="13"/>
      <c r="R67" s="13"/>
      <c r="S67" s="13"/>
      <c r="T67" s="13"/>
      <c r="U67" s="13"/>
      <c r="V67" s="13"/>
      <c r="W67" s="13"/>
      <c r="X67" s="13"/>
      <c r="Y67" s="13"/>
      <c r="Z67" s="12"/>
      <c r="AA67" s="12"/>
      <c r="AB67" s="12"/>
      <c r="AC67" s="12"/>
      <c r="AD67" s="12">
        <v>113</v>
      </c>
      <c r="AE67" s="12">
        <v>5</v>
      </c>
      <c r="AF67" s="12">
        <v>118</v>
      </c>
      <c r="AG67" s="12">
        <v>5</v>
      </c>
      <c r="AH67" s="728"/>
      <c r="AI67" s="728"/>
      <c r="AJ67" s="728"/>
      <c r="AK67" s="728"/>
      <c r="AL67" s="13"/>
      <c r="AM67" s="8" t="s">
        <v>408</v>
      </c>
      <c r="AN67" s="13" t="s">
        <v>138</v>
      </c>
    </row>
    <row r="68" spans="1:40" s="2" customFormat="1" ht="64.5" hidden="1" customHeight="1">
      <c r="A68" s="12"/>
      <c r="B68" s="12"/>
      <c r="C68" s="12"/>
      <c r="D68" s="5"/>
      <c r="E68" s="5" t="s">
        <v>409</v>
      </c>
      <c r="F68" s="5" t="s">
        <v>410</v>
      </c>
      <c r="G68" s="5" t="s">
        <v>331</v>
      </c>
      <c r="H68" s="718" t="s">
        <v>411</v>
      </c>
      <c r="I68" s="13" t="s">
        <v>412</v>
      </c>
      <c r="J68" s="13">
        <v>1</v>
      </c>
      <c r="K68" s="13">
        <v>-50</v>
      </c>
      <c r="L68" s="13">
        <v>200</v>
      </c>
      <c r="M68" s="13" t="s">
        <v>150</v>
      </c>
      <c r="N68" s="13"/>
      <c r="O68" s="13"/>
      <c r="P68" s="13"/>
      <c r="Q68" s="13"/>
      <c r="R68" s="13"/>
      <c r="S68" s="13"/>
      <c r="T68" s="13"/>
      <c r="U68" s="13"/>
      <c r="V68" s="13"/>
      <c r="W68" s="13"/>
      <c r="X68" s="13"/>
      <c r="Y68" s="13"/>
      <c r="Z68" s="12"/>
      <c r="AA68" s="12"/>
      <c r="AB68" s="12"/>
      <c r="AC68" s="12"/>
      <c r="AD68" s="12">
        <v>50</v>
      </c>
      <c r="AE68" s="12">
        <v>5</v>
      </c>
      <c r="AF68" s="12">
        <v>52</v>
      </c>
      <c r="AG68" s="12">
        <v>5</v>
      </c>
      <c r="AH68" s="728"/>
      <c r="AI68" s="728"/>
      <c r="AJ68" s="728"/>
      <c r="AK68" s="728"/>
      <c r="AL68" s="13"/>
      <c r="AM68" s="8" t="s">
        <v>413</v>
      </c>
      <c r="AN68" s="13" t="s">
        <v>138</v>
      </c>
    </row>
    <row r="69" spans="1:40" s="2" customFormat="1" ht="64.5" hidden="1" customHeight="1">
      <c r="A69" s="12"/>
      <c r="B69" s="12"/>
      <c r="C69" s="12"/>
      <c r="D69" s="5"/>
      <c r="E69" s="5" t="s">
        <v>414</v>
      </c>
      <c r="F69" s="5" t="s">
        <v>415</v>
      </c>
      <c r="G69" s="5" t="s">
        <v>331</v>
      </c>
      <c r="H69" s="718" t="s">
        <v>416</v>
      </c>
      <c r="I69" s="13" t="s">
        <v>417</v>
      </c>
      <c r="J69" s="13">
        <v>1</v>
      </c>
      <c r="K69" s="13">
        <v>-5</v>
      </c>
      <c r="L69" s="13">
        <v>200</v>
      </c>
      <c r="M69" s="13" t="s">
        <v>150</v>
      </c>
      <c r="N69" s="13"/>
      <c r="O69" s="13"/>
      <c r="P69" s="13"/>
      <c r="Q69" s="13"/>
      <c r="R69" s="13"/>
      <c r="S69" s="13"/>
      <c r="T69" s="13"/>
      <c r="U69" s="13"/>
      <c r="V69" s="13"/>
      <c r="W69" s="13"/>
      <c r="X69" s="13"/>
      <c r="Y69" s="13"/>
      <c r="Z69" s="12"/>
      <c r="AA69" s="12"/>
      <c r="AB69" s="12"/>
      <c r="AC69" s="12"/>
      <c r="AD69" s="12">
        <v>130</v>
      </c>
      <c r="AE69" s="12">
        <v>5</v>
      </c>
      <c r="AF69" s="12">
        <v>155</v>
      </c>
      <c r="AG69" s="12">
        <v>5</v>
      </c>
      <c r="AH69" s="728"/>
      <c r="AI69" s="728"/>
      <c r="AJ69" s="728"/>
      <c r="AK69" s="728"/>
      <c r="AL69" s="13"/>
      <c r="AM69" s="8" t="s">
        <v>418</v>
      </c>
      <c r="AN69" s="13" t="s">
        <v>138</v>
      </c>
    </row>
    <row r="70" spans="1:40" s="2" customFormat="1" ht="64.5" hidden="1" customHeight="1">
      <c r="A70" s="12"/>
      <c r="B70" s="12"/>
      <c r="C70" s="12"/>
      <c r="D70" s="5"/>
      <c r="E70" s="5" t="s">
        <v>419</v>
      </c>
      <c r="F70" s="5" t="s">
        <v>420</v>
      </c>
      <c r="G70" s="5" t="s">
        <v>331</v>
      </c>
      <c r="H70" s="718" t="s">
        <v>421</v>
      </c>
      <c r="I70" s="13" t="s">
        <v>422</v>
      </c>
      <c r="J70" s="13">
        <v>1</v>
      </c>
      <c r="K70" s="13">
        <v>-5</v>
      </c>
      <c r="L70" s="13">
        <v>200</v>
      </c>
      <c r="M70" s="13" t="s">
        <v>150</v>
      </c>
      <c r="N70" s="13"/>
      <c r="O70" s="13"/>
      <c r="P70" s="13"/>
      <c r="Q70" s="13"/>
      <c r="R70" s="13"/>
      <c r="S70" s="13"/>
      <c r="T70" s="13"/>
      <c r="U70" s="13"/>
      <c r="V70" s="13"/>
      <c r="W70" s="13"/>
      <c r="X70" s="13"/>
      <c r="Y70" s="13"/>
      <c r="Z70" s="12"/>
      <c r="AA70" s="12"/>
      <c r="AB70" s="12"/>
      <c r="AC70" s="12"/>
      <c r="AD70" s="12">
        <v>130</v>
      </c>
      <c r="AE70" s="12">
        <v>5</v>
      </c>
      <c r="AF70" s="12">
        <v>155</v>
      </c>
      <c r="AG70" s="12">
        <v>5</v>
      </c>
      <c r="AH70" s="728"/>
      <c r="AI70" s="728"/>
      <c r="AJ70" s="728"/>
      <c r="AK70" s="728"/>
      <c r="AL70" s="13"/>
      <c r="AM70" s="8" t="s">
        <v>418</v>
      </c>
      <c r="AN70" s="13" t="s">
        <v>138</v>
      </c>
    </row>
    <row r="71" spans="1:40" s="2" customFormat="1" ht="64.5" hidden="1" customHeight="1">
      <c r="A71" s="12"/>
      <c r="B71" s="12"/>
      <c r="C71" s="12"/>
      <c r="D71" s="5"/>
      <c r="E71" s="5" t="s">
        <v>423</v>
      </c>
      <c r="F71" s="5" t="s">
        <v>424</v>
      </c>
      <c r="G71" s="5" t="s">
        <v>331</v>
      </c>
      <c r="H71" s="718" t="s">
        <v>425</v>
      </c>
      <c r="I71" s="13" t="s">
        <v>426</v>
      </c>
      <c r="J71" s="13">
        <v>1</v>
      </c>
      <c r="K71" s="13">
        <v>-5</v>
      </c>
      <c r="L71" s="13">
        <v>200</v>
      </c>
      <c r="M71" s="13" t="s">
        <v>150</v>
      </c>
      <c r="N71" s="13"/>
      <c r="O71" s="13"/>
      <c r="P71" s="13"/>
      <c r="Q71" s="13"/>
      <c r="R71" s="13"/>
      <c r="S71" s="13"/>
      <c r="T71" s="13"/>
      <c r="U71" s="13"/>
      <c r="V71" s="13"/>
      <c r="W71" s="13"/>
      <c r="X71" s="13"/>
      <c r="Y71" s="13"/>
      <c r="Z71" s="12"/>
      <c r="AA71" s="12"/>
      <c r="AB71" s="12"/>
      <c r="AC71" s="12"/>
      <c r="AD71" s="12">
        <v>130</v>
      </c>
      <c r="AE71" s="12">
        <v>5</v>
      </c>
      <c r="AF71" s="12">
        <v>155</v>
      </c>
      <c r="AG71" s="12">
        <v>5</v>
      </c>
      <c r="AH71" s="728"/>
      <c r="AI71" s="728"/>
      <c r="AJ71" s="728"/>
      <c r="AK71" s="728"/>
      <c r="AL71" s="13"/>
      <c r="AM71" s="8" t="s">
        <v>418</v>
      </c>
      <c r="AN71" s="13" t="s">
        <v>138</v>
      </c>
    </row>
    <row r="72" spans="1:40" s="2" customFormat="1" ht="64.5" hidden="1" customHeight="1">
      <c r="A72" s="12"/>
      <c r="B72" s="12"/>
      <c r="C72" s="12"/>
      <c r="D72" s="5"/>
      <c r="E72" s="5" t="s">
        <v>427</v>
      </c>
      <c r="F72" s="5" t="s">
        <v>428</v>
      </c>
      <c r="G72" s="5" t="s">
        <v>331</v>
      </c>
      <c r="H72" s="718" t="s">
        <v>429</v>
      </c>
      <c r="I72" s="13" t="s">
        <v>430</v>
      </c>
      <c r="J72" s="13">
        <v>1</v>
      </c>
      <c r="K72" s="13">
        <v>-5</v>
      </c>
      <c r="L72" s="13">
        <v>200</v>
      </c>
      <c r="M72" s="13" t="s">
        <v>150</v>
      </c>
      <c r="N72" s="13"/>
      <c r="O72" s="13"/>
      <c r="P72" s="13"/>
      <c r="Q72" s="13"/>
      <c r="R72" s="13"/>
      <c r="S72" s="13"/>
      <c r="T72" s="13"/>
      <c r="U72" s="13"/>
      <c r="V72" s="13"/>
      <c r="W72" s="13"/>
      <c r="X72" s="13"/>
      <c r="Y72" s="13"/>
      <c r="Z72" s="12"/>
      <c r="AA72" s="12"/>
      <c r="AB72" s="12"/>
      <c r="AC72" s="12"/>
      <c r="AD72" s="12">
        <v>90</v>
      </c>
      <c r="AE72" s="12">
        <v>5</v>
      </c>
      <c r="AF72" s="12">
        <v>110</v>
      </c>
      <c r="AG72" s="12">
        <v>5</v>
      </c>
      <c r="AH72" s="728"/>
      <c r="AI72" s="728"/>
      <c r="AJ72" s="728"/>
      <c r="AK72" s="728"/>
      <c r="AL72" s="13"/>
      <c r="AM72" s="8" t="s">
        <v>418</v>
      </c>
      <c r="AN72" s="13">
        <v>1</v>
      </c>
    </row>
    <row r="73" spans="1:40" s="2" customFormat="1" ht="64.5" hidden="1" customHeight="1">
      <c r="A73" s="12"/>
      <c r="B73" s="12"/>
      <c r="C73" s="12"/>
      <c r="D73" s="5"/>
      <c r="E73" s="5" t="s">
        <v>431</v>
      </c>
      <c r="F73" s="5" t="s">
        <v>432</v>
      </c>
      <c r="G73" s="5" t="s">
        <v>331</v>
      </c>
      <c r="H73" s="718" t="s">
        <v>433</v>
      </c>
      <c r="I73" s="13" t="s">
        <v>434</v>
      </c>
      <c r="J73" s="13">
        <v>1</v>
      </c>
      <c r="K73" s="13">
        <v>-5</v>
      </c>
      <c r="L73" s="13">
        <v>200</v>
      </c>
      <c r="M73" s="13" t="s">
        <v>150</v>
      </c>
      <c r="N73" s="13"/>
      <c r="O73" s="13"/>
      <c r="P73" s="13"/>
      <c r="Q73" s="13"/>
      <c r="R73" s="13"/>
      <c r="S73" s="13"/>
      <c r="T73" s="13"/>
      <c r="U73" s="13"/>
      <c r="V73" s="13"/>
      <c r="W73" s="13"/>
      <c r="X73" s="13"/>
      <c r="Y73" s="13"/>
      <c r="Z73" s="12"/>
      <c r="AA73" s="12"/>
      <c r="AB73" s="12"/>
      <c r="AC73" s="12"/>
      <c r="AD73" s="12">
        <v>90</v>
      </c>
      <c r="AE73" s="12">
        <v>5</v>
      </c>
      <c r="AF73" s="12">
        <v>110</v>
      </c>
      <c r="AG73" s="12">
        <v>5</v>
      </c>
      <c r="AH73" s="728"/>
      <c r="AI73" s="728"/>
      <c r="AJ73" s="728"/>
      <c r="AK73" s="728"/>
      <c r="AL73" s="13"/>
      <c r="AM73" s="8" t="s">
        <v>418</v>
      </c>
      <c r="AN73" s="13">
        <v>1</v>
      </c>
    </row>
    <row r="74" spans="1:40" s="2" customFormat="1" ht="64.5" hidden="1" customHeight="1">
      <c r="A74" s="12"/>
      <c r="B74" s="12"/>
      <c r="C74" s="12"/>
      <c r="D74" s="5"/>
      <c r="E74" s="5" t="s">
        <v>435</v>
      </c>
      <c r="F74" s="5" t="s">
        <v>436</v>
      </c>
      <c r="G74" s="5" t="s">
        <v>331</v>
      </c>
      <c r="H74" s="718" t="s">
        <v>437</v>
      </c>
      <c r="I74" s="13" t="s">
        <v>438</v>
      </c>
      <c r="J74" s="13">
        <v>1</v>
      </c>
      <c r="K74" s="13">
        <v>-100</v>
      </c>
      <c r="L74" s="13">
        <v>150</v>
      </c>
      <c r="M74" s="13" t="s">
        <v>143</v>
      </c>
      <c r="N74" s="13"/>
      <c r="O74" s="13"/>
      <c r="P74" s="13"/>
      <c r="Q74" s="13"/>
      <c r="R74" s="13"/>
      <c r="S74" s="13"/>
      <c r="T74" s="13"/>
      <c r="U74" s="13"/>
      <c r="V74" s="13"/>
      <c r="W74" s="13"/>
      <c r="X74" s="13"/>
      <c r="Y74" s="13"/>
      <c r="Z74" s="12">
        <v>-8</v>
      </c>
      <c r="AA74" s="12">
        <v>5</v>
      </c>
      <c r="AB74" s="12">
        <v>-6</v>
      </c>
      <c r="AC74" s="12">
        <v>5</v>
      </c>
      <c r="AD74" s="12"/>
      <c r="AE74" s="12"/>
      <c r="AF74" s="12"/>
      <c r="AG74" s="12"/>
      <c r="AH74" s="728"/>
      <c r="AI74" s="728"/>
      <c r="AJ74" s="728"/>
      <c r="AK74" s="728"/>
      <c r="AL74" s="13" t="s">
        <v>439</v>
      </c>
      <c r="AM74" s="8" t="s">
        <v>440</v>
      </c>
      <c r="AN74" s="13">
        <v>1</v>
      </c>
    </row>
    <row r="75" spans="1:40" s="2" customFormat="1" ht="64.5" hidden="1" customHeight="1">
      <c r="A75" s="12"/>
      <c r="B75" s="12"/>
      <c r="C75" s="12"/>
      <c r="D75" s="5"/>
      <c r="E75" s="5" t="s">
        <v>441</v>
      </c>
      <c r="F75" s="5" t="s">
        <v>442</v>
      </c>
      <c r="G75" s="5" t="s">
        <v>331</v>
      </c>
      <c r="H75" s="718" t="s">
        <v>443</v>
      </c>
      <c r="I75" s="13" t="s">
        <v>444</v>
      </c>
      <c r="J75" s="13">
        <v>1</v>
      </c>
      <c r="K75" s="13">
        <v>-50</v>
      </c>
      <c r="L75" s="13">
        <v>200</v>
      </c>
      <c r="M75" s="13" t="s">
        <v>150</v>
      </c>
      <c r="N75" s="13"/>
      <c r="O75" s="13"/>
      <c r="P75" s="13"/>
      <c r="Q75" s="13"/>
      <c r="R75" s="13"/>
      <c r="S75" s="13"/>
      <c r="T75" s="13"/>
      <c r="U75" s="13"/>
      <c r="V75" s="13"/>
      <c r="W75" s="13"/>
      <c r="X75" s="13"/>
      <c r="Y75" s="13"/>
      <c r="Z75" s="12"/>
      <c r="AA75" s="12"/>
      <c r="AB75" s="12"/>
      <c r="AC75" s="12"/>
      <c r="AD75" s="12">
        <v>172</v>
      </c>
      <c r="AE75" s="12">
        <v>5</v>
      </c>
      <c r="AF75" s="12">
        <v>177</v>
      </c>
      <c r="AG75" s="12">
        <v>5</v>
      </c>
      <c r="AH75" s="728"/>
      <c r="AI75" s="728"/>
      <c r="AJ75" s="728"/>
      <c r="AK75" s="728"/>
      <c r="AL75" s="13"/>
      <c r="AM75" s="8" t="s">
        <v>445</v>
      </c>
      <c r="AN75" s="13" t="s">
        <v>138</v>
      </c>
    </row>
    <row r="76" spans="1:40" s="2" customFormat="1" ht="64.5" hidden="1" customHeight="1">
      <c r="A76" s="12"/>
      <c r="B76" s="12"/>
      <c r="C76" s="12"/>
      <c r="D76" s="5"/>
      <c r="E76" s="5" t="s">
        <v>446</v>
      </c>
      <c r="F76" s="5" t="s">
        <v>447</v>
      </c>
      <c r="G76" s="5" t="s">
        <v>331</v>
      </c>
      <c r="H76" s="718" t="s">
        <v>448</v>
      </c>
      <c r="I76" s="13" t="s">
        <v>449</v>
      </c>
      <c r="J76" s="13">
        <v>1</v>
      </c>
      <c r="K76" s="13">
        <v>-50</v>
      </c>
      <c r="L76" s="13">
        <v>200</v>
      </c>
      <c r="M76" s="13" t="s">
        <v>150</v>
      </c>
      <c r="N76" s="13"/>
      <c r="O76" s="13"/>
      <c r="P76" s="13"/>
      <c r="Q76" s="13"/>
      <c r="R76" s="13"/>
      <c r="S76" s="13"/>
      <c r="T76" s="13"/>
      <c r="U76" s="13"/>
      <c r="V76" s="13"/>
      <c r="W76" s="13"/>
      <c r="X76" s="13"/>
      <c r="Y76" s="13"/>
      <c r="Z76" s="12"/>
      <c r="AA76" s="12"/>
      <c r="AB76" s="12"/>
      <c r="AC76" s="12"/>
      <c r="AD76" s="12">
        <v>113</v>
      </c>
      <c r="AE76" s="12">
        <v>5</v>
      </c>
      <c r="AF76" s="12">
        <v>118</v>
      </c>
      <c r="AG76" s="12">
        <v>5</v>
      </c>
      <c r="AH76" s="728"/>
      <c r="AI76" s="728"/>
      <c r="AJ76" s="728"/>
      <c r="AK76" s="728"/>
      <c r="AL76" s="13"/>
      <c r="AM76" s="8" t="s">
        <v>450</v>
      </c>
      <c r="AN76" s="13" t="s">
        <v>138</v>
      </c>
    </row>
    <row r="77" spans="1:40" s="2" customFormat="1" ht="64.5" hidden="1" customHeight="1">
      <c r="A77" s="12"/>
      <c r="B77" s="12"/>
      <c r="C77" s="12"/>
      <c r="D77" s="5"/>
      <c r="E77" s="5" t="s">
        <v>451</v>
      </c>
      <c r="F77" s="5" t="s">
        <v>452</v>
      </c>
      <c r="G77" s="5" t="s">
        <v>331</v>
      </c>
      <c r="H77" s="718" t="s">
        <v>453</v>
      </c>
      <c r="I77" s="13" t="s">
        <v>454</v>
      </c>
      <c r="J77" s="13">
        <v>1</v>
      </c>
      <c r="K77" s="13">
        <v>-50</v>
      </c>
      <c r="L77" s="13">
        <v>200</v>
      </c>
      <c r="M77" s="13" t="s">
        <v>150</v>
      </c>
      <c r="N77" s="13"/>
      <c r="O77" s="13"/>
      <c r="P77" s="13"/>
      <c r="Q77" s="13"/>
      <c r="R77" s="13"/>
      <c r="S77" s="13"/>
      <c r="T77" s="13"/>
      <c r="U77" s="13"/>
      <c r="V77" s="13"/>
      <c r="W77" s="13"/>
      <c r="X77" s="13"/>
      <c r="Y77" s="13"/>
      <c r="Z77" s="12"/>
      <c r="AA77" s="12"/>
      <c r="AB77" s="12"/>
      <c r="AC77" s="12"/>
      <c r="AD77" s="12">
        <v>50</v>
      </c>
      <c r="AE77" s="12">
        <v>5</v>
      </c>
      <c r="AF77" s="12">
        <v>52</v>
      </c>
      <c r="AG77" s="12">
        <v>5</v>
      </c>
      <c r="AH77" s="728"/>
      <c r="AI77" s="728"/>
      <c r="AJ77" s="728"/>
      <c r="AK77" s="728"/>
      <c r="AL77" s="13"/>
      <c r="AM77" s="8" t="s">
        <v>455</v>
      </c>
      <c r="AN77" s="13" t="s">
        <v>138</v>
      </c>
    </row>
    <row r="78" spans="1:40" s="2" customFormat="1" ht="64.5" hidden="1" customHeight="1">
      <c r="A78" s="12"/>
      <c r="B78" s="12"/>
      <c r="C78" s="12"/>
      <c r="D78" s="5"/>
      <c r="E78" s="5" t="s">
        <v>456</v>
      </c>
      <c r="F78" s="5" t="s">
        <v>457</v>
      </c>
      <c r="G78" s="5" t="s">
        <v>331</v>
      </c>
      <c r="H78" s="718" t="s">
        <v>458</v>
      </c>
      <c r="I78" s="13" t="s">
        <v>459</v>
      </c>
      <c r="J78" s="13">
        <v>1</v>
      </c>
      <c r="K78" s="13">
        <v>-5</v>
      </c>
      <c r="L78" s="13">
        <v>200</v>
      </c>
      <c r="M78" s="13" t="s">
        <v>150</v>
      </c>
      <c r="N78" s="13"/>
      <c r="O78" s="13"/>
      <c r="P78" s="13"/>
      <c r="Q78" s="13"/>
      <c r="R78" s="13"/>
      <c r="S78" s="13"/>
      <c r="T78" s="13"/>
      <c r="U78" s="13"/>
      <c r="V78" s="13"/>
      <c r="W78" s="13"/>
      <c r="X78" s="13"/>
      <c r="Y78" s="13"/>
      <c r="Z78" s="12"/>
      <c r="AA78" s="12"/>
      <c r="AB78" s="12"/>
      <c r="AC78" s="12"/>
      <c r="AD78" s="12">
        <v>130</v>
      </c>
      <c r="AE78" s="12">
        <v>5</v>
      </c>
      <c r="AF78" s="12">
        <v>155</v>
      </c>
      <c r="AG78" s="12">
        <v>5</v>
      </c>
      <c r="AH78" s="728"/>
      <c r="AI78" s="728"/>
      <c r="AJ78" s="728"/>
      <c r="AK78" s="728"/>
      <c r="AL78" s="13"/>
      <c r="AM78" s="8" t="s">
        <v>460</v>
      </c>
      <c r="AN78" s="13" t="s">
        <v>138</v>
      </c>
    </row>
    <row r="79" spans="1:40" s="2" customFormat="1" ht="64.5" hidden="1" customHeight="1">
      <c r="A79" s="12"/>
      <c r="B79" s="12"/>
      <c r="C79" s="12"/>
      <c r="D79" s="5"/>
      <c r="E79" s="5" t="s">
        <v>461</v>
      </c>
      <c r="F79" s="5" t="s">
        <v>462</v>
      </c>
      <c r="G79" s="5" t="s">
        <v>331</v>
      </c>
      <c r="H79" s="718" t="s">
        <v>463</v>
      </c>
      <c r="I79" s="13" t="s">
        <v>464</v>
      </c>
      <c r="J79" s="13">
        <v>1</v>
      </c>
      <c r="K79" s="13">
        <v>-5</v>
      </c>
      <c r="L79" s="13">
        <v>200</v>
      </c>
      <c r="M79" s="13" t="s">
        <v>150</v>
      </c>
      <c r="N79" s="13"/>
      <c r="O79" s="13"/>
      <c r="P79" s="13"/>
      <c r="Q79" s="13"/>
      <c r="R79" s="13"/>
      <c r="S79" s="13"/>
      <c r="T79" s="13"/>
      <c r="U79" s="13"/>
      <c r="V79" s="13"/>
      <c r="W79" s="13"/>
      <c r="X79" s="13"/>
      <c r="Y79" s="13"/>
      <c r="Z79" s="12"/>
      <c r="AA79" s="12"/>
      <c r="AB79" s="12"/>
      <c r="AC79" s="12"/>
      <c r="AD79" s="12">
        <v>130</v>
      </c>
      <c r="AE79" s="12">
        <v>5</v>
      </c>
      <c r="AF79" s="12">
        <v>155</v>
      </c>
      <c r="AG79" s="12">
        <v>5</v>
      </c>
      <c r="AH79" s="728"/>
      <c r="AI79" s="728"/>
      <c r="AJ79" s="728"/>
      <c r="AK79" s="728"/>
      <c r="AL79" s="13"/>
      <c r="AM79" s="8" t="s">
        <v>460</v>
      </c>
      <c r="AN79" s="13" t="s">
        <v>138</v>
      </c>
    </row>
    <row r="80" spans="1:40" s="2" customFormat="1" ht="64.5" hidden="1" customHeight="1">
      <c r="A80" s="12"/>
      <c r="B80" s="12"/>
      <c r="C80" s="12"/>
      <c r="D80" s="5"/>
      <c r="E80" s="5" t="s">
        <v>465</v>
      </c>
      <c r="F80" s="5" t="s">
        <v>466</v>
      </c>
      <c r="G80" s="5" t="s">
        <v>331</v>
      </c>
      <c r="H80" s="718" t="s">
        <v>467</v>
      </c>
      <c r="I80" s="13" t="s">
        <v>468</v>
      </c>
      <c r="J80" s="13">
        <v>1</v>
      </c>
      <c r="K80" s="13">
        <v>-5</v>
      </c>
      <c r="L80" s="13">
        <v>200</v>
      </c>
      <c r="M80" s="13" t="s">
        <v>150</v>
      </c>
      <c r="N80" s="13"/>
      <c r="O80" s="13"/>
      <c r="P80" s="13"/>
      <c r="Q80" s="13"/>
      <c r="R80" s="13"/>
      <c r="S80" s="13"/>
      <c r="T80" s="13"/>
      <c r="U80" s="13"/>
      <c r="V80" s="13"/>
      <c r="W80" s="13"/>
      <c r="X80" s="13"/>
      <c r="Y80" s="13"/>
      <c r="Z80" s="12"/>
      <c r="AA80" s="12"/>
      <c r="AB80" s="12"/>
      <c r="AC80" s="12"/>
      <c r="AD80" s="12">
        <v>130</v>
      </c>
      <c r="AE80" s="12">
        <v>5</v>
      </c>
      <c r="AF80" s="12">
        <v>155</v>
      </c>
      <c r="AG80" s="12">
        <v>5</v>
      </c>
      <c r="AH80" s="728"/>
      <c r="AI80" s="728"/>
      <c r="AJ80" s="728"/>
      <c r="AK80" s="728"/>
      <c r="AL80" s="13"/>
      <c r="AM80" s="8" t="s">
        <v>460</v>
      </c>
      <c r="AN80" s="13" t="s">
        <v>138</v>
      </c>
    </row>
    <row r="81" spans="1:40" s="2" customFormat="1" ht="64.5" hidden="1" customHeight="1">
      <c r="A81" s="12"/>
      <c r="B81" s="12"/>
      <c r="C81" s="12"/>
      <c r="D81" s="5"/>
      <c r="E81" s="5" t="s">
        <v>469</v>
      </c>
      <c r="F81" s="5" t="s">
        <v>470</v>
      </c>
      <c r="G81" s="5" t="s">
        <v>331</v>
      </c>
      <c r="H81" s="718" t="s">
        <v>471</v>
      </c>
      <c r="I81" s="13" t="s">
        <v>472</v>
      </c>
      <c r="J81" s="13">
        <v>1</v>
      </c>
      <c r="K81" s="13">
        <v>-5</v>
      </c>
      <c r="L81" s="13">
        <v>200</v>
      </c>
      <c r="M81" s="13" t="s">
        <v>150</v>
      </c>
      <c r="N81" s="13"/>
      <c r="O81" s="13"/>
      <c r="P81" s="13"/>
      <c r="Q81" s="13"/>
      <c r="R81" s="13"/>
      <c r="S81" s="13"/>
      <c r="T81" s="13"/>
      <c r="U81" s="13"/>
      <c r="V81" s="13"/>
      <c r="W81" s="13"/>
      <c r="X81" s="13"/>
      <c r="Y81" s="13"/>
      <c r="Z81" s="12"/>
      <c r="AA81" s="12"/>
      <c r="AB81" s="12"/>
      <c r="AC81" s="12"/>
      <c r="AD81" s="12">
        <v>90</v>
      </c>
      <c r="AE81" s="12">
        <v>5</v>
      </c>
      <c r="AF81" s="12">
        <v>110</v>
      </c>
      <c r="AG81" s="12">
        <v>5</v>
      </c>
      <c r="AH81" s="728"/>
      <c r="AI81" s="728"/>
      <c r="AJ81" s="728"/>
      <c r="AK81" s="728"/>
      <c r="AL81" s="13"/>
      <c r="AM81" s="8" t="s">
        <v>460</v>
      </c>
      <c r="AN81" s="13">
        <v>1</v>
      </c>
    </row>
    <row r="82" spans="1:40" s="2" customFormat="1" ht="64.5" hidden="1" customHeight="1">
      <c r="A82" s="12"/>
      <c r="B82" s="12"/>
      <c r="C82" s="12"/>
      <c r="D82" s="5"/>
      <c r="E82" s="5" t="s">
        <v>473</v>
      </c>
      <c r="F82" s="5" t="s">
        <v>474</v>
      </c>
      <c r="G82" s="5" t="s">
        <v>331</v>
      </c>
      <c r="H82" s="718" t="s">
        <v>475</v>
      </c>
      <c r="I82" s="13" t="s">
        <v>476</v>
      </c>
      <c r="J82" s="13">
        <v>1</v>
      </c>
      <c r="K82" s="13">
        <v>-5</v>
      </c>
      <c r="L82" s="13">
        <v>200</v>
      </c>
      <c r="M82" s="13" t="s">
        <v>150</v>
      </c>
      <c r="N82" s="13"/>
      <c r="O82" s="13"/>
      <c r="P82" s="13"/>
      <c r="Q82" s="13"/>
      <c r="R82" s="13"/>
      <c r="S82" s="13"/>
      <c r="T82" s="13"/>
      <c r="U82" s="13"/>
      <c r="V82" s="13"/>
      <c r="W82" s="13"/>
      <c r="X82" s="13"/>
      <c r="Y82" s="13"/>
      <c r="Z82" s="12"/>
      <c r="AA82" s="12"/>
      <c r="AB82" s="12"/>
      <c r="AC82" s="12"/>
      <c r="AD82" s="12">
        <v>90</v>
      </c>
      <c r="AE82" s="12">
        <v>5</v>
      </c>
      <c r="AF82" s="12">
        <v>110</v>
      </c>
      <c r="AG82" s="12">
        <v>5</v>
      </c>
      <c r="AH82" s="728"/>
      <c r="AI82" s="728"/>
      <c r="AJ82" s="728"/>
      <c r="AK82" s="728"/>
      <c r="AL82" s="13"/>
      <c r="AM82" s="8" t="s">
        <v>460</v>
      </c>
      <c r="AN82" s="13">
        <v>1</v>
      </c>
    </row>
    <row r="83" spans="1:40" s="2" customFormat="1" ht="64.5" hidden="1" customHeight="1">
      <c r="A83" s="12"/>
      <c r="B83" s="12"/>
      <c r="C83" s="12"/>
      <c r="D83" s="5"/>
      <c r="E83" s="5" t="s">
        <v>477</v>
      </c>
      <c r="F83" s="5" t="s">
        <v>478</v>
      </c>
      <c r="G83" s="5" t="s">
        <v>331</v>
      </c>
      <c r="H83" s="718" t="s">
        <v>479</v>
      </c>
      <c r="I83" s="13" t="s">
        <v>480</v>
      </c>
      <c r="J83" s="13">
        <v>1</v>
      </c>
      <c r="K83" s="13">
        <v>-100</v>
      </c>
      <c r="L83" s="13">
        <v>150</v>
      </c>
      <c r="M83" s="13" t="s">
        <v>143</v>
      </c>
      <c r="N83" s="13"/>
      <c r="O83" s="13"/>
      <c r="P83" s="13"/>
      <c r="Q83" s="13"/>
      <c r="R83" s="13"/>
      <c r="S83" s="13"/>
      <c r="T83" s="13"/>
      <c r="U83" s="13"/>
      <c r="V83" s="13"/>
      <c r="W83" s="13"/>
      <c r="X83" s="13"/>
      <c r="Y83" s="13"/>
      <c r="Z83" s="12">
        <v>-8</v>
      </c>
      <c r="AA83" s="12">
        <v>5</v>
      </c>
      <c r="AB83" s="12">
        <v>-6</v>
      </c>
      <c r="AC83" s="12">
        <v>5</v>
      </c>
      <c r="AD83" s="12"/>
      <c r="AE83" s="12"/>
      <c r="AF83" s="12"/>
      <c r="AG83" s="12"/>
      <c r="AH83" s="728"/>
      <c r="AI83" s="728"/>
      <c r="AJ83" s="728"/>
      <c r="AK83" s="728"/>
      <c r="AL83" s="13" t="s">
        <v>481</v>
      </c>
      <c r="AM83" s="8" t="s">
        <v>482</v>
      </c>
      <c r="AN83" s="13">
        <v>1</v>
      </c>
    </row>
    <row r="84" spans="1:40" s="2" customFormat="1" ht="64.5" hidden="1" customHeight="1">
      <c r="A84" s="12"/>
      <c r="B84" s="12"/>
      <c r="C84" s="12"/>
      <c r="D84" s="5"/>
      <c r="E84" s="5" t="s">
        <v>483</v>
      </c>
      <c r="F84" s="5" t="s">
        <v>484</v>
      </c>
      <c r="G84" s="5" t="s">
        <v>331</v>
      </c>
      <c r="H84" s="718" t="s">
        <v>485</v>
      </c>
      <c r="I84" s="13" t="s">
        <v>486</v>
      </c>
      <c r="J84" s="13">
        <v>1</v>
      </c>
      <c r="K84" s="13">
        <v>-50</v>
      </c>
      <c r="L84" s="13">
        <v>200</v>
      </c>
      <c r="M84" s="13" t="s">
        <v>150</v>
      </c>
      <c r="N84" s="13"/>
      <c r="O84" s="13"/>
      <c r="P84" s="13"/>
      <c r="Q84" s="13"/>
      <c r="R84" s="13"/>
      <c r="S84" s="13"/>
      <c r="T84" s="13"/>
      <c r="U84" s="13"/>
      <c r="V84" s="13"/>
      <c r="W84" s="13"/>
      <c r="X84" s="13"/>
      <c r="Y84" s="13"/>
      <c r="Z84" s="12"/>
      <c r="AA84" s="12"/>
      <c r="AB84" s="12"/>
      <c r="AC84" s="12"/>
      <c r="AD84" s="12">
        <v>172</v>
      </c>
      <c r="AE84" s="12">
        <v>5</v>
      </c>
      <c r="AF84" s="12">
        <v>177</v>
      </c>
      <c r="AG84" s="12">
        <v>5</v>
      </c>
      <c r="AH84" s="728"/>
      <c r="AI84" s="728"/>
      <c r="AJ84" s="728"/>
      <c r="AK84" s="728"/>
      <c r="AL84" s="13"/>
      <c r="AM84" s="8" t="s">
        <v>487</v>
      </c>
      <c r="AN84" s="13" t="s">
        <v>138</v>
      </c>
    </row>
    <row r="85" spans="1:40" s="2" customFormat="1" ht="64.5" hidden="1" customHeight="1">
      <c r="A85" s="12"/>
      <c r="B85" s="12"/>
      <c r="C85" s="12"/>
      <c r="D85" s="5"/>
      <c r="E85" s="5" t="s">
        <v>488</v>
      </c>
      <c r="F85" s="5" t="s">
        <v>489</v>
      </c>
      <c r="G85" s="5" t="s">
        <v>331</v>
      </c>
      <c r="H85" s="718" t="s">
        <v>490</v>
      </c>
      <c r="I85" s="13" t="s">
        <v>491</v>
      </c>
      <c r="J85" s="13">
        <v>1</v>
      </c>
      <c r="K85" s="13">
        <v>-50</v>
      </c>
      <c r="L85" s="13">
        <v>200</v>
      </c>
      <c r="M85" s="13" t="s">
        <v>150</v>
      </c>
      <c r="N85" s="13"/>
      <c r="O85" s="13"/>
      <c r="P85" s="13"/>
      <c r="Q85" s="13"/>
      <c r="R85" s="13"/>
      <c r="S85" s="13"/>
      <c r="T85" s="13"/>
      <c r="U85" s="13"/>
      <c r="V85" s="13"/>
      <c r="W85" s="13"/>
      <c r="X85" s="13"/>
      <c r="Y85" s="13"/>
      <c r="Z85" s="12"/>
      <c r="AA85" s="12"/>
      <c r="AB85" s="12"/>
      <c r="AC85" s="12"/>
      <c r="AD85" s="12">
        <v>113</v>
      </c>
      <c r="AE85" s="12">
        <v>5</v>
      </c>
      <c r="AF85" s="12">
        <v>118</v>
      </c>
      <c r="AG85" s="12">
        <v>5</v>
      </c>
      <c r="AH85" s="728"/>
      <c r="AI85" s="728"/>
      <c r="AJ85" s="728"/>
      <c r="AK85" s="728"/>
      <c r="AL85" s="13"/>
      <c r="AM85" s="8" t="s">
        <v>492</v>
      </c>
      <c r="AN85" s="13" t="s">
        <v>138</v>
      </c>
    </row>
    <row r="86" spans="1:40" s="2" customFormat="1" ht="64.5" hidden="1" customHeight="1">
      <c r="A86" s="12"/>
      <c r="B86" s="12"/>
      <c r="C86" s="12"/>
      <c r="D86" s="5"/>
      <c r="E86" s="5" t="s">
        <v>493</v>
      </c>
      <c r="F86" s="5" t="s">
        <v>494</v>
      </c>
      <c r="G86" s="5" t="s">
        <v>331</v>
      </c>
      <c r="H86" s="718" t="s">
        <v>495</v>
      </c>
      <c r="I86" s="13" t="s">
        <v>496</v>
      </c>
      <c r="J86" s="13">
        <v>1</v>
      </c>
      <c r="K86" s="13">
        <v>-50</v>
      </c>
      <c r="L86" s="13">
        <v>200</v>
      </c>
      <c r="M86" s="13" t="s">
        <v>150</v>
      </c>
      <c r="N86" s="13"/>
      <c r="O86" s="13"/>
      <c r="P86" s="13"/>
      <c r="Q86" s="13"/>
      <c r="R86" s="13"/>
      <c r="S86" s="13"/>
      <c r="T86" s="13"/>
      <c r="U86" s="13"/>
      <c r="V86" s="13"/>
      <c r="W86" s="13"/>
      <c r="X86" s="13"/>
      <c r="Y86" s="13"/>
      <c r="Z86" s="12"/>
      <c r="AA86" s="12"/>
      <c r="AB86" s="12"/>
      <c r="AC86" s="12"/>
      <c r="AD86" s="12">
        <v>50</v>
      </c>
      <c r="AE86" s="12">
        <v>5</v>
      </c>
      <c r="AF86" s="12">
        <v>52</v>
      </c>
      <c r="AG86" s="12">
        <v>5</v>
      </c>
      <c r="AH86" s="728"/>
      <c r="AI86" s="728"/>
      <c r="AJ86" s="728"/>
      <c r="AK86" s="728"/>
      <c r="AL86" s="13"/>
      <c r="AM86" s="8" t="s">
        <v>497</v>
      </c>
      <c r="AN86" s="13" t="s">
        <v>138</v>
      </c>
    </row>
    <row r="87" spans="1:40" s="2" customFormat="1" ht="42.75" customHeight="1">
      <c r="A87" s="12"/>
      <c r="B87" s="12"/>
      <c r="C87" s="12"/>
      <c r="D87" s="5"/>
      <c r="E87" s="5" t="s">
        <v>498</v>
      </c>
      <c r="F87" s="5" t="s">
        <v>499</v>
      </c>
      <c r="G87" s="5" t="s">
        <v>500</v>
      </c>
      <c r="H87" s="718" t="s">
        <v>501</v>
      </c>
      <c r="I87" s="13" t="s">
        <v>502</v>
      </c>
      <c r="J87" s="13">
        <v>1</v>
      </c>
      <c r="K87" s="13">
        <v>0</v>
      </c>
      <c r="L87" s="13">
        <v>1000</v>
      </c>
      <c r="M87" s="13" t="s">
        <v>183</v>
      </c>
      <c r="N87" s="13"/>
      <c r="O87" s="13"/>
      <c r="P87" s="13"/>
      <c r="Q87" s="13"/>
      <c r="R87" s="13"/>
      <c r="S87" s="13"/>
      <c r="T87" s="13"/>
      <c r="U87" s="13"/>
      <c r="V87" s="13"/>
      <c r="W87" s="13"/>
      <c r="X87" s="13"/>
      <c r="Y87" s="13"/>
      <c r="Z87" s="12"/>
      <c r="AA87" s="12"/>
      <c r="AB87" s="12"/>
      <c r="AC87" s="12"/>
      <c r="AD87" s="12"/>
      <c r="AE87" s="12"/>
      <c r="AF87" s="12"/>
      <c r="AG87" s="12"/>
      <c r="AH87" s="728"/>
      <c r="AI87" s="728"/>
      <c r="AJ87" s="728"/>
      <c r="AK87" s="728"/>
      <c r="AL87" s="13"/>
      <c r="AM87" s="8"/>
      <c r="AN87" s="13">
        <v>1</v>
      </c>
    </row>
    <row r="88" spans="1:40" s="2" customFormat="1" ht="58.5" customHeight="1">
      <c r="A88" s="12"/>
      <c r="B88" s="12"/>
      <c r="C88" s="12"/>
      <c r="D88" s="5"/>
      <c r="E88" s="5" t="s">
        <v>503</v>
      </c>
      <c r="F88" s="5" t="s">
        <v>504</v>
      </c>
      <c r="G88" s="5" t="s">
        <v>500</v>
      </c>
      <c r="H88" s="718" t="s">
        <v>505</v>
      </c>
      <c r="I88" s="13" t="s">
        <v>506</v>
      </c>
      <c r="J88" s="13">
        <v>1</v>
      </c>
      <c r="K88" s="13">
        <v>0</v>
      </c>
      <c r="L88" s="13">
        <v>100</v>
      </c>
      <c r="M88" s="13" t="s">
        <v>41</v>
      </c>
      <c r="N88" s="13"/>
      <c r="O88" s="13"/>
      <c r="P88" s="13"/>
      <c r="Q88" s="13"/>
      <c r="R88" s="13"/>
      <c r="S88" s="13"/>
      <c r="T88" s="13"/>
      <c r="U88" s="13"/>
      <c r="V88" s="13"/>
      <c r="W88" s="13"/>
      <c r="X88" s="13"/>
      <c r="Y88" s="13"/>
      <c r="Z88" s="12"/>
      <c r="AA88" s="12"/>
      <c r="AB88" s="12"/>
      <c r="AC88" s="12"/>
      <c r="AD88" s="12"/>
      <c r="AE88" s="12"/>
      <c r="AF88" s="12"/>
      <c r="AG88" s="12"/>
      <c r="AH88" s="728"/>
      <c r="AI88" s="728"/>
      <c r="AJ88" s="728"/>
      <c r="AK88" s="728"/>
      <c r="AL88" s="13"/>
      <c r="AM88" s="8"/>
      <c r="AN88" s="13" t="s">
        <v>184</v>
      </c>
    </row>
    <row r="89" spans="1:40" s="2" customFormat="1" ht="161.25" customHeight="1">
      <c r="A89" s="12"/>
      <c r="B89" s="12"/>
      <c r="C89" s="12"/>
      <c r="D89" s="5"/>
      <c r="E89" s="5" t="s">
        <v>507</v>
      </c>
      <c r="F89" s="5" t="s">
        <v>508</v>
      </c>
      <c r="G89" s="5" t="s">
        <v>500</v>
      </c>
      <c r="H89" s="718" t="s">
        <v>509</v>
      </c>
      <c r="I89" s="13" t="s">
        <v>510</v>
      </c>
      <c r="J89" s="13">
        <v>1</v>
      </c>
      <c r="K89" s="13">
        <v>0</v>
      </c>
      <c r="L89" s="13">
        <v>100</v>
      </c>
      <c r="M89" s="13" t="s">
        <v>511</v>
      </c>
      <c r="N89" s="13"/>
      <c r="O89" s="13"/>
      <c r="P89" s="13"/>
      <c r="Q89" s="13" t="s">
        <v>512</v>
      </c>
      <c r="R89" s="13">
        <v>5</v>
      </c>
      <c r="S89" s="13"/>
      <c r="T89" s="13" t="s">
        <v>513</v>
      </c>
      <c r="U89" s="13">
        <v>5</v>
      </c>
      <c r="V89" s="13"/>
      <c r="W89" s="13"/>
      <c r="X89" s="13"/>
      <c r="Y89" s="13"/>
      <c r="Z89" s="12"/>
      <c r="AA89" s="12"/>
      <c r="AB89" s="12"/>
      <c r="AC89" s="12"/>
      <c r="AD89" s="12" t="s">
        <v>514</v>
      </c>
      <c r="AE89" s="12">
        <v>5</v>
      </c>
      <c r="AF89" s="12" t="s">
        <v>515</v>
      </c>
      <c r="AG89" s="12">
        <v>5</v>
      </c>
      <c r="AH89" s="728"/>
      <c r="AI89" s="728"/>
      <c r="AJ89" s="728"/>
      <c r="AK89" s="728"/>
      <c r="AL89" s="13"/>
      <c r="AM89" s="8" t="s">
        <v>516</v>
      </c>
      <c r="AN89" s="13" t="s">
        <v>138</v>
      </c>
    </row>
    <row r="90" spans="1:40" s="2" customFormat="1" ht="42.75" customHeight="1">
      <c r="A90" s="12"/>
      <c r="B90" s="12"/>
      <c r="C90" s="12"/>
      <c r="D90" s="5"/>
      <c r="E90" s="5" t="s">
        <v>517</v>
      </c>
      <c r="F90" s="5" t="s">
        <v>518</v>
      </c>
      <c r="G90" s="5" t="s">
        <v>500</v>
      </c>
      <c r="H90" s="718" t="s">
        <v>519</v>
      </c>
      <c r="I90" s="13" t="s">
        <v>520</v>
      </c>
      <c r="J90" s="13">
        <v>1</v>
      </c>
      <c r="K90" s="13">
        <v>0</v>
      </c>
      <c r="L90" s="13">
        <v>1000</v>
      </c>
      <c r="M90" s="13" t="s">
        <v>521</v>
      </c>
      <c r="N90" s="13"/>
      <c r="O90" s="13"/>
      <c r="P90" s="13"/>
      <c r="Q90" s="13"/>
      <c r="R90" s="13"/>
      <c r="S90" s="13"/>
      <c r="T90" s="13"/>
      <c r="U90" s="13"/>
      <c r="V90" s="13"/>
      <c r="W90" s="13"/>
      <c r="X90" s="13"/>
      <c r="Y90" s="13"/>
      <c r="Z90" s="12"/>
      <c r="AA90" s="12"/>
      <c r="AB90" s="12"/>
      <c r="AC90" s="12"/>
      <c r="AD90" s="12">
        <v>180</v>
      </c>
      <c r="AE90" s="12">
        <v>5</v>
      </c>
      <c r="AF90" s="12">
        <v>200</v>
      </c>
      <c r="AG90" s="12">
        <v>5</v>
      </c>
      <c r="AH90" s="728"/>
      <c r="AI90" s="728"/>
      <c r="AJ90" s="728"/>
      <c r="AK90" s="728"/>
      <c r="AL90" s="13"/>
      <c r="AM90" s="8" t="s">
        <v>522</v>
      </c>
      <c r="AN90" s="13" t="s">
        <v>138</v>
      </c>
    </row>
    <row r="91" spans="1:40" s="2" customFormat="1" ht="120" customHeight="1">
      <c r="A91" s="12"/>
      <c r="B91" s="12"/>
      <c r="C91" s="12"/>
      <c r="D91" s="5"/>
      <c r="E91" s="5" t="s">
        <v>523</v>
      </c>
      <c r="F91" s="5" t="s">
        <v>524</v>
      </c>
      <c r="G91" s="5" t="s">
        <v>525</v>
      </c>
      <c r="H91" s="718" t="s">
        <v>526</v>
      </c>
      <c r="I91" s="13" t="s">
        <v>527</v>
      </c>
      <c r="J91" s="13">
        <v>1</v>
      </c>
      <c r="K91" s="13">
        <v>0</v>
      </c>
      <c r="L91" s="13">
        <v>3000</v>
      </c>
      <c r="M91" s="12" t="s">
        <v>528</v>
      </c>
      <c r="N91" s="13"/>
      <c r="O91" s="13"/>
      <c r="P91" s="13"/>
      <c r="Q91" s="13"/>
      <c r="R91" s="13"/>
      <c r="S91" s="13"/>
      <c r="T91" s="13"/>
      <c r="U91" s="13"/>
      <c r="V91" s="13"/>
      <c r="W91" s="13"/>
      <c r="X91" s="13"/>
      <c r="Y91" s="13"/>
      <c r="Z91" s="12">
        <v>1000</v>
      </c>
      <c r="AA91" s="12">
        <v>5</v>
      </c>
      <c r="AB91" s="12">
        <v>1400</v>
      </c>
      <c r="AC91" s="12">
        <v>5</v>
      </c>
      <c r="AD91" s="12"/>
      <c r="AE91" s="12"/>
      <c r="AF91" s="12"/>
      <c r="AG91" s="12"/>
      <c r="AH91" s="728"/>
      <c r="AI91" s="728"/>
      <c r="AJ91" s="728"/>
      <c r="AK91" s="728"/>
      <c r="AL91" s="13" t="s">
        <v>529</v>
      </c>
      <c r="AM91" s="8" t="s">
        <v>530</v>
      </c>
      <c r="AN91" s="13" t="s">
        <v>138</v>
      </c>
    </row>
    <row r="92" spans="1:40" s="2" customFormat="1" ht="120" customHeight="1">
      <c r="A92" s="12"/>
      <c r="B92" s="12"/>
      <c r="C92" s="12"/>
      <c r="D92" s="5"/>
      <c r="E92" s="5" t="s">
        <v>531</v>
      </c>
      <c r="F92" s="5" t="s">
        <v>532</v>
      </c>
      <c r="G92" s="5" t="s">
        <v>525</v>
      </c>
      <c r="H92" s="718" t="s">
        <v>533</v>
      </c>
      <c r="I92" s="13" t="s">
        <v>534</v>
      </c>
      <c r="J92" s="13">
        <v>1</v>
      </c>
      <c r="K92" s="13">
        <v>0</v>
      </c>
      <c r="L92" s="13">
        <v>3000</v>
      </c>
      <c r="M92" s="12" t="s">
        <v>528</v>
      </c>
      <c r="N92" s="13"/>
      <c r="O92" s="13"/>
      <c r="P92" s="13"/>
      <c r="Q92" s="13"/>
      <c r="R92" s="13"/>
      <c r="S92" s="13"/>
      <c r="T92" s="13"/>
      <c r="U92" s="13"/>
      <c r="V92" s="13"/>
      <c r="W92" s="13"/>
      <c r="X92" s="13"/>
      <c r="Y92" s="13"/>
      <c r="Z92" s="12">
        <v>1000</v>
      </c>
      <c r="AA92" s="12">
        <v>5</v>
      </c>
      <c r="AB92" s="12">
        <v>1400</v>
      </c>
      <c r="AC92" s="12">
        <v>5</v>
      </c>
      <c r="AD92" s="12"/>
      <c r="AE92" s="12"/>
      <c r="AF92" s="12"/>
      <c r="AG92" s="12"/>
      <c r="AH92" s="728"/>
      <c r="AI92" s="728"/>
      <c r="AJ92" s="728"/>
      <c r="AK92" s="728"/>
      <c r="AL92" s="13" t="s">
        <v>535</v>
      </c>
      <c r="AM92" s="8" t="s">
        <v>530</v>
      </c>
      <c r="AN92" s="13" t="s">
        <v>138</v>
      </c>
    </row>
    <row r="93" spans="1:40" s="2" customFormat="1" ht="79.5" customHeight="1">
      <c r="A93" s="12"/>
      <c r="B93" s="12"/>
      <c r="C93" s="12"/>
      <c r="D93" s="5"/>
      <c r="E93" s="731" t="s">
        <v>536</v>
      </c>
      <c r="F93" s="5" t="s">
        <v>537</v>
      </c>
      <c r="G93" s="5" t="s">
        <v>538</v>
      </c>
      <c r="H93" s="718" t="s">
        <v>539</v>
      </c>
      <c r="I93" s="13" t="s">
        <v>540</v>
      </c>
      <c r="J93" s="13">
        <v>1</v>
      </c>
      <c r="K93" s="13">
        <v>0</v>
      </c>
      <c r="L93" s="699">
        <v>4000</v>
      </c>
      <c r="M93" s="13" t="s">
        <v>541</v>
      </c>
      <c r="N93" s="13"/>
      <c r="O93" s="13"/>
      <c r="P93" s="13"/>
      <c r="Q93" s="13"/>
      <c r="R93" s="13"/>
      <c r="S93" s="13"/>
      <c r="T93" s="13"/>
      <c r="U93" s="13"/>
      <c r="V93" s="13"/>
      <c r="W93" s="13"/>
      <c r="X93" s="13"/>
      <c r="Y93" s="13"/>
      <c r="Z93" s="12"/>
      <c r="AA93" s="12"/>
      <c r="AB93" s="12"/>
      <c r="AC93" s="12"/>
      <c r="AD93" s="12"/>
      <c r="AE93" s="12"/>
      <c r="AF93" s="12"/>
      <c r="AG93" s="12"/>
      <c r="AH93" s="728"/>
      <c r="AI93" s="728"/>
      <c r="AJ93" s="728"/>
      <c r="AK93" s="728"/>
      <c r="AL93" s="13"/>
      <c r="AM93" s="8" t="s">
        <v>542</v>
      </c>
      <c r="AN93" s="744">
        <v>2</v>
      </c>
    </row>
    <row r="94" spans="1:40" s="2" customFormat="1" ht="79.5" customHeight="1">
      <c r="A94" s="12"/>
      <c r="B94" s="12"/>
      <c r="C94" s="12"/>
      <c r="D94" s="5"/>
      <c r="E94" s="5" t="s">
        <v>543</v>
      </c>
      <c r="F94" s="5" t="s">
        <v>544</v>
      </c>
      <c r="G94" s="5" t="s">
        <v>538</v>
      </c>
      <c r="H94" s="718" t="s">
        <v>545</v>
      </c>
      <c r="I94" s="13" t="s">
        <v>546</v>
      </c>
      <c r="J94" s="13">
        <v>1</v>
      </c>
      <c r="K94" s="13">
        <v>0</v>
      </c>
      <c r="L94" s="13">
        <v>1000</v>
      </c>
      <c r="M94" s="13" t="s">
        <v>183</v>
      </c>
      <c r="N94" s="13"/>
      <c r="O94" s="13"/>
      <c r="P94" s="13"/>
      <c r="Q94" s="13"/>
      <c r="R94" s="13"/>
      <c r="S94" s="13"/>
      <c r="T94" s="13"/>
      <c r="U94" s="13"/>
      <c r="V94" s="13"/>
      <c r="W94" s="13"/>
      <c r="X94" s="13"/>
      <c r="Y94" s="13"/>
      <c r="Z94" s="12"/>
      <c r="AA94" s="12"/>
      <c r="AB94" s="12"/>
      <c r="AC94" s="12"/>
      <c r="AD94" s="12">
        <v>330</v>
      </c>
      <c r="AE94" s="12">
        <v>5</v>
      </c>
      <c r="AF94" s="12">
        <v>350</v>
      </c>
      <c r="AG94" s="12">
        <v>5</v>
      </c>
      <c r="AH94" s="728"/>
      <c r="AI94" s="728"/>
      <c r="AJ94" s="728"/>
      <c r="AK94" s="728"/>
      <c r="AL94" s="13" t="s">
        <v>547</v>
      </c>
      <c r="AM94" s="8" t="s">
        <v>548</v>
      </c>
      <c r="AN94" s="13" t="s">
        <v>184</v>
      </c>
    </row>
    <row r="95" spans="1:40" s="2" customFormat="1" ht="79.5" customHeight="1">
      <c r="A95" s="12"/>
      <c r="B95" s="12"/>
      <c r="C95" s="12"/>
      <c r="D95" s="5"/>
      <c r="E95" s="731" t="s">
        <v>549</v>
      </c>
      <c r="F95" s="5" t="s">
        <v>550</v>
      </c>
      <c r="G95" s="5" t="s">
        <v>538</v>
      </c>
      <c r="H95" s="718" t="s">
        <v>551</v>
      </c>
      <c r="I95" s="13" t="s">
        <v>552</v>
      </c>
      <c r="J95" s="13">
        <v>1</v>
      </c>
      <c r="K95" s="13">
        <v>0</v>
      </c>
      <c r="L95" s="13">
        <v>2000</v>
      </c>
      <c r="M95" s="12" t="s">
        <v>541</v>
      </c>
      <c r="N95" s="13"/>
      <c r="O95" s="13"/>
      <c r="P95" s="13"/>
      <c r="Q95" s="13"/>
      <c r="R95" s="13"/>
      <c r="S95" s="13"/>
      <c r="T95" s="13"/>
      <c r="U95" s="13"/>
      <c r="V95" s="13"/>
      <c r="W95" s="13"/>
      <c r="X95" s="13"/>
      <c r="Y95" s="13"/>
      <c r="Z95" s="12">
        <v>200</v>
      </c>
      <c r="AA95" s="12">
        <v>5</v>
      </c>
      <c r="AB95" s="12">
        <v>400</v>
      </c>
      <c r="AC95" s="12">
        <v>5</v>
      </c>
      <c r="AD95" s="12"/>
      <c r="AE95" s="12"/>
      <c r="AF95" s="12"/>
      <c r="AG95" s="12"/>
      <c r="AH95" s="728"/>
      <c r="AI95" s="728"/>
      <c r="AJ95" s="728"/>
      <c r="AK95" s="728"/>
      <c r="AL95" s="13" t="s">
        <v>547</v>
      </c>
      <c r="AM95" s="8" t="s">
        <v>548</v>
      </c>
      <c r="AN95" s="744">
        <v>2</v>
      </c>
    </row>
    <row r="96" spans="1:40" s="2" customFormat="1" ht="79.5" customHeight="1">
      <c r="A96" s="12"/>
      <c r="B96" s="12"/>
      <c r="C96" s="12"/>
      <c r="D96" s="5"/>
      <c r="E96" s="731" t="s">
        <v>553</v>
      </c>
      <c r="F96" s="5" t="s">
        <v>554</v>
      </c>
      <c r="G96" s="5" t="s">
        <v>538</v>
      </c>
      <c r="H96" s="718" t="s">
        <v>555</v>
      </c>
      <c r="I96" s="13" t="s">
        <v>556</v>
      </c>
      <c r="J96" s="13">
        <v>1</v>
      </c>
      <c r="K96" s="13">
        <v>0</v>
      </c>
      <c r="L96" s="13">
        <v>2000</v>
      </c>
      <c r="M96" s="12" t="s">
        <v>541</v>
      </c>
      <c r="N96" s="13"/>
      <c r="O96" s="13"/>
      <c r="P96" s="13"/>
      <c r="Q96" s="13"/>
      <c r="R96" s="13"/>
      <c r="S96" s="13"/>
      <c r="T96" s="13"/>
      <c r="U96" s="13"/>
      <c r="V96" s="13"/>
      <c r="W96" s="13"/>
      <c r="X96" s="13"/>
      <c r="Y96" s="13"/>
      <c r="Z96" s="12">
        <v>200</v>
      </c>
      <c r="AA96" s="12">
        <v>5</v>
      </c>
      <c r="AB96" s="12">
        <v>400</v>
      </c>
      <c r="AC96" s="12">
        <v>5</v>
      </c>
      <c r="AD96" s="12"/>
      <c r="AE96" s="12"/>
      <c r="AF96" s="12"/>
      <c r="AG96" s="12"/>
      <c r="AH96" s="728"/>
      <c r="AI96" s="728"/>
      <c r="AJ96" s="728"/>
      <c r="AK96" s="728"/>
      <c r="AL96" s="13" t="s">
        <v>547</v>
      </c>
      <c r="AM96" s="8" t="s">
        <v>548</v>
      </c>
      <c r="AN96" s="744">
        <v>2</v>
      </c>
    </row>
    <row r="97" spans="1:40" s="2" customFormat="1" ht="79.5" customHeight="1">
      <c r="A97" s="12"/>
      <c r="B97" s="12"/>
      <c r="C97" s="12"/>
      <c r="D97" s="5"/>
      <c r="E97" s="731" t="s">
        <v>557</v>
      </c>
      <c r="F97" s="5" t="s">
        <v>558</v>
      </c>
      <c r="G97" s="5" t="s">
        <v>538</v>
      </c>
      <c r="H97" s="718" t="s">
        <v>555</v>
      </c>
      <c r="I97" s="13" t="s">
        <v>559</v>
      </c>
      <c r="J97" s="13">
        <v>1</v>
      </c>
      <c r="K97" s="13">
        <v>0</v>
      </c>
      <c r="L97" s="13">
        <v>5000</v>
      </c>
      <c r="M97" s="12" t="s">
        <v>135</v>
      </c>
      <c r="N97" s="13"/>
      <c r="O97" s="13"/>
      <c r="P97" s="13"/>
      <c r="Q97" s="13"/>
      <c r="R97" s="13"/>
      <c r="S97" s="13"/>
      <c r="T97" s="13"/>
      <c r="U97" s="13"/>
      <c r="V97" s="13"/>
      <c r="W97" s="13"/>
      <c r="X97" s="13"/>
      <c r="Y97" s="13"/>
      <c r="Z97" s="12">
        <v>800</v>
      </c>
      <c r="AA97" s="12">
        <v>5</v>
      </c>
      <c r="AB97" s="12">
        <v>1200</v>
      </c>
      <c r="AC97" s="12">
        <v>5</v>
      </c>
      <c r="AD97" s="12"/>
      <c r="AE97" s="12"/>
      <c r="AF97" s="12"/>
      <c r="AG97" s="12"/>
      <c r="AH97" s="728"/>
      <c r="AI97" s="728"/>
      <c r="AJ97" s="728"/>
      <c r="AK97" s="728"/>
      <c r="AL97" s="13" t="s">
        <v>547</v>
      </c>
      <c r="AM97" s="8" t="s">
        <v>548</v>
      </c>
      <c r="AN97" s="744">
        <v>2</v>
      </c>
    </row>
    <row r="98" spans="1:40" s="2" customFormat="1" ht="79.5" customHeight="1">
      <c r="A98" s="12"/>
      <c r="B98" s="12"/>
      <c r="C98" s="12"/>
      <c r="D98" s="5"/>
      <c r="E98" s="731" t="s">
        <v>560</v>
      </c>
      <c r="F98" s="5" t="s">
        <v>561</v>
      </c>
      <c r="G98" s="5" t="s">
        <v>538</v>
      </c>
      <c r="H98" s="718" t="s">
        <v>562</v>
      </c>
      <c r="I98" s="13" t="s">
        <v>559</v>
      </c>
      <c r="J98" s="13">
        <v>1</v>
      </c>
      <c r="K98" s="13">
        <v>0</v>
      </c>
      <c r="L98" s="13">
        <v>2500</v>
      </c>
      <c r="M98" s="12" t="s">
        <v>541</v>
      </c>
      <c r="N98" s="13"/>
      <c r="O98" s="13"/>
      <c r="P98" s="13"/>
      <c r="Q98" s="13"/>
      <c r="R98" s="13"/>
      <c r="S98" s="13"/>
      <c r="T98" s="13"/>
      <c r="U98" s="13"/>
      <c r="V98" s="13"/>
      <c r="W98" s="13"/>
      <c r="X98" s="13"/>
      <c r="Y98" s="13"/>
      <c r="Z98" s="12">
        <v>200</v>
      </c>
      <c r="AA98" s="12">
        <v>5</v>
      </c>
      <c r="AB98" s="12">
        <v>500</v>
      </c>
      <c r="AC98" s="12">
        <v>5</v>
      </c>
      <c r="AD98" s="12"/>
      <c r="AE98" s="12"/>
      <c r="AF98" s="12"/>
      <c r="AG98" s="12"/>
      <c r="AH98" s="728"/>
      <c r="AI98" s="728"/>
      <c r="AJ98" s="728"/>
      <c r="AK98" s="728"/>
      <c r="AL98" s="13" t="s">
        <v>547</v>
      </c>
      <c r="AM98" s="8" t="s">
        <v>563</v>
      </c>
      <c r="AN98" s="744">
        <v>2</v>
      </c>
    </row>
    <row r="99" spans="1:40" s="2" customFormat="1" ht="139.5" hidden="1" customHeight="1">
      <c r="A99" s="12"/>
      <c r="B99" s="12"/>
      <c r="C99" s="12"/>
      <c r="D99" s="5"/>
      <c r="E99" s="5" t="s">
        <v>564</v>
      </c>
      <c r="F99" s="5" t="s">
        <v>565</v>
      </c>
      <c r="G99" s="5" t="s">
        <v>566</v>
      </c>
      <c r="H99" s="718" t="s">
        <v>567</v>
      </c>
      <c r="I99" s="13" t="s">
        <v>568</v>
      </c>
      <c r="J99" s="13">
        <v>1</v>
      </c>
      <c r="K99" s="13">
        <v>0</v>
      </c>
      <c r="L99" s="13">
        <v>650</v>
      </c>
      <c r="M99" s="12" t="s">
        <v>135</v>
      </c>
      <c r="N99" s="13"/>
      <c r="O99" s="13"/>
      <c r="P99" s="13"/>
      <c r="Q99" s="13"/>
      <c r="R99" s="13"/>
      <c r="S99" s="13"/>
      <c r="T99" s="13"/>
      <c r="U99" s="13"/>
      <c r="V99" s="13"/>
      <c r="W99" s="13"/>
      <c r="X99" s="13"/>
      <c r="Y99" s="13"/>
      <c r="Z99" s="12">
        <v>50</v>
      </c>
      <c r="AA99" s="12">
        <v>5</v>
      </c>
      <c r="AB99" s="12">
        <v>90</v>
      </c>
      <c r="AC99" s="12">
        <v>5</v>
      </c>
      <c r="AD99" s="12">
        <v>380</v>
      </c>
      <c r="AE99" s="12">
        <v>5</v>
      </c>
      <c r="AF99" s="12"/>
      <c r="AG99" s="12"/>
      <c r="AH99" s="728"/>
      <c r="AI99" s="728"/>
      <c r="AJ99" s="728"/>
      <c r="AK99" s="728"/>
      <c r="AL99" s="13" t="s">
        <v>569</v>
      </c>
      <c r="AM99" s="8" t="s">
        <v>548</v>
      </c>
      <c r="AN99" s="13" t="s">
        <v>138</v>
      </c>
    </row>
    <row r="100" spans="1:40" s="2" customFormat="1" ht="90" hidden="1" customHeight="1">
      <c r="A100" s="12"/>
      <c r="B100" s="12"/>
      <c r="C100" s="12"/>
      <c r="D100" s="5"/>
      <c r="E100" s="731" t="s">
        <v>570</v>
      </c>
      <c r="F100" s="5" t="s">
        <v>571</v>
      </c>
      <c r="G100" s="5" t="s">
        <v>566</v>
      </c>
      <c r="H100" s="718" t="s">
        <v>572</v>
      </c>
      <c r="I100" s="13" t="s">
        <v>573</v>
      </c>
      <c r="J100" s="13">
        <v>1</v>
      </c>
      <c r="K100" s="13">
        <v>0</v>
      </c>
      <c r="L100" s="970">
        <v>100</v>
      </c>
      <c r="M100" s="13" t="s">
        <v>574</v>
      </c>
      <c r="N100" s="13"/>
      <c r="O100" s="13"/>
      <c r="P100" s="13"/>
      <c r="Q100" s="13"/>
      <c r="R100" s="13"/>
      <c r="S100" s="13"/>
      <c r="T100" s="13"/>
      <c r="U100" s="13"/>
      <c r="V100" s="13"/>
      <c r="W100" s="13"/>
      <c r="X100" s="13"/>
      <c r="Y100" s="13"/>
      <c r="Z100" s="532"/>
      <c r="AA100" s="532"/>
      <c r="AB100" s="12"/>
      <c r="AC100" s="12"/>
      <c r="AD100" s="12">
        <v>35</v>
      </c>
      <c r="AE100" s="12">
        <v>5</v>
      </c>
      <c r="AF100" s="532">
        <v>40</v>
      </c>
      <c r="AG100" s="532">
        <v>5</v>
      </c>
      <c r="AH100" s="728"/>
      <c r="AI100" s="728"/>
      <c r="AJ100" s="728"/>
      <c r="AK100" s="728"/>
      <c r="AL100" s="13" t="s">
        <v>575</v>
      </c>
      <c r="AM100" s="8" t="s">
        <v>576</v>
      </c>
      <c r="AN100" s="744">
        <v>2</v>
      </c>
    </row>
    <row r="101" spans="1:40" s="2" customFormat="1" ht="52.5" hidden="1" customHeight="1">
      <c r="A101" s="12"/>
      <c r="B101" s="12"/>
      <c r="C101" s="12"/>
      <c r="D101" s="5"/>
      <c r="E101" s="731" t="s">
        <v>577</v>
      </c>
      <c r="F101" s="5" t="s">
        <v>578</v>
      </c>
      <c r="G101" s="5" t="s">
        <v>566</v>
      </c>
      <c r="H101" s="718" t="s">
        <v>579</v>
      </c>
      <c r="I101" s="13" t="s">
        <v>580</v>
      </c>
      <c r="J101" s="13">
        <v>1</v>
      </c>
      <c r="K101" s="13">
        <v>0</v>
      </c>
      <c r="L101" s="970">
        <v>120</v>
      </c>
      <c r="M101" s="13" t="s">
        <v>541</v>
      </c>
      <c r="N101" s="13"/>
      <c r="O101" s="13"/>
      <c r="P101" s="13"/>
      <c r="Q101" s="13"/>
      <c r="R101" s="13"/>
      <c r="S101" s="13"/>
      <c r="T101" s="13"/>
      <c r="U101" s="13"/>
      <c r="V101" s="13"/>
      <c r="W101" s="13"/>
      <c r="X101" s="13"/>
      <c r="Y101" s="13"/>
      <c r="Z101" s="12"/>
      <c r="AA101" s="12"/>
      <c r="AB101" s="12"/>
      <c r="AC101" s="12"/>
      <c r="AD101" s="12"/>
      <c r="AE101" s="12"/>
      <c r="AF101" s="12"/>
      <c r="AG101" s="12"/>
      <c r="AH101" s="728"/>
      <c r="AI101" s="728"/>
      <c r="AJ101" s="728"/>
      <c r="AK101" s="728"/>
      <c r="AL101" s="13"/>
      <c r="AM101" s="8" t="s">
        <v>581</v>
      </c>
      <c r="AN101" s="744">
        <v>2</v>
      </c>
    </row>
    <row r="102" spans="1:40" s="2" customFormat="1" ht="196.5" hidden="1" customHeight="1">
      <c r="A102" s="971"/>
      <c r="B102" s="971"/>
      <c r="C102" s="971"/>
      <c r="D102" s="5"/>
      <c r="E102" s="5" t="s">
        <v>582</v>
      </c>
      <c r="F102" s="5" t="s">
        <v>583</v>
      </c>
      <c r="G102" s="5" t="s">
        <v>584</v>
      </c>
      <c r="H102" s="718" t="s">
        <v>585</v>
      </c>
      <c r="I102" s="13" t="s">
        <v>586</v>
      </c>
      <c r="J102" s="13">
        <v>1</v>
      </c>
      <c r="K102" s="13">
        <v>0</v>
      </c>
      <c r="L102" s="13">
        <v>250</v>
      </c>
      <c r="M102" s="13" t="s">
        <v>143</v>
      </c>
      <c r="N102" s="13"/>
      <c r="O102" s="13"/>
      <c r="P102" s="13"/>
      <c r="Q102" s="13"/>
      <c r="R102" s="13"/>
      <c r="S102" s="13"/>
      <c r="T102" s="13"/>
      <c r="U102" s="13"/>
      <c r="V102" s="13"/>
      <c r="W102" s="13"/>
      <c r="X102" s="13"/>
      <c r="Y102" s="13"/>
      <c r="Z102" s="12">
        <v>50</v>
      </c>
      <c r="AA102" s="12">
        <v>5</v>
      </c>
      <c r="AB102" s="12">
        <v>80</v>
      </c>
      <c r="AC102" s="12">
        <v>5</v>
      </c>
      <c r="AD102" s="12">
        <v>200</v>
      </c>
      <c r="AE102" s="12">
        <v>5</v>
      </c>
      <c r="AF102" s="12">
        <v>250</v>
      </c>
      <c r="AG102" s="12">
        <v>5</v>
      </c>
      <c r="AH102" s="728"/>
      <c r="AI102" s="728"/>
      <c r="AJ102" s="728"/>
      <c r="AK102" s="728"/>
      <c r="AL102" s="13" t="s">
        <v>587</v>
      </c>
      <c r="AM102" s="8" t="s">
        <v>588</v>
      </c>
      <c r="AN102" s="13" t="s">
        <v>138</v>
      </c>
    </row>
    <row r="103" spans="1:40" s="2" customFormat="1" ht="202.5" hidden="1" customHeight="1">
      <c r="A103" s="971"/>
      <c r="B103" s="971"/>
      <c r="C103" s="971"/>
      <c r="D103" s="5"/>
      <c r="E103" s="5" t="s">
        <v>589</v>
      </c>
      <c r="F103" s="5" t="s">
        <v>590</v>
      </c>
      <c r="G103" s="5" t="s">
        <v>584</v>
      </c>
      <c r="H103" s="718" t="s">
        <v>591</v>
      </c>
      <c r="I103" s="13" t="s">
        <v>592</v>
      </c>
      <c r="J103" s="13">
        <v>1</v>
      </c>
      <c r="K103" s="13">
        <v>-40</v>
      </c>
      <c r="L103" s="13">
        <v>0</v>
      </c>
      <c r="M103" s="13" t="s">
        <v>143</v>
      </c>
      <c r="N103" s="13"/>
      <c r="O103" s="13"/>
      <c r="P103" s="13"/>
      <c r="Q103" s="13"/>
      <c r="R103" s="13"/>
      <c r="S103" s="13"/>
      <c r="T103" s="13"/>
      <c r="U103" s="13"/>
      <c r="V103" s="13"/>
      <c r="W103" s="13"/>
      <c r="X103" s="13"/>
      <c r="Y103" s="13"/>
      <c r="Z103" s="12"/>
      <c r="AA103" s="12"/>
      <c r="AB103" s="12">
        <v>-30</v>
      </c>
      <c r="AC103" s="12">
        <v>5</v>
      </c>
      <c r="AD103" s="12">
        <v>-10</v>
      </c>
      <c r="AE103" s="12">
        <v>5</v>
      </c>
      <c r="AF103" s="12"/>
      <c r="AG103" s="12"/>
      <c r="AH103" s="728"/>
      <c r="AI103" s="728"/>
      <c r="AJ103" s="728"/>
      <c r="AK103" s="728"/>
      <c r="AL103" s="13" t="s">
        <v>587</v>
      </c>
      <c r="AM103" s="8" t="s">
        <v>593</v>
      </c>
      <c r="AN103" s="13" t="s">
        <v>138</v>
      </c>
    </row>
    <row r="104" spans="1:40" s="2" customFormat="1" ht="136.5" hidden="1" customHeight="1">
      <c r="A104" s="12"/>
      <c r="B104" s="12"/>
      <c r="C104" s="12"/>
      <c r="D104" s="5"/>
      <c r="E104" s="5" t="s">
        <v>594</v>
      </c>
      <c r="F104" s="5" t="s">
        <v>595</v>
      </c>
      <c r="G104" s="5" t="s">
        <v>596</v>
      </c>
      <c r="H104" s="718" t="s">
        <v>597</v>
      </c>
      <c r="I104" s="13" t="s">
        <v>598</v>
      </c>
      <c r="J104" s="13">
        <v>1</v>
      </c>
      <c r="K104" s="13">
        <v>0</v>
      </c>
      <c r="L104" s="13">
        <v>1500</v>
      </c>
      <c r="M104" s="12" t="s">
        <v>135</v>
      </c>
      <c r="N104" s="13"/>
      <c r="O104" s="13"/>
      <c r="P104" s="13"/>
      <c r="Q104" s="13"/>
      <c r="R104" s="13"/>
      <c r="S104" s="13"/>
      <c r="T104" s="13"/>
      <c r="U104" s="13"/>
      <c r="V104" s="13"/>
      <c r="W104" s="13"/>
      <c r="X104" s="13"/>
      <c r="Y104" s="13"/>
      <c r="Z104" s="12">
        <v>300</v>
      </c>
      <c r="AA104" s="12">
        <v>5</v>
      </c>
      <c r="AB104" s="12">
        <v>400</v>
      </c>
      <c r="AC104" s="12">
        <v>5</v>
      </c>
      <c r="AD104" s="12">
        <v>1400</v>
      </c>
      <c r="AE104" s="12">
        <v>5</v>
      </c>
      <c r="AF104" s="12"/>
      <c r="AG104" s="12"/>
      <c r="AH104" s="728"/>
      <c r="AI104" s="728"/>
      <c r="AJ104" s="728"/>
      <c r="AK104" s="728"/>
      <c r="AL104" s="13" t="s">
        <v>599</v>
      </c>
      <c r="AM104" s="8" t="s">
        <v>600</v>
      </c>
      <c r="AN104" s="13" t="s">
        <v>138</v>
      </c>
    </row>
    <row r="105" spans="1:40" s="2" customFormat="1" ht="147" hidden="1" customHeight="1">
      <c r="A105" s="12"/>
      <c r="B105" s="12"/>
      <c r="C105" s="12"/>
      <c r="D105" s="5"/>
      <c r="E105" s="731" t="s">
        <v>601</v>
      </c>
      <c r="F105" s="5" t="s">
        <v>602</v>
      </c>
      <c r="G105" s="5" t="s">
        <v>596</v>
      </c>
      <c r="H105" s="718" t="s">
        <v>603</v>
      </c>
      <c r="I105" s="13" t="s">
        <v>604</v>
      </c>
      <c r="J105" s="13">
        <v>1</v>
      </c>
      <c r="K105" s="13">
        <v>0</v>
      </c>
      <c r="L105" s="970">
        <v>100</v>
      </c>
      <c r="M105" s="13" t="s">
        <v>574</v>
      </c>
      <c r="N105" s="13"/>
      <c r="O105" s="13"/>
      <c r="P105" s="13"/>
      <c r="Q105" s="13"/>
      <c r="R105" s="13"/>
      <c r="S105" s="13"/>
      <c r="T105" s="13"/>
      <c r="U105" s="13"/>
      <c r="V105" s="13"/>
      <c r="W105" s="13"/>
      <c r="X105" s="13"/>
      <c r="Y105" s="13"/>
      <c r="Z105" s="12"/>
      <c r="AA105" s="12"/>
      <c r="AB105" s="972">
        <v>5</v>
      </c>
      <c r="AC105" s="12">
        <v>5</v>
      </c>
      <c r="AD105" s="972">
        <v>30</v>
      </c>
      <c r="AE105" s="12">
        <v>5</v>
      </c>
      <c r="AF105" s="972"/>
      <c r="AG105" s="12"/>
      <c r="AH105" s="728"/>
      <c r="AI105" s="728"/>
      <c r="AJ105" s="728"/>
      <c r="AK105" s="728"/>
      <c r="AL105" s="13" t="s">
        <v>599</v>
      </c>
      <c r="AM105" s="8" t="s">
        <v>605</v>
      </c>
      <c r="AN105" s="744">
        <v>2</v>
      </c>
    </row>
    <row r="106" spans="1:40" s="2" customFormat="1" ht="57" hidden="1" customHeight="1">
      <c r="A106" s="12"/>
      <c r="B106" s="12"/>
      <c r="C106" s="12"/>
      <c r="D106" s="5"/>
      <c r="E106" s="731" t="s">
        <v>606</v>
      </c>
      <c r="F106" s="5" t="s">
        <v>607</v>
      </c>
      <c r="G106" s="5" t="s">
        <v>596</v>
      </c>
      <c r="H106" s="718" t="s">
        <v>608</v>
      </c>
      <c r="I106" s="13" t="s">
        <v>609</v>
      </c>
      <c r="J106" s="13">
        <v>1</v>
      </c>
      <c r="K106" s="13">
        <v>0</v>
      </c>
      <c r="L106" s="970">
        <v>500</v>
      </c>
      <c r="M106" s="13" t="s">
        <v>541</v>
      </c>
      <c r="N106" s="13"/>
      <c r="O106" s="13"/>
      <c r="P106" s="13"/>
      <c r="Q106" s="13"/>
      <c r="R106" s="13"/>
      <c r="S106" s="13"/>
      <c r="T106" s="13"/>
      <c r="U106" s="13"/>
      <c r="V106" s="13"/>
      <c r="W106" s="13"/>
      <c r="X106" s="13"/>
      <c r="Y106" s="13"/>
      <c r="Z106" s="12"/>
      <c r="AA106" s="12"/>
      <c r="AB106" s="12"/>
      <c r="AC106" s="12"/>
      <c r="AD106" s="12"/>
      <c r="AE106" s="12"/>
      <c r="AF106" s="12"/>
      <c r="AG106" s="12"/>
      <c r="AH106" s="728"/>
      <c r="AI106" s="728"/>
      <c r="AJ106" s="728"/>
      <c r="AK106" s="728"/>
      <c r="AL106" s="13"/>
      <c r="AM106" s="8" t="s">
        <v>610</v>
      </c>
      <c r="AN106" s="744">
        <v>2</v>
      </c>
    </row>
    <row r="107" spans="1:40" s="2" customFormat="1" ht="173.25" hidden="1" customHeight="1">
      <c r="A107" s="12"/>
      <c r="B107" s="12"/>
      <c r="C107" s="12"/>
      <c r="D107" s="5"/>
      <c r="E107" s="5" t="s">
        <v>611</v>
      </c>
      <c r="F107" s="5" t="s">
        <v>612</v>
      </c>
      <c r="G107" s="5" t="s">
        <v>613</v>
      </c>
      <c r="H107" s="718" t="s">
        <v>614</v>
      </c>
      <c r="I107" s="13" t="s">
        <v>615</v>
      </c>
      <c r="J107" s="13">
        <v>1</v>
      </c>
      <c r="K107" s="13">
        <v>0</v>
      </c>
      <c r="L107" s="13">
        <v>250</v>
      </c>
      <c r="M107" s="13" t="s">
        <v>183</v>
      </c>
      <c r="N107" s="13"/>
      <c r="O107" s="13"/>
      <c r="P107" s="13"/>
      <c r="Q107" s="13"/>
      <c r="R107" s="13"/>
      <c r="S107" s="13"/>
      <c r="T107" s="13"/>
      <c r="U107" s="13"/>
      <c r="V107" s="13"/>
      <c r="W107" s="13"/>
      <c r="X107" s="13"/>
      <c r="Y107" s="13"/>
      <c r="Z107" s="12">
        <v>50</v>
      </c>
      <c r="AA107" s="12">
        <v>5</v>
      </c>
      <c r="AB107" s="12">
        <v>80</v>
      </c>
      <c r="AC107" s="12">
        <v>5</v>
      </c>
      <c r="AD107" s="12">
        <v>200</v>
      </c>
      <c r="AE107" s="12">
        <v>5</v>
      </c>
      <c r="AF107" s="12">
        <v>250</v>
      </c>
      <c r="AG107" s="12">
        <v>5</v>
      </c>
      <c r="AH107" s="728"/>
      <c r="AI107" s="728"/>
      <c r="AJ107" s="728"/>
      <c r="AK107" s="728"/>
      <c r="AL107" s="13" t="s">
        <v>616</v>
      </c>
      <c r="AM107" s="8" t="s">
        <v>617</v>
      </c>
      <c r="AN107" s="13" t="s">
        <v>138</v>
      </c>
    </row>
    <row r="108" spans="1:40" s="2" customFormat="1" ht="195.75" hidden="1" customHeight="1">
      <c r="A108" s="12"/>
      <c r="B108" s="12"/>
      <c r="C108" s="12"/>
      <c r="D108" s="5"/>
      <c r="E108" s="5" t="s">
        <v>618</v>
      </c>
      <c r="F108" s="5" t="s">
        <v>619</v>
      </c>
      <c r="G108" s="5" t="s">
        <v>613</v>
      </c>
      <c r="H108" s="718" t="s">
        <v>620</v>
      </c>
      <c r="I108" s="13" t="s">
        <v>592</v>
      </c>
      <c r="J108" s="13">
        <v>1</v>
      </c>
      <c r="K108" s="13">
        <v>-40</v>
      </c>
      <c r="L108" s="13">
        <v>0</v>
      </c>
      <c r="M108" s="13" t="s">
        <v>143</v>
      </c>
      <c r="N108" s="13"/>
      <c r="O108" s="13"/>
      <c r="P108" s="13"/>
      <c r="Q108" s="13"/>
      <c r="R108" s="13"/>
      <c r="S108" s="13"/>
      <c r="T108" s="13"/>
      <c r="U108" s="13"/>
      <c r="V108" s="13"/>
      <c r="W108" s="13"/>
      <c r="X108" s="13"/>
      <c r="Y108" s="13"/>
      <c r="Z108" s="12"/>
      <c r="AA108" s="12"/>
      <c r="AB108" s="12">
        <v>-30</v>
      </c>
      <c r="AC108" s="12">
        <v>5</v>
      </c>
      <c r="AD108" s="12">
        <v>-10</v>
      </c>
      <c r="AE108" s="12">
        <v>5</v>
      </c>
      <c r="AF108" s="12"/>
      <c r="AG108" s="12"/>
      <c r="AH108" s="728"/>
      <c r="AI108" s="728"/>
      <c r="AJ108" s="728"/>
      <c r="AK108" s="728"/>
      <c r="AL108" s="13" t="s">
        <v>616</v>
      </c>
      <c r="AM108" s="8" t="s">
        <v>621</v>
      </c>
      <c r="AN108" s="13">
        <v>0</v>
      </c>
    </row>
    <row r="109" spans="1:40" s="2" customFormat="1" ht="45" hidden="1" customHeight="1">
      <c r="A109" s="12"/>
      <c r="B109" s="12"/>
      <c r="C109" s="12"/>
      <c r="D109" s="5"/>
      <c r="E109" s="5" t="s">
        <v>622</v>
      </c>
      <c r="F109" s="5" t="s">
        <v>623</v>
      </c>
      <c r="G109" s="5" t="s">
        <v>566</v>
      </c>
      <c r="H109" s="718" t="s">
        <v>624</v>
      </c>
      <c r="I109" s="13" t="s">
        <v>625</v>
      </c>
      <c r="J109" s="13">
        <v>1</v>
      </c>
      <c r="K109" s="13">
        <v>-5</v>
      </c>
      <c r="L109" s="13">
        <v>200</v>
      </c>
      <c r="M109" s="13" t="s">
        <v>150</v>
      </c>
      <c r="N109" s="13"/>
      <c r="O109" s="13"/>
      <c r="P109" s="13"/>
      <c r="Q109" s="13"/>
      <c r="R109" s="13"/>
      <c r="S109" s="13"/>
      <c r="T109" s="13"/>
      <c r="U109" s="13"/>
      <c r="V109" s="13"/>
      <c r="W109" s="13"/>
      <c r="X109" s="13"/>
      <c r="Y109" s="13"/>
      <c r="Z109" s="12"/>
      <c r="AA109" s="12"/>
      <c r="AB109" s="12"/>
      <c r="AC109" s="12"/>
      <c r="AD109" s="12">
        <v>140</v>
      </c>
      <c r="AE109" s="12">
        <v>5</v>
      </c>
      <c r="AF109" s="12">
        <v>150</v>
      </c>
      <c r="AG109" s="12">
        <v>5</v>
      </c>
      <c r="AH109" s="728"/>
      <c r="AI109" s="728"/>
      <c r="AJ109" s="728"/>
      <c r="AK109" s="728"/>
      <c r="AL109" s="13"/>
      <c r="AM109" s="8" t="s">
        <v>626</v>
      </c>
      <c r="AN109" s="13">
        <v>1</v>
      </c>
    </row>
    <row r="110" spans="1:40" s="2" customFormat="1" ht="45" hidden="1" customHeight="1">
      <c r="A110" s="12"/>
      <c r="B110" s="12"/>
      <c r="C110" s="12"/>
      <c r="D110" s="5"/>
      <c r="E110" s="5" t="s">
        <v>627</v>
      </c>
      <c r="F110" s="5" t="s">
        <v>628</v>
      </c>
      <c r="G110" s="5" t="s">
        <v>566</v>
      </c>
      <c r="H110" s="718" t="s">
        <v>629</v>
      </c>
      <c r="I110" s="13" t="s">
        <v>630</v>
      </c>
      <c r="J110" s="13">
        <v>1</v>
      </c>
      <c r="K110" s="13">
        <v>-5</v>
      </c>
      <c r="L110" s="13">
        <v>200</v>
      </c>
      <c r="M110" s="13" t="s">
        <v>150</v>
      </c>
      <c r="N110" s="13"/>
      <c r="O110" s="13"/>
      <c r="P110" s="13"/>
      <c r="Q110" s="13"/>
      <c r="R110" s="13"/>
      <c r="S110" s="13"/>
      <c r="T110" s="13"/>
      <c r="U110" s="13"/>
      <c r="V110" s="13"/>
      <c r="W110" s="13"/>
      <c r="X110" s="13"/>
      <c r="Y110" s="13"/>
      <c r="Z110" s="12"/>
      <c r="AA110" s="12"/>
      <c r="AB110" s="12"/>
      <c r="AC110" s="12"/>
      <c r="AD110" s="12">
        <v>140</v>
      </c>
      <c r="AE110" s="12">
        <v>5</v>
      </c>
      <c r="AF110" s="12">
        <v>150</v>
      </c>
      <c r="AG110" s="12">
        <v>5</v>
      </c>
      <c r="AH110" s="728"/>
      <c r="AI110" s="728"/>
      <c r="AJ110" s="728"/>
      <c r="AK110" s="728"/>
      <c r="AL110" s="13"/>
      <c r="AM110" s="8" t="s">
        <v>626</v>
      </c>
      <c r="AN110" s="13">
        <v>1</v>
      </c>
    </row>
    <row r="111" spans="1:40" s="2" customFormat="1" ht="45" hidden="1" customHeight="1">
      <c r="A111" s="12"/>
      <c r="B111" s="12"/>
      <c r="C111" s="12"/>
      <c r="D111" s="5"/>
      <c r="E111" s="5" t="s">
        <v>631</v>
      </c>
      <c r="F111" s="5" t="s">
        <v>632</v>
      </c>
      <c r="G111" s="5" t="s">
        <v>566</v>
      </c>
      <c r="H111" s="718" t="s">
        <v>633</v>
      </c>
      <c r="I111" s="13" t="s">
        <v>634</v>
      </c>
      <c r="J111" s="13">
        <v>1</v>
      </c>
      <c r="K111" s="13">
        <v>-5</v>
      </c>
      <c r="L111" s="13">
        <v>200</v>
      </c>
      <c r="M111" s="13" t="s">
        <v>150</v>
      </c>
      <c r="N111" s="13"/>
      <c r="O111" s="13"/>
      <c r="P111" s="13"/>
      <c r="Q111" s="13"/>
      <c r="R111" s="13"/>
      <c r="S111" s="13"/>
      <c r="T111" s="13"/>
      <c r="U111" s="13"/>
      <c r="V111" s="13"/>
      <c r="W111" s="13"/>
      <c r="X111" s="13"/>
      <c r="Y111" s="13"/>
      <c r="Z111" s="12"/>
      <c r="AA111" s="12"/>
      <c r="AB111" s="12"/>
      <c r="AC111" s="12"/>
      <c r="AD111" s="12">
        <v>140</v>
      </c>
      <c r="AE111" s="12">
        <v>5</v>
      </c>
      <c r="AF111" s="12">
        <v>150</v>
      </c>
      <c r="AG111" s="12">
        <v>5</v>
      </c>
      <c r="AH111" s="728"/>
      <c r="AI111" s="728"/>
      <c r="AJ111" s="728"/>
      <c r="AK111" s="728"/>
      <c r="AL111" s="13"/>
      <c r="AM111" s="8" t="s">
        <v>626</v>
      </c>
      <c r="AN111" s="13">
        <v>1</v>
      </c>
    </row>
    <row r="112" spans="1:40" s="2" customFormat="1" ht="45" hidden="1" customHeight="1">
      <c r="A112" s="12"/>
      <c r="B112" s="12"/>
      <c r="C112" s="12"/>
      <c r="D112" s="5"/>
      <c r="E112" s="5" t="s">
        <v>635</v>
      </c>
      <c r="F112" s="5" t="s">
        <v>636</v>
      </c>
      <c r="G112" s="5" t="s">
        <v>566</v>
      </c>
      <c r="H112" s="718" t="s">
        <v>637</v>
      </c>
      <c r="I112" s="13" t="s">
        <v>638</v>
      </c>
      <c r="J112" s="13">
        <v>1</v>
      </c>
      <c r="K112" s="13">
        <v>-5</v>
      </c>
      <c r="L112" s="13">
        <v>200</v>
      </c>
      <c r="M112" s="13" t="s">
        <v>150</v>
      </c>
      <c r="N112" s="13"/>
      <c r="O112" s="13"/>
      <c r="P112" s="13"/>
      <c r="Q112" s="13"/>
      <c r="R112" s="13"/>
      <c r="S112" s="13"/>
      <c r="T112" s="13"/>
      <c r="U112" s="13"/>
      <c r="V112" s="13"/>
      <c r="W112" s="13"/>
      <c r="X112" s="13"/>
      <c r="Y112" s="13"/>
      <c r="Z112" s="12"/>
      <c r="AA112" s="12"/>
      <c r="AB112" s="12"/>
      <c r="AC112" s="12"/>
      <c r="AD112" s="12">
        <v>95</v>
      </c>
      <c r="AE112" s="12">
        <v>5</v>
      </c>
      <c r="AF112" s="12">
        <v>100</v>
      </c>
      <c r="AG112" s="12">
        <v>5</v>
      </c>
      <c r="AH112" s="728"/>
      <c r="AI112" s="728"/>
      <c r="AJ112" s="728"/>
      <c r="AK112" s="728"/>
      <c r="AL112" s="13"/>
      <c r="AM112" s="8" t="s">
        <v>522</v>
      </c>
      <c r="AN112" s="13">
        <v>1</v>
      </c>
    </row>
    <row r="113" spans="1:40" s="2" customFormat="1" ht="45" hidden="1" customHeight="1">
      <c r="A113" s="12"/>
      <c r="B113" s="12"/>
      <c r="C113" s="12"/>
      <c r="D113" s="5"/>
      <c r="E113" s="5" t="s">
        <v>639</v>
      </c>
      <c r="F113" s="5" t="s">
        <v>640</v>
      </c>
      <c r="G113" s="5" t="s">
        <v>566</v>
      </c>
      <c r="H113" s="718" t="s">
        <v>641</v>
      </c>
      <c r="I113" s="13" t="s">
        <v>642</v>
      </c>
      <c r="J113" s="13">
        <v>1</v>
      </c>
      <c r="K113" s="13">
        <v>-5</v>
      </c>
      <c r="L113" s="13">
        <v>200</v>
      </c>
      <c r="M113" s="13" t="s">
        <v>150</v>
      </c>
      <c r="N113" s="13"/>
      <c r="O113" s="13"/>
      <c r="P113" s="13"/>
      <c r="Q113" s="13"/>
      <c r="R113" s="13"/>
      <c r="S113" s="13"/>
      <c r="T113" s="13"/>
      <c r="U113" s="13"/>
      <c r="V113" s="13"/>
      <c r="W113" s="13"/>
      <c r="X113" s="13"/>
      <c r="Y113" s="13"/>
      <c r="Z113" s="12"/>
      <c r="AA113" s="12"/>
      <c r="AB113" s="12"/>
      <c r="AC113" s="12"/>
      <c r="AD113" s="12">
        <v>95</v>
      </c>
      <c r="AE113" s="12">
        <v>5</v>
      </c>
      <c r="AF113" s="12">
        <v>100</v>
      </c>
      <c r="AG113" s="12">
        <v>5</v>
      </c>
      <c r="AH113" s="728"/>
      <c r="AI113" s="728"/>
      <c r="AJ113" s="728"/>
      <c r="AK113" s="728"/>
      <c r="AL113" s="13"/>
      <c r="AM113" s="8" t="s">
        <v>522</v>
      </c>
      <c r="AN113" s="13">
        <v>1</v>
      </c>
    </row>
    <row r="114" spans="1:40" s="2" customFormat="1" ht="45" hidden="1" customHeight="1">
      <c r="A114" s="12"/>
      <c r="B114" s="12"/>
      <c r="C114" s="12"/>
      <c r="D114" s="5"/>
      <c r="E114" s="5" t="s">
        <v>643</v>
      </c>
      <c r="F114" s="5" t="s">
        <v>644</v>
      </c>
      <c r="G114" s="5" t="s">
        <v>566</v>
      </c>
      <c r="H114" s="718" t="s">
        <v>645</v>
      </c>
      <c r="I114" s="13" t="s">
        <v>646</v>
      </c>
      <c r="J114" s="13">
        <v>1</v>
      </c>
      <c r="K114" s="13">
        <v>-5</v>
      </c>
      <c r="L114" s="13">
        <v>200</v>
      </c>
      <c r="M114" s="13" t="s">
        <v>150</v>
      </c>
      <c r="N114" s="13"/>
      <c r="O114" s="13"/>
      <c r="P114" s="13"/>
      <c r="Q114" s="13"/>
      <c r="R114" s="13"/>
      <c r="S114" s="13"/>
      <c r="T114" s="13"/>
      <c r="U114" s="13"/>
      <c r="V114" s="13"/>
      <c r="W114" s="13"/>
      <c r="X114" s="13"/>
      <c r="Y114" s="13"/>
      <c r="Z114" s="12"/>
      <c r="AA114" s="12"/>
      <c r="AB114" s="12"/>
      <c r="AC114" s="12"/>
      <c r="AD114" s="12">
        <v>140</v>
      </c>
      <c r="AE114" s="12">
        <v>5</v>
      </c>
      <c r="AF114" s="12">
        <v>150</v>
      </c>
      <c r="AG114" s="12">
        <v>5</v>
      </c>
      <c r="AH114" s="728"/>
      <c r="AI114" s="728"/>
      <c r="AJ114" s="728"/>
      <c r="AK114" s="728"/>
      <c r="AL114" s="13"/>
      <c r="AM114" s="8" t="s">
        <v>626</v>
      </c>
      <c r="AN114" s="13">
        <v>1</v>
      </c>
    </row>
    <row r="115" spans="1:40" s="2" customFormat="1" ht="45" hidden="1" customHeight="1">
      <c r="A115" s="12"/>
      <c r="B115" s="12"/>
      <c r="C115" s="12"/>
      <c r="D115" s="5"/>
      <c r="E115" s="5" t="s">
        <v>647</v>
      </c>
      <c r="F115" s="5" t="s">
        <v>648</v>
      </c>
      <c r="G115" s="5" t="s">
        <v>566</v>
      </c>
      <c r="H115" s="718" t="s">
        <v>649</v>
      </c>
      <c r="I115" s="13" t="s">
        <v>650</v>
      </c>
      <c r="J115" s="13">
        <v>1</v>
      </c>
      <c r="K115" s="13">
        <v>-5</v>
      </c>
      <c r="L115" s="13">
        <v>200</v>
      </c>
      <c r="M115" s="13" t="s">
        <v>150</v>
      </c>
      <c r="N115" s="13"/>
      <c r="O115" s="13"/>
      <c r="P115" s="13"/>
      <c r="Q115" s="13"/>
      <c r="R115" s="13"/>
      <c r="S115" s="13"/>
      <c r="T115" s="13"/>
      <c r="U115" s="13"/>
      <c r="V115" s="13"/>
      <c r="W115" s="13"/>
      <c r="X115" s="13"/>
      <c r="Y115" s="13"/>
      <c r="Z115" s="12"/>
      <c r="AA115" s="12"/>
      <c r="AB115" s="12"/>
      <c r="AC115" s="12"/>
      <c r="AD115" s="12">
        <v>140</v>
      </c>
      <c r="AE115" s="12">
        <v>5</v>
      </c>
      <c r="AF115" s="12">
        <v>150</v>
      </c>
      <c r="AG115" s="12">
        <v>5</v>
      </c>
      <c r="AH115" s="728"/>
      <c r="AI115" s="728"/>
      <c r="AJ115" s="728"/>
      <c r="AK115" s="728"/>
      <c r="AL115" s="13"/>
      <c r="AM115" s="8" t="s">
        <v>626</v>
      </c>
      <c r="AN115" s="13">
        <v>1</v>
      </c>
    </row>
    <row r="116" spans="1:40" s="2" customFormat="1" ht="45" hidden="1" customHeight="1">
      <c r="A116" s="12"/>
      <c r="B116" s="12"/>
      <c r="C116" s="12"/>
      <c r="D116" s="5"/>
      <c r="E116" s="5" t="s">
        <v>651</v>
      </c>
      <c r="F116" s="5" t="s">
        <v>652</v>
      </c>
      <c r="G116" s="5" t="s">
        <v>566</v>
      </c>
      <c r="H116" s="718" t="s">
        <v>653</v>
      </c>
      <c r="I116" s="13" t="s">
        <v>654</v>
      </c>
      <c r="J116" s="13">
        <v>1</v>
      </c>
      <c r="K116" s="13">
        <v>-5</v>
      </c>
      <c r="L116" s="13">
        <v>200</v>
      </c>
      <c r="M116" s="13" t="s">
        <v>150</v>
      </c>
      <c r="N116" s="13"/>
      <c r="O116" s="13"/>
      <c r="P116" s="13"/>
      <c r="Q116" s="13"/>
      <c r="R116" s="13"/>
      <c r="S116" s="13"/>
      <c r="T116" s="13"/>
      <c r="U116" s="13"/>
      <c r="V116" s="13"/>
      <c r="W116" s="13"/>
      <c r="X116" s="13"/>
      <c r="Y116" s="13"/>
      <c r="Z116" s="12"/>
      <c r="AA116" s="12"/>
      <c r="AB116" s="12"/>
      <c r="AC116" s="12"/>
      <c r="AD116" s="12">
        <v>140</v>
      </c>
      <c r="AE116" s="12">
        <v>5</v>
      </c>
      <c r="AF116" s="12">
        <v>150</v>
      </c>
      <c r="AG116" s="12">
        <v>5</v>
      </c>
      <c r="AH116" s="728"/>
      <c r="AI116" s="728"/>
      <c r="AJ116" s="728"/>
      <c r="AK116" s="728"/>
      <c r="AL116" s="13"/>
      <c r="AM116" s="8" t="s">
        <v>626</v>
      </c>
      <c r="AN116" s="13">
        <v>1</v>
      </c>
    </row>
    <row r="117" spans="1:40" s="2" customFormat="1" ht="45" hidden="1" customHeight="1">
      <c r="A117" s="12"/>
      <c r="B117" s="12"/>
      <c r="C117" s="12"/>
      <c r="D117" s="5"/>
      <c r="E117" s="5" t="s">
        <v>655</v>
      </c>
      <c r="F117" s="5" t="s">
        <v>656</v>
      </c>
      <c r="G117" s="5" t="s">
        <v>566</v>
      </c>
      <c r="H117" s="718" t="s">
        <v>657</v>
      </c>
      <c r="I117" s="13" t="s">
        <v>658</v>
      </c>
      <c r="J117" s="13">
        <v>1</v>
      </c>
      <c r="K117" s="13">
        <v>-5</v>
      </c>
      <c r="L117" s="13">
        <v>200</v>
      </c>
      <c r="M117" s="13" t="s">
        <v>150</v>
      </c>
      <c r="N117" s="13"/>
      <c r="O117" s="13"/>
      <c r="P117" s="13"/>
      <c r="Q117" s="13"/>
      <c r="R117" s="13"/>
      <c r="S117" s="13"/>
      <c r="T117" s="13"/>
      <c r="U117" s="13"/>
      <c r="V117" s="13"/>
      <c r="W117" s="13"/>
      <c r="X117" s="13"/>
      <c r="Y117" s="13"/>
      <c r="Z117" s="12"/>
      <c r="AA117" s="12"/>
      <c r="AB117" s="12"/>
      <c r="AC117" s="12"/>
      <c r="AD117" s="12">
        <v>95</v>
      </c>
      <c r="AE117" s="12">
        <v>5</v>
      </c>
      <c r="AF117" s="12">
        <v>100</v>
      </c>
      <c r="AG117" s="12">
        <v>5</v>
      </c>
      <c r="AH117" s="728"/>
      <c r="AI117" s="728"/>
      <c r="AJ117" s="728"/>
      <c r="AK117" s="728"/>
      <c r="AL117" s="13"/>
      <c r="AM117" s="8" t="s">
        <v>522</v>
      </c>
      <c r="AN117" s="13">
        <v>1</v>
      </c>
    </row>
    <row r="118" spans="1:40" s="2" customFormat="1" ht="45" hidden="1" customHeight="1">
      <c r="A118" s="12"/>
      <c r="B118" s="12"/>
      <c r="C118" s="12"/>
      <c r="D118" s="5"/>
      <c r="E118" s="5" t="s">
        <v>659</v>
      </c>
      <c r="F118" s="5" t="s">
        <v>660</v>
      </c>
      <c r="G118" s="5" t="s">
        <v>566</v>
      </c>
      <c r="H118" s="718" t="s">
        <v>661</v>
      </c>
      <c r="I118" s="13" t="s">
        <v>662</v>
      </c>
      <c r="J118" s="13">
        <v>1</v>
      </c>
      <c r="K118" s="13">
        <v>-5</v>
      </c>
      <c r="L118" s="13">
        <v>200</v>
      </c>
      <c r="M118" s="13" t="s">
        <v>150</v>
      </c>
      <c r="N118" s="13"/>
      <c r="O118" s="13"/>
      <c r="P118" s="13"/>
      <c r="Q118" s="13"/>
      <c r="R118" s="13"/>
      <c r="S118" s="13"/>
      <c r="T118" s="13"/>
      <c r="U118" s="13"/>
      <c r="V118" s="13"/>
      <c r="W118" s="13"/>
      <c r="X118" s="13"/>
      <c r="Y118" s="13"/>
      <c r="Z118" s="12"/>
      <c r="AA118" s="12"/>
      <c r="AB118" s="12"/>
      <c r="AC118" s="12"/>
      <c r="AD118" s="12">
        <v>95</v>
      </c>
      <c r="AE118" s="12">
        <v>5</v>
      </c>
      <c r="AF118" s="12">
        <v>100</v>
      </c>
      <c r="AG118" s="12">
        <v>5</v>
      </c>
      <c r="AH118" s="728"/>
      <c r="AI118" s="728"/>
      <c r="AJ118" s="728"/>
      <c r="AK118" s="728"/>
      <c r="AL118" s="13"/>
      <c r="AM118" s="8" t="s">
        <v>522</v>
      </c>
      <c r="AN118" s="13">
        <v>1</v>
      </c>
    </row>
    <row r="119" spans="1:40" s="2" customFormat="1" ht="45" hidden="1" customHeight="1">
      <c r="A119" s="12"/>
      <c r="B119" s="12"/>
      <c r="C119" s="12"/>
      <c r="D119" s="5"/>
      <c r="E119" s="5" t="s">
        <v>663</v>
      </c>
      <c r="F119" s="5" t="s">
        <v>664</v>
      </c>
      <c r="G119" s="5" t="s">
        <v>596</v>
      </c>
      <c r="H119" s="718" t="s">
        <v>665</v>
      </c>
      <c r="I119" s="13" t="s">
        <v>666</v>
      </c>
      <c r="J119" s="13">
        <v>1</v>
      </c>
      <c r="K119" s="13">
        <v>-5</v>
      </c>
      <c r="L119" s="13">
        <v>200</v>
      </c>
      <c r="M119" s="13" t="s">
        <v>150</v>
      </c>
      <c r="N119" s="13"/>
      <c r="O119" s="13"/>
      <c r="P119" s="13"/>
      <c r="Q119" s="13"/>
      <c r="R119" s="13"/>
      <c r="S119" s="13"/>
      <c r="T119" s="13"/>
      <c r="U119" s="13"/>
      <c r="V119" s="13"/>
      <c r="W119" s="13"/>
      <c r="X119" s="13"/>
      <c r="Y119" s="13"/>
      <c r="Z119" s="12"/>
      <c r="AA119" s="12"/>
      <c r="AB119" s="12"/>
      <c r="AC119" s="12"/>
      <c r="AD119" s="12">
        <v>140</v>
      </c>
      <c r="AE119" s="12">
        <v>5</v>
      </c>
      <c r="AF119" s="12">
        <v>150</v>
      </c>
      <c r="AG119" s="12">
        <v>5</v>
      </c>
      <c r="AH119" s="728"/>
      <c r="AI119" s="728"/>
      <c r="AJ119" s="728"/>
      <c r="AK119" s="728"/>
      <c r="AL119" s="13"/>
      <c r="AM119" s="8" t="s">
        <v>626</v>
      </c>
      <c r="AN119" s="13">
        <v>1</v>
      </c>
    </row>
    <row r="120" spans="1:40" s="2" customFormat="1" ht="45" hidden="1" customHeight="1">
      <c r="A120" s="12"/>
      <c r="B120" s="12"/>
      <c r="C120" s="12"/>
      <c r="D120" s="5"/>
      <c r="E120" s="5" t="s">
        <v>667</v>
      </c>
      <c r="F120" s="5" t="s">
        <v>668</v>
      </c>
      <c r="G120" s="5" t="s">
        <v>596</v>
      </c>
      <c r="H120" s="718" t="s">
        <v>669</v>
      </c>
      <c r="I120" s="13" t="s">
        <v>670</v>
      </c>
      <c r="J120" s="13">
        <v>1</v>
      </c>
      <c r="K120" s="13">
        <v>-5</v>
      </c>
      <c r="L120" s="13">
        <v>200</v>
      </c>
      <c r="M120" s="13" t="s">
        <v>150</v>
      </c>
      <c r="N120" s="13"/>
      <c r="O120" s="13"/>
      <c r="P120" s="13"/>
      <c r="Q120" s="13"/>
      <c r="R120" s="13"/>
      <c r="S120" s="13"/>
      <c r="T120" s="13"/>
      <c r="U120" s="13"/>
      <c r="V120" s="13"/>
      <c r="W120" s="13"/>
      <c r="X120" s="13"/>
      <c r="Y120" s="13"/>
      <c r="Z120" s="12"/>
      <c r="AA120" s="12"/>
      <c r="AB120" s="12"/>
      <c r="AC120" s="12"/>
      <c r="AD120" s="12">
        <v>140</v>
      </c>
      <c r="AE120" s="12">
        <v>5</v>
      </c>
      <c r="AF120" s="12">
        <v>150</v>
      </c>
      <c r="AG120" s="12">
        <v>5</v>
      </c>
      <c r="AH120" s="728"/>
      <c r="AI120" s="728"/>
      <c r="AJ120" s="728"/>
      <c r="AK120" s="728"/>
      <c r="AL120" s="13"/>
      <c r="AM120" s="8" t="s">
        <v>626</v>
      </c>
      <c r="AN120" s="13">
        <v>1</v>
      </c>
    </row>
    <row r="121" spans="1:40" s="2" customFormat="1" ht="45" hidden="1" customHeight="1">
      <c r="A121" s="12"/>
      <c r="B121" s="12"/>
      <c r="C121" s="12"/>
      <c r="D121" s="5"/>
      <c r="E121" s="5" t="s">
        <v>671</v>
      </c>
      <c r="F121" s="5" t="s">
        <v>672</v>
      </c>
      <c r="G121" s="5" t="s">
        <v>596</v>
      </c>
      <c r="H121" s="718" t="s">
        <v>673</v>
      </c>
      <c r="I121" s="13" t="s">
        <v>674</v>
      </c>
      <c r="J121" s="13">
        <v>1</v>
      </c>
      <c r="K121" s="13">
        <v>-5</v>
      </c>
      <c r="L121" s="13">
        <v>200</v>
      </c>
      <c r="M121" s="13" t="s">
        <v>150</v>
      </c>
      <c r="N121" s="13"/>
      <c r="O121" s="13"/>
      <c r="P121" s="13"/>
      <c r="Q121" s="13"/>
      <c r="R121" s="13"/>
      <c r="S121" s="13"/>
      <c r="T121" s="13"/>
      <c r="U121" s="13"/>
      <c r="V121" s="13"/>
      <c r="W121" s="13"/>
      <c r="X121" s="13"/>
      <c r="Y121" s="13"/>
      <c r="Z121" s="12"/>
      <c r="AA121" s="12"/>
      <c r="AB121" s="12"/>
      <c r="AC121" s="12"/>
      <c r="AD121" s="12">
        <v>140</v>
      </c>
      <c r="AE121" s="12">
        <v>5</v>
      </c>
      <c r="AF121" s="12">
        <v>150</v>
      </c>
      <c r="AG121" s="12">
        <v>5</v>
      </c>
      <c r="AH121" s="728"/>
      <c r="AI121" s="728"/>
      <c r="AJ121" s="728"/>
      <c r="AK121" s="728"/>
      <c r="AL121" s="13"/>
      <c r="AM121" s="8" t="s">
        <v>626</v>
      </c>
      <c r="AN121" s="13">
        <v>1</v>
      </c>
    </row>
    <row r="122" spans="1:40" s="2" customFormat="1" ht="45" hidden="1" customHeight="1">
      <c r="A122" s="12"/>
      <c r="B122" s="12"/>
      <c r="C122" s="12"/>
      <c r="D122" s="5"/>
      <c r="E122" s="5" t="s">
        <v>675</v>
      </c>
      <c r="F122" s="5" t="s">
        <v>676</v>
      </c>
      <c r="G122" s="5" t="s">
        <v>596</v>
      </c>
      <c r="H122" s="718" t="s">
        <v>677</v>
      </c>
      <c r="I122" s="13" t="s">
        <v>678</v>
      </c>
      <c r="J122" s="13">
        <v>1</v>
      </c>
      <c r="K122" s="13">
        <v>-5</v>
      </c>
      <c r="L122" s="13">
        <v>200</v>
      </c>
      <c r="M122" s="13" t="s">
        <v>150</v>
      </c>
      <c r="N122" s="13"/>
      <c r="O122" s="13"/>
      <c r="P122" s="13"/>
      <c r="Q122" s="13"/>
      <c r="R122" s="13"/>
      <c r="S122" s="13"/>
      <c r="T122" s="13"/>
      <c r="U122" s="13"/>
      <c r="V122" s="13"/>
      <c r="W122" s="13"/>
      <c r="X122" s="13"/>
      <c r="Y122" s="13"/>
      <c r="Z122" s="12"/>
      <c r="AA122" s="12"/>
      <c r="AB122" s="12"/>
      <c r="AC122" s="12"/>
      <c r="AD122" s="12">
        <v>95</v>
      </c>
      <c r="AE122" s="12">
        <v>5</v>
      </c>
      <c r="AF122" s="12">
        <v>100</v>
      </c>
      <c r="AG122" s="12">
        <v>5</v>
      </c>
      <c r="AH122" s="728"/>
      <c r="AI122" s="728"/>
      <c r="AJ122" s="728"/>
      <c r="AK122" s="728"/>
      <c r="AL122" s="13"/>
      <c r="AM122" s="8" t="s">
        <v>522</v>
      </c>
      <c r="AN122" s="13">
        <v>1</v>
      </c>
    </row>
    <row r="123" spans="1:40" s="2" customFormat="1" ht="45" hidden="1" customHeight="1">
      <c r="A123" s="12"/>
      <c r="B123" s="12"/>
      <c r="C123" s="12"/>
      <c r="D123" s="5"/>
      <c r="E123" s="5" t="s">
        <v>679</v>
      </c>
      <c r="F123" s="5" t="s">
        <v>680</v>
      </c>
      <c r="G123" s="5" t="s">
        <v>596</v>
      </c>
      <c r="H123" s="718" t="s">
        <v>681</v>
      </c>
      <c r="I123" s="13" t="s">
        <v>682</v>
      </c>
      <c r="J123" s="13">
        <v>1</v>
      </c>
      <c r="K123" s="13">
        <v>-5</v>
      </c>
      <c r="L123" s="13">
        <v>200</v>
      </c>
      <c r="M123" s="13" t="s">
        <v>150</v>
      </c>
      <c r="N123" s="13"/>
      <c r="O123" s="13"/>
      <c r="P123" s="13"/>
      <c r="Q123" s="13"/>
      <c r="R123" s="13"/>
      <c r="S123" s="13"/>
      <c r="T123" s="13"/>
      <c r="U123" s="13"/>
      <c r="V123" s="13"/>
      <c r="W123" s="13"/>
      <c r="X123" s="13"/>
      <c r="Y123" s="13"/>
      <c r="Z123" s="12"/>
      <c r="AA123" s="12"/>
      <c r="AB123" s="12"/>
      <c r="AC123" s="12"/>
      <c r="AD123" s="12">
        <v>95</v>
      </c>
      <c r="AE123" s="12">
        <v>5</v>
      </c>
      <c r="AF123" s="12">
        <v>100</v>
      </c>
      <c r="AG123" s="12">
        <v>5</v>
      </c>
      <c r="AH123" s="728"/>
      <c r="AI123" s="728"/>
      <c r="AJ123" s="728"/>
      <c r="AK123" s="728"/>
      <c r="AL123" s="13"/>
      <c r="AM123" s="8" t="s">
        <v>522</v>
      </c>
      <c r="AN123" s="13">
        <v>1</v>
      </c>
    </row>
    <row r="124" spans="1:40" s="2" customFormat="1" ht="45" hidden="1" customHeight="1">
      <c r="A124" s="12"/>
      <c r="B124" s="12"/>
      <c r="C124" s="12"/>
      <c r="D124" s="5"/>
      <c r="E124" s="5" t="s">
        <v>683</v>
      </c>
      <c r="F124" s="5" t="s">
        <v>684</v>
      </c>
      <c r="G124" s="5" t="s">
        <v>596</v>
      </c>
      <c r="H124" s="718" t="s">
        <v>685</v>
      </c>
      <c r="I124" s="13" t="s">
        <v>686</v>
      </c>
      <c r="J124" s="13">
        <v>1</v>
      </c>
      <c r="K124" s="13">
        <v>-5</v>
      </c>
      <c r="L124" s="13">
        <v>200</v>
      </c>
      <c r="M124" s="13" t="s">
        <v>150</v>
      </c>
      <c r="N124" s="13"/>
      <c r="O124" s="13"/>
      <c r="P124" s="13"/>
      <c r="Q124" s="13"/>
      <c r="R124" s="13"/>
      <c r="S124" s="13"/>
      <c r="T124" s="13"/>
      <c r="U124" s="13"/>
      <c r="V124" s="13"/>
      <c r="W124" s="13"/>
      <c r="X124" s="13"/>
      <c r="Y124" s="13"/>
      <c r="Z124" s="12"/>
      <c r="AA124" s="12"/>
      <c r="AB124" s="12"/>
      <c r="AC124" s="12"/>
      <c r="AD124" s="12">
        <v>140</v>
      </c>
      <c r="AE124" s="12">
        <v>5</v>
      </c>
      <c r="AF124" s="12">
        <v>150</v>
      </c>
      <c r="AG124" s="12">
        <v>5</v>
      </c>
      <c r="AH124" s="728"/>
      <c r="AI124" s="728"/>
      <c r="AJ124" s="728"/>
      <c r="AK124" s="728"/>
      <c r="AL124" s="13"/>
      <c r="AM124" s="8" t="s">
        <v>626</v>
      </c>
      <c r="AN124" s="13">
        <v>1</v>
      </c>
    </row>
    <row r="125" spans="1:40" s="2" customFormat="1" ht="45" hidden="1" customHeight="1">
      <c r="A125" s="12"/>
      <c r="B125" s="12"/>
      <c r="C125" s="12"/>
      <c r="D125" s="5"/>
      <c r="E125" s="5" t="s">
        <v>687</v>
      </c>
      <c r="F125" s="5" t="s">
        <v>688</v>
      </c>
      <c r="G125" s="5" t="s">
        <v>596</v>
      </c>
      <c r="H125" s="718" t="s">
        <v>689</v>
      </c>
      <c r="I125" s="13" t="s">
        <v>690</v>
      </c>
      <c r="J125" s="13">
        <v>1</v>
      </c>
      <c r="K125" s="13">
        <v>-5</v>
      </c>
      <c r="L125" s="13">
        <v>200</v>
      </c>
      <c r="M125" s="13" t="s">
        <v>150</v>
      </c>
      <c r="N125" s="13"/>
      <c r="O125" s="13"/>
      <c r="P125" s="13"/>
      <c r="Q125" s="13"/>
      <c r="R125" s="13"/>
      <c r="S125" s="13"/>
      <c r="T125" s="13"/>
      <c r="U125" s="13"/>
      <c r="V125" s="13"/>
      <c r="W125" s="13"/>
      <c r="X125" s="13"/>
      <c r="Y125" s="13"/>
      <c r="Z125" s="12"/>
      <c r="AA125" s="12"/>
      <c r="AB125" s="12"/>
      <c r="AC125" s="12"/>
      <c r="AD125" s="12">
        <v>140</v>
      </c>
      <c r="AE125" s="12">
        <v>5</v>
      </c>
      <c r="AF125" s="12">
        <v>150</v>
      </c>
      <c r="AG125" s="12">
        <v>5</v>
      </c>
      <c r="AH125" s="728"/>
      <c r="AI125" s="728"/>
      <c r="AJ125" s="728"/>
      <c r="AK125" s="728"/>
      <c r="AL125" s="13"/>
      <c r="AM125" s="8" t="s">
        <v>626</v>
      </c>
      <c r="AN125" s="13">
        <v>1</v>
      </c>
    </row>
    <row r="126" spans="1:40" s="2" customFormat="1" ht="45" hidden="1" customHeight="1">
      <c r="A126" s="12"/>
      <c r="B126" s="12"/>
      <c r="C126" s="12"/>
      <c r="D126" s="5"/>
      <c r="E126" s="5" t="s">
        <v>691</v>
      </c>
      <c r="F126" s="5" t="s">
        <v>692</v>
      </c>
      <c r="G126" s="5" t="s">
        <v>596</v>
      </c>
      <c r="H126" s="718" t="s">
        <v>693</v>
      </c>
      <c r="I126" s="13" t="s">
        <v>694</v>
      </c>
      <c r="J126" s="13">
        <v>1</v>
      </c>
      <c r="K126" s="13">
        <v>-5</v>
      </c>
      <c r="L126" s="13">
        <v>200</v>
      </c>
      <c r="M126" s="13" t="s">
        <v>150</v>
      </c>
      <c r="N126" s="13"/>
      <c r="O126" s="13"/>
      <c r="P126" s="13"/>
      <c r="Q126" s="13"/>
      <c r="R126" s="13"/>
      <c r="S126" s="13"/>
      <c r="T126" s="13"/>
      <c r="U126" s="13"/>
      <c r="V126" s="13"/>
      <c r="W126" s="13"/>
      <c r="X126" s="13"/>
      <c r="Y126" s="13"/>
      <c r="Z126" s="12"/>
      <c r="AA126" s="12"/>
      <c r="AB126" s="12"/>
      <c r="AC126" s="12"/>
      <c r="AD126" s="12">
        <v>140</v>
      </c>
      <c r="AE126" s="12">
        <v>5</v>
      </c>
      <c r="AF126" s="12">
        <v>150</v>
      </c>
      <c r="AG126" s="12">
        <v>5</v>
      </c>
      <c r="AH126" s="728"/>
      <c r="AI126" s="728"/>
      <c r="AJ126" s="728"/>
      <c r="AK126" s="728"/>
      <c r="AL126" s="13"/>
      <c r="AM126" s="8" t="s">
        <v>626</v>
      </c>
      <c r="AN126" s="13">
        <v>1</v>
      </c>
    </row>
    <row r="127" spans="1:40" s="2" customFormat="1" ht="45" hidden="1" customHeight="1">
      <c r="A127" s="12"/>
      <c r="B127" s="12"/>
      <c r="C127" s="12"/>
      <c r="D127" s="5"/>
      <c r="E127" s="5" t="s">
        <v>695</v>
      </c>
      <c r="F127" s="5" t="s">
        <v>696</v>
      </c>
      <c r="G127" s="5" t="s">
        <v>596</v>
      </c>
      <c r="H127" s="718" t="s">
        <v>697</v>
      </c>
      <c r="I127" s="13" t="s">
        <v>698</v>
      </c>
      <c r="J127" s="13">
        <v>1</v>
      </c>
      <c r="K127" s="13">
        <v>-5</v>
      </c>
      <c r="L127" s="13">
        <v>200</v>
      </c>
      <c r="M127" s="13" t="s">
        <v>150</v>
      </c>
      <c r="N127" s="13"/>
      <c r="O127" s="13"/>
      <c r="P127" s="13"/>
      <c r="Q127" s="13"/>
      <c r="R127" s="13"/>
      <c r="S127" s="13"/>
      <c r="T127" s="13"/>
      <c r="U127" s="13"/>
      <c r="V127" s="13"/>
      <c r="W127" s="13"/>
      <c r="X127" s="13"/>
      <c r="Y127" s="13"/>
      <c r="Z127" s="12"/>
      <c r="AA127" s="12"/>
      <c r="AB127" s="12"/>
      <c r="AC127" s="12"/>
      <c r="AD127" s="12">
        <v>95</v>
      </c>
      <c r="AE127" s="12">
        <v>5</v>
      </c>
      <c r="AF127" s="12">
        <v>100</v>
      </c>
      <c r="AG127" s="12">
        <v>5</v>
      </c>
      <c r="AH127" s="728"/>
      <c r="AI127" s="728"/>
      <c r="AJ127" s="728"/>
      <c r="AK127" s="728"/>
      <c r="AL127" s="13"/>
      <c r="AM127" s="8" t="s">
        <v>522</v>
      </c>
      <c r="AN127" s="13">
        <v>1</v>
      </c>
    </row>
    <row r="128" spans="1:40" s="2" customFormat="1" ht="45" hidden="1" customHeight="1">
      <c r="A128" s="12"/>
      <c r="B128" s="12"/>
      <c r="C128" s="12"/>
      <c r="D128" s="5"/>
      <c r="E128" s="5" t="s">
        <v>699</v>
      </c>
      <c r="F128" s="5" t="s">
        <v>700</v>
      </c>
      <c r="G128" s="5" t="s">
        <v>596</v>
      </c>
      <c r="H128" s="718" t="s">
        <v>701</v>
      </c>
      <c r="I128" s="13" t="s">
        <v>702</v>
      </c>
      <c r="J128" s="13">
        <v>1</v>
      </c>
      <c r="K128" s="13">
        <v>-5</v>
      </c>
      <c r="L128" s="13">
        <v>200</v>
      </c>
      <c r="M128" s="13" t="s">
        <v>150</v>
      </c>
      <c r="N128" s="13"/>
      <c r="O128" s="13"/>
      <c r="P128" s="13"/>
      <c r="Q128" s="13"/>
      <c r="R128" s="13"/>
      <c r="S128" s="13"/>
      <c r="T128" s="13"/>
      <c r="U128" s="13"/>
      <c r="V128" s="13"/>
      <c r="W128" s="13"/>
      <c r="X128" s="13"/>
      <c r="Y128" s="13"/>
      <c r="Z128" s="12"/>
      <c r="AA128" s="12"/>
      <c r="AB128" s="12"/>
      <c r="AC128" s="12"/>
      <c r="AD128" s="12">
        <v>95</v>
      </c>
      <c r="AE128" s="12">
        <v>5</v>
      </c>
      <c r="AF128" s="12">
        <v>100</v>
      </c>
      <c r="AG128" s="12">
        <v>5</v>
      </c>
      <c r="AH128" s="728"/>
      <c r="AI128" s="728"/>
      <c r="AJ128" s="728"/>
      <c r="AK128" s="728"/>
      <c r="AL128" s="13"/>
      <c r="AM128" s="8" t="s">
        <v>522</v>
      </c>
      <c r="AN128" s="13">
        <v>1</v>
      </c>
    </row>
    <row r="129" spans="1:40" s="2" customFormat="1" ht="45" hidden="1" customHeight="1">
      <c r="A129" s="12"/>
      <c r="B129" s="12"/>
      <c r="C129" s="12"/>
      <c r="D129" s="5"/>
      <c r="E129" s="5" t="s">
        <v>703</v>
      </c>
      <c r="F129" s="5" t="s">
        <v>704</v>
      </c>
      <c r="G129" s="5" t="s">
        <v>596</v>
      </c>
      <c r="H129" s="718" t="s">
        <v>705</v>
      </c>
      <c r="I129" s="13" t="s">
        <v>706</v>
      </c>
      <c r="J129" s="13">
        <v>1</v>
      </c>
      <c r="K129" s="13">
        <v>-5</v>
      </c>
      <c r="L129" s="13">
        <v>200</v>
      </c>
      <c r="M129" s="13" t="s">
        <v>150</v>
      </c>
      <c r="N129" s="13"/>
      <c r="O129" s="13"/>
      <c r="P129" s="13"/>
      <c r="Q129" s="13"/>
      <c r="R129" s="13"/>
      <c r="S129" s="13"/>
      <c r="T129" s="13"/>
      <c r="U129" s="13"/>
      <c r="V129" s="13"/>
      <c r="W129" s="13"/>
      <c r="X129" s="13"/>
      <c r="Y129" s="13"/>
      <c r="Z129" s="12"/>
      <c r="AA129" s="12"/>
      <c r="AB129" s="12"/>
      <c r="AC129" s="12"/>
      <c r="AD129" s="12">
        <v>140</v>
      </c>
      <c r="AE129" s="12">
        <v>5</v>
      </c>
      <c r="AF129" s="12">
        <v>150</v>
      </c>
      <c r="AG129" s="12">
        <v>5</v>
      </c>
      <c r="AH129" s="728"/>
      <c r="AI129" s="728"/>
      <c r="AJ129" s="728"/>
      <c r="AK129" s="728"/>
      <c r="AL129" s="13"/>
      <c r="AM129" s="8" t="s">
        <v>626</v>
      </c>
      <c r="AN129" s="13">
        <v>1</v>
      </c>
    </row>
    <row r="130" spans="1:40" s="2" customFormat="1" ht="45" hidden="1" customHeight="1">
      <c r="A130" s="12"/>
      <c r="B130" s="12"/>
      <c r="C130" s="12"/>
      <c r="D130" s="5"/>
      <c r="E130" s="5" t="s">
        <v>707</v>
      </c>
      <c r="F130" s="5" t="s">
        <v>708</v>
      </c>
      <c r="G130" s="5" t="s">
        <v>596</v>
      </c>
      <c r="H130" s="718" t="s">
        <v>709</v>
      </c>
      <c r="I130" s="13" t="s">
        <v>710</v>
      </c>
      <c r="J130" s="13">
        <v>1</v>
      </c>
      <c r="K130" s="13">
        <v>-5</v>
      </c>
      <c r="L130" s="13">
        <v>200</v>
      </c>
      <c r="M130" s="13" t="s">
        <v>150</v>
      </c>
      <c r="N130" s="13"/>
      <c r="O130" s="13"/>
      <c r="P130" s="13"/>
      <c r="Q130" s="13"/>
      <c r="R130" s="13"/>
      <c r="S130" s="13"/>
      <c r="T130" s="13"/>
      <c r="U130" s="13"/>
      <c r="V130" s="13"/>
      <c r="W130" s="13"/>
      <c r="X130" s="13"/>
      <c r="Y130" s="13"/>
      <c r="Z130" s="12"/>
      <c r="AA130" s="12"/>
      <c r="AB130" s="12"/>
      <c r="AC130" s="12"/>
      <c r="AD130" s="12">
        <v>140</v>
      </c>
      <c r="AE130" s="12">
        <v>5</v>
      </c>
      <c r="AF130" s="12">
        <v>150</v>
      </c>
      <c r="AG130" s="12">
        <v>5</v>
      </c>
      <c r="AH130" s="728"/>
      <c r="AI130" s="728"/>
      <c r="AJ130" s="728"/>
      <c r="AK130" s="728"/>
      <c r="AL130" s="13"/>
      <c r="AM130" s="8" t="s">
        <v>626</v>
      </c>
      <c r="AN130" s="13">
        <v>1</v>
      </c>
    </row>
    <row r="131" spans="1:40" s="2" customFormat="1" ht="45" hidden="1" customHeight="1">
      <c r="A131" s="12"/>
      <c r="B131" s="12"/>
      <c r="C131" s="12"/>
      <c r="D131" s="5"/>
      <c r="E131" s="5" t="s">
        <v>711</v>
      </c>
      <c r="F131" s="5" t="s">
        <v>712</v>
      </c>
      <c r="G131" s="5" t="s">
        <v>596</v>
      </c>
      <c r="H131" s="718" t="s">
        <v>713</v>
      </c>
      <c r="I131" s="13" t="s">
        <v>714</v>
      </c>
      <c r="J131" s="13">
        <v>1</v>
      </c>
      <c r="K131" s="13">
        <v>-5</v>
      </c>
      <c r="L131" s="13">
        <v>200</v>
      </c>
      <c r="M131" s="13" t="s">
        <v>150</v>
      </c>
      <c r="N131" s="13"/>
      <c r="O131" s="13"/>
      <c r="P131" s="13"/>
      <c r="Q131" s="13"/>
      <c r="R131" s="13"/>
      <c r="S131" s="13"/>
      <c r="T131" s="13"/>
      <c r="U131" s="13"/>
      <c r="V131" s="13"/>
      <c r="W131" s="13"/>
      <c r="X131" s="13"/>
      <c r="Y131" s="13"/>
      <c r="Z131" s="12"/>
      <c r="AA131" s="12"/>
      <c r="AB131" s="12"/>
      <c r="AC131" s="12"/>
      <c r="AD131" s="12">
        <v>140</v>
      </c>
      <c r="AE131" s="12">
        <v>5</v>
      </c>
      <c r="AF131" s="12">
        <v>150</v>
      </c>
      <c r="AG131" s="12">
        <v>5</v>
      </c>
      <c r="AH131" s="728"/>
      <c r="AI131" s="728"/>
      <c r="AJ131" s="728"/>
      <c r="AK131" s="728"/>
      <c r="AL131" s="13"/>
      <c r="AM131" s="8" t="s">
        <v>626</v>
      </c>
      <c r="AN131" s="13">
        <v>1</v>
      </c>
    </row>
    <row r="132" spans="1:40" s="2" customFormat="1" ht="45" hidden="1" customHeight="1">
      <c r="A132" s="12"/>
      <c r="B132" s="12"/>
      <c r="C132" s="12"/>
      <c r="D132" s="5"/>
      <c r="E132" s="5" t="s">
        <v>715</v>
      </c>
      <c r="F132" s="5" t="s">
        <v>716</v>
      </c>
      <c r="G132" s="5" t="s">
        <v>596</v>
      </c>
      <c r="H132" s="718" t="s">
        <v>717</v>
      </c>
      <c r="I132" s="13" t="s">
        <v>718</v>
      </c>
      <c r="J132" s="13">
        <v>1</v>
      </c>
      <c r="K132" s="13">
        <v>-5</v>
      </c>
      <c r="L132" s="13">
        <v>200</v>
      </c>
      <c r="M132" s="13" t="s">
        <v>150</v>
      </c>
      <c r="N132" s="13"/>
      <c r="O132" s="13"/>
      <c r="P132" s="13"/>
      <c r="Q132" s="13"/>
      <c r="R132" s="13"/>
      <c r="S132" s="13"/>
      <c r="T132" s="13"/>
      <c r="U132" s="13"/>
      <c r="V132" s="13"/>
      <c r="W132" s="13"/>
      <c r="X132" s="13"/>
      <c r="Y132" s="13"/>
      <c r="Z132" s="12"/>
      <c r="AA132" s="12"/>
      <c r="AB132" s="12"/>
      <c r="AC132" s="12"/>
      <c r="AD132" s="12">
        <v>95</v>
      </c>
      <c r="AE132" s="12">
        <v>5</v>
      </c>
      <c r="AF132" s="12">
        <v>100</v>
      </c>
      <c r="AG132" s="12">
        <v>5</v>
      </c>
      <c r="AH132" s="728"/>
      <c r="AI132" s="728"/>
      <c r="AJ132" s="728"/>
      <c r="AK132" s="728"/>
      <c r="AL132" s="13"/>
      <c r="AM132" s="8" t="s">
        <v>522</v>
      </c>
      <c r="AN132" s="13">
        <v>1</v>
      </c>
    </row>
    <row r="133" spans="1:40" s="2" customFormat="1" ht="45" hidden="1" customHeight="1">
      <c r="A133" s="12"/>
      <c r="B133" s="12"/>
      <c r="C133" s="12"/>
      <c r="D133" s="5"/>
      <c r="E133" s="5" t="s">
        <v>719</v>
      </c>
      <c r="F133" s="5" t="s">
        <v>720</v>
      </c>
      <c r="G133" s="5" t="s">
        <v>596</v>
      </c>
      <c r="H133" s="718" t="s">
        <v>721</v>
      </c>
      <c r="I133" s="13" t="s">
        <v>722</v>
      </c>
      <c r="J133" s="13">
        <v>1</v>
      </c>
      <c r="K133" s="13">
        <v>-5</v>
      </c>
      <c r="L133" s="13">
        <v>200</v>
      </c>
      <c r="M133" s="13" t="s">
        <v>150</v>
      </c>
      <c r="N133" s="13"/>
      <c r="O133" s="13"/>
      <c r="P133" s="13"/>
      <c r="Q133" s="13"/>
      <c r="R133" s="13"/>
      <c r="S133" s="13"/>
      <c r="T133" s="13"/>
      <c r="U133" s="13"/>
      <c r="V133" s="13"/>
      <c r="W133" s="13"/>
      <c r="X133" s="13"/>
      <c r="Y133" s="13"/>
      <c r="Z133" s="12"/>
      <c r="AA133" s="12"/>
      <c r="AB133" s="12"/>
      <c r="AC133" s="12"/>
      <c r="AD133" s="12">
        <v>95</v>
      </c>
      <c r="AE133" s="12">
        <v>5</v>
      </c>
      <c r="AF133" s="12">
        <v>100</v>
      </c>
      <c r="AG133" s="12">
        <v>5</v>
      </c>
      <c r="AH133" s="728"/>
      <c r="AI133" s="728"/>
      <c r="AJ133" s="728"/>
      <c r="AK133" s="728"/>
      <c r="AL133" s="13"/>
      <c r="AM133" s="8" t="s">
        <v>522</v>
      </c>
      <c r="AN133" s="13">
        <v>1</v>
      </c>
    </row>
    <row r="134" spans="1:40" s="2" customFormat="1" ht="45" hidden="1" customHeight="1">
      <c r="A134" s="12"/>
      <c r="B134" s="12"/>
      <c r="C134" s="12"/>
      <c r="D134" s="5"/>
      <c r="E134" s="5" t="s">
        <v>723</v>
      </c>
      <c r="F134" s="5" t="s">
        <v>724</v>
      </c>
      <c r="G134" s="5" t="s">
        <v>596</v>
      </c>
      <c r="H134" s="718" t="s">
        <v>725</v>
      </c>
      <c r="I134" s="13" t="s">
        <v>726</v>
      </c>
      <c r="J134" s="13">
        <v>1</v>
      </c>
      <c r="K134" s="13">
        <v>-5</v>
      </c>
      <c r="L134" s="13">
        <v>200</v>
      </c>
      <c r="M134" s="13" t="s">
        <v>150</v>
      </c>
      <c r="N134" s="13"/>
      <c r="O134" s="13"/>
      <c r="P134" s="13"/>
      <c r="Q134" s="13"/>
      <c r="R134" s="13"/>
      <c r="S134" s="13"/>
      <c r="T134" s="13"/>
      <c r="U134" s="13"/>
      <c r="V134" s="13"/>
      <c r="W134" s="13"/>
      <c r="X134" s="13"/>
      <c r="Y134" s="13"/>
      <c r="Z134" s="12"/>
      <c r="AA134" s="12"/>
      <c r="AB134" s="12"/>
      <c r="AC134" s="12"/>
      <c r="AD134" s="12">
        <v>140</v>
      </c>
      <c r="AE134" s="12">
        <v>5</v>
      </c>
      <c r="AF134" s="12">
        <v>150</v>
      </c>
      <c r="AG134" s="12">
        <v>5</v>
      </c>
      <c r="AH134" s="728"/>
      <c r="AI134" s="728"/>
      <c r="AJ134" s="728"/>
      <c r="AK134" s="728"/>
      <c r="AL134" s="13"/>
      <c r="AM134" s="8" t="s">
        <v>626</v>
      </c>
      <c r="AN134" s="13">
        <v>1</v>
      </c>
    </row>
    <row r="135" spans="1:40" s="2" customFormat="1" ht="45" hidden="1" customHeight="1">
      <c r="A135" s="12"/>
      <c r="B135" s="12"/>
      <c r="C135" s="12"/>
      <c r="D135" s="5"/>
      <c r="E135" s="5" t="s">
        <v>727</v>
      </c>
      <c r="F135" s="5" t="s">
        <v>728</v>
      </c>
      <c r="G135" s="5" t="s">
        <v>566</v>
      </c>
      <c r="H135" s="718" t="s">
        <v>729</v>
      </c>
      <c r="I135" s="13" t="s">
        <v>730</v>
      </c>
      <c r="J135" s="13">
        <v>1</v>
      </c>
      <c r="K135" s="13">
        <v>-5</v>
      </c>
      <c r="L135" s="13">
        <v>200</v>
      </c>
      <c r="M135" s="13" t="s">
        <v>150</v>
      </c>
      <c r="N135" s="13"/>
      <c r="O135" s="13"/>
      <c r="P135" s="13"/>
      <c r="Q135" s="13"/>
      <c r="R135" s="13"/>
      <c r="S135" s="13"/>
      <c r="T135" s="13"/>
      <c r="U135" s="13"/>
      <c r="V135" s="13"/>
      <c r="W135" s="13"/>
      <c r="X135" s="13"/>
      <c r="Y135" s="13"/>
      <c r="Z135" s="12"/>
      <c r="AA135" s="12"/>
      <c r="AB135" s="12"/>
      <c r="AC135" s="12"/>
      <c r="AD135" s="12">
        <v>140</v>
      </c>
      <c r="AE135" s="12">
        <v>5</v>
      </c>
      <c r="AF135" s="12">
        <v>150</v>
      </c>
      <c r="AG135" s="12">
        <v>5</v>
      </c>
      <c r="AH135" s="728"/>
      <c r="AI135" s="728"/>
      <c r="AJ135" s="728"/>
      <c r="AK135" s="728"/>
      <c r="AL135" s="13"/>
      <c r="AM135" s="8" t="s">
        <v>626</v>
      </c>
      <c r="AN135" s="13">
        <v>1</v>
      </c>
    </row>
    <row r="136" spans="1:40" s="2" customFormat="1" ht="45" hidden="1" customHeight="1">
      <c r="A136" s="12"/>
      <c r="B136" s="12"/>
      <c r="C136" s="12"/>
      <c r="D136" s="5"/>
      <c r="E136" s="5" t="s">
        <v>731</v>
      </c>
      <c r="F136" s="5" t="s">
        <v>732</v>
      </c>
      <c r="G136" s="5" t="s">
        <v>596</v>
      </c>
      <c r="H136" s="718" t="s">
        <v>733</v>
      </c>
      <c r="I136" s="13" t="s">
        <v>734</v>
      </c>
      <c r="J136" s="13">
        <v>1</v>
      </c>
      <c r="K136" s="13">
        <v>-5</v>
      </c>
      <c r="L136" s="13">
        <v>200</v>
      </c>
      <c r="M136" s="13" t="s">
        <v>150</v>
      </c>
      <c r="N136" s="13"/>
      <c r="O136" s="13"/>
      <c r="P136" s="13"/>
      <c r="Q136" s="13"/>
      <c r="R136" s="13"/>
      <c r="S136" s="13"/>
      <c r="T136" s="13"/>
      <c r="U136" s="13"/>
      <c r="V136" s="13"/>
      <c r="W136" s="13"/>
      <c r="X136" s="13"/>
      <c r="Y136" s="13"/>
      <c r="Z136" s="12"/>
      <c r="AA136" s="12"/>
      <c r="AB136" s="12"/>
      <c r="AC136" s="12"/>
      <c r="AD136" s="12">
        <v>140</v>
      </c>
      <c r="AE136" s="12">
        <v>5</v>
      </c>
      <c r="AF136" s="12">
        <v>150</v>
      </c>
      <c r="AG136" s="12">
        <v>5</v>
      </c>
      <c r="AH136" s="728"/>
      <c r="AI136" s="728"/>
      <c r="AJ136" s="728"/>
      <c r="AK136" s="728"/>
      <c r="AL136" s="13"/>
      <c r="AM136" s="8" t="s">
        <v>626</v>
      </c>
      <c r="AN136" s="13">
        <v>1</v>
      </c>
    </row>
    <row r="137" spans="1:40" s="2" customFormat="1" ht="45" hidden="1" customHeight="1">
      <c r="A137" s="12"/>
      <c r="B137" s="12"/>
      <c r="C137" s="12"/>
      <c r="D137" s="5"/>
      <c r="E137" s="5" t="s">
        <v>735</v>
      </c>
      <c r="F137" s="5" t="s">
        <v>736</v>
      </c>
      <c r="G137" s="5" t="s">
        <v>596</v>
      </c>
      <c r="H137" s="718" t="s">
        <v>737</v>
      </c>
      <c r="I137" s="13" t="s">
        <v>738</v>
      </c>
      <c r="J137" s="13">
        <v>1</v>
      </c>
      <c r="K137" s="13">
        <v>-5</v>
      </c>
      <c r="L137" s="13">
        <v>200</v>
      </c>
      <c r="M137" s="13" t="s">
        <v>150</v>
      </c>
      <c r="N137" s="13"/>
      <c r="O137" s="13"/>
      <c r="P137" s="13"/>
      <c r="Q137" s="13"/>
      <c r="R137" s="13"/>
      <c r="S137" s="13"/>
      <c r="T137" s="13"/>
      <c r="U137" s="13"/>
      <c r="V137" s="13"/>
      <c r="W137" s="13"/>
      <c r="X137" s="13"/>
      <c r="Y137" s="13"/>
      <c r="Z137" s="12"/>
      <c r="AA137" s="12"/>
      <c r="AB137" s="12"/>
      <c r="AC137" s="12"/>
      <c r="AD137" s="12">
        <v>95</v>
      </c>
      <c r="AE137" s="12">
        <v>5</v>
      </c>
      <c r="AF137" s="12">
        <v>100</v>
      </c>
      <c r="AG137" s="12">
        <v>5</v>
      </c>
      <c r="AH137" s="728"/>
      <c r="AI137" s="728"/>
      <c r="AJ137" s="728"/>
      <c r="AK137" s="728"/>
      <c r="AL137" s="13"/>
      <c r="AM137" s="8" t="s">
        <v>522</v>
      </c>
      <c r="AN137" s="13">
        <v>1</v>
      </c>
    </row>
    <row r="138" spans="1:40" s="2" customFormat="1" ht="45" hidden="1" customHeight="1">
      <c r="A138" s="12"/>
      <c r="B138" s="12"/>
      <c r="C138" s="12"/>
      <c r="D138" s="5"/>
      <c r="E138" s="5" t="s">
        <v>739</v>
      </c>
      <c r="F138" s="5" t="s">
        <v>740</v>
      </c>
      <c r="G138" s="5" t="s">
        <v>596</v>
      </c>
      <c r="H138" s="718" t="s">
        <v>741</v>
      </c>
      <c r="I138" s="13" t="s">
        <v>742</v>
      </c>
      <c r="J138" s="13">
        <v>1</v>
      </c>
      <c r="K138" s="13">
        <v>-5</v>
      </c>
      <c r="L138" s="13">
        <v>200</v>
      </c>
      <c r="M138" s="13" t="s">
        <v>150</v>
      </c>
      <c r="N138" s="13"/>
      <c r="O138" s="13"/>
      <c r="P138" s="13"/>
      <c r="Q138" s="13"/>
      <c r="R138" s="13"/>
      <c r="S138" s="13"/>
      <c r="T138" s="13"/>
      <c r="U138" s="13"/>
      <c r="V138" s="13"/>
      <c r="W138" s="13"/>
      <c r="X138" s="13"/>
      <c r="Y138" s="13"/>
      <c r="Z138" s="12"/>
      <c r="AA138" s="12"/>
      <c r="AB138" s="12"/>
      <c r="AC138" s="12"/>
      <c r="AD138" s="12">
        <v>95</v>
      </c>
      <c r="AE138" s="12">
        <v>5</v>
      </c>
      <c r="AF138" s="12">
        <v>100</v>
      </c>
      <c r="AG138" s="12">
        <v>5</v>
      </c>
      <c r="AH138" s="728"/>
      <c r="AI138" s="728"/>
      <c r="AJ138" s="728"/>
      <c r="AK138" s="728"/>
      <c r="AL138" s="13"/>
      <c r="AM138" s="8" t="s">
        <v>522</v>
      </c>
      <c r="AN138" s="13">
        <v>1</v>
      </c>
    </row>
    <row r="139" spans="1:40" s="2" customFormat="1" ht="35.1" hidden="1" customHeight="1">
      <c r="A139" s="12"/>
      <c r="B139" s="12"/>
      <c r="C139" s="12"/>
      <c r="D139" s="5"/>
      <c r="E139" s="5" t="s">
        <v>743</v>
      </c>
      <c r="F139" s="731" t="s">
        <v>744</v>
      </c>
      <c r="G139" s="605" t="s">
        <v>745</v>
      </c>
      <c r="H139" s="718" t="s">
        <v>746</v>
      </c>
      <c r="I139" s="13" t="s">
        <v>747</v>
      </c>
      <c r="J139" s="13">
        <v>1</v>
      </c>
      <c r="K139" s="13">
        <v>-50</v>
      </c>
      <c r="L139" s="13">
        <v>300</v>
      </c>
      <c r="M139" s="13" t="s">
        <v>150</v>
      </c>
      <c r="N139" s="13"/>
      <c r="O139" s="13"/>
      <c r="P139" s="13"/>
      <c r="Q139" s="13"/>
      <c r="R139" s="13"/>
      <c r="S139" s="13"/>
      <c r="T139" s="13"/>
      <c r="U139" s="13"/>
      <c r="V139" s="13"/>
      <c r="W139" s="13"/>
      <c r="X139" s="13"/>
      <c r="Y139" s="13"/>
      <c r="Z139" s="12"/>
      <c r="AA139" s="12"/>
      <c r="AB139" s="12"/>
      <c r="AC139" s="12"/>
      <c r="AD139" s="12"/>
      <c r="AE139" s="12"/>
      <c r="AF139" s="12"/>
      <c r="AG139" s="12"/>
      <c r="AH139" s="728"/>
      <c r="AI139" s="728"/>
      <c r="AJ139" s="728"/>
      <c r="AK139" s="728"/>
      <c r="AL139" s="13"/>
      <c r="AM139" s="8" t="s">
        <v>748</v>
      </c>
      <c r="AN139" s="744">
        <v>2</v>
      </c>
    </row>
    <row r="140" spans="1:40" s="2" customFormat="1" ht="35.1" hidden="1" customHeight="1">
      <c r="A140" s="12"/>
      <c r="B140" s="12"/>
      <c r="C140" s="12"/>
      <c r="D140" s="5"/>
      <c r="E140" s="5" t="s">
        <v>749</v>
      </c>
      <c r="F140" s="731" t="s">
        <v>750</v>
      </c>
      <c r="G140" s="605" t="s">
        <v>745</v>
      </c>
      <c r="H140" s="718" t="s">
        <v>751</v>
      </c>
      <c r="I140" s="13" t="s">
        <v>752</v>
      </c>
      <c r="J140" s="13">
        <v>1</v>
      </c>
      <c r="K140" s="13">
        <v>-50</v>
      </c>
      <c r="L140" s="13">
        <v>300</v>
      </c>
      <c r="M140" s="13" t="s">
        <v>150</v>
      </c>
      <c r="N140" s="13"/>
      <c r="O140" s="13"/>
      <c r="P140" s="13"/>
      <c r="Q140" s="13"/>
      <c r="R140" s="13"/>
      <c r="S140" s="13"/>
      <c r="T140" s="13"/>
      <c r="U140" s="13"/>
      <c r="V140" s="13"/>
      <c r="W140" s="13"/>
      <c r="X140" s="13"/>
      <c r="Y140" s="13"/>
      <c r="Z140" s="12"/>
      <c r="AA140" s="12"/>
      <c r="AB140" s="12"/>
      <c r="AC140" s="12"/>
      <c r="AD140" s="12"/>
      <c r="AE140" s="12"/>
      <c r="AF140" s="12"/>
      <c r="AG140" s="12"/>
      <c r="AH140" s="728"/>
      <c r="AI140" s="728"/>
      <c r="AJ140" s="728"/>
      <c r="AK140" s="728"/>
      <c r="AL140" s="13"/>
      <c r="AM140" s="8" t="s">
        <v>748</v>
      </c>
      <c r="AN140" s="744">
        <v>2</v>
      </c>
    </row>
    <row r="141" spans="1:40" s="2" customFormat="1" ht="35.1" hidden="1" customHeight="1">
      <c r="A141" s="12"/>
      <c r="B141" s="12"/>
      <c r="C141" s="12"/>
      <c r="D141" s="5"/>
      <c r="E141" s="5" t="s">
        <v>753</v>
      </c>
      <c r="F141" s="731" t="s">
        <v>754</v>
      </c>
      <c r="G141" s="605" t="s">
        <v>745</v>
      </c>
      <c r="H141" s="718" t="s">
        <v>751</v>
      </c>
      <c r="I141" s="13" t="s">
        <v>755</v>
      </c>
      <c r="J141" s="13">
        <v>1</v>
      </c>
      <c r="K141" s="13">
        <v>-50</v>
      </c>
      <c r="L141" s="13">
        <v>300</v>
      </c>
      <c r="M141" s="13" t="s">
        <v>150</v>
      </c>
      <c r="N141" s="13"/>
      <c r="O141" s="13"/>
      <c r="P141" s="13"/>
      <c r="Q141" s="13"/>
      <c r="R141" s="13"/>
      <c r="S141" s="13"/>
      <c r="T141" s="13"/>
      <c r="U141" s="13"/>
      <c r="V141" s="13"/>
      <c r="W141" s="13"/>
      <c r="X141" s="13"/>
      <c r="Y141" s="13"/>
      <c r="Z141" s="12"/>
      <c r="AA141" s="12"/>
      <c r="AB141" s="12"/>
      <c r="AC141" s="12"/>
      <c r="AD141" s="12"/>
      <c r="AE141" s="12"/>
      <c r="AF141" s="12"/>
      <c r="AG141" s="12"/>
      <c r="AH141" s="728"/>
      <c r="AI141" s="728"/>
      <c r="AJ141" s="728"/>
      <c r="AK141" s="728"/>
      <c r="AL141" s="13"/>
      <c r="AM141" s="8" t="s">
        <v>748</v>
      </c>
      <c r="AN141" s="744">
        <v>2</v>
      </c>
    </row>
    <row r="142" spans="1:40" s="2" customFormat="1" ht="35.1" hidden="1" customHeight="1">
      <c r="A142" s="12"/>
      <c r="B142" s="12"/>
      <c r="C142" s="12"/>
      <c r="D142" s="5"/>
      <c r="E142" s="5" t="s">
        <v>756</v>
      </c>
      <c r="F142" s="731" t="s">
        <v>757</v>
      </c>
      <c r="G142" s="605" t="s">
        <v>745</v>
      </c>
      <c r="H142" s="718" t="s">
        <v>751</v>
      </c>
      <c r="I142" s="13" t="s">
        <v>758</v>
      </c>
      <c r="J142" s="13">
        <v>1</v>
      </c>
      <c r="K142" s="13">
        <v>-50</v>
      </c>
      <c r="L142" s="13">
        <v>300</v>
      </c>
      <c r="M142" s="13" t="s">
        <v>150</v>
      </c>
      <c r="N142" s="13"/>
      <c r="O142" s="13"/>
      <c r="P142" s="13"/>
      <c r="Q142" s="13"/>
      <c r="R142" s="13"/>
      <c r="S142" s="13"/>
      <c r="T142" s="13"/>
      <c r="U142" s="13"/>
      <c r="V142" s="13"/>
      <c r="W142" s="13"/>
      <c r="X142" s="13"/>
      <c r="Y142" s="13"/>
      <c r="Z142" s="12"/>
      <c r="AA142" s="12"/>
      <c r="AB142" s="12"/>
      <c r="AC142" s="12"/>
      <c r="AD142" s="12"/>
      <c r="AE142" s="12"/>
      <c r="AF142" s="12"/>
      <c r="AG142" s="12"/>
      <c r="AH142" s="728"/>
      <c r="AI142" s="728"/>
      <c r="AJ142" s="728"/>
      <c r="AK142" s="728"/>
      <c r="AL142" s="13"/>
      <c r="AM142" s="8" t="s">
        <v>748</v>
      </c>
      <c r="AN142" s="744">
        <v>2</v>
      </c>
    </row>
    <row r="143" spans="1:40" s="2" customFormat="1" ht="35.1" hidden="1" customHeight="1">
      <c r="A143" s="12"/>
      <c r="B143" s="12"/>
      <c r="C143" s="12"/>
      <c r="D143" s="5"/>
      <c r="E143" s="5" t="s">
        <v>759</v>
      </c>
      <c r="F143" s="731" t="s">
        <v>760</v>
      </c>
      <c r="G143" s="605" t="s">
        <v>745</v>
      </c>
      <c r="H143" s="718" t="s">
        <v>761</v>
      </c>
      <c r="I143" s="13" t="s">
        <v>762</v>
      </c>
      <c r="J143" s="13">
        <v>1</v>
      </c>
      <c r="K143" s="13">
        <v>-50</v>
      </c>
      <c r="L143" s="13">
        <v>300</v>
      </c>
      <c r="M143" s="13" t="s">
        <v>150</v>
      </c>
      <c r="N143" s="13"/>
      <c r="O143" s="13"/>
      <c r="P143" s="13"/>
      <c r="Q143" s="13"/>
      <c r="R143" s="13"/>
      <c r="S143" s="13"/>
      <c r="T143" s="13"/>
      <c r="U143" s="13"/>
      <c r="V143" s="13"/>
      <c r="W143" s="13"/>
      <c r="X143" s="13"/>
      <c r="Y143" s="13"/>
      <c r="Z143" s="12"/>
      <c r="AA143" s="12"/>
      <c r="AB143" s="12"/>
      <c r="AC143" s="12"/>
      <c r="AD143" s="12"/>
      <c r="AE143" s="12"/>
      <c r="AF143" s="12"/>
      <c r="AG143" s="12"/>
      <c r="AH143" s="728"/>
      <c r="AI143" s="728"/>
      <c r="AJ143" s="728"/>
      <c r="AK143" s="728"/>
      <c r="AL143" s="13"/>
      <c r="AM143" s="8" t="s">
        <v>748</v>
      </c>
      <c r="AN143" s="744">
        <v>2</v>
      </c>
    </row>
    <row r="144" spans="1:40" s="2" customFormat="1" ht="60" customHeight="1">
      <c r="A144" s="12"/>
      <c r="B144" s="12"/>
      <c r="C144" s="12"/>
      <c r="D144" s="5"/>
      <c r="E144" s="5" t="s">
        <v>763</v>
      </c>
      <c r="F144" s="5" t="s">
        <v>764</v>
      </c>
      <c r="G144" s="5" t="s">
        <v>538</v>
      </c>
      <c r="H144" s="718" t="s">
        <v>765</v>
      </c>
      <c r="I144" s="13" t="s">
        <v>766</v>
      </c>
      <c r="J144" s="13">
        <v>1</v>
      </c>
      <c r="K144" s="13">
        <v>1</v>
      </c>
      <c r="L144" s="13">
        <v>3.5</v>
      </c>
      <c r="M144" s="13" t="s">
        <v>767</v>
      </c>
      <c r="N144" s="13"/>
      <c r="O144" s="13"/>
      <c r="P144" s="13"/>
      <c r="Q144" s="13"/>
      <c r="R144" s="13"/>
      <c r="S144" s="13"/>
      <c r="T144" s="13"/>
      <c r="U144" s="13"/>
      <c r="V144" s="13"/>
      <c r="W144" s="13"/>
      <c r="X144" s="13"/>
      <c r="Y144" s="13"/>
      <c r="Z144" s="12"/>
      <c r="AA144" s="12"/>
      <c r="AB144" s="12"/>
      <c r="AC144" s="12"/>
      <c r="AD144" s="12"/>
      <c r="AE144" s="12"/>
      <c r="AF144" s="12"/>
      <c r="AG144" s="12"/>
      <c r="AH144" s="728"/>
      <c r="AI144" s="728"/>
      <c r="AJ144" s="728"/>
      <c r="AK144" s="728"/>
      <c r="AL144" s="13"/>
      <c r="AM144" s="8" t="s">
        <v>768</v>
      </c>
      <c r="AN144" s="13">
        <v>1</v>
      </c>
    </row>
    <row r="145" spans="1:40" s="2" customFormat="1" ht="60" customHeight="1">
      <c r="A145" s="12"/>
      <c r="B145" s="12"/>
      <c r="C145" s="12"/>
      <c r="D145" s="5"/>
      <c r="E145" s="5" t="s">
        <v>769</v>
      </c>
      <c r="F145" s="5" t="s">
        <v>770</v>
      </c>
      <c r="G145" s="5" t="s">
        <v>500</v>
      </c>
      <c r="H145" s="718" t="s">
        <v>771</v>
      </c>
      <c r="I145" s="13" t="s">
        <v>772</v>
      </c>
      <c r="J145" s="13">
        <v>1</v>
      </c>
      <c r="K145" s="13">
        <v>0</v>
      </c>
      <c r="L145" s="13">
        <v>100</v>
      </c>
      <c r="M145" s="13" t="s">
        <v>41</v>
      </c>
      <c r="N145" s="13"/>
      <c r="O145" s="13"/>
      <c r="P145" s="13"/>
      <c r="Q145" s="13"/>
      <c r="R145" s="13"/>
      <c r="S145" s="13"/>
      <c r="T145" s="13"/>
      <c r="U145" s="13"/>
      <c r="V145" s="13"/>
      <c r="W145" s="13"/>
      <c r="X145" s="13"/>
      <c r="Y145" s="13"/>
      <c r="Z145" s="716"/>
      <c r="AA145" s="716"/>
      <c r="AB145" s="716"/>
      <c r="AC145" s="716"/>
      <c r="AD145" s="730"/>
      <c r="AE145" s="730"/>
      <c r="AF145" s="730"/>
      <c r="AG145" s="730"/>
      <c r="AH145" s="728"/>
      <c r="AI145" s="728"/>
      <c r="AJ145" s="728"/>
      <c r="AK145" s="728"/>
      <c r="AL145" s="13"/>
      <c r="AM145" s="8" t="s">
        <v>773</v>
      </c>
      <c r="AN145" s="13">
        <v>1</v>
      </c>
    </row>
    <row r="146" spans="1:40" s="2" customFormat="1" ht="60" hidden="1" customHeight="1">
      <c r="A146" s="12"/>
      <c r="B146" s="12"/>
      <c r="C146" s="12"/>
      <c r="D146" s="5"/>
      <c r="E146" s="5" t="s">
        <v>774</v>
      </c>
      <c r="F146" s="5" t="s">
        <v>775</v>
      </c>
      <c r="G146" s="5" t="s">
        <v>584</v>
      </c>
      <c r="H146" s="718" t="s">
        <v>776</v>
      </c>
      <c r="I146" s="13" t="s">
        <v>777</v>
      </c>
      <c r="J146" s="13">
        <v>1</v>
      </c>
      <c r="K146" s="13">
        <v>0</v>
      </c>
      <c r="L146" s="13">
        <v>2470</v>
      </c>
      <c r="M146" s="13" t="s">
        <v>778</v>
      </c>
      <c r="N146" s="13"/>
      <c r="O146" s="13"/>
      <c r="P146" s="13"/>
      <c r="Q146" s="13"/>
      <c r="R146" s="13"/>
      <c r="S146" s="13"/>
      <c r="T146" s="13"/>
      <c r="U146" s="13"/>
      <c r="V146" s="13"/>
      <c r="W146" s="13"/>
      <c r="X146" s="13"/>
      <c r="Y146" s="13"/>
      <c r="Z146" s="12"/>
      <c r="AA146" s="12"/>
      <c r="AB146" s="12"/>
      <c r="AC146" s="12"/>
      <c r="AD146" s="12"/>
      <c r="AE146" s="12"/>
      <c r="AF146" s="12"/>
      <c r="AG146" s="12"/>
      <c r="AH146" s="728"/>
      <c r="AI146" s="728"/>
      <c r="AJ146" s="728"/>
      <c r="AK146" s="728"/>
      <c r="AL146" s="13"/>
      <c r="AM146" s="8" t="s">
        <v>779</v>
      </c>
      <c r="AN146" s="13">
        <v>1</v>
      </c>
    </row>
    <row r="147" spans="1:40" s="2" customFormat="1" ht="60" hidden="1" customHeight="1">
      <c r="A147" s="12"/>
      <c r="B147" s="12"/>
      <c r="C147" s="12"/>
      <c r="D147" s="5"/>
      <c r="E147" s="5" t="s">
        <v>780</v>
      </c>
      <c r="F147" s="5" t="s">
        <v>781</v>
      </c>
      <c r="G147" s="5" t="s">
        <v>584</v>
      </c>
      <c r="H147" s="718" t="s">
        <v>782</v>
      </c>
      <c r="I147" s="13" t="s">
        <v>783</v>
      </c>
      <c r="J147" s="13">
        <v>1</v>
      </c>
      <c r="K147" s="13">
        <v>0</v>
      </c>
      <c r="L147" s="13">
        <v>1560</v>
      </c>
      <c r="M147" s="13" t="s">
        <v>778</v>
      </c>
      <c r="N147" s="13"/>
      <c r="O147" s="13"/>
      <c r="P147" s="13"/>
      <c r="Q147" s="13"/>
      <c r="R147" s="13"/>
      <c r="S147" s="13"/>
      <c r="T147" s="13"/>
      <c r="U147" s="13"/>
      <c r="V147" s="13"/>
      <c r="W147" s="13"/>
      <c r="X147" s="13"/>
      <c r="Y147" s="13"/>
      <c r="Z147" s="12"/>
      <c r="AA147" s="12"/>
      <c r="AB147" s="12"/>
      <c r="AC147" s="12"/>
      <c r="AD147" s="12"/>
      <c r="AE147" s="12"/>
      <c r="AF147" s="12"/>
      <c r="AG147" s="12"/>
      <c r="AH147" s="728"/>
      <c r="AI147" s="728"/>
      <c r="AJ147" s="728"/>
      <c r="AK147" s="728"/>
      <c r="AL147" s="13"/>
      <c r="AM147" s="8" t="s">
        <v>779</v>
      </c>
      <c r="AN147" s="13">
        <v>1</v>
      </c>
    </row>
    <row r="148" spans="1:40" s="2" customFormat="1" ht="60" hidden="1" customHeight="1">
      <c r="A148" s="12"/>
      <c r="B148" s="12"/>
      <c r="C148" s="12"/>
      <c r="D148" s="5"/>
      <c r="E148" s="731" t="s">
        <v>784</v>
      </c>
      <c r="F148" s="5" t="s">
        <v>785</v>
      </c>
      <c r="G148" s="5" t="s">
        <v>584</v>
      </c>
      <c r="H148" s="718" t="s">
        <v>786</v>
      </c>
      <c r="I148" s="13" t="s">
        <v>787</v>
      </c>
      <c r="J148" s="13">
        <v>1</v>
      </c>
      <c r="K148" s="13">
        <v>0</v>
      </c>
      <c r="L148" s="13">
        <v>700</v>
      </c>
      <c r="M148" s="13" t="s">
        <v>778</v>
      </c>
      <c r="N148" s="13"/>
      <c r="O148" s="13"/>
      <c r="P148" s="13"/>
      <c r="Q148" s="13"/>
      <c r="R148" s="13"/>
      <c r="S148" s="13"/>
      <c r="T148" s="13"/>
      <c r="U148" s="13"/>
      <c r="V148" s="13"/>
      <c r="W148" s="13"/>
      <c r="X148" s="13"/>
      <c r="Y148" s="13"/>
      <c r="Z148" s="12"/>
      <c r="AA148" s="12"/>
      <c r="AB148" s="12"/>
      <c r="AC148" s="12"/>
      <c r="AD148" s="12"/>
      <c r="AE148" s="12"/>
      <c r="AF148" s="12"/>
      <c r="AG148" s="12"/>
      <c r="AH148" s="728"/>
      <c r="AI148" s="728"/>
      <c r="AJ148" s="728"/>
      <c r="AK148" s="728"/>
      <c r="AL148" s="13"/>
      <c r="AM148" s="8"/>
      <c r="AN148" s="744">
        <v>2</v>
      </c>
    </row>
    <row r="149" spans="1:40" s="2" customFormat="1" ht="60" hidden="1" customHeight="1">
      <c r="A149" s="12"/>
      <c r="B149" s="12"/>
      <c r="C149" s="12"/>
      <c r="D149" s="5"/>
      <c r="E149" s="5" t="s">
        <v>788</v>
      </c>
      <c r="F149" s="5" t="s">
        <v>789</v>
      </c>
      <c r="G149" s="5" t="s">
        <v>596</v>
      </c>
      <c r="H149" s="718" t="s">
        <v>603</v>
      </c>
      <c r="I149" s="13" t="s">
        <v>790</v>
      </c>
      <c r="J149" s="13">
        <v>1</v>
      </c>
      <c r="K149" s="13">
        <v>1</v>
      </c>
      <c r="L149" s="13">
        <v>1.31</v>
      </c>
      <c r="M149" s="13" t="s">
        <v>767</v>
      </c>
      <c r="N149" s="13"/>
      <c r="O149" s="13"/>
      <c r="P149" s="13"/>
      <c r="Q149" s="13"/>
      <c r="R149" s="13"/>
      <c r="S149" s="13"/>
      <c r="T149" s="13"/>
      <c r="U149" s="13"/>
      <c r="V149" s="13"/>
      <c r="W149" s="13"/>
      <c r="X149" s="13"/>
      <c r="Y149" s="13"/>
      <c r="Z149" s="12"/>
      <c r="AA149" s="12"/>
      <c r="AB149" s="12"/>
      <c r="AC149" s="12"/>
      <c r="AD149" s="12"/>
      <c r="AE149" s="12"/>
      <c r="AF149" s="12"/>
      <c r="AG149" s="12"/>
      <c r="AH149" s="728"/>
      <c r="AI149" s="728"/>
      <c r="AJ149" s="728"/>
      <c r="AK149" s="728"/>
      <c r="AL149" s="13"/>
      <c r="AM149" s="8" t="s">
        <v>768</v>
      </c>
      <c r="AN149" s="13">
        <v>1</v>
      </c>
    </row>
    <row r="150" spans="1:40" s="2" customFormat="1" ht="60" hidden="1" customHeight="1">
      <c r="A150" s="12"/>
      <c r="B150" s="12"/>
      <c r="C150" s="12"/>
      <c r="D150" s="5"/>
      <c r="E150" s="5" t="s">
        <v>791</v>
      </c>
      <c r="F150" s="5" t="s">
        <v>792</v>
      </c>
      <c r="G150" s="5" t="s">
        <v>613</v>
      </c>
      <c r="H150" s="718" t="s">
        <v>793</v>
      </c>
      <c r="I150" s="13" t="s">
        <v>794</v>
      </c>
      <c r="J150" s="13">
        <v>1</v>
      </c>
      <c r="K150" s="13">
        <v>0</v>
      </c>
      <c r="L150" s="13">
        <v>2470</v>
      </c>
      <c r="M150" s="13" t="s">
        <v>778</v>
      </c>
      <c r="N150" s="13"/>
      <c r="O150" s="13"/>
      <c r="P150" s="13"/>
      <c r="Q150" s="13"/>
      <c r="R150" s="13"/>
      <c r="S150" s="13"/>
      <c r="T150" s="13"/>
      <c r="U150" s="13"/>
      <c r="V150" s="13"/>
      <c r="W150" s="13"/>
      <c r="X150" s="13"/>
      <c r="Y150" s="13"/>
      <c r="Z150" s="12"/>
      <c r="AA150" s="12"/>
      <c r="AB150" s="12"/>
      <c r="AC150" s="12"/>
      <c r="AD150" s="12"/>
      <c r="AE150" s="12"/>
      <c r="AF150" s="12"/>
      <c r="AG150" s="12"/>
      <c r="AH150" s="728"/>
      <c r="AI150" s="728"/>
      <c r="AJ150" s="728"/>
      <c r="AK150" s="728"/>
      <c r="AL150" s="13"/>
      <c r="AM150" s="8" t="s">
        <v>795</v>
      </c>
      <c r="AN150" s="13">
        <v>1</v>
      </c>
    </row>
    <row r="151" spans="1:40" s="2" customFormat="1" ht="60" hidden="1" customHeight="1">
      <c r="A151" s="12"/>
      <c r="B151" s="12"/>
      <c r="C151" s="12"/>
      <c r="D151" s="5"/>
      <c r="E151" s="5" t="s">
        <v>796</v>
      </c>
      <c r="F151" s="5" t="s">
        <v>797</v>
      </c>
      <c r="G151" s="5" t="s">
        <v>613</v>
      </c>
      <c r="H151" s="718" t="s">
        <v>798</v>
      </c>
      <c r="I151" s="13" t="s">
        <v>799</v>
      </c>
      <c r="J151" s="13">
        <v>1</v>
      </c>
      <c r="K151" s="13">
        <v>0</v>
      </c>
      <c r="L151" s="13">
        <v>1560</v>
      </c>
      <c r="M151" s="13" t="s">
        <v>778</v>
      </c>
      <c r="N151" s="13"/>
      <c r="O151" s="13"/>
      <c r="P151" s="13"/>
      <c r="Q151" s="13"/>
      <c r="R151" s="13"/>
      <c r="S151" s="13"/>
      <c r="T151" s="13"/>
      <c r="U151" s="13"/>
      <c r="V151" s="13"/>
      <c r="W151" s="13"/>
      <c r="X151" s="13"/>
      <c r="Y151" s="13"/>
      <c r="Z151" s="12"/>
      <c r="AA151" s="12"/>
      <c r="AB151" s="12"/>
      <c r="AC151" s="12"/>
      <c r="AD151" s="12"/>
      <c r="AE151" s="12"/>
      <c r="AF151" s="12"/>
      <c r="AG151" s="12"/>
      <c r="AH151" s="728"/>
      <c r="AI151" s="728"/>
      <c r="AJ151" s="728"/>
      <c r="AK151" s="728"/>
      <c r="AL151" s="13"/>
      <c r="AM151" s="8" t="s">
        <v>795</v>
      </c>
      <c r="AN151" s="13">
        <v>1</v>
      </c>
    </row>
    <row r="152" spans="1:40" s="2" customFormat="1" ht="60" hidden="1" customHeight="1">
      <c r="A152" s="12"/>
      <c r="B152" s="12"/>
      <c r="C152" s="12"/>
      <c r="D152" s="5"/>
      <c r="E152" s="731" t="s">
        <v>800</v>
      </c>
      <c r="F152" s="5" t="s">
        <v>801</v>
      </c>
      <c r="G152" s="5" t="s">
        <v>613</v>
      </c>
      <c r="H152" s="718" t="s">
        <v>802</v>
      </c>
      <c r="I152" s="13" t="s">
        <v>803</v>
      </c>
      <c r="J152" s="13">
        <v>1</v>
      </c>
      <c r="K152" s="13">
        <v>0</v>
      </c>
      <c r="L152" s="13">
        <v>1900</v>
      </c>
      <c r="M152" s="13" t="s">
        <v>778</v>
      </c>
      <c r="N152" s="13"/>
      <c r="O152" s="13"/>
      <c r="P152" s="13"/>
      <c r="Q152" s="13"/>
      <c r="R152" s="13"/>
      <c r="S152" s="13"/>
      <c r="T152" s="13"/>
      <c r="U152" s="13"/>
      <c r="V152" s="13"/>
      <c r="W152" s="13"/>
      <c r="X152" s="13"/>
      <c r="Y152" s="13"/>
      <c r="Z152" s="12"/>
      <c r="AA152" s="12"/>
      <c r="AB152" s="12"/>
      <c r="AC152" s="12"/>
      <c r="AD152" s="12"/>
      <c r="AE152" s="12"/>
      <c r="AF152" s="12"/>
      <c r="AG152" s="12"/>
      <c r="AH152" s="728"/>
      <c r="AI152" s="728"/>
      <c r="AJ152" s="728"/>
      <c r="AK152" s="728"/>
      <c r="AL152" s="13"/>
      <c r="AM152" s="8"/>
      <c r="AN152" s="744">
        <v>2</v>
      </c>
    </row>
    <row r="153" spans="1:40" s="2" customFormat="1" ht="60" hidden="1" customHeight="1">
      <c r="A153" s="12"/>
      <c r="B153" s="12"/>
      <c r="C153" s="12"/>
      <c r="D153" s="5"/>
      <c r="E153" s="5" t="s">
        <v>804</v>
      </c>
      <c r="F153" s="5" t="s">
        <v>805</v>
      </c>
      <c r="G153" s="5" t="s">
        <v>566</v>
      </c>
      <c r="H153" s="718" t="s">
        <v>572</v>
      </c>
      <c r="I153" s="13" t="s">
        <v>806</v>
      </c>
      <c r="J153" s="13">
        <v>1</v>
      </c>
      <c r="K153" s="13">
        <v>1</v>
      </c>
      <c r="L153" s="13">
        <v>1.44</v>
      </c>
      <c r="M153" s="13" t="s">
        <v>767</v>
      </c>
      <c r="N153" s="13"/>
      <c r="O153" s="13"/>
      <c r="P153" s="13"/>
      <c r="Q153" s="13"/>
      <c r="R153" s="13"/>
      <c r="S153" s="13"/>
      <c r="T153" s="13"/>
      <c r="U153" s="13"/>
      <c r="V153" s="13"/>
      <c r="W153" s="13"/>
      <c r="X153" s="13"/>
      <c r="Y153" s="13"/>
      <c r="Z153" s="12"/>
      <c r="AA153" s="12"/>
      <c r="AB153" s="12"/>
      <c r="AC153" s="12"/>
      <c r="AD153" s="12"/>
      <c r="AE153" s="12"/>
      <c r="AF153" s="12"/>
      <c r="AG153" s="12"/>
      <c r="AH153" s="728"/>
      <c r="AI153" s="728"/>
      <c r="AJ153" s="728"/>
      <c r="AK153" s="728"/>
      <c r="AL153" s="13"/>
      <c r="AM153" s="8" t="s">
        <v>768</v>
      </c>
      <c r="AN153" s="13">
        <v>1</v>
      </c>
    </row>
    <row r="154" spans="1:40" s="2" customFormat="1" ht="183.75" customHeight="1">
      <c r="A154" s="12"/>
      <c r="B154" s="12"/>
      <c r="C154" s="12"/>
      <c r="D154" s="5"/>
      <c r="E154" s="731" t="s">
        <v>807</v>
      </c>
      <c r="F154" s="5" t="s">
        <v>808</v>
      </c>
      <c r="G154" s="5" t="s">
        <v>809</v>
      </c>
      <c r="H154" s="718" t="s">
        <v>810</v>
      </c>
      <c r="I154" s="13" t="s">
        <v>811</v>
      </c>
      <c r="J154" s="13">
        <v>1</v>
      </c>
      <c r="K154" s="13">
        <v>0</v>
      </c>
      <c r="L154" s="13">
        <v>400</v>
      </c>
      <c r="M154" s="13" t="s">
        <v>812</v>
      </c>
      <c r="N154" s="13"/>
      <c r="O154" s="13"/>
      <c r="P154" s="13"/>
      <c r="Q154" s="13"/>
      <c r="R154" s="13"/>
      <c r="S154" s="13"/>
      <c r="T154" s="13"/>
      <c r="U154" s="13"/>
      <c r="V154" s="13"/>
      <c r="W154" s="13"/>
      <c r="X154" s="13"/>
      <c r="Y154" s="13"/>
      <c r="Z154" s="12"/>
      <c r="AA154" s="12"/>
      <c r="AB154" s="12"/>
      <c r="AC154" s="12"/>
      <c r="AD154" s="12"/>
      <c r="AE154" s="12"/>
      <c r="AF154" s="12"/>
      <c r="AG154" s="12"/>
      <c r="AH154" s="728"/>
      <c r="AI154" s="728"/>
      <c r="AJ154" s="728"/>
      <c r="AK154" s="728"/>
      <c r="AL154" s="13"/>
      <c r="AM154" s="8" t="s">
        <v>813</v>
      </c>
      <c r="AN154" s="744">
        <v>2</v>
      </c>
    </row>
    <row r="155" spans="1:40" s="2" customFormat="1" ht="183.75" customHeight="1">
      <c r="A155" s="12"/>
      <c r="B155" s="12"/>
      <c r="C155" s="12"/>
      <c r="D155" s="5"/>
      <c r="E155" s="731" t="s">
        <v>814</v>
      </c>
      <c r="F155" s="5" t="s">
        <v>815</v>
      </c>
      <c r="G155" s="5" t="s">
        <v>809</v>
      </c>
      <c r="H155" s="718" t="s">
        <v>816</v>
      </c>
      <c r="I155" s="13" t="s">
        <v>817</v>
      </c>
      <c r="J155" s="13">
        <v>1</v>
      </c>
      <c r="K155" s="13">
        <v>0</v>
      </c>
      <c r="L155" s="13">
        <v>100</v>
      </c>
      <c r="M155" s="13" t="s">
        <v>41</v>
      </c>
      <c r="N155" s="13"/>
      <c r="O155" s="13"/>
      <c r="P155" s="13"/>
      <c r="Q155" s="13"/>
      <c r="R155" s="13"/>
      <c r="S155" s="13"/>
      <c r="T155" s="13"/>
      <c r="U155" s="13"/>
      <c r="V155" s="13"/>
      <c r="W155" s="13"/>
      <c r="X155" s="13"/>
      <c r="Y155" s="13"/>
      <c r="Z155" s="12"/>
      <c r="AA155" s="12"/>
      <c r="AB155" s="12"/>
      <c r="AC155" s="12"/>
      <c r="AD155" s="12"/>
      <c r="AE155" s="12"/>
      <c r="AF155" s="12"/>
      <c r="AG155" s="12"/>
      <c r="AH155" s="728"/>
      <c r="AI155" s="728"/>
      <c r="AJ155" s="728"/>
      <c r="AK155" s="728"/>
      <c r="AL155" s="13"/>
      <c r="AM155" s="8" t="s">
        <v>818</v>
      </c>
      <c r="AN155" s="744">
        <v>2</v>
      </c>
    </row>
    <row r="156" spans="1:40" s="2" customFormat="1" ht="183.75" hidden="1" customHeight="1">
      <c r="A156" s="12"/>
      <c r="B156" s="12"/>
      <c r="C156" s="12"/>
      <c r="D156" s="5"/>
      <c r="E156" s="731" t="s">
        <v>819</v>
      </c>
      <c r="F156" s="5" t="s">
        <v>820</v>
      </c>
      <c r="G156" s="5" t="s">
        <v>809</v>
      </c>
      <c r="H156" s="718" t="s">
        <v>821</v>
      </c>
      <c r="I156" s="13" t="s">
        <v>822</v>
      </c>
      <c r="J156" s="13">
        <v>1</v>
      </c>
      <c r="K156" s="13">
        <v>0</v>
      </c>
      <c r="L156" s="13">
        <v>100</v>
      </c>
      <c r="M156" s="13" t="s">
        <v>41</v>
      </c>
      <c r="N156" s="13"/>
      <c r="O156" s="13"/>
      <c r="P156" s="13"/>
      <c r="Q156" s="13"/>
      <c r="R156" s="13"/>
      <c r="S156" s="13"/>
      <c r="T156" s="13"/>
      <c r="U156" s="13"/>
      <c r="V156" s="13"/>
      <c r="W156" s="13"/>
      <c r="X156" s="13"/>
      <c r="Y156" s="13"/>
      <c r="Z156" s="12"/>
      <c r="AA156" s="12"/>
      <c r="AB156" s="12"/>
      <c r="AC156" s="12"/>
      <c r="AD156" s="12"/>
      <c r="AE156" s="12"/>
      <c r="AF156" s="12"/>
      <c r="AG156" s="12"/>
      <c r="AH156" s="728"/>
      <c r="AI156" s="728"/>
      <c r="AJ156" s="728"/>
      <c r="AK156" s="728"/>
      <c r="AL156" s="13"/>
      <c r="AM156" s="8" t="s">
        <v>823</v>
      </c>
      <c r="AN156" s="744">
        <v>2</v>
      </c>
    </row>
    <row r="157" spans="1:40" s="2" customFormat="1" ht="183.75" hidden="1" customHeight="1">
      <c r="A157" s="12"/>
      <c r="B157" s="12"/>
      <c r="C157" s="12"/>
      <c r="D157" s="5"/>
      <c r="E157" s="731" t="s">
        <v>824</v>
      </c>
      <c r="F157" s="5" t="s">
        <v>825</v>
      </c>
      <c r="G157" s="5" t="s">
        <v>809</v>
      </c>
      <c r="H157" s="718" t="s">
        <v>826</v>
      </c>
      <c r="I157" s="13" t="s">
        <v>827</v>
      </c>
      <c r="J157" s="13">
        <v>1</v>
      </c>
      <c r="K157" s="13">
        <v>0</v>
      </c>
      <c r="L157" s="13">
        <v>400</v>
      </c>
      <c r="M157" s="13" t="s">
        <v>812</v>
      </c>
      <c r="N157" s="13"/>
      <c r="O157" s="13"/>
      <c r="P157" s="13"/>
      <c r="Q157" s="13"/>
      <c r="R157" s="13"/>
      <c r="S157" s="13"/>
      <c r="T157" s="13"/>
      <c r="U157" s="13"/>
      <c r="V157" s="13"/>
      <c r="W157" s="13"/>
      <c r="X157" s="13"/>
      <c r="Y157" s="13"/>
      <c r="Z157" s="12"/>
      <c r="AA157" s="12"/>
      <c r="AB157" s="12"/>
      <c r="AC157" s="12"/>
      <c r="AD157" s="12"/>
      <c r="AE157" s="12"/>
      <c r="AF157" s="12"/>
      <c r="AG157" s="12"/>
      <c r="AH157" s="728"/>
      <c r="AI157" s="728"/>
      <c r="AJ157" s="728"/>
      <c r="AK157" s="728"/>
      <c r="AL157" s="13"/>
      <c r="AM157" s="8" t="s">
        <v>813</v>
      </c>
      <c r="AN157" s="744">
        <v>2</v>
      </c>
    </row>
    <row r="158" spans="1:40" s="2" customFormat="1" ht="183.75" hidden="1" customHeight="1">
      <c r="A158" s="12"/>
      <c r="B158" s="12"/>
      <c r="C158" s="12"/>
      <c r="D158" s="5"/>
      <c r="E158" s="731" t="s">
        <v>828</v>
      </c>
      <c r="F158" s="5" t="s">
        <v>829</v>
      </c>
      <c r="G158" s="5" t="s">
        <v>809</v>
      </c>
      <c r="H158" s="718" t="s">
        <v>830</v>
      </c>
      <c r="I158" s="13" t="s">
        <v>831</v>
      </c>
      <c r="J158" s="13">
        <v>1</v>
      </c>
      <c r="K158" s="13">
        <v>0</v>
      </c>
      <c r="L158" s="13">
        <v>100</v>
      </c>
      <c r="M158" s="13" t="s">
        <v>41</v>
      </c>
      <c r="N158" s="13"/>
      <c r="O158" s="13"/>
      <c r="P158" s="13"/>
      <c r="Q158" s="13"/>
      <c r="R158" s="13"/>
      <c r="S158" s="13"/>
      <c r="T158" s="13"/>
      <c r="U158" s="13"/>
      <c r="V158" s="13"/>
      <c r="W158" s="13"/>
      <c r="X158" s="13"/>
      <c r="Y158" s="13"/>
      <c r="Z158" s="12"/>
      <c r="AA158" s="12"/>
      <c r="AB158" s="12"/>
      <c r="AC158" s="12"/>
      <c r="AD158" s="12"/>
      <c r="AE158" s="12"/>
      <c r="AF158" s="12"/>
      <c r="AG158" s="12"/>
      <c r="AH158" s="728"/>
      <c r="AI158" s="728"/>
      <c r="AJ158" s="728"/>
      <c r="AK158" s="728"/>
      <c r="AL158" s="13"/>
      <c r="AM158" s="8" t="s">
        <v>818</v>
      </c>
      <c r="AN158" s="744">
        <v>2</v>
      </c>
    </row>
    <row r="159" spans="1:40" s="2" customFormat="1" ht="183.75" hidden="1" customHeight="1">
      <c r="A159" s="12"/>
      <c r="B159" s="12"/>
      <c r="C159" s="12"/>
      <c r="D159" s="5"/>
      <c r="E159" s="731" t="s">
        <v>832</v>
      </c>
      <c r="F159" s="5" t="s">
        <v>833</v>
      </c>
      <c r="G159" s="5" t="s">
        <v>809</v>
      </c>
      <c r="H159" s="718" t="s">
        <v>834</v>
      </c>
      <c r="I159" s="13" t="s">
        <v>835</v>
      </c>
      <c r="J159" s="13">
        <v>1</v>
      </c>
      <c r="K159" s="13">
        <v>0</v>
      </c>
      <c r="L159" s="13">
        <v>100</v>
      </c>
      <c r="M159" s="13" t="s">
        <v>41</v>
      </c>
      <c r="N159" s="13"/>
      <c r="O159" s="13"/>
      <c r="P159" s="13"/>
      <c r="Q159" s="13"/>
      <c r="R159" s="13"/>
      <c r="S159" s="13"/>
      <c r="T159" s="13"/>
      <c r="U159" s="13"/>
      <c r="V159" s="13"/>
      <c r="W159" s="13"/>
      <c r="X159" s="13"/>
      <c r="Y159" s="13"/>
      <c r="Z159" s="12"/>
      <c r="AA159" s="12"/>
      <c r="AB159" s="12"/>
      <c r="AC159" s="12"/>
      <c r="AD159" s="12"/>
      <c r="AE159" s="12"/>
      <c r="AF159" s="12"/>
      <c r="AG159" s="12"/>
      <c r="AH159" s="728"/>
      <c r="AI159" s="728"/>
      <c r="AJ159" s="728"/>
      <c r="AK159" s="728"/>
      <c r="AL159" s="13"/>
      <c r="AM159" s="8" t="s">
        <v>823</v>
      </c>
      <c r="AN159" s="744">
        <v>2</v>
      </c>
    </row>
    <row r="160" spans="1:40" s="2" customFormat="1" ht="136.5" hidden="1" customHeight="1">
      <c r="A160" s="12"/>
      <c r="B160" s="12"/>
      <c r="C160" s="12"/>
      <c r="D160" s="5"/>
      <c r="E160" s="731" t="s">
        <v>836</v>
      </c>
      <c r="F160" s="5" t="s">
        <v>837</v>
      </c>
      <c r="G160" s="5" t="s">
        <v>809</v>
      </c>
      <c r="H160" s="718" t="s">
        <v>838</v>
      </c>
      <c r="I160" s="13" t="s">
        <v>839</v>
      </c>
      <c r="J160" s="13">
        <v>1</v>
      </c>
      <c r="K160" s="13">
        <v>0</v>
      </c>
      <c r="L160" s="13">
        <v>100</v>
      </c>
      <c r="M160" s="13" t="s">
        <v>41</v>
      </c>
      <c r="N160" s="13"/>
      <c r="O160" s="13"/>
      <c r="P160" s="13"/>
      <c r="Q160" s="13"/>
      <c r="R160" s="13"/>
      <c r="S160" s="13"/>
      <c r="T160" s="13"/>
      <c r="U160" s="13"/>
      <c r="V160" s="13"/>
      <c r="W160" s="13"/>
      <c r="X160" s="13"/>
      <c r="Y160" s="13"/>
      <c r="Z160" s="12"/>
      <c r="AA160" s="12"/>
      <c r="AB160" s="12"/>
      <c r="AC160" s="12"/>
      <c r="AD160" s="12"/>
      <c r="AE160" s="12"/>
      <c r="AF160" s="12"/>
      <c r="AG160" s="12"/>
      <c r="AH160" s="728"/>
      <c r="AI160" s="728"/>
      <c r="AJ160" s="728"/>
      <c r="AK160" s="728"/>
      <c r="AL160" s="13"/>
      <c r="AM160" s="8" t="s">
        <v>840</v>
      </c>
      <c r="AN160" s="744">
        <v>2</v>
      </c>
    </row>
    <row r="161" spans="1:40" s="2" customFormat="1" ht="136.5" hidden="1" customHeight="1">
      <c r="A161" s="12"/>
      <c r="B161" s="12"/>
      <c r="C161" s="12"/>
      <c r="D161" s="5"/>
      <c r="E161" s="731" t="s">
        <v>841</v>
      </c>
      <c r="F161" s="5" t="s">
        <v>842</v>
      </c>
      <c r="G161" s="5" t="s">
        <v>809</v>
      </c>
      <c r="H161" s="718" t="s">
        <v>843</v>
      </c>
      <c r="I161" s="13" t="s">
        <v>844</v>
      </c>
      <c r="J161" s="13">
        <v>1</v>
      </c>
      <c r="K161" s="13">
        <v>0</v>
      </c>
      <c r="L161" s="13">
        <v>100</v>
      </c>
      <c r="M161" s="13" t="s">
        <v>41</v>
      </c>
      <c r="N161" s="13"/>
      <c r="O161" s="13"/>
      <c r="P161" s="13"/>
      <c r="Q161" s="13"/>
      <c r="R161" s="13"/>
      <c r="S161" s="13"/>
      <c r="T161" s="13"/>
      <c r="U161" s="13"/>
      <c r="V161" s="13"/>
      <c r="W161" s="13"/>
      <c r="X161" s="13"/>
      <c r="Y161" s="13"/>
      <c r="Z161" s="12"/>
      <c r="AA161" s="12"/>
      <c r="AB161" s="12"/>
      <c r="AC161" s="12"/>
      <c r="AD161" s="12"/>
      <c r="AE161" s="12"/>
      <c r="AF161" s="12"/>
      <c r="AG161" s="12"/>
      <c r="AH161" s="728"/>
      <c r="AI161" s="728"/>
      <c r="AJ161" s="728"/>
      <c r="AK161" s="728"/>
      <c r="AL161" s="13"/>
      <c r="AM161" s="8" t="s">
        <v>840</v>
      </c>
      <c r="AN161" s="744">
        <v>2</v>
      </c>
    </row>
    <row r="162" spans="1:40" s="2" customFormat="1" ht="136.5" hidden="1" customHeight="1">
      <c r="A162" s="12"/>
      <c r="B162" s="12"/>
      <c r="C162" s="12"/>
      <c r="D162" s="5"/>
      <c r="E162" s="731" t="s">
        <v>845</v>
      </c>
      <c r="F162" s="5" t="s">
        <v>846</v>
      </c>
      <c r="G162" s="5" t="s">
        <v>809</v>
      </c>
      <c r="H162" s="718" t="s">
        <v>847</v>
      </c>
      <c r="I162" s="13" t="s">
        <v>848</v>
      </c>
      <c r="J162" s="13">
        <v>1</v>
      </c>
      <c r="K162" s="13">
        <v>0</v>
      </c>
      <c r="L162" s="13">
        <v>100</v>
      </c>
      <c r="M162" s="13" t="s">
        <v>41</v>
      </c>
      <c r="N162" s="13"/>
      <c r="O162" s="13"/>
      <c r="P162" s="13"/>
      <c r="Q162" s="13"/>
      <c r="R162" s="13"/>
      <c r="S162" s="13"/>
      <c r="T162" s="13"/>
      <c r="U162" s="13"/>
      <c r="V162" s="13"/>
      <c r="W162" s="13"/>
      <c r="X162" s="13"/>
      <c r="Y162" s="13"/>
      <c r="Z162" s="12"/>
      <c r="AA162" s="12"/>
      <c r="AB162" s="12"/>
      <c r="AC162" s="12"/>
      <c r="AD162" s="12"/>
      <c r="AE162" s="12"/>
      <c r="AF162" s="12"/>
      <c r="AG162" s="12"/>
      <c r="AH162" s="728"/>
      <c r="AI162" s="728"/>
      <c r="AJ162" s="728"/>
      <c r="AK162" s="728"/>
      <c r="AL162" s="13"/>
      <c r="AM162" s="8" t="s">
        <v>840</v>
      </c>
      <c r="AN162" s="744">
        <v>2</v>
      </c>
    </row>
    <row r="163" spans="1:40" s="2" customFormat="1" ht="136.5" hidden="1" customHeight="1">
      <c r="A163" s="12"/>
      <c r="B163" s="12"/>
      <c r="C163" s="12"/>
      <c r="D163" s="5"/>
      <c r="E163" s="731" t="s">
        <v>849</v>
      </c>
      <c r="F163" s="5" t="s">
        <v>850</v>
      </c>
      <c r="G163" s="5" t="s">
        <v>809</v>
      </c>
      <c r="H163" s="718" t="s">
        <v>851</v>
      </c>
      <c r="I163" s="13" t="s">
        <v>852</v>
      </c>
      <c r="J163" s="13">
        <v>1</v>
      </c>
      <c r="K163" s="13">
        <v>0</v>
      </c>
      <c r="L163" s="13">
        <v>100</v>
      </c>
      <c r="M163" s="13" t="s">
        <v>41</v>
      </c>
      <c r="N163" s="13"/>
      <c r="O163" s="13"/>
      <c r="P163" s="13"/>
      <c r="Q163" s="13"/>
      <c r="R163" s="13"/>
      <c r="S163" s="13"/>
      <c r="T163" s="13"/>
      <c r="U163" s="13"/>
      <c r="V163" s="13"/>
      <c r="W163" s="13"/>
      <c r="X163" s="13"/>
      <c r="Y163" s="13"/>
      <c r="Z163" s="12"/>
      <c r="AA163" s="12"/>
      <c r="AB163" s="12"/>
      <c r="AC163" s="12"/>
      <c r="AD163" s="12"/>
      <c r="AE163" s="12"/>
      <c r="AF163" s="12"/>
      <c r="AG163" s="12"/>
      <c r="AH163" s="728"/>
      <c r="AI163" s="728"/>
      <c r="AJ163" s="728"/>
      <c r="AK163" s="728"/>
      <c r="AL163" s="13"/>
      <c r="AM163" s="8" t="s">
        <v>840</v>
      </c>
      <c r="AN163" s="744">
        <v>2</v>
      </c>
    </row>
    <row r="164" spans="1:40" s="2" customFormat="1" ht="170.25" customHeight="1">
      <c r="A164" s="12"/>
      <c r="B164" s="12"/>
      <c r="C164" s="12"/>
      <c r="D164" s="5"/>
      <c r="E164" s="731" t="s">
        <v>853</v>
      </c>
      <c r="F164" s="5" t="s">
        <v>854</v>
      </c>
      <c r="G164" s="5" t="s">
        <v>809</v>
      </c>
      <c r="H164" s="718" t="s">
        <v>855</v>
      </c>
      <c r="I164" s="13" t="s">
        <v>856</v>
      </c>
      <c r="J164" s="13">
        <v>1</v>
      </c>
      <c r="K164" s="13">
        <v>0</v>
      </c>
      <c r="L164" s="13">
        <v>3</v>
      </c>
      <c r="M164" s="13" t="s">
        <v>857</v>
      </c>
      <c r="N164" s="13"/>
      <c r="O164" s="13"/>
      <c r="P164" s="13"/>
      <c r="Q164" s="13"/>
      <c r="R164" s="13"/>
      <c r="S164" s="13"/>
      <c r="T164" s="13"/>
      <c r="U164" s="13"/>
      <c r="V164" s="13"/>
      <c r="W164" s="13"/>
      <c r="X164" s="13"/>
      <c r="Y164" s="13"/>
      <c r="Z164" s="12"/>
      <c r="AA164" s="12"/>
      <c r="AB164" s="12"/>
      <c r="AC164" s="12"/>
      <c r="AD164" s="12"/>
      <c r="AE164" s="12"/>
      <c r="AF164" s="12"/>
      <c r="AG164" s="12"/>
      <c r="AH164" s="728"/>
      <c r="AI164" s="728"/>
      <c r="AJ164" s="728"/>
      <c r="AK164" s="728"/>
      <c r="AL164" s="13"/>
      <c r="AM164" s="8" t="s">
        <v>858</v>
      </c>
      <c r="AN164" s="744">
        <v>2</v>
      </c>
    </row>
    <row r="165" spans="1:40" s="2" customFormat="1" ht="170.25" customHeight="1">
      <c r="A165" s="12"/>
      <c r="B165" s="12"/>
      <c r="C165" s="12"/>
      <c r="D165" s="5"/>
      <c r="E165" s="731" t="s">
        <v>859</v>
      </c>
      <c r="F165" s="5" t="s">
        <v>860</v>
      </c>
      <c r="G165" s="5" t="s">
        <v>809</v>
      </c>
      <c r="H165" s="718" t="s">
        <v>861</v>
      </c>
      <c r="I165" s="13" t="s">
        <v>862</v>
      </c>
      <c r="J165" s="13">
        <v>1</v>
      </c>
      <c r="K165" s="13">
        <v>0</v>
      </c>
      <c r="L165" s="13">
        <v>4</v>
      </c>
      <c r="M165" s="13" t="s">
        <v>863</v>
      </c>
      <c r="N165" s="13"/>
      <c r="O165" s="13"/>
      <c r="P165" s="13"/>
      <c r="Q165" s="13"/>
      <c r="R165" s="13"/>
      <c r="S165" s="13"/>
      <c r="T165" s="13"/>
      <c r="U165" s="13"/>
      <c r="V165" s="13"/>
      <c r="W165" s="13"/>
      <c r="X165" s="13"/>
      <c r="Y165" s="13"/>
      <c r="Z165" s="12"/>
      <c r="AA165" s="12"/>
      <c r="AB165" s="12"/>
      <c r="AC165" s="12"/>
      <c r="AD165" s="12"/>
      <c r="AE165" s="12"/>
      <c r="AF165" s="12"/>
      <c r="AG165" s="12"/>
      <c r="AH165" s="728"/>
      <c r="AI165" s="728"/>
      <c r="AJ165" s="728"/>
      <c r="AK165" s="728"/>
      <c r="AL165" s="13"/>
      <c r="AM165" s="8" t="s">
        <v>864</v>
      </c>
      <c r="AN165" s="744">
        <v>2</v>
      </c>
    </row>
    <row r="166" spans="1:40" s="2" customFormat="1" ht="100.5" hidden="1" customHeight="1">
      <c r="A166" s="12"/>
      <c r="B166" s="12"/>
      <c r="C166" s="12"/>
      <c r="D166" s="5"/>
      <c r="E166" s="731" t="s">
        <v>865</v>
      </c>
      <c r="F166" s="5" t="s">
        <v>866</v>
      </c>
      <c r="G166" s="5" t="s">
        <v>809</v>
      </c>
      <c r="H166" s="718" t="s">
        <v>867</v>
      </c>
      <c r="I166" s="13" t="s">
        <v>868</v>
      </c>
      <c r="J166" s="13">
        <v>1</v>
      </c>
      <c r="K166" s="13">
        <v>0</v>
      </c>
      <c r="L166" s="13">
        <v>14</v>
      </c>
      <c r="M166" s="13" t="s">
        <v>869</v>
      </c>
      <c r="N166" s="13"/>
      <c r="O166" s="13"/>
      <c r="P166" s="13"/>
      <c r="Q166" s="13"/>
      <c r="R166" s="13"/>
      <c r="S166" s="13"/>
      <c r="T166" s="13"/>
      <c r="U166" s="13"/>
      <c r="V166" s="13"/>
      <c r="W166" s="13"/>
      <c r="X166" s="13"/>
      <c r="Y166" s="13"/>
      <c r="Z166" s="12"/>
      <c r="AA166" s="12"/>
      <c r="AB166" s="12"/>
      <c r="AC166" s="12"/>
      <c r="AD166" s="12"/>
      <c r="AE166" s="12"/>
      <c r="AF166" s="12"/>
      <c r="AG166" s="12"/>
      <c r="AH166" s="728"/>
      <c r="AI166" s="728"/>
      <c r="AJ166" s="728"/>
      <c r="AK166" s="728"/>
      <c r="AL166" s="13"/>
      <c r="AM166" s="8" t="s">
        <v>870</v>
      </c>
      <c r="AN166" s="744">
        <v>2</v>
      </c>
    </row>
    <row r="167" spans="1:40" s="2" customFormat="1" ht="100.5" hidden="1" customHeight="1">
      <c r="A167" s="12"/>
      <c r="B167" s="12"/>
      <c r="C167" s="12"/>
      <c r="D167" s="5"/>
      <c r="E167" s="731" t="s">
        <v>871</v>
      </c>
      <c r="F167" s="5" t="s">
        <v>872</v>
      </c>
      <c r="G167" s="5" t="s">
        <v>809</v>
      </c>
      <c r="H167" s="718" t="s">
        <v>873</v>
      </c>
      <c r="I167" s="13" t="s">
        <v>874</v>
      </c>
      <c r="J167" s="13">
        <v>1</v>
      </c>
      <c r="K167" s="13">
        <v>0</v>
      </c>
      <c r="L167" s="13">
        <v>400</v>
      </c>
      <c r="M167" s="80" t="s">
        <v>857</v>
      </c>
      <c r="N167" s="13"/>
      <c r="O167" s="13"/>
      <c r="P167" s="13"/>
      <c r="Q167" s="13"/>
      <c r="R167" s="13"/>
      <c r="S167" s="13"/>
      <c r="T167" s="13"/>
      <c r="U167" s="13"/>
      <c r="V167" s="13"/>
      <c r="W167" s="13"/>
      <c r="X167" s="13"/>
      <c r="Y167" s="13"/>
      <c r="Z167" s="12"/>
      <c r="AA167" s="12"/>
      <c r="AB167" s="12"/>
      <c r="AC167" s="12"/>
      <c r="AD167" s="12"/>
      <c r="AE167" s="12"/>
      <c r="AF167" s="12"/>
      <c r="AG167" s="12"/>
      <c r="AH167" s="728"/>
      <c r="AI167" s="728"/>
      <c r="AJ167" s="728"/>
      <c r="AK167" s="728"/>
      <c r="AL167" s="13"/>
      <c r="AM167" s="8" t="s">
        <v>870</v>
      </c>
      <c r="AN167" s="744">
        <v>2</v>
      </c>
    </row>
    <row r="168" spans="1:40" s="2" customFormat="1" ht="100.5" hidden="1" customHeight="1">
      <c r="A168" s="12"/>
      <c r="B168" s="12"/>
      <c r="C168" s="12"/>
      <c r="D168" s="5"/>
      <c r="E168" s="731" t="s">
        <v>875</v>
      </c>
      <c r="F168" s="5" t="s">
        <v>876</v>
      </c>
      <c r="G168" s="5" t="s">
        <v>809</v>
      </c>
      <c r="H168" s="718" t="s">
        <v>877</v>
      </c>
      <c r="I168" s="13" t="s">
        <v>878</v>
      </c>
      <c r="J168" s="13">
        <v>1</v>
      </c>
      <c r="K168" s="13">
        <v>0</v>
      </c>
      <c r="L168" s="13">
        <v>400</v>
      </c>
      <c r="M168" s="80" t="s">
        <v>41</v>
      </c>
      <c r="N168" s="13"/>
      <c r="O168" s="13"/>
      <c r="P168" s="13"/>
      <c r="Q168" s="13"/>
      <c r="R168" s="13"/>
      <c r="S168" s="13"/>
      <c r="T168" s="13"/>
      <c r="U168" s="13"/>
      <c r="V168" s="13"/>
      <c r="W168" s="13"/>
      <c r="X168" s="13"/>
      <c r="Y168" s="13"/>
      <c r="Z168" s="12"/>
      <c r="AA168" s="12"/>
      <c r="AB168" s="12"/>
      <c r="AC168" s="12"/>
      <c r="AD168" s="12"/>
      <c r="AE168" s="12"/>
      <c r="AF168" s="12"/>
      <c r="AG168" s="12"/>
      <c r="AH168" s="728"/>
      <c r="AI168" s="728"/>
      <c r="AJ168" s="728"/>
      <c r="AK168" s="728"/>
      <c r="AL168" s="13"/>
      <c r="AM168" s="8" t="s">
        <v>879</v>
      </c>
      <c r="AN168" s="744">
        <v>2</v>
      </c>
    </row>
    <row r="169" spans="1:40" s="2" customFormat="1" ht="100.5" hidden="1" customHeight="1">
      <c r="A169" s="12"/>
      <c r="B169" s="12"/>
      <c r="C169" s="12"/>
      <c r="D169" s="5"/>
      <c r="E169" s="731" t="s">
        <v>880</v>
      </c>
      <c r="F169" s="5" t="s">
        <v>881</v>
      </c>
      <c r="G169" s="5" t="s">
        <v>809</v>
      </c>
      <c r="H169" s="718" t="s">
        <v>882</v>
      </c>
      <c r="I169" s="13" t="s">
        <v>883</v>
      </c>
      <c r="J169" s="13">
        <v>1</v>
      </c>
      <c r="K169" s="13">
        <v>0</v>
      </c>
      <c r="L169" s="13">
        <v>400</v>
      </c>
      <c r="M169" s="13" t="s">
        <v>884</v>
      </c>
      <c r="N169" s="13"/>
      <c r="O169" s="13"/>
      <c r="P169" s="13"/>
      <c r="Q169" s="13"/>
      <c r="R169" s="13"/>
      <c r="S169" s="13"/>
      <c r="T169" s="13"/>
      <c r="U169" s="13"/>
      <c r="V169" s="13"/>
      <c r="W169" s="13"/>
      <c r="X169" s="13"/>
      <c r="Y169" s="13"/>
      <c r="Z169" s="12"/>
      <c r="AA169" s="12"/>
      <c r="AB169" s="12"/>
      <c r="AC169" s="12"/>
      <c r="AD169" s="12"/>
      <c r="AE169" s="12"/>
      <c r="AF169" s="12"/>
      <c r="AG169" s="12"/>
      <c r="AH169" s="728"/>
      <c r="AI169" s="728"/>
      <c r="AJ169" s="728"/>
      <c r="AK169" s="728"/>
      <c r="AL169" s="13"/>
      <c r="AM169" s="8" t="s">
        <v>885</v>
      </c>
      <c r="AN169" s="744">
        <v>2</v>
      </c>
    </row>
    <row r="170" spans="1:40" s="2" customFormat="1" ht="100.5" hidden="1" customHeight="1">
      <c r="A170" s="12"/>
      <c r="B170" s="12"/>
      <c r="C170" s="12"/>
      <c r="D170" s="5"/>
      <c r="E170" s="731" t="s">
        <v>886</v>
      </c>
      <c r="F170" s="5" t="s">
        <v>887</v>
      </c>
      <c r="G170" s="5" t="s">
        <v>809</v>
      </c>
      <c r="H170" s="718" t="s">
        <v>888</v>
      </c>
      <c r="I170" s="13" t="s">
        <v>889</v>
      </c>
      <c r="J170" s="13">
        <v>1</v>
      </c>
      <c r="K170" s="13">
        <v>0</v>
      </c>
      <c r="L170" s="13">
        <v>400</v>
      </c>
      <c r="M170" s="13" t="s">
        <v>884</v>
      </c>
      <c r="N170" s="13"/>
      <c r="O170" s="13"/>
      <c r="P170" s="13"/>
      <c r="Q170" s="13"/>
      <c r="R170" s="13"/>
      <c r="S170" s="13"/>
      <c r="T170" s="13"/>
      <c r="U170" s="13"/>
      <c r="V170" s="13"/>
      <c r="W170" s="13"/>
      <c r="X170" s="13"/>
      <c r="Y170" s="13"/>
      <c r="Z170" s="12"/>
      <c r="AA170" s="12"/>
      <c r="AB170" s="12"/>
      <c r="AC170" s="12"/>
      <c r="AD170" s="12"/>
      <c r="AE170" s="12"/>
      <c r="AF170" s="12"/>
      <c r="AG170" s="12"/>
      <c r="AH170" s="728"/>
      <c r="AI170" s="728"/>
      <c r="AJ170" s="728"/>
      <c r="AK170" s="728"/>
      <c r="AL170" s="13"/>
      <c r="AM170" s="8" t="s">
        <v>885</v>
      </c>
      <c r="AN170" s="744">
        <v>2</v>
      </c>
    </row>
    <row r="171" spans="1:40" s="2" customFormat="1" ht="100.5" hidden="1" customHeight="1">
      <c r="A171" s="12"/>
      <c r="B171" s="12"/>
      <c r="C171" s="12"/>
      <c r="D171" s="5"/>
      <c r="E171" s="731" t="s">
        <v>890</v>
      </c>
      <c r="F171" s="5" t="s">
        <v>891</v>
      </c>
      <c r="G171" s="5" t="s">
        <v>809</v>
      </c>
      <c r="H171" s="718" t="s">
        <v>892</v>
      </c>
      <c r="I171" s="13" t="s">
        <v>893</v>
      </c>
      <c r="J171" s="13">
        <v>1</v>
      </c>
      <c r="K171" s="13">
        <v>0</v>
      </c>
      <c r="L171" s="13">
        <v>400</v>
      </c>
      <c r="M171" s="13" t="s">
        <v>884</v>
      </c>
      <c r="N171" s="13"/>
      <c r="O171" s="13"/>
      <c r="P171" s="13"/>
      <c r="Q171" s="13"/>
      <c r="R171" s="13"/>
      <c r="S171" s="13"/>
      <c r="T171" s="13"/>
      <c r="U171" s="13"/>
      <c r="V171" s="13"/>
      <c r="W171" s="13"/>
      <c r="X171" s="13"/>
      <c r="Y171" s="13"/>
      <c r="Z171" s="12"/>
      <c r="AA171" s="12"/>
      <c r="AB171" s="12"/>
      <c r="AC171" s="12"/>
      <c r="AD171" s="12"/>
      <c r="AE171" s="12"/>
      <c r="AF171" s="12"/>
      <c r="AG171" s="12"/>
      <c r="AH171" s="728"/>
      <c r="AI171" s="728"/>
      <c r="AJ171" s="728"/>
      <c r="AK171" s="728"/>
      <c r="AL171" s="13"/>
      <c r="AM171" s="8" t="s">
        <v>885</v>
      </c>
      <c r="AN171" s="744">
        <v>2</v>
      </c>
    </row>
    <row r="172" spans="1:40" s="2" customFormat="1" ht="100.5" hidden="1" customHeight="1">
      <c r="A172" s="12"/>
      <c r="B172" s="12"/>
      <c r="C172" s="12"/>
      <c r="D172" s="5"/>
      <c r="E172" s="731" t="s">
        <v>894</v>
      </c>
      <c r="F172" s="5" t="s">
        <v>895</v>
      </c>
      <c r="G172" s="5" t="s">
        <v>809</v>
      </c>
      <c r="H172" s="718" t="s">
        <v>896</v>
      </c>
      <c r="I172" s="13" t="s">
        <v>897</v>
      </c>
      <c r="J172" s="13">
        <v>1</v>
      </c>
      <c r="K172" s="13">
        <v>0</v>
      </c>
      <c r="L172" s="13">
        <v>400</v>
      </c>
      <c r="M172" s="13" t="s">
        <v>884</v>
      </c>
      <c r="N172" s="13"/>
      <c r="O172" s="13"/>
      <c r="P172" s="13"/>
      <c r="Q172" s="13"/>
      <c r="R172" s="13"/>
      <c r="S172" s="13"/>
      <c r="T172" s="13"/>
      <c r="U172" s="13"/>
      <c r="V172" s="13"/>
      <c r="W172" s="13"/>
      <c r="X172" s="13"/>
      <c r="Y172" s="13"/>
      <c r="Z172" s="12"/>
      <c r="AA172" s="12"/>
      <c r="AB172" s="12"/>
      <c r="AC172" s="12"/>
      <c r="AD172" s="12"/>
      <c r="AE172" s="12"/>
      <c r="AF172" s="12"/>
      <c r="AG172" s="12"/>
      <c r="AH172" s="728"/>
      <c r="AI172" s="728"/>
      <c r="AJ172" s="728"/>
      <c r="AK172" s="728"/>
      <c r="AL172" s="13"/>
      <c r="AM172" s="8" t="s">
        <v>885</v>
      </c>
      <c r="AN172" s="744">
        <v>2</v>
      </c>
    </row>
    <row r="173" spans="1:40" s="2" customFormat="1" ht="100.5" hidden="1" customHeight="1">
      <c r="A173" s="12"/>
      <c r="B173" s="12"/>
      <c r="C173" s="12"/>
      <c r="D173" s="5"/>
      <c r="E173" s="731" t="s">
        <v>898</v>
      </c>
      <c r="F173" s="5" t="s">
        <v>899</v>
      </c>
      <c r="G173" s="5" t="s">
        <v>809</v>
      </c>
      <c r="H173" s="718" t="s">
        <v>900</v>
      </c>
      <c r="I173" s="13" t="s">
        <v>901</v>
      </c>
      <c r="J173" s="13">
        <v>1</v>
      </c>
      <c r="K173" s="13">
        <v>0</v>
      </c>
      <c r="L173" s="13">
        <v>400</v>
      </c>
      <c r="M173" s="13" t="s">
        <v>884</v>
      </c>
      <c r="N173" s="13"/>
      <c r="O173" s="13"/>
      <c r="P173" s="13"/>
      <c r="Q173" s="13"/>
      <c r="R173" s="13"/>
      <c r="S173" s="13"/>
      <c r="T173" s="13"/>
      <c r="U173" s="13"/>
      <c r="V173" s="13"/>
      <c r="W173" s="13"/>
      <c r="X173" s="13"/>
      <c r="Y173" s="13"/>
      <c r="Z173" s="12"/>
      <c r="AA173" s="12"/>
      <c r="AB173" s="12"/>
      <c r="AC173" s="12"/>
      <c r="AD173" s="12"/>
      <c r="AE173" s="12"/>
      <c r="AF173" s="12"/>
      <c r="AG173" s="12"/>
      <c r="AH173" s="728"/>
      <c r="AI173" s="728"/>
      <c r="AJ173" s="728"/>
      <c r="AK173" s="728"/>
      <c r="AL173" s="13"/>
      <c r="AM173" s="8" t="s">
        <v>885</v>
      </c>
      <c r="AN173" s="744">
        <v>2</v>
      </c>
    </row>
    <row r="174" spans="1:40" s="2" customFormat="1" ht="100.5" hidden="1" customHeight="1">
      <c r="A174" s="12"/>
      <c r="B174" s="12"/>
      <c r="C174" s="12"/>
      <c r="D174" s="5"/>
      <c r="E174" s="731" t="s">
        <v>902</v>
      </c>
      <c r="F174" s="5" t="s">
        <v>903</v>
      </c>
      <c r="G174" s="5" t="s">
        <v>809</v>
      </c>
      <c r="H174" s="718" t="s">
        <v>904</v>
      </c>
      <c r="I174" s="13" t="s">
        <v>905</v>
      </c>
      <c r="J174" s="13">
        <v>1</v>
      </c>
      <c r="K174" s="13">
        <v>0</v>
      </c>
      <c r="L174" s="13">
        <v>400</v>
      </c>
      <c r="M174" s="13" t="s">
        <v>884</v>
      </c>
      <c r="N174" s="13"/>
      <c r="O174" s="13"/>
      <c r="P174" s="13"/>
      <c r="Q174" s="13"/>
      <c r="R174" s="13"/>
      <c r="S174" s="13"/>
      <c r="T174" s="13"/>
      <c r="U174" s="13"/>
      <c r="V174" s="13"/>
      <c r="W174" s="13"/>
      <c r="X174" s="13"/>
      <c r="Y174" s="13"/>
      <c r="Z174" s="12"/>
      <c r="AA174" s="12"/>
      <c r="AB174" s="12"/>
      <c r="AC174" s="12"/>
      <c r="AD174" s="12"/>
      <c r="AE174" s="12"/>
      <c r="AF174" s="12"/>
      <c r="AG174" s="12"/>
      <c r="AH174" s="728"/>
      <c r="AI174" s="728"/>
      <c r="AJ174" s="728"/>
      <c r="AK174" s="728"/>
      <c r="AL174" s="13"/>
      <c r="AM174" s="8" t="s">
        <v>885</v>
      </c>
      <c r="AN174" s="744">
        <v>2</v>
      </c>
    </row>
    <row r="175" spans="1:40" s="2" customFormat="1" ht="100.5" hidden="1" customHeight="1">
      <c r="A175" s="12"/>
      <c r="B175" s="12"/>
      <c r="C175" s="12"/>
      <c r="D175" s="5"/>
      <c r="E175" s="731" t="s">
        <v>906</v>
      </c>
      <c r="F175" s="5" t="s">
        <v>907</v>
      </c>
      <c r="G175" s="5" t="s">
        <v>809</v>
      </c>
      <c r="H175" s="718" t="s">
        <v>908</v>
      </c>
      <c r="I175" s="13" t="s">
        <v>909</v>
      </c>
      <c r="J175" s="13">
        <v>1</v>
      </c>
      <c r="K175" s="13">
        <v>0</v>
      </c>
      <c r="L175" s="13">
        <v>400</v>
      </c>
      <c r="M175" s="13" t="s">
        <v>884</v>
      </c>
      <c r="N175" s="13"/>
      <c r="O175" s="13"/>
      <c r="P175" s="13"/>
      <c r="Q175" s="13"/>
      <c r="R175" s="13"/>
      <c r="S175" s="13"/>
      <c r="T175" s="13"/>
      <c r="U175" s="13"/>
      <c r="V175" s="13"/>
      <c r="W175" s="13"/>
      <c r="X175" s="13"/>
      <c r="Y175" s="13"/>
      <c r="Z175" s="12"/>
      <c r="AA175" s="12"/>
      <c r="AB175" s="12"/>
      <c r="AC175" s="12"/>
      <c r="AD175" s="12"/>
      <c r="AE175" s="12"/>
      <c r="AF175" s="12"/>
      <c r="AG175" s="12"/>
      <c r="AH175" s="728"/>
      <c r="AI175" s="728"/>
      <c r="AJ175" s="728"/>
      <c r="AK175" s="728"/>
      <c r="AL175" s="13"/>
      <c r="AM175" s="8" t="s">
        <v>885</v>
      </c>
      <c r="AN175" s="744">
        <v>2</v>
      </c>
    </row>
    <row r="176" spans="1:40" s="2" customFormat="1" ht="100.5" hidden="1" customHeight="1">
      <c r="A176" s="12"/>
      <c r="B176" s="12"/>
      <c r="C176" s="12"/>
      <c r="D176" s="5"/>
      <c r="E176" s="731" t="s">
        <v>910</v>
      </c>
      <c r="F176" s="5" t="s">
        <v>911</v>
      </c>
      <c r="G176" s="5" t="s">
        <v>809</v>
      </c>
      <c r="H176" s="718" t="s">
        <v>912</v>
      </c>
      <c r="I176" s="13" t="s">
        <v>913</v>
      </c>
      <c r="J176" s="13">
        <v>1</v>
      </c>
      <c r="K176" s="13">
        <v>0</v>
      </c>
      <c r="L176" s="13">
        <v>400</v>
      </c>
      <c r="M176" s="13" t="s">
        <v>884</v>
      </c>
      <c r="N176" s="13"/>
      <c r="O176" s="13"/>
      <c r="P176" s="13"/>
      <c r="Q176" s="13"/>
      <c r="R176" s="13"/>
      <c r="S176" s="13"/>
      <c r="T176" s="13"/>
      <c r="U176" s="13"/>
      <c r="V176" s="13"/>
      <c r="W176" s="13"/>
      <c r="X176" s="13"/>
      <c r="Y176" s="13"/>
      <c r="Z176" s="12"/>
      <c r="AA176" s="12"/>
      <c r="AB176" s="12"/>
      <c r="AC176" s="12"/>
      <c r="AD176" s="12"/>
      <c r="AE176" s="12"/>
      <c r="AF176" s="12"/>
      <c r="AG176" s="12"/>
      <c r="AH176" s="728"/>
      <c r="AI176" s="728"/>
      <c r="AJ176" s="728"/>
      <c r="AK176" s="728"/>
      <c r="AL176" s="13"/>
      <c r="AM176" s="8" t="s">
        <v>885</v>
      </c>
      <c r="AN176" s="744">
        <v>2</v>
      </c>
    </row>
    <row r="177" spans="1:40" s="2" customFormat="1" ht="100.5" hidden="1" customHeight="1">
      <c r="A177" s="12"/>
      <c r="B177" s="12"/>
      <c r="C177" s="12"/>
      <c r="D177" s="5"/>
      <c r="E177" s="731" t="s">
        <v>914</v>
      </c>
      <c r="F177" s="5" t="s">
        <v>915</v>
      </c>
      <c r="G177" s="5" t="s">
        <v>809</v>
      </c>
      <c r="H177" s="718" t="s">
        <v>916</v>
      </c>
      <c r="I177" s="13" t="s">
        <v>917</v>
      </c>
      <c r="J177" s="13">
        <v>1</v>
      </c>
      <c r="K177" s="13">
        <v>0</v>
      </c>
      <c r="L177" s="13">
        <v>400</v>
      </c>
      <c r="M177" s="13" t="s">
        <v>884</v>
      </c>
      <c r="N177" s="13"/>
      <c r="O177" s="13"/>
      <c r="P177" s="13"/>
      <c r="Q177" s="13"/>
      <c r="R177" s="13"/>
      <c r="S177" s="13"/>
      <c r="T177" s="13"/>
      <c r="U177" s="13"/>
      <c r="V177" s="13"/>
      <c r="W177" s="13"/>
      <c r="X177" s="13"/>
      <c r="Y177" s="13"/>
      <c r="Z177" s="12"/>
      <c r="AA177" s="12"/>
      <c r="AB177" s="12"/>
      <c r="AC177" s="12"/>
      <c r="AD177" s="12"/>
      <c r="AE177" s="12"/>
      <c r="AF177" s="12"/>
      <c r="AG177" s="12"/>
      <c r="AH177" s="728"/>
      <c r="AI177" s="728"/>
      <c r="AJ177" s="728"/>
      <c r="AK177" s="728"/>
      <c r="AL177" s="13"/>
      <c r="AM177" s="8" t="s">
        <v>885</v>
      </c>
      <c r="AN177" s="744">
        <v>2</v>
      </c>
    </row>
    <row r="178" spans="1:40" s="2" customFormat="1" ht="100.5" hidden="1" customHeight="1">
      <c r="A178" s="12"/>
      <c r="B178" s="12"/>
      <c r="C178" s="12"/>
      <c r="D178" s="5"/>
      <c r="E178" s="731" t="s">
        <v>918</v>
      </c>
      <c r="F178" s="5" t="s">
        <v>919</v>
      </c>
      <c r="G178" s="5" t="s">
        <v>809</v>
      </c>
      <c r="H178" s="718" t="s">
        <v>920</v>
      </c>
      <c r="I178" s="13" t="s">
        <v>921</v>
      </c>
      <c r="J178" s="13">
        <v>1</v>
      </c>
      <c r="K178" s="13">
        <v>0</v>
      </c>
      <c r="L178" s="13">
        <v>400</v>
      </c>
      <c r="M178" s="13" t="s">
        <v>884</v>
      </c>
      <c r="N178" s="13"/>
      <c r="O178" s="13"/>
      <c r="P178" s="13"/>
      <c r="Q178" s="13"/>
      <c r="R178" s="13"/>
      <c r="S178" s="13"/>
      <c r="T178" s="13"/>
      <c r="U178" s="13"/>
      <c r="V178" s="13"/>
      <c r="W178" s="13"/>
      <c r="X178" s="13"/>
      <c r="Y178" s="13"/>
      <c r="Z178" s="12"/>
      <c r="AA178" s="12"/>
      <c r="AB178" s="12"/>
      <c r="AC178" s="12"/>
      <c r="AD178" s="12"/>
      <c r="AE178" s="12"/>
      <c r="AF178" s="12"/>
      <c r="AG178" s="12"/>
      <c r="AH178" s="728"/>
      <c r="AI178" s="728"/>
      <c r="AJ178" s="728"/>
      <c r="AK178" s="728"/>
      <c r="AL178" s="13"/>
      <c r="AM178" s="8" t="s">
        <v>885</v>
      </c>
      <c r="AN178" s="744">
        <v>2</v>
      </c>
    </row>
    <row r="179" spans="1:40" s="2" customFormat="1" ht="100.5" hidden="1" customHeight="1">
      <c r="A179" s="12"/>
      <c r="B179" s="12"/>
      <c r="C179" s="12"/>
      <c r="D179" s="5"/>
      <c r="E179" s="731" t="s">
        <v>922</v>
      </c>
      <c r="F179" s="5" t="s">
        <v>923</v>
      </c>
      <c r="G179" s="5" t="s">
        <v>809</v>
      </c>
      <c r="H179" s="718" t="s">
        <v>924</v>
      </c>
      <c r="I179" s="13" t="s">
        <v>925</v>
      </c>
      <c r="J179" s="13">
        <v>1</v>
      </c>
      <c r="K179" s="13">
        <v>0</v>
      </c>
      <c r="L179" s="13">
        <v>400</v>
      </c>
      <c r="M179" s="13" t="s">
        <v>884</v>
      </c>
      <c r="N179" s="13"/>
      <c r="O179" s="13"/>
      <c r="P179" s="13"/>
      <c r="Q179" s="13"/>
      <c r="R179" s="13"/>
      <c r="S179" s="13"/>
      <c r="T179" s="13"/>
      <c r="U179" s="13"/>
      <c r="V179" s="13"/>
      <c r="W179" s="13"/>
      <c r="X179" s="13"/>
      <c r="Y179" s="13"/>
      <c r="Z179" s="12"/>
      <c r="AA179" s="12"/>
      <c r="AB179" s="12"/>
      <c r="AC179" s="12"/>
      <c r="AD179" s="12"/>
      <c r="AE179" s="12"/>
      <c r="AF179" s="12"/>
      <c r="AG179" s="12"/>
      <c r="AH179" s="728"/>
      <c r="AI179" s="728"/>
      <c r="AJ179" s="728"/>
      <c r="AK179" s="728"/>
      <c r="AL179" s="13"/>
      <c r="AM179" s="8" t="s">
        <v>885</v>
      </c>
      <c r="AN179" s="744">
        <v>2</v>
      </c>
    </row>
    <row r="180" spans="1:40" s="2" customFormat="1" ht="100.5" hidden="1" customHeight="1">
      <c r="A180" s="12"/>
      <c r="B180" s="12"/>
      <c r="C180" s="12"/>
      <c r="D180" s="5"/>
      <c r="E180" s="731" t="s">
        <v>926</v>
      </c>
      <c r="F180" s="5" t="s">
        <v>927</v>
      </c>
      <c r="G180" s="5" t="s">
        <v>809</v>
      </c>
      <c r="H180" s="718" t="s">
        <v>928</v>
      </c>
      <c r="I180" s="13" t="s">
        <v>929</v>
      </c>
      <c r="J180" s="13">
        <v>1</v>
      </c>
      <c r="K180" s="13">
        <v>0</v>
      </c>
      <c r="L180" s="13">
        <v>400</v>
      </c>
      <c r="M180" s="13" t="s">
        <v>884</v>
      </c>
      <c r="N180" s="13"/>
      <c r="O180" s="13"/>
      <c r="P180" s="13"/>
      <c r="Q180" s="13"/>
      <c r="R180" s="13"/>
      <c r="S180" s="13"/>
      <c r="T180" s="13"/>
      <c r="U180" s="13"/>
      <c r="V180" s="13"/>
      <c r="W180" s="13"/>
      <c r="X180" s="13"/>
      <c r="Y180" s="13"/>
      <c r="Z180" s="12"/>
      <c r="AA180" s="12"/>
      <c r="AB180" s="12"/>
      <c r="AC180" s="12"/>
      <c r="AD180" s="12"/>
      <c r="AE180" s="12"/>
      <c r="AF180" s="12"/>
      <c r="AG180" s="12"/>
      <c r="AH180" s="728"/>
      <c r="AI180" s="728"/>
      <c r="AJ180" s="728"/>
      <c r="AK180" s="728"/>
      <c r="AL180" s="13"/>
      <c r="AM180" s="8" t="s">
        <v>885</v>
      </c>
      <c r="AN180" s="744">
        <v>2</v>
      </c>
    </row>
    <row r="181" spans="1:40" s="2" customFormat="1" ht="100.5" hidden="1" customHeight="1">
      <c r="A181" s="12"/>
      <c r="B181" s="12"/>
      <c r="C181" s="12"/>
      <c r="D181" s="5"/>
      <c r="E181" s="731" t="s">
        <v>930</v>
      </c>
      <c r="F181" s="5" t="s">
        <v>931</v>
      </c>
      <c r="G181" s="5" t="s">
        <v>809</v>
      </c>
      <c r="H181" s="718" t="s">
        <v>932</v>
      </c>
      <c r="I181" s="13" t="s">
        <v>933</v>
      </c>
      <c r="J181" s="13">
        <v>1</v>
      </c>
      <c r="K181" s="13">
        <v>0</v>
      </c>
      <c r="L181" s="13">
        <v>9</v>
      </c>
      <c r="M181" s="80" t="s">
        <v>857</v>
      </c>
      <c r="N181" s="13"/>
      <c r="O181" s="13"/>
      <c r="P181" s="13"/>
      <c r="Q181" s="13"/>
      <c r="R181" s="13"/>
      <c r="S181" s="13"/>
      <c r="T181" s="13"/>
      <c r="U181" s="13"/>
      <c r="V181" s="13"/>
      <c r="W181" s="13"/>
      <c r="X181" s="13"/>
      <c r="Y181" s="13"/>
      <c r="Z181" s="12"/>
      <c r="AA181" s="12"/>
      <c r="AB181" s="12"/>
      <c r="AC181" s="12"/>
      <c r="AD181" s="12"/>
      <c r="AE181" s="12"/>
      <c r="AF181" s="12"/>
      <c r="AG181" s="12"/>
      <c r="AH181" s="728"/>
      <c r="AI181" s="728"/>
      <c r="AJ181" s="728"/>
      <c r="AK181" s="728"/>
      <c r="AL181" s="13"/>
      <c r="AM181" s="8" t="s">
        <v>934</v>
      </c>
      <c r="AN181" s="744">
        <v>2</v>
      </c>
    </row>
    <row r="182" spans="1:40" s="2" customFormat="1" ht="100.5" hidden="1" customHeight="1">
      <c r="A182" s="12"/>
      <c r="B182" s="12"/>
      <c r="C182" s="12"/>
      <c r="D182" s="5"/>
      <c r="E182" s="731" t="s">
        <v>935</v>
      </c>
      <c r="F182" s="5" t="s">
        <v>936</v>
      </c>
      <c r="G182" s="5" t="s">
        <v>809</v>
      </c>
      <c r="H182" s="718" t="s">
        <v>937</v>
      </c>
      <c r="I182" s="13" t="s">
        <v>938</v>
      </c>
      <c r="J182" s="13">
        <v>1</v>
      </c>
      <c r="K182" s="13">
        <v>0</v>
      </c>
      <c r="L182" s="13">
        <v>9</v>
      </c>
      <c r="M182" s="80" t="s">
        <v>857</v>
      </c>
      <c r="N182" s="13"/>
      <c r="O182" s="13"/>
      <c r="P182" s="13"/>
      <c r="Q182" s="13"/>
      <c r="R182" s="13"/>
      <c r="S182" s="13"/>
      <c r="T182" s="13"/>
      <c r="U182" s="13"/>
      <c r="V182" s="13"/>
      <c r="W182" s="13"/>
      <c r="X182" s="13"/>
      <c r="Y182" s="13"/>
      <c r="Z182" s="12"/>
      <c r="AA182" s="12"/>
      <c r="AB182" s="12"/>
      <c r="AC182" s="12"/>
      <c r="AD182" s="12"/>
      <c r="AE182" s="12"/>
      <c r="AF182" s="12"/>
      <c r="AG182" s="12"/>
      <c r="AH182" s="728"/>
      <c r="AI182" s="728"/>
      <c r="AJ182" s="728"/>
      <c r="AK182" s="728"/>
      <c r="AL182" s="13"/>
      <c r="AM182" s="8" t="s">
        <v>934</v>
      </c>
      <c r="AN182" s="744">
        <v>2</v>
      </c>
    </row>
    <row r="183" spans="1:40" s="2" customFormat="1" ht="100.5" hidden="1" customHeight="1">
      <c r="A183" s="12"/>
      <c r="B183" s="12"/>
      <c r="C183" s="12"/>
      <c r="D183" s="5"/>
      <c r="E183" s="731" t="s">
        <v>939</v>
      </c>
      <c r="F183" s="5" t="s">
        <v>940</v>
      </c>
      <c r="G183" s="5" t="s">
        <v>809</v>
      </c>
      <c r="H183" s="718" t="s">
        <v>941</v>
      </c>
      <c r="I183" s="13" t="s">
        <v>942</v>
      </c>
      <c r="J183" s="13">
        <v>1</v>
      </c>
      <c r="K183" s="13">
        <v>0</v>
      </c>
      <c r="L183" s="13">
        <v>9</v>
      </c>
      <c r="M183" s="80" t="s">
        <v>857</v>
      </c>
      <c r="N183" s="13"/>
      <c r="O183" s="13"/>
      <c r="P183" s="13"/>
      <c r="Q183" s="13"/>
      <c r="R183" s="13"/>
      <c r="S183" s="13"/>
      <c r="T183" s="13"/>
      <c r="U183" s="13"/>
      <c r="V183" s="13"/>
      <c r="W183" s="13"/>
      <c r="X183" s="13"/>
      <c r="Y183" s="13"/>
      <c r="Z183" s="12"/>
      <c r="AA183" s="12"/>
      <c r="AB183" s="12"/>
      <c r="AC183" s="12"/>
      <c r="AD183" s="12"/>
      <c r="AE183" s="12"/>
      <c r="AF183" s="12"/>
      <c r="AG183" s="12"/>
      <c r="AH183" s="728"/>
      <c r="AI183" s="728"/>
      <c r="AJ183" s="728"/>
      <c r="AK183" s="728"/>
      <c r="AL183" s="13"/>
      <c r="AM183" s="8" t="s">
        <v>934</v>
      </c>
      <c r="AN183" s="744">
        <v>2</v>
      </c>
    </row>
    <row r="184" spans="1:40" s="2" customFormat="1" ht="100.5" hidden="1" customHeight="1">
      <c r="A184" s="12"/>
      <c r="B184" s="12"/>
      <c r="C184" s="12"/>
      <c r="D184" s="5"/>
      <c r="E184" s="731" t="s">
        <v>943</v>
      </c>
      <c r="F184" s="5" t="s">
        <v>944</v>
      </c>
      <c r="G184" s="5" t="s">
        <v>809</v>
      </c>
      <c r="H184" s="718" t="s">
        <v>945</v>
      </c>
      <c r="I184" s="13" t="s">
        <v>946</v>
      </c>
      <c r="J184" s="13">
        <v>1</v>
      </c>
      <c r="K184" s="13">
        <v>0</v>
      </c>
      <c r="L184" s="13">
        <v>9</v>
      </c>
      <c r="M184" s="80" t="s">
        <v>857</v>
      </c>
      <c r="N184" s="13"/>
      <c r="O184" s="13"/>
      <c r="P184" s="13"/>
      <c r="Q184" s="13"/>
      <c r="R184" s="13"/>
      <c r="S184" s="13"/>
      <c r="T184" s="13"/>
      <c r="U184" s="13"/>
      <c r="V184" s="13"/>
      <c r="W184" s="13"/>
      <c r="X184" s="13"/>
      <c r="Y184" s="13"/>
      <c r="Z184" s="12"/>
      <c r="AA184" s="12"/>
      <c r="AB184" s="12"/>
      <c r="AC184" s="12"/>
      <c r="AD184" s="12"/>
      <c r="AE184" s="12"/>
      <c r="AF184" s="12"/>
      <c r="AG184" s="12"/>
      <c r="AH184" s="728"/>
      <c r="AI184" s="728"/>
      <c r="AJ184" s="728"/>
      <c r="AK184" s="728"/>
      <c r="AL184" s="13"/>
      <c r="AM184" s="8" t="s">
        <v>934</v>
      </c>
      <c r="AN184" s="744">
        <v>2</v>
      </c>
    </row>
    <row r="185" spans="1:40" s="2" customFormat="1" ht="100.5" hidden="1" customHeight="1">
      <c r="A185" s="12"/>
      <c r="B185" s="12"/>
      <c r="C185" s="12"/>
      <c r="D185" s="5"/>
      <c r="E185" s="731" t="s">
        <v>947</v>
      </c>
      <c r="F185" s="5" t="s">
        <v>948</v>
      </c>
      <c r="G185" s="5" t="s">
        <v>809</v>
      </c>
      <c r="H185" s="718" t="s">
        <v>949</v>
      </c>
      <c r="I185" s="13" t="s">
        <v>950</v>
      </c>
      <c r="J185" s="13">
        <v>1</v>
      </c>
      <c r="K185" s="13">
        <v>0</v>
      </c>
      <c r="L185" s="13">
        <v>9</v>
      </c>
      <c r="M185" s="80" t="s">
        <v>857</v>
      </c>
      <c r="N185" s="13"/>
      <c r="O185" s="13"/>
      <c r="P185" s="13"/>
      <c r="Q185" s="13"/>
      <c r="R185" s="13"/>
      <c r="S185" s="13"/>
      <c r="T185" s="13"/>
      <c r="U185" s="13"/>
      <c r="V185" s="13"/>
      <c r="W185" s="13"/>
      <c r="X185" s="13"/>
      <c r="Y185" s="13"/>
      <c r="Z185" s="12"/>
      <c r="AA185" s="12"/>
      <c r="AB185" s="12"/>
      <c r="AC185" s="12"/>
      <c r="AD185" s="12"/>
      <c r="AE185" s="12"/>
      <c r="AF185" s="12"/>
      <c r="AG185" s="12"/>
      <c r="AH185" s="728"/>
      <c r="AI185" s="728"/>
      <c r="AJ185" s="728"/>
      <c r="AK185" s="728"/>
      <c r="AL185" s="13"/>
      <c r="AM185" s="8" t="s">
        <v>934</v>
      </c>
      <c r="AN185" s="744">
        <v>2</v>
      </c>
    </row>
    <row r="186" spans="1:40" s="2" customFormat="1" ht="100.5" hidden="1" customHeight="1">
      <c r="A186" s="12"/>
      <c r="B186" s="12"/>
      <c r="C186" s="12"/>
      <c r="D186" s="5"/>
      <c r="E186" s="731" t="s">
        <v>951</v>
      </c>
      <c r="F186" s="5" t="s">
        <v>952</v>
      </c>
      <c r="G186" s="5" t="s">
        <v>809</v>
      </c>
      <c r="H186" s="718" t="s">
        <v>953</v>
      </c>
      <c r="I186" s="13" t="s">
        <v>954</v>
      </c>
      <c r="J186" s="13">
        <v>1</v>
      </c>
      <c r="K186" s="13">
        <v>0</v>
      </c>
      <c r="L186" s="13">
        <v>9</v>
      </c>
      <c r="M186" s="80" t="s">
        <v>857</v>
      </c>
      <c r="N186" s="13"/>
      <c r="O186" s="13"/>
      <c r="P186" s="13"/>
      <c r="Q186" s="13"/>
      <c r="R186" s="13"/>
      <c r="S186" s="13"/>
      <c r="T186" s="13"/>
      <c r="U186" s="13"/>
      <c r="V186" s="13"/>
      <c r="W186" s="13"/>
      <c r="X186" s="13"/>
      <c r="Y186" s="13"/>
      <c r="Z186" s="12"/>
      <c r="AA186" s="12"/>
      <c r="AB186" s="12"/>
      <c r="AC186" s="12"/>
      <c r="AD186" s="12"/>
      <c r="AE186" s="12"/>
      <c r="AF186" s="12"/>
      <c r="AG186" s="12"/>
      <c r="AH186" s="728"/>
      <c r="AI186" s="728"/>
      <c r="AJ186" s="728"/>
      <c r="AK186" s="728"/>
      <c r="AL186" s="13"/>
      <c r="AM186" s="8" t="s">
        <v>934</v>
      </c>
      <c r="AN186" s="744">
        <v>2</v>
      </c>
    </row>
    <row r="187" spans="1:40" s="2" customFormat="1" ht="100.5" hidden="1" customHeight="1">
      <c r="A187" s="12"/>
      <c r="B187" s="12"/>
      <c r="C187" s="12"/>
      <c r="D187" s="5"/>
      <c r="E187" s="731" t="s">
        <v>955</v>
      </c>
      <c r="F187" s="5" t="s">
        <v>956</v>
      </c>
      <c r="G187" s="5" t="s">
        <v>809</v>
      </c>
      <c r="H187" s="718" t="s">
        <v>957</v>
      </c>
      <c r="I187" s="13" t="s">
        <v>958</v>
      </c>
      <c r="J187" s="13">
        <v>1</v>
      </c>
      <c r="K187" s="13">
        <v>0</v>
      </c>
      <c r="L187" s="13">
        <v>9</v>
      </c>
      <c r="M187" s="80" t="s">
        <v>857</v>
      </c>
      <c r="N187" s="13"/>
      <c r="O187" s="13"/>
      <c r="P187" s="13"/>
      <c r="Q187" s="13"/>
      <c r="R187" s="13"/>
      <c r="S187" s="13"/>
      <c r="T187" s="13"/>
      <c r="U187" s="13"/>
      <c r="V187" s="13"/>
      <c r="W187" s="13"/>
      <c r="X187" s="13"/>
      <c r="Y187" s="13"/>
      <c r="Z187" s="12"/>
      <c r="AA187" s="12"/>
      <c r="AB187" s="12"/>
      <c r="AC187" s="12"/>
      <c r="AD187" s="12"/>
      <c r="AE187" s="12"/>
      <c r="AF187" s="12"/>
      <c r="AG187" s="12"/>
      <c r="AH187" s="728"/>
      <c r="AI187" s="728"/>
      <c r="AJ187" s="728"/>
      <c r="AK187" s="728"/>
      <c r="AL187" s="13"/>
      <c r="AM187" s="8" t="s">
        <v>934</v>
      </c>
      <c r="AN187" s="744">
        <v>2</v>
      </c>
    </row>
    <row r="188" spans="1:40" s="2" customFormat="1" ht="100.5" hidden="1" customHeight="1">
      <c r="A188" s="12"/>
      <c r="B188" s="12"/>
      <c r="C188" s="12"/>
      <c r="D188" s="5"/>
      <c r="E188" s="731" t="s">
        <v>959</v>
      </c>
      <c r="F188" s="5" t="s">
        <v>960</v>
      </c>
      <c r="G188" s="5" t="s">
        <v>809</v>
      </c>
      <c r="H188" s="718" t="s">
        <v>961</v>
      </c>
      <c r="I188" s="13" t="s">
        <v>962</v>
      </c>
      <c r="J188" s="13">
        <v>1</v>
      </c>
      <c r="K188" s="13">
        <v>0</v>
      </c>
      <c r="L188" s="13">
        <v>9</v>
      </c>
      <c r="M188" s="80" t="s">
        <v>857</v>
      </c>
      <c r="N188" s="13"/>
      <c r="O188" s="13"/>
      <c r="P188" s="13"/>
      <c r="Q188" s="13"/>
      <c r="R188" s="13"/>
      <c r="S188" s="13"/>
      <c r="T188" s="13"/>
      <c r="U188" s="13"/>
      <c r="V188" s="13"/>
      <c r="W188" s="13"/>
      <c r="X188" s="13"/>
      <c r="Y188" s="13"/>
      <c r="Z188" s="12"/>
      <c r="AA188" s="12"/>
      <c r="AB188" s="12"/>
      <c r="AC188" s="12"/>
      <c r="AD188" s="12"/>
      <c r="AE188" s="12"/>
      <c r="AF188" s="12"/>
      <c r="AG188" s="12"/>
      <c r="AH188" s="728"/>
      <c r="AI188" s="728"/>
      <c r="AJ188" s="728"/>
      <c r="AK188" s="728"/>
      <c r="AL188" s="13"/>
      <c r="AM188" s="8" t="s">
        <v>934</v>
      </c>
      <c r="AN188" s="744">
        <v>2</v>
      </c>
    </row>
    <row r="189" spans="1:40" s="2" customFormat="1" ht="100.5" hidden="1" customHeight="1">
      <c r="A189" s="12"/>
      <c r="B189" s="12"/>
      <c r="C189" s="12"/>
      <c r="D189" s="5"/>
      <c r="E189" s="731" t="s">
        <v>963</v>
      </c>
      <c r="F189" s="5" t="s">
        <v>964</v>
      </c>
      <c r="G189" s="5" t="s">
        <v>809</v>
      </c>
      <c r="H189" s="718" t="s">
        <v>965</v>
      </c>
      <c r="I189" s="13" t="s">
        <v>966</v>
      </c>
      <c r="J189" s="13">
        <v>1</v>
      </c>
      <c r="K189" s="13">
        <v>0</v>
      </c>
      <c r="L189" s="13">
        <v>9</v>
      </c>
      <c r="M189" s="80" t="s">
        <v>857</v>
      </c>
      <c r="N189" s="13"/>
      <c r="O189" s="13"/>
      <c r="P189" s="13"/>
      <c r="Q189" s="13"/>
      <c r="R189" s="13"/>
      <c r="S189" s="13"/>
      <c r="T189" s="13"/>
      <c r="U189" s="13"/>
      <c r="V189" s="13"/>
      <c r="W189" s="13"/>
      <c r="X189" s="13"/>
      <c r="Y189" s="13"/>
      <c r="Z189" s="12"/>
      <c r="AA189" s="12"/>
      <c r="AB189" s="12"/>
      <c r="AC189" s="12"/>
      <c r="AD189" s="12"/>
      <c r="AE189" s="12"/>
      <c r="AF189" s="12"/>
      <c r="AG189" s="12"/>
      <c r="AH189" s="728"/>
      <c r="AI189" s="728"/>
      <c r="AJ189" s="728"/>
      <c r="AK189" s="728"/>
      <c r="AL189" s="13"/>
      <c r="AM189" s="8" t="s">
        <v>934</v>
      </c>
      <c r="AN189" s="744">
        <v>2</v>
      </c>
    </row>
    <row r="190" spans="1:40" s="2" customFormat="1" ht="100.5" hidden="1" customHeight="1">
      <c r="A190" s="12"/>
      <c r="B190" s="12"/>
      <c r="C190" s="12"/>
      <c r="D190" s="5"/>
      <c r="E190" s="731" t="s">
        <v>967</v>
      </c>
      <c r="F190" s="5" t="s">
        <v>968</v>
      </c>
      <c r="G190" s="5" t="s">
        <v>809</v>
      </c>
      <c r="H190" s="718" t="s">
        <v>969</v>
      </c>
      <c r="I190" s="13" t="s">
        <v>970</v>
      </c>
      <c r="J190" s="13">
        <v>1</v>
      </c>
      <c r="K190" s="13">
        <v>0</v>
      </c>
      <c r="L190" s="13">
        <v>9</v>
      </c>
      <c r="M190" s="80" t="s">
        <v>857</v>
      </c>
      <c r="N190" s="13"/>
      <c r="O190" s="13"/>
      <c r="P190" s="13"/>
      <c r="Q190" s="13"/>
      <c r="R190" s="13"/>
      <c r="S190" s="13"/>
      <c r="T190" s="13"/>
      <c r="U190" s="13"/>
      <c r="V190" s="13"/>
      <c r="W190" s="13"/>
      <c r="X190" s="13"/>
      <c r="Y190" s="13"/>
      <c r="Z190" s="12"/>
      <c r="AA190" s="12"/>
      <c r="AB190" s="12"/>
      <c r="AC190" s="12"/>
      <c r="AD190" s="12"/>
      <c r="AE190" s="12"/>
      <c r="AF190" s="12"/>
      <c r="AG190" s="12"/>
      <c r="AH190" s="728"/>
      <c r="AI190" s="728"/>
      <c r="AJ190" s="728"/>
      <c r="AK190" s="728"/>
      <c r="AL190" s="13"/>
      <c r="AM190" s="8" t="s">
        <v>934</v>
      </c>
      <c r="AN190" s="744">
        <v>2</v>
      </c>
    </row>
    <row r="191" spans="1:40" s="2" customFormat="1" ht="100.5" hidden="1" customHeight="1">
      <c r="A191" s="12"/>
      <c r="B191" s="12"/>
      <c r="C191" s="12"/>
      <c r="D191" s="5"/>
      <c r="E191" s="731" t="s">
        <v>971</v>
      </c>
      <c r="F191" s="5" t="s">
        <v>972</v>
      </c>
      <c r="G191" s="5" t="s">
        <v>809</v>
      </c>
      <c r="H191" s="718" t="s">
        <v>973</v>
      </c>
      <c r="I191" s="13" t="s">
        <v>974</v>
      </c>
      <c r="J191" s="13">
        <v>1</v>
      </c>
      <c r="K191" s="13">
        <v>0</v>
      </c>
      <c r="L191" s="13">
        <v>9</v>
      </c>
      <c r="M191" s="80" t="s">
        <v>857</v>
      </c>
      <c r="N191" s="13"/>
      <c r="O191" s="13"/>
      <c r="P191" s="13"/>
      <c r="Q191" s="13"/>
      <c r="R191" s="13"/>
      <c r="S191" s="13"/>
      <c r="T191" s="13"/>
      <c r="U191" s="13"/>
      <c r="V191" s="13"/>
      <c r="W191" s="13"/>
      <c r="X191" s="13"/>
      <c r="Y191" s="13"/>
      <c r="Z191" s="12"/>
      <c r="AA191" s="12"/>
      <c r="AB191" s="12"/>
      <c r="AC191" s="12"/>
      <c r="AD191" s="12"/>
      <c r="AE191" s="12"/>
      <c r="AF191" s="12"/>
      <c r="AG191" s="12"/>
      <c r="AH191" s="728"/>
      <c r="AI191" s="728"/>
      <c r="AJ191" s="728"/>
      <c r="AK191" s="728"/>
      <c r="AL191" s="13"/>
      <c r="AM191" s="8" t="s">
        <v>934</v>
      </c>
      <c r="AN191" s="744">
        <v>2</v>
      </c>
    </row>
    <row r="192" spans="1:40" s="2" customFormat="1" ht="100.5" hidden="1" customHeight="1">
      <c r="A192" s="12"/>
      <c r="B192" s="12"/>
      <c r="C192" s="12"/>
      <c r="D192" s="5"/>
      <c r="E192" s="731" t="s">
        <v>975</v>
      </c>
      <c r="F192" s="5" t="s">
        <v>976</v>
      </c>
      <c r="G192" s="5" t="s">
        <v>809</v>
      </c>
      <c r="H192" s="718" t="s">
        <v>977</v>
      </c>
      <c r="I192" s="13" t="s">
        <v>978</v>
      </c>
      <c r="J192" s="13">
        <v>1</v>
      </c>
      <c r="K192" s="13">
        <v>0</v>
      </c>
      <c r="L192" s="13">
        <v>9</v>
      </c>
      <c r="M192" s="80" t="s">
        <v>857</v>
      </c>
      <c r="N192" s="13"/>
      <c r="O192" s="13"/>
      <c r="P192" s="13"/>
      <c r="Q192" s="13"/>
      <c r="R192" s="13"/>
      <c r="S192" s="13"/>
      <c r="T192" s="13"/>
      <c r="U192" s="13"/>
      <c r="V192" s="13"/>
      <c r="W192" s="13"/>
      <c r="X192" s="13"/>
      <c r="Y192" s="13"/>
      <c r="Z192" s="12"/>
      <c r="AA192" s="12"/>
      <c r="AB192" s="12"/>
      <c r="AC192" s="12"/>
      <c r="AD192" s="12"/>
      <c r="AE192" s="12"/>
      <c r="AF192" s="12"/>
      <c r="AG192" s="12"/>
      <c r="AH192" s="728"/>
      <c r="AI192" s="728"/>
      <c r="AJ192" s="728"/>
      <c r="AK192" s="728"/>
      <c r="AL192" s="13"/>
      <c r="AM192" s="8" t="s">
        <v>934</v>
      </c>
      <c r="AN192" s="744">
        <v>2</v>
      </c>
    </row>
    <row r="193" spans="1:40" s="2" customFormat="1" ht="100.5" hidden="1" customHeight="1">
      <c r="A193" s="12"/>
      <c r="B193" s="12"/>
      <c r="C193" s="12"/>
      <c r="D193" s="5"/>
      <c r="E193" s="731" t="s">
        <v>979</v>
      </c>
      <c r="F193" s="5" t="s">
        <v>980</v>
      </c>
      <c r="G193" s="5" t="s">
        <v>809</v>
      </c>
      <c r="H193" s="718" t="s">
        <v>981</v>
      </c>
      <c r="I193" s="13" t="s">
        <v>982</v>
      </c>
      <c r="J193" s="13">
        <v>1</v>
      </c>
      <c r="K193" s="13">
        <v>0</v>
      </c>
      <c r="L193" s="13">
        <v>9</v>
      </c>
      <c r="M193" s="80" t="s">
        <v>857</v>
      </c>
      <c r="N193" s="13"/>
      <c r="O193" s="13"/>
      <c r="P193" s="13"/>
      <c r="Q193" s="13"/>
      <c r="R193" s="13"/>
      <c r="S193" s="13"/>
      <c r="T193" s="13"/>
      <c r="U193" s="13"/>
      <c r="V193" s="13"/>
      <c r="W193" s="13"/>
      <c r="X193" s="13"/>
      <c r="Y193" s="13"/>
      <c r="Z193" s="12"/>
      <c r="AA193" s="12"/>
      <c r="AB193" s="12"/>
      <c r="AC193" s="12"/>
      <c r="AD193" s="12"/>
      <c r="AE193" s="12"/>
      <c r="AF193" s="12"/>
      <c r="AG193" s="12"/>
      <c r="AH193" s="728"/>
      <c r="AI193" s="728"/>
      <c r="AJ193" s="728"/>
      <c r="AK193" s="728"/>
      <c r="AL193" s="13"/>
      <c r="AM193" s="8" t="s">
        <v>934</v>
      </c>
      <c r="AN193" s="744">
        <v>2</v>
      </c>
    </row>
    <row r="194" spans="1:40" s="2" customFormat="1" ht="100.5" hidden="1" customHeight="1">
      <c r="A194" s="12"/>
      <c r="B194" s="12"/>
      <c r="C194" s="12"/>
      <c r="D194" s="5"/>
      <c r="E194" s="731" t="s">
        <v>983</v>
      </c>
      <c r="F194" s="5" t="s">
        <v>984</v>
      </c>
      <c r="G194" s="5" t="s">
        <v>809</v>
      </c>
      <c r="H194" s="718" t="s">
        <v>985</v>
      </c>
      <c r="I194" s="13" t="s">
        <v>986</v>
      </c>
      <c r="J194" s="13">
        <v>1</v>
      </c>
      <c r="K194" s="13">
        <v>0</v>
      </c>
      <c r="L194" s="13">
        <v>100</v>
      </c>
      <c r="M194" s="13" t="s">
        <v>41</v>
      </c>
      <c r="N194" s="13"/>
      <c r="O194" s="13"/>
      <c r="P194" s="13"/>
      <c r="Q194" s="13"/>
      <c r="R194" s="13"/>
      <c r="S194" s="13"/>
      <c r="T194" s="13"/>
      <c r="U194" s="13"/>
      <c r="V194" s="13"/>
      <c r="W194" s="13"/>
      <c r="X194" s="13"/>
      <c r="Y194" s="13"/>
      <c r="Z194" s="12"/>
      <c r="AA194" s="12"/>
      <c r="AB194" s="12"/>
      <c r="AC194" s="12"/>
      <c r="AD194" s="12"/>
      <c r="AE194" s="12"/>
      <c r="AF194" s="12"/>
      <c r="AG194" s="12"/>
      <c r="AH194" s="728"/>
      <c r="AI194" s="728"/>
      <c r="AJ194" s="728"/>
      <c r="AK194" s="728"/>
      <c r="AL194" s="13"/>
      <c r="AM194" s="8" t="s">
        <v>987</v>
      </c>
      <c r="AN194" s="744">
        <v>2</v>
      </c>
    </row>
    <row r="195" spans="1:40" s="2" customFormat="1" ht="100.5" hidden="1" customHeight="1">
      <c r="A195" s="12"/>
      <c r="B195" s="12"/>
      <c r="C195" s="12"/>
      <c r="D195" s="5"/>
      <c r="E195" s="731" t="s">
        <v>988</v>
      </c>
      <c r="F195" s="5" t="s">
        <v>989</v>
      </c>
      <c r="G195" s="5" t="s">
        <v>809</v>
      </c>
      <c r="H195" s="718" t="s">
        <v>990</v>
      </c>
      <c r="I195" s="13" t="s">
        <v>991</v>
      </c>
      <c r="J195" s="13">
        <v>1</v>
      </c>
      <c r="K195" s="13">
        <v>0</v>
      </c>
      <c r="L195" s="13">
        <v>100</v>
      </c>
      <c r="M195" s="13" t="s">
        <v>41</v>
      </c>
      <c r="N195" s="13"/>
      <c r="O195" s="13"/>
      <c r="P195" s="13"/>
      <c r="Q195" s="13"/>
      <c r="R195" s="13"/>
      <c r="S195" s="13"/>
      <c r="T195" s="13"/>
      <c r="U195" s="13"/>
      <c r="V195" s="13"/>
      <c r="W195" s="13"/>
      <c r="X195" s="13"/>
      <c r="Y195" s="13"/>
      <c r="Z195" s="12"/>
      <c r="AA195" s="12"/>
      <c r="AB195" s="12"/>
      <c r="AC195" s="12"/>
      <c r="AD195" s="12"/>
      <c r="AE195" s="12"/>
      <c r="AF195" s="12"/>
      <c r="AG195" s="12"/>
      <c r="AH195" s="728"/>
      <c r="AI195" s="728"/>
      <c r="AJ195" s="728"/>
      <c r="AK195" s="728"/>
      <c r="AL195" s="13"/>
      <c r="AM195" s="8" t="s">
        <v>987</v>
      </c>
      <c r="AN195" s="744">
        <v>2</v>
      </c>
    </row>
    <row r="196" spans="1:40" s="2" customFormat="1" ht="100.5" hidden="1" customHeight="1">
      <c r="A196" s="12"/>
      <c r="B196" s="12"/>
      <c r="C196" s="12"/>
      <c r="D196" s="5"/>
      <c r="E196" s="731" t="s">
        <v>992</v>
      </c>
      <c r="F196" s="5" t="s">
        <v>993</v>
      </c>
      <c r="G196" s="5" t="s">
        <v>809</v>
      </c>
      <c r="H196" s="718" t="s">
        <v>994</v>
      </c>
      <c r="I196" s="13" t="s">
        <v>995</v>
      </c>
      <c r="J196" s="13">
        <v>1</v>
      </c>
      <c r="K196" s="13">
        <v>0</v>
      </c>
      <c r="L196" s="13">
        <v>100</v>
      </c>
      <c r="M196" s="13" t="s">
        <v>41</v>
      </c>
      <c r="N196" s="13"/>
      <c r="O196" s="13"/>
      <c r="P196" s="13"/>
      <c r="Q196" s="13"/>
      <c r="R196" s="13"/>
      <c r="S196" s="13"/>
      <c r="T196" s="13"/>
      <c r="U196" s="13"/>
      <c r="V196" s="13"/>
      <c r="W196" s="13"/>
      <c r="X196" s="13"/>
      <c r="Y196" s="13"/>
      <c r="Z196" s="12"/>
      <c r="AA196" s="12"/>
      <c r="AB196" s="12"/>
      <c r="AC196" s="12"/>
      <c r="AD196" s="12"/>
      <c r="AE196" s="12"/>
      <c r="AF196" s="12"/>
      <c r="AG196" s="12"/>
      <c r="AH196" s="728"/>
      <c r="AI196" s="728"/>
      <c r="AJ196" s="728"/>
      <c r="AK196" s="728"/>
      <c r="AL196" s="13"/>
      <c r="AM196" s="8" t="s">
        <v>987</v>
      </c>
      <c r="AN196" s="744">
        <v>2</v>
      </c>
    </row>
    <row r="197" spans="1:40" s="2" customFormat="1" ht="100.5" hidden="1" customHeight="1">
      <c r="A197" s="12"/>
      <c r="B197" s="12"/>
      <c r="C197" s="12"/>
      <c r="D197" s="5"/>
      <c r="E197" s="731" t="s">
        <v>996</v>
      </c>
      <c r="F197" s="5" t="s">
        <v>997</v>
      </c>
      <c r="G197" s="5" t="s">
        <v>809</v>
      </c>
      <c r="H197" s="718" t="s">
        <v>998</v>
      </c>
      <c r="I197" s="13" t="s">
        <v>999</v>
      </c>
      <c r="J197" s="13">
        <v>1</v>
      </c>
      <c r="K197" s="13">
        <v>0</v>
      </c>
      <c r="L197" s="13">
        <v>100</v>
      </c>
      <c r="M197" s="13" t="s">
        <v>41</v>
      </c>
      <c r="N197" s="13"/>
      <c r="O197" s="13"/>
      <c r="P197" s="13"/>
      <c r="Q197" s="13"/>
      <c r="R197" s="13"/>
      <c r="S197" s="13"/>
      <c r="T197" s="13"/>
      <c r="U197" s="13"/>
      <c r="V197" s="13"/>
      <c r="W197" s="13"/>
      <c r="X197" s="13"/>
      <c r="Y197" s="13"/>
      <c r="Z197" s="12"/>
      <c r="AA197" s="12"/>
      <c r="AB197" s="12"/>
      <c r="AC197" s="12"/>
      <c r="AD197" s="12"/>
      <c r="AE197" s="12"/>
      <c r="AF197" s="12"/>
      <c r="AG197" s="12"/>
      <c r="AH197" s="728"/>
      <c r="AI197" s="728"/>
      <c r="AJ197" s="728"/>
      <c r="AK197" s="728"/>
      <c r="AL197" s="13"/>
      <c r="AM197" s="8" t="s">
        <v>987</v>
      </c>
      <c r="AN197" s="744">
        <v>2</v>
      </c>
    </row>
    <row r="198" spans="1:40" s="2" customFormat="1" ht="100.5" hidden="1" customHeight="1">
      <c r="A198" s="12"/>
      <c r="B198" s="12"/>
      <c r="C198" s="12"/>
      <c r="D198" s="5"/>
      <c r="E198" s="731" t="s">
        <v>1000</v>
      </c>
      <c r="F198" s="5" t="s">
        <v>1001</v>
      </c>
      <c r="G198" s="5" t="s">
        <v>809</v>
      </c>
      <c r="H198" s="718" t="s">
        <v>1002</v>
      </c>
      <c r="I198" s="13" t="s">
        <v>1003</v>
      </c>
      <c r="J198" s="13">
        <v>1</v>
      </c>
      <c r="K198" s="13">
        <v>0</v>
      </c>
      <c r="L198" s="13">
        <v>100</v>
      </c>
      <c r="M198" s="13" t="s">
        <v>41</v>
      </c>
      <c r="N198" s="13"/>
      <c r="O198" s="13"/>
      <c r="P198" s="13"/>
      <c r="Q198" s="13"/>
      <c r="R198" s="13"/>
      <c r="S198" s="13"/>
      <c r="T198" s="13"/>
      <c r="U198" s="13"/>
      <c r="V198" s="13"/>
      <c r="W198" s="13"/>
      <c r="X198" s="13"/>
      <c r="Y198" s="13"/>
      <c r="Z198" s="12"/>
      <c r="AA198" s="12"/>
      <c r="AB198" s="12"/>
      <c r="AC198" s="12"/>
      <c r="AD198" s="12"/>
      <c r="AE198" s="12"/>
      <c r="AF198" s="12"/>
      <c r="AG198" s="12"/>
      <c r="AH198" s="728"/>
      <c r="AI198" s="728"/>
      <c r="AJ198" s="728"/>
      <c r="AK198" s="728"/>
      <c r="AL198" s="13"/>
      <c r="AM198" s="8" t="s">
        <v>987</v>
      </c>
      <c r="AN198" s="744">
        <v>2</v>
      </c>
    </row>
    <row r="199" spans="1:40" s="2" customFormat="1" ht="100.5" hidden="1" customHeight="1">
      <c r="A199" s="12"/>
      <c r="B199" s="12"/>
      <c r="C199" s="12"/>
      <c r="D199" s="5"/>
      <c r="E199" s="731" t="s">
        <v>1004</v>
      </c>
      <c r="F199" s="5" t="s">
        <v>1005</v>
      </c>
      <c r="G199" s="5" t="s">
        <v>809</v>
      </c>
      <c r="H199" s="718" t="s">
        <v>1006</v>
      </c>
      <c r="I199" s="13" t="s">
        <v>1007</v>
      </c>
      <c r="J199" s="13">
        <v>1</v>
      </c>
      <c r="K199" s="13">
        <v>0</v>
      </c>
      <c r="L199" s="13">
        <v>100</v>
      </c>
      <c r="M199" s="13" t="s">
        <v>41</v>
      </c>
      <c r="N199" s="13"/>
      <c r="O199" s="13"/>
      <c r="P199" s="13"/>
      <c r="Q199" s="13"/>
      <c r="R199" s="13"/>
      <c r="S199" s="13"/>
      <c r="T199" s="13"/>
      <c r="U199" s="13"/>
      <c r="V199" s="13"/>
      <c r="W199" s="13"/>
      <c r="X199" s="13"/>
      <c r="Y199" s="13"/>
      <c r="Z199" s="12"/>
      <c r="AA199" s="12"/>
      <c r="AB199" s="12"/>
      <c r="AC199" s="12"/>
      <c r="AD199" s="12"/>
      <c r="AE199" s="12"/>
      <c r="AF199" s="12"/>
      <c r="AG199" s="12"/>
      <c r="AH199" s="728"/>
      <c r="AI199" s="728"/>
      <c r="AJ199" s="728"/>
      <c r="AK199" s="728"/>
      <c r="AL199" s="13"/>
      <c r="AM199" s="8" t="s">
        <v>987</v>
      </c>
      <c r="AN199" s="744">
        <v>2</v>
      </c>
    </row>
    <row r="200" spans="1:40" s="2" customFormat="1" ht="100.5" hidden="1" customHeight="1">
      <c r="A200" s="12"/>
      <c r="B200" s="12"/>
      <c r="C200" s="12"/>
      <c r="D200" s="5"/>
      <c r="E200" s="731" t="s">
        <v>1008</v>
      </c>
      <c r="F200" s="5" t="s">
        <v>1009</v>
      </c>
      <c r="G200" s="5" t="s">
        <v>809</v>
      </c>
      <c r="H200" s="718" t="s">
        <v>1010</v>
      </c>
      <c r="I200" s="13" t="s">
        <v>1011</v>
      </c>
      <c r="J200" s="13">
        <v>1</v>
      </c>
      <c r="K200" s="13">
        <v>0</v>
      </c>
      <c r="L200" s="13">
        <v>100</v>
      </c>
      <c r="M200" s="13" t="s">
        <v>41</v>
      </c>
      <c r="N200" s="13"/>
      <c r="O200" s="13"/>
      <c r="P200" s="13"/>
      <c r="Q200" s="13"/>
      <c r="R200" s="13"/>
      <c r="S200" s="13"/>
      <c r="T200" s="13"/>
      <c r="U200" s="13"/>
      <c r="V200" s="13"/>
      <c r="W200" s="13"/>
      <c r="X200" s="13"/>
      <c r="Y200" s="13"/>
      <c r="Z200" s="12"/>
      <c r="AA200" s="12"/>
      <c r="AB200" s="12"/>
      <c r="AC200" s="12"/>
      <c r="AD200" s="12"/>
      <c r="AE200" s="12"/>
      <c r="AF200" s="12"/>
      <c r="AG200" s="12"/>
      <c r="AH200" s="728"/>
      <c r="AI200" s="728"/>
      <c r="AJ200" s="728"/>
      <c r="AK200" s="728"/>
      <c r="AL200" s="13"/>
      <c r="AM200" s="8" t="s">
        <v>987</v>
      </c>
      <c r="AN200" s="744">
        <v>2</v>
      </c>
    </row>
    <row r="201" spans="1:40" s="2" customFormat="1" ht="100.5" hidden="1" customHeight="1">
      <c r="A201" s="12"/>
      <c r="B201" s="12"/>
      <c r="C201" s="12"/>
      <c r="D201" s="5"/>
      <c r="E201" s="731" t="s">
        <v>1012</v>
      </c>
      <c r="F201" s="5" t="s">
        <v>1013</v>
      </c>
      <c r="G201" s="5" t="s">
        <v>809</v>
      </c>
      <c r="H201" s="718" t="s">
        <v>1014</v>
      </c>
      <c r="I201" s="13" t="s">
        <v>1015</v>
      </c>
      <c r="J201" s="13">
        <v>1</v>
      </c>
      <c r="K201" s="13">
        <v>0</v>
      </c>
      <c r="L201" s="13">
        <v>100</v>
      </c>
      <c r="M201" s="13" t="s">
        <v>41</v>
      </c>
      <c r="N201" s="13"/>
      <c r="O201" s="13"/>
      <c r="P201" s="13"/>
      <c r="Q201" s="13"/>
      <c r="R201" s="13"/>
      <c r="S201" s="13"/>
      <c r="T201" s="13"/>
      <c r="U201" s="13"/>
      <c r="V201" s="13"/>
      <c r="W201" s="13"/>
      <c r="X201" s="13"/>
      <c r="Y201" s="13"/>
      <c r="Z201" s="12"/>
      <c r="AA201" s="12"/>
      <c r="AB201" s="12"/>
      <c r="AC201" s="12"/>
      <c r="AD201" s="12"/>
      <c r="AE201" s="12"/>
      <c r="AF201" s="12"/>
      <c r="AG201" s="12"/>
      <c r="AH201" s="728"/>
      <c r="AI201" s="728"/>
      <c r="AJ201" s="728"/>
      <c r="AK201" s="728"/>
      <c r="AL201" s="13"/>
      <c r="AM201" s="8" t="s">
        <v>987</v>
      </c>
      <c r="AN201" s="744">
        <v>2</v>
      </c>
    </row>
    <row r="202" spans="1:40" s="2" customFormat="1" ht="100.5" hidden="1" customHeight="1">
      <c r="A202" s="12"/>
      <c r="B202" s="12"/>
      <c r="C202" s="12"/>
      <c r="D202" s="5"/>
      <c r="E202" s="731" t="s">
        <v>1016</v>
      </c>
      <c r="F202" s="5" t="s">
        <v>1017</v>
      </c>
      <c r="G202" s="5" t="s">
        <v>809</v>
      </c>
      <c r="H202" s="718" t="s">
        <v>1018</v>
      </c>
      <c r="I202" s="13" t="s">
        <v>1019</v>
      </c>
      <c r="J202" s="13">
        <v>1</v>
      </c>
      <c r="K202" s="13">
        <v>0</v>
      </c>
      <c r="L202" s="13">
        <v>100</v>
      </c>
      <c r="M202" s="13" t="s">
        <v>41</v>
      </c>
      <c r="N202" s="13"/>
      <c r="O202" s="13"/>
      <c r="P202" s="13"/>
      <c r="Q202" s="13"/>
      <c r="R202" s="13"/>
      <c r="S202" s="13"/>
      <c r="T202" s="13"/>
      <c r="U202" s="13"/>
      <c r="V202" s="13"/>
      <c r="W202" s="13"/>
      <c r="X202" s="13"/>
      <c r="Y202" s="13"/>
      <c r="Z202" s="12"/>
      <c r="AA202" s="12"/>
      <c r="AB202" s="12"/>
      <c r="AC202" s="12"/>
      <c r="AD202" s="12"/>
      <c r="AE202" s="12"/>
      <c r="AF202" s="12"/>
      <c r="AG202" s="12"/>
      <c r="AH202" s="728"/>
      <c r="AI202" s="728"/>
      <c r="AJ202" s="728"/>
      <c r="AK202" s="728"/>
      <c r="AL202" s="13"/>
      <c r="AM202" s="8" t="s">
        <v>987</v>
      </c>
      <c r="AN202" s="744">
        <v>2</v>
      </c>
    </row>
    <row r="203" spans="1:40" s="2" customFormat="1" ht="100.5" hidden="1" customHeight="1">
      <c r="A203" s="12"/>
      <c r="B203" s="12"/>
      <c r="C203" s="12"/>
      <c r="D203" s="5"/>
      <c r="E203" s="731" t="s">
        <v>1020</v>
      </c>
      <c r="F203" s="5" t="s">
        <v>1021</v>
      </c>
      <c r="G203" s="5" t="s">
        <v>809</v>
      </c>
      <c r="H203" s="718" t="s">
        <v>1022</v>
      </c>
      <c r="I203" s="13" t="s">
        <v>1023</v>
      </c>
      <c r="J203" s="13">
        <v>1</v>
      </c>
      <c r="K203" s="13">
        <v>0</v>
      </c>
      <c r="L203" s="13">
        <v>100</v>
      </c>
      <c r="M203" s="13" t="s">
        <v>41</v>
      </c>
      <c r="N203" s="13"/>
      <c r="O203" s="13"/>
      <c r="P203" s="13"/>
      <c r="Q203" s="13"/>
      <c r="R203" s="13"/>
      <c r="S203" s="13"/>
      <c r="T203" s="13"/>
      <c r="U203" s="13"/>
      <c r="V203" s="13"/>
      <c r="W203" s="13"/>
      <c r="X203" s="13"/>
      <c r="Y203" s="13"/>
      <c r="Z203" s="12"/>
      <c r="AA203" s="12"/>
      <c r="AB203" s="12"/>
      <c r="AC203" s="12"/>
      <c r="AD203" s="12"/>
      <c r="AE203" s="12"/>
      <c r="AF203" s="12"/>
      <c r="AG203" s="12"/>
      <c r="AH203" s="728"/>
      <c r="AI203" s="728"/>
      <c r="AJ203" s="728"/>
      <c r="AK203" s="728"/>
      <c r="AL203" s="13"/>
      <c r="AM203" s="8" t="s">
        <v>987</v>
      </c>
      <c r="AN203" s="744">
        <v>2</v>
      </c>
    </row>
    <row r="204" spans="1:40" s="2" customFormat="1" ht="100.5" hidden="1" customHeight="1">
      <c r="A204" s="12"/>
      <c r="B204" s="12"/>
      <c r="C204" s="12"/>
      <c r="D204" s="5"/>
      <c r="E204" s="731" t="s">
        <v>1024</v>
      </c>
      <c r="F204" s="5" t="s">
        <v>1025</v>
      </c>
      <c r="G204" s="5" t="s">
        <v>809</v>
      </c>
      <c r="H204" s="718" t="s">
        <v>1026</v>
      </c>
      <c r="I204" s="13" t="s">
        <v>1027</v>
      </c>
      <c r="J204" s="13">
        <v>1</v>
      </c>
      <c r="K204" s="13">
        <v>0</v>
      </c>
      <c r="L204" s="13">
        <v>100</v>
      </c>
      <c r="M204" s="13" t="s">
        <v>41</v>
      </c>
      <c r="N204" s="13"/>
      <c r="O204" s="13"/>
      <c r="P204" s="13"/>
      <c r="Q204" s="13"/>
      <c r="R204" s="13"/>
      <c r="S204" s="13"/>
      <c r="T204" s="13"/>
      <c r="U204" s="13"/>
      <c r="V204" s="13"/>
      <c r="W204" s="13"/>
      <c r="X204" s="13"/>
      <c r="Y204" s="13"/>
      <c r="Z204" s="12"/>
      <c r="AA204" s="12"/>
      <c r="AB204" s="12"/>
      <c r="AC204" s="12"/>
      <c r="AD204" s="12"/>
      <c r="AE204" s="12"/>
      <c r="AF204" s="12"/>
      <c r="AG204" s="12"/>
      <c r="AH204" s="728"/>
      <c r="AI204" s="728"/>
      <c r="AJ204" s="728"/>
      <c r="AK204" s="728"/>
      <c r="AL204" s="13"/>
      <c r="AM204" s="8" t="s">
        <v>987</v>
      </c>
      <c r="AN204" s="744">
        <v>2</v>
      </c>
    </row>
    <row r="205" spans="1:40" s="2" customFormat="1" ht="100.5" hidden="1" customHeight="1">
      <c r="A205" s="12"/>
      <c r="B205" s="12"/>
      <c r="C205" s="12"/>
      <c r="D205" s="5"/>
      <c r="E205" s="731" t="s">
        <v>1028</v>
      </c>
      <c r="F205" s="5" t="s">
        <v>1029</v>
      </c>
      <c r="G205" s="5" t="s">
        <v>809</v>
      </c>
      <c r="H205" s="718" t="s">
        <v>1030</v>
      </c>
      <c r="I205" s="13" t="s">
        <v>1031</v>
      </c>
      <c r="J205" s="13">
        <v>1</v>
      </c>
      <c r="K205" s="13">
        <v>0</v>
      </c>
      <c r="L205" s="13">
        <v>100</v>
      </c>
      <c r="M205" s="13" t="s">
        <v>41</v>
      </c>
      <c r="N205" s="13"/>
      <c r="O205" s="13"/>
      <c r="P205" s="13"/>
      <c r="Q205" s="13"/>
      <c r="R205" s="13"/>
      <c r="S205" s="13"/>
      <c r="T205" s="13"/>
      <c r="U205" s="13"/>
      <c r="V205" s="13"/>
      <c r="W205" s="13"/>
      <c r="X205" s="13"/>
      <c r="Y205" s="13"/>
      <c r="Z205" s="12"/>
      <c r="AA205" s="12"/>
      <c r="AB205" s="12"/>
      <c r="AC205" s="12"/>
      <c r="AD205" s="12"/>
      <c r="AE205" s="12"/>
      <c r="AF205" s="12"/>
      <c r="AG205" s="12"/>
      <c r="AH205" s="728"/>
      <c r="AI205" s="728"/>
      <c r="AJ205" s="728"/>
      <c r="AK205" s="728"/>
      <c r="AL205" s="13"/>
      <c r="AM205" s="8" t="s">
        <v>987</v>
      </c>
      <c r="AN205" s="744">
        <v>2</v>
      </c>
    </row>
    <row r="206" spans="1:40" s="2" customFormat="1" ht="100.5" hidden="1" customHeight="1">
      <c r="A206" s="12"/>
      <c r="B206" s="12"/>
      <c r="C206" s="12"/>
      <c r="D206" s="5"/>
      <c r="E206" s="731" t="s">
        <v>1032</v>
      </c>
      <c r="F206" s="5" t="s">
        <v>1033</v>
      </c>
      <c r="G206" s="5" t="s">
        <v>809</v>
      </c>
      <c r="H206" s="718" t="s">
        <v>1034</v>
      </c>
      <c r="I206" s="13" t="s">
        <v>1035</v>
      </c>
      <c r="J206" s="13">
        <v>1</v>
      </c>
      <c r="K206" s="13">
        <v>0</v>
      </c>
      <c r="L206" s="13">
        <v>1000</v>
      </c>
      <c r="M206" s="13" t="s">
        <v>1036</v>
      </c>
      <c r="N206" s="13"/>
      <c r="O206" s="13"/>
      <c r="P206" s="13"/>
      <c r="Q206" s="13"/>
      <c r="R206" s="13"/>
      <c r="S206" s="13"/>
      <c r="T206" s="13"/>
      <c r="U206" s="13"/>
      <c r="V206" s="13"/>
      <c r="W206" s="13"/>
      <c r="X206" s="13"/>
      <c r="Y206" s="13"/>
      <c r="Z206" s="12"/>
      <c r="AA206" s="12"/>
      <c r="AB206" s="12"/>
      <c r="AC206" s="12"/>
      <c r="AD206" s="12"/>
      <c r="AE206" s="12"/>
      <c r="AF206" s="12"/>
      <c r="AG206" s="12"/>
      <c r="AH206" s="728"/>
      <c r="AI206" s="728"/>
      <c r="AJ206" s="728"/>
      <c r="AK206" s="728"/>
      <c r="AL206" s="13"/>
      <c r="AM206" s="8" t="s">
        <v>987</v>
      </c>
      <c r="AN206" s="744">
        <v>2</v>
      </c>
    </row>
    <row r="207" spans="1:40" s="2" customFormat="1" ht="100.5" hidden="1" customHeight="1">
      <c r="A207" s="12"/>
      <c r="B207" s="12"/>
      <c r="C207" s="12"/>
      <c r="D207" s="5"/>
      <c r="E207" s="731" t="s">
        <v>1037</v>
      </c>
      <c r="F207" s="5" t="s">
        <v>1038</v>
      </c>
      <c r="G207" s="5" t="s">
        <v>809</v>
      </c>
      <c r="H207" s="718" t="s">
        <v>1039</v>
      </c>
      <c r="I207" s="13" t="s">
        <v>1040</v>
      </c>
      <c r="J207" s="13">
        <v>1</v>
      </c>
      <c r="K207" s="13">
        <v>0</v>
      </c>
      <c r="L207" s="13">
        <v>1000</v>
      </c>
      <c r="M207" s="13" t="s">
        <v>1036</v>
      </c>
      <c r="N207" s="13"/>
      <c r="O207" s="13"/>
      <c r="P207" s="13"/>
      <c r="Q207" s="13"/>
      <c r="R207" s="13"/>
      <c r="S207" s="13"/>
      <c r="T207" s="13"/>
      <c r="U207" s="13"/>
      <c r="V207" s="13"/>
      <c r="W207" s="13"/>
      <c r="X207" s="13"/>
      <c r="Y207" s="13"/>
      <c r="Z207" s="12"/>
      <c r="AA207" s="12"/>
      <c r="AB207" s="12"/>
      <c r="AC207" s="12"/>
      <c r="AD207" s="12"/>
      <c r="AE207" s="12"/>
      <c r="AF207" s="12"/>
      <c r="AG207" s="12"/>
      <c r="AH207" s="728"/>
      <c r="AI207" s="728"/>
      <c r="AJ207" s="728"/>
      <c r="AK207" s="728"/>
      <c r="AL207" s="13"/>
      <c r="AM207" s="8" t="s">
        <v>987</v>
      </c>
      <c r="AN207" s="744">
        <v>2</v>
      </c>
    </row>
    <row r="208" spans="1:40" s="2" customFormat="1" ht="100.5" hidden="1" customHeight="1">
      <c r="A208" s="12"/>
      <c r="B208" s="12"/>
      <c r="C208" s="12"/>
      <c r="D208" s="5"/>
      <c r="E208" s="731" t="s">
        <v>1041</v>
      </c>
      <c r="F208" s="5" t="s">
        <v>1042</v>
      </c>
      <c r="G208" s="5" t="s">
        <v>809</v>
      </c>
      <c r="H208" s="718" t="s">
        <v>1043</v>
      </c>
      <c r="I208" s="13" t="s">
        <v>1044</v>
      </c>
      <c r="J208" s="13">
        <v>1</v>
      </c>
      <c r="K208" s="13">
        <v>0</v>
      </c>
      <c r="L208" s="13">
        <v>1000</v>
      </c>
      <c r="M208" s="13" t="s">
        <v>1036</v>
      </c>
      <c r="N208" s="13"/>
      <c r="O208" s="13"/>
      <c r="P208" s="13"/>
      <c r="Q208" s="13"/>
      <c r="R208" s="13"/>
      <c r="S208" s="13"/>
      <c r="T208" s="13"/>
      <c r="U208" s="13"/>
      <c r="V208" s="13"/>
      <c r="W208" s="13"/>
      <c r="X208" s="13"/>
      <c r="Y208" s="13"/>
      <c r="Z208" s="12"/>
      <c r="AA208" s="12"/>
      <c r="AB208" s="12"/>
      <c r="AC208" s="12"/>
      <c r="AD208" s="12"/>
      <c r="AE208" s="12"/>
      <c r="AF208" s="12"/>
      <c r="AG208" s="12"/>
      <c r="AH208" s="728"/>
      <c r="AI208" s="728"/>
      <c r="AJ208" s="728"/>
      <c r="AK208" s="728"/>
      <c r="AL208" s="13"/>
      <c r="AM208" s="8" t="s">
        <v>987</v>
      </c>
      <c r="AN208" s="744">
        <v>2</v>
      </c>
    </row>
    <row r="209" spans="1:40" s="2" customFormat="1" ht="100.5" hidden="1" customHeight="1">
      <c r="A209" s="12"/>
      <c r="B209" s="12"/>
      <c r="C209" s="12"/>
      <c r="D209" s="5"/>
      <c r="E209" s="731" t="s">
        <v>1045</v>
      </c>
      <c r="F209" s="5" t="s">
        <v>1046</v>
      </c>
      <c r="G209" s="5" t="s">
        <v>809</v>
      </c>
      <c r="H209" s="718" t="s">
        <v>1047</v>
      </c>
      <c r="I209" s="13" t="s">
        <v>1048</v>
      </c>
      <c r="J209" s="13">
        <v>1</v>
      </c>
      <c r="K209" s="13">
        <v>0</v>
      </c>
      <c r="L209" s="13">
        <v>1000</v>
      </c>
      <c r="M209" s="13" t="s">
        <v>1036</v>
      </c>
      <c r="N209" s="13"/>
      <c r="O209" s="13"/>
      <c r="P209" s="13"/>
      <c r="Q209" s="13"/>
      <c r="R209" s="13"/>
      <c r="S209" s="13"/>
      <c r="T209" s="13"/>
      <c r="U209" s="13"/>
      <c r="V209" s="13"/>
      <c r="W209" s="13"/>
      <c r="X209" s="13"/>
      <c r="Y209" s="13"/>
      <c r="Z209" s="12"/>
      <c r="AA209" s="12"/>
      <c r="AB209" s="12"/>
      <c r="AC209" s="12"/>
      <c r="AD209" s="12"/>
      <c r="AE209" s="12"/>
      <c r="AF209" s="12"/>
      <c r="AG209" s="12"/>
      <c r="AH209" s="728"/>
      <c r="AI209" s="728"/>
      <c r="AJ209" s="728"/>
      <c r="AK209" s="728"/>
      <c r="AL209" s="13"/>
      <c r="AM209" s="8" t="s">
        <v>987</v>
      </c>
      <c r="AN209" s="744">
        <v>2</v>
      </c>
    </row>
    <row r="210" spans="1:40" s="2" customFormat="1" ht="100.5" hidden="1" customHeight="1">
      <c r="A210" s="12"/>
      <c r="B210" s="12"/>
      <c r="C210" s="12"/>
      <c r="D210" s="5"/>
      <c r="E210" s="731" t="s">
        <v>1049</v>
      </c>
      <c r="F210" s="5" t="s">
        <v>1050</v>
      </c>
      <c r="G210" s="5" t="s">
        <v>809</v>
      </c>
      <c r="H210" s="718" t="s">
        <v>1051</v>
      </c>
      <c r="I210" s="13" t="s">
        <v>1052</v>
      </c>
      <c r="J210" s="13">
        <v>1</v>
      </c>
      <c r="K210" s="13">
        <v>0</v>
      </c>
      <c r="L210" s="13">
        <v>1000</v>
      </c>
      <c r="M210" s="13" t="s">
        <v>1036</v>
      </c>
      <c r="N210" s="13"/>
      <c r="O210" s="13"/>
      <c r="P210" s="13"/>
      <c r="Q210" s="13"/>
      <c r="R210" s="13"/>
      <c r="S210" s="13"/>
      <c r="T210" s="13"/>
      <c r="U210" s="13"/>
      <c r="V210" s="13"/>
      <c r="W210" s="13"/>
      <c r="X210" s="13"/>
      <c r="Y210" s="13"/>
      <c r="Z210" s="12"/>
      <c r="AA210" s="12"/>
      <c r="AB210" s="12"/>
      <c r="AC210" s="12"/>
      <c r="AD210" s="12"/>
      <c r="AE210" s="12"/>
      <c r="AF210" s="12"/>
      <c r="AG210" s="12"/>
      <c r="AH210" s="728"/>
      <c r="AI210" s="728"/>
      <c r="AJ210" s="728"/>
      <c r="AK210" s="728"/>
      <c r="AL210" s="13"/>
      <c r="AM210" s="8" t="s">
        <v>987</v>
      </c>
      <c r="AN210" s="744">
        <v>2</v>
      </c>
    </row>
    <row r="211" spans="1:40" s="2" customFormat="1" ht="100.5" hidden="1" customHeight="1">
      <c r="A211" s="12"/>
      <c r="B211" s="12"/>
      <c r="C211" s="12"/>
      <c r="D211" s="5"/>
      <c r="E211" s="731" t="s">
        <v>1053</v>
      </c>
      <c r="F211" s="5" t="s">
        <v>1054</v>
      </c>
      <c r="G211" s="5" t="s">
        <v>809</v>
      </c>
      <c r="H211" s="718" t="s">
        <v>1055</v>
      </c>
      <c r="I211" s="13" t="s">
        <v>1056</v>
      </c>
      <c r="J211" s="13">
        <v>1</v>
      </c>
      <c r="K211" s="13">
        <v>0</v>
      </c>
      <c r="L211" s="13">
        <v>1000</v>
      </c>
      <c r="M211" s="13" t="s">
        <v>1036</v>
      </c>
      <c r="N211" s="13"/>
      <c r="O211" s="13"/>
      <c r="P211" s="13"/>
      <c r="Q211" s="13"/>
      <c r="R211" s="13"/>
      <c r="S211" s="13"/>
      <c r="T211" s="13"/>
      <c r="U211" s="13"/>
      <c r="V211" s="13"/>
      <c r="W211" s="13"/>
      <c r="X211" s="13"/>
      <c r="Y211" s="13"/>
      <c r="Z211" s="12"/>
      <c r="AA211" s="12"/>
      <c r="AB211" s="12"/>
      <c r="AC211" s="12"/>
      <c r="AD211" s="12"/>
      <c r="AE211" s="12"/>
      <c r="AF211" s="12"/>
      <c r="AG211" s="12"/>
      <c r="AH211" s="728"/>
      <c r="AI211" s="728"/>
      <c r="AJ211" s="728"/>
      <c r="AK211" s="728"/>
      <c r="AL211" s="13"/>
      <c r="AM211" s="8" t="s">
        <v>987</v>
      </c>
      <c r="AN211" s="744">
        <v>2</v>
      </c>
    </row>
    <row r="212" spans="1:40" s="2" customFormat="1" ht="100.5" hidden="1" customHeight="1">
      <c r="A212" s="12"/>
      <c r="B212" s="12"/>
      <c r="C212" s="12"/>
      <c r="D212" s="5"/>
      <c r="E212" s="731" t="s">
        <v>1057</v>
      </c>
      <c r="F212" s="5" t="s">
        <v>1058</v>
      </c>
      <c r="G212" s="5" t="s">
        <v>809</v>
      </c>
      <c r="H212" s="718" t="s">
        <v>1059</v>
      </c>
      <c r="I212" s="13" t="s">
        <v>1060</v>
      </c>
      <c r="J212" s="13">
        <v>1</v>
      </c>
      <c r="K212" s="13">
        <v>0</v>
      </c>
      <c r="L212" s="13">
        <v>1000</v>
      </c>
      <c r="M212" s="13" t="s">
        <v>1036</v>
      </c>
      <c r="N212" s="13"/>
      <c r="O212" s="13"/>
      <c r="P212" s="13"/>
      <c r="Q212" s="13"/>
      <c r="R212" s="13"/>
      <c r="S212" s="13"/>
      <c r="T212" s="13"/>
      <c r="U212" s="13"/>
      <c r="V212" s="13"/>
      <c r="W212" s="13"/>
      <c r="X212" s="13"/>
      <c r="Y212" s="13"/>
      <c r="Z212" s="12"/>
      <c r="AA212" s="12"/>
      <c r="AB212" s="12"/>
      <c r="AC212" s="12"/>
      <c r="AD212" s="12"/>
      <c r="AE212" s="12"/>
      <c r="AF212" s="12"/>
      <c r="AG212" s="12"/>
      <c r="AH212" s="728"/>
      <c r="AI212" s="728"/>
      <c r="AJ212" s="728"/>
      <c r="AK212" s="728"/>
      <c r="AL212" s="13"/>
      <c r="AM212" s="8" t="s">
        <v>987</v>
      </c>
      <c r="AN212" s="744">
        <v>2</v>
      </c>
    </row>
    <row r="213" spans="1:40" s="2" customFormat="1" ht="100.5" hidden="1" customHeight="1">
      <c r="A213" s="12"/>
      <c r="B213" s="12"/>
      <c r="C213" s="12"/>
      <c r="D213" s="5"/>
      <c r="E213" s="731" t="s">
        <v>1061</v>
      </c>
      <c r="F213" s="5" t="s">
        <v>1062</v>
      </c>
      <c r="G213" s="5" t="s">
        <v>809</v>
      </c>
      <c r="H213" s="718" t="s">
        <v>1063</v>
      </c>
      <c r="I213" s="13" t="s">
        <v>1064</v>
      </c>
      <c r="J213" s="13">
        <v>1</v>
      </c>
      <c r="K213" s="13">
        <v>0</v>
      </c>
      <c r="L213" s="13">
        <v>1000</v>
      </c>
      <c r="M213" s="13" t="s">
        <v>1036</v>
      </c>
      <c r="N213" s="13"/>
      <c r="O213" s="13"/>
      <c r="P213" s="13"/>
      <c r="Q213" s="13"/>
      <c r="R213" s="13"/>
      <c r="S213" s="13"/>
      <c r="T213" s="13"/>
      <c r="U213" s="13"/>
      <c r="V213" s="13"/>
      <c r="W213" s="13"/>
      <c r="X213" s="13"/>
      <c r="Y213" s="13"/>
      <c r="Z213" s="12"/>
      <c r="AA213" s="12"/>
      <c r="AB213" s="12"/>
      <c r="AC213" s="12"/>
      <c r="AD213" s="12"/>
      <c r="AE213" s="12"/>
      <c r="AF213" s="12"/>
      <c r="AG213" s="12"/>
      <c r="AH213" s="728"/>
      <c r="AI213" s="728"/>
      <c r="AJ213" s="728"/>
      <c r="AK213" s="728"/>
      <c r="AL213" s="13"/>
      <c r="AM213" s="8" t="s">
        <v>987</v>
      </c>
      <c r="AN213" s="744">
        <v>2</v>
      </c>
    </row>
    <row r="214" spans="1:40" s="2" customFormat="1" ht="100.5" hidden="1" customHeight="1">
      <c r="A214" s="12"/>
      <c r="B214" s="12"/>
      <c r="C214" s="12"/>
      <c r="D214" s="5"/>
      <c r="E214" s="731" t="s">
        <v>1065</v>
      </c>
      <c r="F214" s="5" t="s">
        <v>1066</v>
      </c>
      <c r="G214" s="5" t="s">
        <v>809</v>
      </c>
      <c r="H214" s="718" t="s">
        <v>1067</v>
      </c>
      <c r="I214" s="13" t="s">
        <v>1068</v>
      </c>
      <c r="J214" s="13">
        <v>1</v>
      </c>
      <c r="K214" s="13">
        <v>0</v>
      </c>
      <c r="L214" s="13">
        <v>1000</v>
      </c>
      <c r="M214" s="13" t="s">
        <v>1036</v>
      </c>
      <c r="N214" s="13"/>
      <c r="O214" s="13"/>
      <c r="P214" s="13"/>
      <c r="Q214" s="13"/>
      <c r="R214" s="13"/>
      <c r="S214" s="13"/>
      <c r="T214" s="13"/>
      <c r="U214" s="13"/>
      <c r="V214" s="13"/>
      <c r="W214" s="13"/>
      <c r="X214" s="13"/>
      <c r="Y214" s="13"/>
      <c r="Z214" s="12"/>
      <c r="AA214" s="12"/>
      <c r="AB214" s="12"/>
      <c r="AC214" s="12"/>
      <c r="AD214" s="12"/>
      <c r="AE214" s="12"/>
      <c r="AF214" s="12"/>
      <c r="AG214" s="12"/>
      <c r="AH214" s="728"/>
      <c r="AI214" s="728"/>
      <c r="AJ214" s="728"/>
      <c r="AK214" s="728"/>
      <c r="AL214" s="13"/>
      <c r="AM214" s="8" t="s">
        <v>987</v>
      </c>
      <c r="AN214" s="744">
        <v>2</v>
      </c>
    </row>
    <row r="215" spans="1:40" s="2" customFormat="1" ht="100.5" hidden="1" customHeight="1">
      <c r="A215" s="12"/>
      <c r="B215" s="12"/>
      <c r="C215" s="12"/>
      <c r="D215" s="5"/>
      <c r="E215" s="731" t="s">
        <v>1069</v>
      </c>
      <c r="F215" s="5" t="s">
        <v>1070</v>
      </c>
      <c r="G215" s="5" t="s">
        <v>809</v>
      </c>
      <c r="H215" s="718" t="s">
        <v>1071</v>
      </c>
      <c r="I215" s="13" t="s">
        <v>1072</v>
      </c>
      <c r="J215" s="13">
        <v>1</v>
      </c>
      <c r="K215" s="13">
        <v>0</v>
      </c>
      <c r="L215" s="13">
        <v>1000</v>
      </c>
      <c r="M215" s="13" t="s">
        <v>1036</v>
      </c>
      <c r="N215" s="13"/>
      <c r="O215" s="13"/>
      <c r="P215" s="13"/>
      <c r="Q215" s="13"/>
      <c r="R215" s="13"/>
      <c r="S215" s="13"/>
      <c r="T215" s="13"/>
      <c r="U215" s="13"/>
      <c r="V215" s="13"/>
      <c r="W215" s="13"/>
      <c r="X215" s="13"/>
      <c r="Y215" s="13"/>
      <c r="Z215" s="12"/>
      <c r="AA215" s="12"/>
      <c r="AB215" s="12"/>
      <c r="AC215" s="12"/>
      <c r="AD215" s="12"/>
      <c r="AE215" s="12"/>
      <c r="AF215" s="12"/>
      <c r="AG215" s="12"/>
      <c r="AH215" s="728"/>
      <c r="AI215" s="728"/>
      <c r="AJ215" s="728"/>
      <c r="AK215" s="728"/>
      <c r="AL215" s="13"/>
      <c r="AM215" s="8" t="s">
        <v>987</v>
      </c>
      <c r="AN215" s="744">
        <v>2</v>
      </c>
    </row>
    <row r="216" spans="1:40" s="2" customFormat="1" ht="100.5" hidden="1" customHeight="1">
      <c r="A216" s="12"/>
      <c r="B216" s="12"/>
      <c r="C216" s="12"/>
      <c r="D216" s="5"/>
      <c r="E216" s="731" t="s">
        <v>1073</v>
      </c>
      <c r="F216" s="5" t="s">
        <v>1074</v>
      </c>
      <c r="G216" s="5" t="s">
        <v>809</v>
      </c>
      <c r="H216" s="718" t="s">
        <v>1075</v>
      </c>
      <c r="I216" s="13" t="s">
        <v>1076</v>
      </c>
      <c r="J216" s="13">
        <v>1</v>
      </c>
      <c r="K216" s="13">
        <v>0</v>
      </c>
      <c r="L216" s="13">
        <v>1000</v>
      </c>
      <c r="M216" s="13" t="s">
        <v>1036</v>
      </c>
      <c r="N216" s="13"/>
      <c r="O216" s="13"/>
      <c r="P216" s="13"/>
      <c r="Q216" s="13"/>
      <c r="R216" s="13"/>
      <c r="S216" s="13"/>
      <c r="T216" s="13"/>
      <c r="U216" s="13"/>
      <c r="V216" s="13"/>
      <c r="W216" s="13"/>
      <c r="X216" s="13"/>
      <c r="Y216" s="13"/>
      <c r="Z216" s="12"/>
      <c r="AA216" s="12"/>
      <c r="AB216" s="12"/>
      <c r="AC216" s="12"/>
      <c r="AD216" s="12"/>
      <c r="AE216" s="12"/>
      <c r="AF216" s="12"/>
      <c r="AG216" s="12"/>
      <c r="AH216" s="728"/>
      <c r="AI216" s="728"/>
      <c r="AJ216" s="728"/>
      <c r="AK216" s="728"/>
      <c r="AL216" s="13"/>
      <c r="AM216" s="8" t="s">
        <v>987</v>
      </c>
      <c r="AN216" s="744">
        <v>2</v>
      </c>
    </row>
    <row r="217" spans="1:40" s="2" customFormat="1" ht="100.5" hidden="1" customHeight="1">
      <c r="A217" s="12"/>
      <c r="B217" s="12"/>
      <c r="C217" s="12"/>
      <c r="D217" s="5"/>
      <c r="E217" s="731" t="s">
        <v>1077</v>
      </c>
      <c r="F217" s="5" t="s">
        <v>1078</v>
      </c>
      <c r="G217" s="5" t="s">
        <v>809</v>
      </c>
      <c r="H217" s="718" t="s">
        <v>1079</v>
      </c>
      <c r="I217" s="13" t="s">
        <v>1080</v>
      </c>
      <c r="J217" s="13">
        <v>1</v>
      </c>
      <c r="K217" s="13">
        <v>0</v>
      </c>
      <c r="L217" s="13">
        <v>1000</v>
      </c>
      <c r="M217" s="13" t="s">
        <v>1036</v>
      </c>
      <c r="N217" s="13"/>
      <c r="O217" s="13"/>
      <c r="P217" s="13"/>
      <c r="Q217" s="13"/>
      <c r="R217" s="13"/>
      <c r="S217" s="13"/>
      <c r="T217" s="13"/>
      <c r="U217" s="13"/>
      <c r="V217" s="13"/>
      <c r="W217" s="13"/>
      <c r="X217" s="13"/>
      <c r="Y217" s="13"/>
      <c r="Z217" s="12"/>
      <c r="AA217" s="12"/>
      <c r="AB217" s="12"/>
      <c r="AC217" s="12"/>
      <c r="AD217" s="12"/>
      <c r="AE217" s="12"/>
      <c r="AF217" s="12"/>
      <c r="AG217" s="12"/>
      <c r="AH217" s="728"/>
      <c r="AI217" s="728"/>
      <c r="AJ217" s="728"/>
      <c r="AK217" s="728"/>
      <c r="AL217" s="13"/>
      <c r="AM217" s="8" t="s">
        <v>987</v>
      </c>
      <c r="AN217" s="744">
        <v>2</v>
      </c>
    </row>
    <row r="218" spans="1:40" s="2" customFormat="1" ht="100.5" hidden="1" customHeight="1">
      <c r="A218" s="12"/>
      <c r="B218" s="12"/>
      <c r="C218" s="12"/>
      <c r="D218" s="5"/>
      <c r="E218" s="731" t="s">
        <v>1081</v>
      </c>
      <c r="F218" s="5" t="s">
        <v>1082</v>
      </c>
      <c r="G218" s="5" t="s">
        <v>809</v>
      </c>
      <c r="H218" s="718" t="s">
        <v>1083</v>
      </c>
      <c r="I218" s="13" t="s">
        <v>1084</v>
      </c>
      <c r="J218" s="13">
        <v>1</v>
      </c>
      <c r="K218" s="13">
        <v>0</v>
      </c>
      <c r="L218" s="13">
        <v>100</v>
      </c>
      <c r="M218" s="13" t="s">
        <v>1036</v>
      </c>
      <c r="N218" s="13"/>
      <c r="O218" s="13"/>
      <c r="P218" s="13"/>
      <c r="Q218" s="13"/>
      <c r="R218" s="13"/>
      <c r="S218" s="13"/>
      <c r="T218" s="13"/>
      <c r="U218" s="13"/>
      <c r="V218" s="13"/>
      <c r="W218" s="13"/>
      <c r="X218" s="13"/>
      <c r="Y218" s="13"/>
      <c r="Z218" s="12"/>
      <c r="AA218" s="12"/>
      <c r="AB218" s="12"/>
      <c r="AC218" s="12"/>
      <c r="AD218" s="12"/>
      <c r="AE218" s="12"/>
      <c r="AF218" s="12"/>
      <c r="AG218" s="12"/>
      <c r="AH218" s="728"/>
      <c r="AI218" s="728"/>
      <c r="AJ218" s="728"/>
      <c r="AK218" s="728"/>
      <c r="AL218" s="13"/>
      <c r="AM218" s="8" t="s">
        <v>987</v>
      </c>
      <c r="AN218" s="744">
        <v>2</v>
      </c>
    </row>
    <row r="219" spans="1:40" s="2" customFormat="1" ht="100.5" hidden="1" customHeight="1">
      <c r="A219" s="12"/>
      <c r="B219" s="12"/>
      <c r="C219" s="12"/>
      <c r="D219" s="5"/>
      <c r="E219" s="731" t="s">
        <v>1085</v>
      </c>
      <c r="F219" s="5" t="s">
        <v>1086</v>
      </c>
      <c r="G219" s="5" t="s">
        <v>809</v>
      </c>
      <c r="H219" s="718" t="s">
        <v>1087</v>
      </c>
      <c r="I219" s="13" t="s">
        <v>1088</v>
      </c>
      <c r="J219" s="13">
        <v>1</v>
      </c>
      <c r="K219" s="13">
        <v>0</v>
      </c>
      <c r="L219" s="13">
        <v>100</v>
      </c>
      <c r="M219" s="13" t="s">
        <v>1036</v>
      </c>
      <c r="N219" s="13"/>
      <c r="O219" s="13"/>
      <c r="P219" s="13"/>
      <c r="Q219" s="13"/>
      <c r="R219" s="13"/>
      <c r="S219" s="13"/>
      <c r="T219" s="13"/>
      <c r="U219" s="13"/>
      <c r="V219" s="13"/>
      <c r="W219" s="13"/>
      <c r="X219" s="13"/>
      <c r="Y219" s="13"/>
      <c r="Z219" s="12"/>
      <c r="AA219" s="12"/>
      <c r="AB219" s="12"/>
      <c r="AC219" s="12"/>
      <c r="AD219" s="12"/>
      <c r="AE219" s="12"/>
      <c r="AF219" s="12"/>
      <c r="AG219" s="12"/>
      <c r="AH219" s="728"/>
      <c r="AI219" s="728"/>
      <c r="AJ219" s="728"/>
      <c r="AK219" s="728"/>
      <c r="AL219" s="13"/>
      <c r="AM219" s="8" t="s">
        <v>987</v>
      </c>
      <c r="AN219" s="744">
        <v>2</v>
      </c>
    </row>
    <row r="220" spans="1:40" s="2" customFormat="1" ht="100.5" hidden="1" customHeight="1">
      <c r="A220" s="12"/>
      <c r="B220" s="12"/>
      <c r="C220" s="12"/>
      <c r="D220" s="5"/>
      <c r="E220" s="731" t="s">
        <v>1089</v>
      </c>
      <c r="F220" s="5" t="s">
        <v>1090</v>
      </c>
      <c r="G220" s="5" t="s">
        <v>809</v>
      </c>
      <c r="H220" s="718" t="s">
        <v>1091</v>
      </c>
      <c r="I220" s="13" t="s">
        <v>1092</v>
      </c>
      <c r="J220" s="13">
        <v>1</v>
      </c>
      <c r="K220" s="13">
        <v>0</v>
      </c>
      <c r="L220" s="13">
        <v>100</v>
      </c>
      <c r="M220" s="13" t="s">
        <v>1036</v>
      </c>
      <c r="N220" s="13"/>
      <c r="O220" s="13"/>
      <c r="P220" s="13"/>
      <c r="Q220" s="13"/>
      <c r="R220" s="13"/>
      <c r="S220" s="13"/>
      <c r="T220" s="13"/>
      <c r="U220" s="13"/>
      <c r="V220" s="13"/>
      <c r="W220" s="13"/>
      <c r="X220" s="13"/>
      <c r="Y220" s="13"/>
      <c r="Z220" s="12"/>
      <c r="AA220" s="12"/>
      <c r="AB220" s="12"/>
      <c r="AC220" s="12"/>
      <c r="AD220" s="12"/>
      <c r="AE220" s="12"/>
      <c r="AF220" s="12"/>
      <c r="AG220" s="12"/>
      <c r="AH220" s="728"/>
      <c r="AI220" s="728"/>
      <c r="AJ220" s="728"/>
      <c r="AK220" s="728"/>
      <c r="AL220" s="13"/>
      <c r="AM220" s="8" t="s">
        <v>987</v>
      </c>
      <c r="AN220" s="744">
        <v>2</v>
      </c>
    </row>
    <row r="221" spans="1:40" s="2" customFormat="1" ht="100.5" hidden="1" customHeight="1">
      <c r="A221" s="12"/>
      <c r="B221" s="12"/>
      <c r="C221" s="12"/>
      <c r="D221" s="5"/>
      <c r="E221" s="731" t="s">
        <v>1093</v>
      </c>
      <c r="F221" s="5" t="s">
        <v>1094</v>
      </c>
      <c r="G221" s="5" t="s">
        <v>809</v>
      </c>
      <c r="H221" s="718" t="s">
        <v>1095</v>
      </c>
      <c r="I221" s="13" t="s">
        <v>1096</v>
      </c>
      <c r="J221" s="13">
        <v>1</v>
      </c>
      <c r="K221" s="13">
        <v>0</v>
      </c>
      <c r="L221" s="13">
        <v>100</v>
      </c>
      <c r="M221" s="13" t="s">
        <v>1036</v>
      </c>
      <c r="N221" s="13"/>
      <c r="O221" s="13"/>
      <c r="P221" s="13"/>
      <c r="Q221" s="13"/>
      <c r="R221" s="13"/>
      <c r="S221" s="13"/>
      <c r="T221" s="13"/>
      <c r="U221" s="13"/>
      <c r="V221" s="13"/>
      <c r="W221" s="13"/>
      <c r="X221" s="13"/>
      <c r="Y221" s="13"/>
      <c r="Z221" s="12"/>
      <c r="AA221" s="12"/>
      <c r="AB221" s="12"/>
      <c r="AC221" s="12"/>
      <c r="AD221" s="12"/>
      <c r="AE221" s="12"/>
      <c r="AF221" s="12"/>
      <c r="AG221" s="12"/>
      <c r="AH221" s="728"/>
      <c r="AI221" s="728"/>
      <c r="AJ221" s="728"/>
      <c r="AK221" s="728"/>
      <c r="AL221" s="13"/>
      <c r="AM221" s="8" t="s">
        <v>987</v>
      </c>
      <c r="AN221" s="744">
        <v>2</v>
      </c>
    </row>
    <row r="222" spans="1:40" s="2" customFormat="1" ht="100.5" hidden="1" customHeight="1">
      <c r="A222" s="12"/>
      <c r="B222" s="12"/>
      <c r="C222" s="12"/>
      <c r="D222" s="5"/>
      <c r="E222" s="731" t="s">
        <v>1097</v>
      </c>
      <c r="F222" s="5" t="s">
        <v>1098</v>
      </c>
      <c r="G222" s="5" t="s">
        <v>809</v>
      </c>
      <c r="H222" s="718" t="s">
        <v>1099</v>
      </c>
      <c r="I222" s="13" t="s">
        <v>1100</v>
      </c>
      <c r="J222" s="13">
        <v>1</v>
      </c>
      <c r="K222" s="13">
        <v>0</v>
      </c>
      <c r="L222" s="13">
        <v>100</v>
      </c>
      <c r="M222" s="13" t="s">
        <v>1036</v>
      </c>
      <c r="N222" s="13"/>
      <c r="O222" s="13"/>
      <c r="P222" s="13"/>
      <c r="Q222" s="13"/>
      <c r="R222" s="13"/>
      <c r="S222" s="13"/>
      <c r="T222" s="13"/>
      <c r="U222" s="13"/>
      <c r="V222" s="13"/>
      <c r="W222" s="13"/>
      <c r="X222" s="13"/>
      <c r="Y222" s="13"/>
      <c r="Z222" s="12"/>
      <c r="AA222" s="12"/>
      <c r="AB222" s="12"/>
      <c r="AC222" s="12"/>
      <c r="AD222" s="12"/>
      <c r="AE222" s="12"/>
      <c r="AF222" s="12"/>
      <c r="AG222" s="12"/>
      <c r="AH222" s="728"/>
      <c r="AI222" s="728"/>
      <c r="AJ222" s="728"/>
      <c r="AK222" s="728"/>
      <c r="AL222" s="13"/>
      <c r="AM222" s="8" t="s">
        <v>987</v>
      </c>
      <c r="AN222" s="744">
        <v>2</v>
      </c>
    </row>
    <row r="223" spans="1:40" s="2" customFormat="1" ht="100.5" hidden="1" customHeight="1">
      <c r="A223" s="12"/>
      <c r="B223" s="12"/>
      <c r="C223" s="12"/>
      <c r="D223" s="5"/>
      <c r="E223" s="731" t="s">
        <v>1101</v>
      </c>
      <c r="F223" s="5" t="s">
        <v>1102</v>
      </c>
      <c r="G223" s="5" t="s">
        <v>809</v>
      </c>
      <c r="H223" s="718" t="s">
        <v>1103</v>
      </c>
      <c r="I223" s="13" t="s">
        <v>1104</v>
      </c>
      <c r="J223" s="13">
        <v>1</v>
      </c>
      <c r="K223" s="13">
        <v>0</v>
      </c>
      <c r="L223" s="13">
        <v>100</v>
      </c>
      <c r="M223" s="13" t="s">
        <v>1036</v>
      </c>
      <c r="N223" s="13"/>
      <c r="O223" s="13"/>
      <c r="P223" s="13"/>
      <c r="Q223" s="13"/>
      <c r="R223" s="13"/>
      <c r="S223" s="13"/>
      <c r="T223" s="13"/>
      <c r="U223" s="13"/>
      <c r="V223" s="13"/>
      <c r="W223" s="13"/>
      <c r="X223" s="13"/>
      <c r="Y223" s="13"/>
      <c r="Z223" s="12"/>
      <c r="AA223" s="12"/>
      <c r="AB223" s="12"/>
      <c r="AC223" s="12"/>
      <c r="AD223" s="12"/>
      <c r="AE223" s="12"/>
      <c r="AF223" s="12"/>
      <c r="AG223" s="12"/>
      <c r="AH223" s="728"/>
      <c r="AI223" s="728"/>
      <c r="AJ223" s="728"/>
      <c r="AK223" s="728"/>
      <c r="AL223" s="13"/>
      <c r="AM223" s="8" t="s">
        <v>987</v>
      </c>
      <c r="AN223" s="744">
        <v>2</v>
      </c>
    </row>
    <row r="224" spans="1:40" s="2" customFormat="1" ht="100.5" hidden="1" customHeight="1">
      <c r="A224" s="12"/>
      <c r="B224" s="12"/>
      <c r="C224" s="12"/>
      <c r="D224" s="5"/>
      <c r="E224" s="731" t="s">
        <v>1105</v>
      </c>
      <c r="F224" s="5" t="s">
        <v>1106</v>
      </c>
      <c r="G224" s="5" t="s">
        <v>809</v>
      </c>
      <c r="H224" s="718" t="s">
        <v>1107</v>
      </c>
      <c r="I224" s="13" t="s">
        <v>1108</v>
      </c>
      <c r="J224" s="13">
        <v>1</v>
      </c>
      <c r="K224" s="13">
        <v>0</v>
      </c>
      <c r="L224" s="13">
        <v>100</v>
      </c>
      <c r="M224" s="13" t="s">
        <v>1036</v>
      </c>
      <c r="N224" s="13"/>
      <c r="O224" s="13"/>
      <c r="P224" s="13"/>
      <c r="Q224" s="13"/>
      <c r="R224" s="13"/>
      <c r="S224" s="13"/>
      <c r="T224" s="13"/>
      <c r="U224" s="13"/>
      <c r="V224" s="13"/>
      <c r="W224" s="13"/>
      <c r="X224" s="13"/>
      <c r="Y224" s="13"/>
      <c r="Z224" s="12"/>
      <c r="AA224" s="12"/>
      <c r="AB224" s="12"/>
      <c r="AC224" s="12"/>
      <c r="AD224" s="12"/>
      <c r="AE224" s="12"/>
      <c r="AF224" s="12"/>
      <c r="AG224" s="12"/>
      <c r="AH224" s="728"/>
      <c r="AI224" s="728"/>
      <c r="AJ224" s="728"/>
      <c r="AK224" s="728"/>
      <c r="AL224" s="13"/>
      <c r="AM224" s="8" t="s">
        <v>987</v>
      </c>
      <c r="AN224" s="744">
        <v>2</v>
      </c>
    </row>
    <row r="225" spans="1:40" s="2" customFormat="1" ht="100.5" hidden="1" customHeight="1">
      <c r="A225" s="12"/>
      <c r="B225" s="12"/>
      <c r="C225" s="12"/>
      <c r="D225" s="5"/>
      <c r="E225" s="731" t="s">
        <v>1109</v>
      </c>
      <c r="F225" s="5" t="s">
        <v>1110</v>
      </c>
      <c r="G225" s="5" t="s">
        <v>809</v>
      </c>
      <c r="H225" s="718" t="s">
        <v>1111</v>
      </c>
      <c r="I225" s="13" t="s">
        <v>1112</v>
      </c>
      <c r="J225" s="13">
        <v>1</v>
      </c>
      <c r="K225" s="13">
        <v>0</v>
      </c>
      <c r="L225" s="13">
        <v>100</v>
      </c>
      <c r="M225" s="13" t="s">
        <v>1036</v>
      </c>
      <c r="N225" s="13"/>
      <c r="O225" s="13"/>
      <c r="P225" s="13"/>
      <c r="Q225" s="13"/>
      <c r="R225" s="13"/>
      <c r="S225" s="13"/>
      <c r="T225" s="13"/>
      <c r="U225" s="13"/>
      <c r="V225" s="13"/>
      <c r="W225" s="13"/>
      <c r="X225" s="13"/>
      <c r="Y225" s="13"/>
      <c r="Z225" s="12"/>
      <c r="AA225" s="12"/>
      <c r="AB225" s="12"/>
      <c r="AC225" s="12"/>
      <c r="AD225" s="12"/>
      <c r="AE225" s="12"/>
      <c r="AF225" s="12"/>
      <c r="AG225" s="12"/>
      <c r="AH225" s="728"/>
      <c r="AI225" s="728"/>
      <c r="AJ225" s="728"/>
      <c r="AK225" s="728"/>
      <c r="AL225" s="13"/>
      <c r="AM225" s="8" t="s">
        <v>987</v>
      </c>
      <c r="AN225" s="744">
        <v>2</v>
      </c>
    </row>
    <row r="226" spans="1:40" s="2" customFormat="1" ht="100.5" hidden="1" customHeight="1">
      <c r="A226" s="12"/>
      <c r="B226" s="12"/>
      <c r="C226" s="12"/>
      <c r="D226" s="5"/>
      <c r="E226" s="731" t="s">
        <v>1113</v>
      </c>
      <c r="F226" s="5" t="s">
        <v>1114</v>
      </c>
      <c r="G226" s="5" t="s">
        <v>809</v>
      </c>
      <c r="H226" s="718" t="s">
        <v>1115</v>
      </c>
      <c r="I226" s="13" t="s">
        <v>1116</v>
      </c>
      <c r="J226" s="13">
        <v>1</v>
      </c>
      <c r="K226" s="13">
        <v>0</v>
      </c>
      <c r="L226" s="13">
        <v>100</v>
      </c>
      <c r="M226" s="13" t="s">
        <v>1036</v>
      </c>
      <c r="N226" s="13"/>
      <c r="O226" s="13"/>
      <c r="P226" s="13"/>
      <c r="Q226" s="13"/>
      <c r="R226" s="13"/>
      <c r="S226" s="13"/>
      <c r="T226" s="13"/>
      <c r="U226" s="13"/>
      <c r="V226" s="13"/>
      <c r="W226" s="13"/>
      <c r="X226" s="13"/>
      <c r="Y226" s="13"/>
      <c r="Z226" s="12"/>
      <c r="AA226" s="12"/>
      <c r="AB226" s="12"/>
      <c r="AC226" s="12"/>
      <c r="AD226" s="12"/>
      <c r="AE226" s="12"/>
      <c r="AF226" s="12"/>
      <c r="AG226" s="12"/>
      <c r="AH226" s="728"/>
      <c r="AI226" s="728"/>
      <c r="AJ226" s="728"/>
      <c r="AK226" s="728"/>
      <c r="AL226" s="13"/>
      <c r="AM226" s="8" t="s">
        <v>987</v>
      </c>
      <c r="AN226" s="744">
        <v>2</v>
      </c>
    </row>
    <row r="227" spans="1:40" s="2" customFormat="1" ht="100.5" hidden="1" customHeight="1">
      <c r="A227" s="12"/>
      <c r="B227" s="12"/>
      <c r="C227" s="12"/>
      <c r="D227" s="5"/>
      <c r="E227" s="731" t="s">
        <v>1117</v>
      </c>
      <c r="F227" s="5" t="s">
        <v>1118</v>
      </c>
      <c r="G227" s="5" t="s">
        <v>809</v>
      </c>
      <c r="H227" s="718" t="s">
        <v>1119</v>
      </c>
      <c r="I227" s="13" t="s">
        <v>1120</v>
      </c>
      <c r="J227" s="13">
        <v>1</v>
      </c>
      <c r="K227" s="13">
        <v>0</v>
      </c>
      <c r="L227" s="13">
        <v>100</v>
      </c>
      <c r="M227" s="13" t="s">
        <v>1036</v>
      </c>
      <c r="N227" s="13"/>
      <c r="O227" s="13"/>
      <c r="P227" s="13"/>
      <c r="Q227" s="13"/>
      <c r="R227" s="13"/>
      <c r="S227" s="13"/>
      <c r="T227" s="13"/>
      <c r="U227" s="13"/>
      <c r="V227" s="13"/>
      <c r="W227" s="13"/>
      <c r="X227" s="13"/>
      <c r="Y227" s="13"/>
      <c r="Z227" s="12"/>
      <c r="AA227" s="12"/>
      <c r="AB227" s="12"/>
      <c r="AC227" s="12"/>
      <c r="AD227" s="12"/>
      <c r="AE227" s="12"/>
      <c r="AF227" s="12"/>
      <c r="AG227" s="12"/>
      <c r="AH227" s="728"/>
      <c r="AI227" s="728"/>
      <c r="AJ227" s="728"/>
      <c r="AK227" s="728"/>
      <c r="AL227" s="13"/>
      <c r="AM227" s="8" t="s">
        <v>987</v>
      </c>
      <c r="AN227" s="744">
        <v>2</v>
      </c>
    </row>
    <row r="228" spans="1:40" s="2" customFormat="1" ht="100.5" hidden="1" customHeight="1">
      <c r="A228" s="12"/>
      <c r="B228" s="12"/>
      <c r="C228" s="12"/>
      <c r="D228" s="5"/>
      <c r="E228" s="731" t="s">
        <v>1121</v>
      </c>
      <c r="F228" s="5" t="s">
        <v>1122</v>
      </c>
      <c r="G228" s="5" t="s">
        <v>809</v>
      </c>
      <c r="H228" s="718" t="s">
        <v>1123</v>
      </c>
      <c r="I228" s="13" t="s">
        <v>1124</v>
      </c>
      <c r="J228" s="13">
        <v>1</v>
      </c>
      <c r="K228" s="13">
        <v>0</v>
      </c>
      <c r="L228" s="13">
        <v>100</v>
      </c>
      <c r="M228" s="13" t="s">
        <v>1036</v>
      </c>
      <c r="N228" s="13"/>
      <c r="O228" s="13"/>
      <c r="P228" s="13"/>
      <c r="Q228" s="13"/>
      <c r="R228" s="13"/>
      <c r="S228" s="13"/>
      <c r="T228" s="13"/>
      <c r="U228" s="13"/>
      <c r="V228" s="13"/>
      <c r="W228" s="13"/>
      <c r="X228" s="13"/>
      <c r="Y228" s="13"/>
      <c r="Z228" s="12"/>
      <c r="AA228" s="12"/>
      <c r="AB228" s="12"/>
      <c r="AC228" s="12"/>
      <c r="AD228" s="12"/>
      <c r="AE228" s="12"/>
      <c r="AF228" s="12"/>
      <c r="AG228" s="12"/>
      <c r="AH228" s="728"/>
      <c r="AI228" s="728"/>
      <c r="AJ228" s="728"/>
      <c r="AK228" s="728"/>
      <c r="AL228" s="13"/>
      <c r="AM228" s="8" t="s">
        <v>987</v>
      </c>
      <c r="AN228" s="744">
        <v>2</v>
      </c>
    </row>
    <row r="229" spans="1:40" s="2" customFormat="1" ht="100.5" hidden="1" customHeight="1">
      <c r="A229" s="12"/>
      <c r="B229" s="12"/>
      <c r="C229" s="12"/>
      <c r="D229" s="5"/>
      <c r="E229" s="731" t="s">
        <v>1125</v>
      </c>
      <c r="F229" s="5" t="s">
        <v>1126</v>
      </c>
      <c r="G229" s="5" t="s">
        <v>809</v>
      </c>
      <c r="H229" s="718" t="s">
        <v>1127</v>
      </c>
      <c r="I229" s="13" t="s">
        <v>1128</v>
      </c>
      <c r="J229" s="13">
        <v>1</v>
      </c>
      <c r="K229" s="13">
        <v>0</v>
      </c>
      <c r="L229" s="13">
        <v>100</v>
      </c>
      <c r="M229" s="13" t="s">
        <v>1036</v>
      </c>
      <c r="N229" s="13"/>
      <c r="O229" s="13"/>
      <c r="P229" s="13"/>
      <c r="Q229" s="13"/>
      <c r="R229" s="13"/>
      <c r="S229" s="13"/>
      <c r="T229" s="13"/>
      <c r="U229" s="13"/>
      <c r="V229" s="13"/>
      <c r="W229" s="13"/>
      <c r="X229" s="13"/>
      <c r="Y229" s="13"/>
      <c r="Z229" s="12"/>
      <c r="AA229" s="12"/>
      <c r="AB229" s="12"/>
      <c r="AC229" s="12"/>
      <c r="AD229" s="12"/>
      <c r="AE229" s="12"/>
      <c r="AF229" s="12"/>
      <c r="AG229" s="12"/>
      <c r="AH229" s="728"/>
      <c r="AI229" s="728"/>
      <c r="AJ229" s="728"/>
      <c r="AK229" s="728"/>
      <c r="AL229" s="13"/>
      <c r="AM229" s="8" t="s">
        <v>987</v>
      </c>
      <c r="AN229" s="744">
        <v>2</v>
      </c>
    </row>
    <row r="230" spans="1:40" s="2" customFormat="1" ht="100.5" hidden="1" customHeight="1">
      <c r="A230" s="12"/>
      <c r="B230" s="12"/>
      <c r="C230" s="12"/>
      <c r="D230" s="5"/>
      <c r="E230" s="731" t="s">
        <v>1129</v>
      </c>
      <c r="F230" s="5" t="s">
        <v>1130</v>
      </c>
      <c r="G230" s="5" t="s">
        <v>809</v>
      </c>
      <c r="H230" s="718" t="s">
        <v>1131</v>
      </c>
      <c r="I230" s="13" t="s">
        <v>1132</v>
      </c>
      <c r="J230" s="13">
        <v>1</v>
      </c>
      <c r="K230" s="13">
        <v>0</v>
      </c>
      <c r="L230" s="13">
        <v>100</v>
      </c>
      <c r="M230" s="13" t="s">
        <v>41</v>
      </c>
      <c r="N230" s="13"/>
      <c r="O230" s="13"/>
      <c r="P230" s="13"/>
      <c r="Q230" s="13"/>
      <c r="R230" s="13"/>
      <c r="S230" s="13"/>
      <c r="T230" s="13"/>
      <c r="U230" s="13"/>
      <c r="V230" s="13"/>
      <c r="W230" s="13"/>
      <c r="X230" s="13"/>
      <c r="Y230" s="13"/>
      <c r="Z230" s="12"/>
      <c r="AA230" s="12"/>
      <c r="AB230" s="12"/>
      <c r="AC230" s="12"/>
      <c r="AD230" s="12"/>
      <c r="AE230" s="12"/>
      <c r="AF230" s="12"/>
      <c r="AG230" s="12"/>
      <c r="AH230" s="728"/>
      <c r="AI230" s="728"/>
      <c r="AJ230" s="728"/>
      <c r="AK230" s="728"/>
      <c r="AL230" s="13"/>
      <c r="AM230" s="8" t="s">
        <v>987</v>
      </c>
      <c r="AN230" s="744">
        <v>2</v>
      </c>
    </row>
    <row r="231" spans="1:40" s="2" customFormat="1" ht="100.5" hidden="1" customHeight="1">
      <c r="A231" s="12"/>
      <c r="B231" s="12"/>
      <c r="C231" s="12"/>
      <c r="D231" s="5"/>
      <c r="E231" s="731" t="s">
        <v>1133</v>
      </c>
      <c r="F231" s="5" t="s">
        <v>1134</v>
      </c>
      <c r="G231" s="5" t="s">
        <v>809</v>
      </c>
      <c r="H231" s="718" t="s">
        <v>1135</v>
      </c>
      <c r="I231" s="13" t="s">
        <v>1136</v>
      </c>
      <c r="J231" s="13">
        <v>1</v>
      </c>
      <c r="K231" s="13">
        <v>0</v>
      </c>
      <c r="L231" s="13">
        <v>100</v>
      </c>
      <c r="M231" s="13" t="s">
        <v>41</v>
      </c>
      <c r="N231" s="13"/>
      <c r="O231" s="13"/>
      <c r="P231" s="13"/>
      <c r="Q231" s="13"/>
      <c r="R231" s="13"/>
      <c r="S231" s="13"/>
      <c r="T231" s="13"/>
      <c r="U231" s="13"/>
      <c r="V231" s="13"/>
      <c r="W231" s="13"/>
      <c r="X231" s="13"/>
      <c r="Y231" s="13"/>
      <c r="Z231" s="12"/>
      <c r="AA231" s="12"/>
      <c r="AB231" s="12"/>
      <c r="AC231" s="12"/>
      <c r="AD231" s="12"/>
      <c r="AE231" s="12"/>
      <c r="AF231" s="12"/>
      <c r="AG231" s="12"/>
      <c r="AH231" s="728"/>
      <c r="AI231" s="728"/>
      <c r="AJ231" s="728"/>
      <c r="AK231" s="728"/>
      <c r="AL231" s="13"/>
      <c r="AM231" s="8" t="s">
        <v>987</v>
      </c>
      <c r="AN231" s="744">
        <v>2</v>
      </c>
    </row>
    <row r="232" spans="1:40" s="2" customFormat="1" ht="100.5" hidden="1" customHeight="1">
      <c r="A232" s="12"/>
      <c r="B232" s="12"/>
      <c r="C232" s="12"/>
      <c r="D232" s="5"/>
      <c r="E232" s="731" t="s">
        <v>1137</v>
      </c>
      <c r="F232" s="5" t="s">
        <v>1138</v>
      </c>
      <c r="G232" s="5" t="s">
        <v>809</v>
      </c>
      <c r="H232" s="718" t="s">
        <v>1139</v>
      </c>
      <c r="I232" s="13" t="s">
        <v>1140</v>
      </c>
      <c r="J232" s="13">
        <v>1</v>
      </c>
      <c r="K232" s="13">
        <v>0</v>
      </c>
      <c r="L232" s="13">
        <v>100</v>
      </c>
      <c r="M232" s="13" t="s">
        <v>41</v>
      </c>
      <c r="N232" s="13"/>
      <c r="O232" s="13"/>
      <c r="P232" s="13"/>
      <c r="Q232" s="13"/>
      <c r="R232" s="13"/>
      <c r="S232" s="13"/>
      <c r="T232" s="13"/>
      <c r="U232" s="13"/>
      <c r="V232" s="13"/>
      <c r="W232" s="13"/>
      <c r="X232" s="13"/>
      <c r="Y232" s="13"/>
      <c r="Z232" s="12"/>
      <c r="AA232" s="12"/>
      <c r="AB232" s="12"/>
      <c r="AC232" s="12"/>
      <c r="AD232" s="12"/>
      <c r="AE232" s="12"/>
      <c r="AF232" s="12"/>
      <c r="AG232" s="12"/>
      <c r="AH232" s="728"/>
      <c r="AI232" s="728"/>
      <c r="AJ232" s="728"/>
      <c r="AK232" s="728"/>
      <c r="AL232" s="13"/>
      <c r="AM232" s="8" t="s">
        <v>987</v>
      </c>
      <c r="AN232" s="744">
        <v>2</v>
      </c>
    </row>
    <row r="233" spans="1:40" s="2" customFormat="1" ht="100.5" hidden="1" customHeight="1">
      <c r="A233" s="12"/>
      <c r="B233" s="12"/>
      <c r="C233" s="12"/>
      <c r="D233" s="5"/>
      <c r="E233" s="731" t="s">
        <v>1141</v>
      </c>
      <c r="F233" s="5" t="s">
        <v>1142</v>
      </c>
      <c r="G233" s="5" t="s">
        <v>809</v>
      </c>
      <c r="H233" s="718" t="s">
        <v>1143</v>
      </c>
      <c r="I233" s="13" t="s">
        <v>1144</v>
      </c>
      <c r="J233" s="13">
        <v>1</v>
      </c>
      <c r="K233" s="13">
        <v>0</v>
      </c>
      <c r="L233" s="13">
        <v>100</v>
      </c>
      <c r="M233" s="13" t="s">
        <v>41</v>
      </c>
      <c r="N233" s="13"/>
      <c r="O233" s="13"/>
      <c r="P233" s="13"/>
      <c r="Q233" s="13"/>
      <c r="R233" s="13"/>
      <c r="S233" s="13"/>
      <c r="T233" s="13"/>
      <c r="U233" s="13"/>
      <c r="V233" s="13"/>
      <c r="W233" s="13"/>
      <c r="X233" s="13"/>
      <c r="Y233" s="13"/>
      <c r="Z233" s="12"/>
      <c r="AA233" s="12"/>
      <c r="AB233" s="12"/>
      <c r="AC233" s="12"/>
      <c r="AD233" s="12"/>
      <c r="AE233" s="12"/>
      <c r="AF233" s="12"/>
      <c r="AG233" s="12"/>
      <c r="AH233" s="728"/>
      <c r="AI233" s="728"/>
      <c r="AJ233" s="728"/>
      <c r="AK233" s="728"/>
      <c r="AL233" s="13"/>
      <c r="AM233" s="8" t="s">
        <v>987</v>
      </c>
      <c r="AN233" s="744">
        <v>2</v>
      </c>
    </row>
    <row r="234" spans="1:40" s="2" customFormat="1" ht="100.5" hidden="1" customHeight="1">
      <c r="A234" s="12"/>
      <c r="B234" s="12"/>
      <c r="C234" s="12"/>
      <c r="D234" s="5"/>
      <c r="E234" s="731" t="s">
        <v>1145</v>
      </c>
      <c r="F234" s="5" t="s">
        <v>1146</v>
      </c>
      <c r="G234" s="5" t="s">
        <v>809</v>
      </c>
      <c r="H234" s="718" t="s">
        <v>1147</v>
      </c>
      <c r="I234" s="13" t="s">
        <v>1148</v>
      </c>
      <c r="J234" s="13">
        <v>1</v>
      </c>
      <c r="K234" s="13">
        <v>0</v>
      </c>
      <c r="L234" s="13">
        <v>100</v>
      </c>
      <c r="M234" s="13" t="s">
        <v>41</v>
      </c>
      <c r="N234" s="13"/>
      <c r="O234" s="13"/>
      <c r="P234" s="13"/>
      <c r="Q234" s="13"/>
      <c r="R234" s="13"/>
      <c r="S234" s="13"/>
      <c r="T234" s="13"/>
      <c r="U234" s="13"/>
      <c r="V234" s="13"/>
      <c r="W234" s="13"/>
      <c r="X234" s="13"/>
      <c r="Y234" s="13"/>
      <c r="Z234" s="12"/>
      <c r="AA234" s="12"/>
      <c r="AB234" s="12"/>
      <c r="AC234" s="12"/>
      <c r="AD234" s="12"/>
      <c r="AE234" s="12"/>
      <c r="AF234" s="12"/>
      <c r="AG234" s="12"/>
      <c r="AH234" s="728"/>
      <c r="AI234" s="728"/>
      <c r="AJ234" s="728"/>
      <c r="AK234" s="728"/>
      <c r="AL234" s="13"/>
      <c r="AM234" s="8" t="s">
        <v>987</v>
      </c>
      <c r="AN234" s="744">
        <v>2</v>
      </c>
    </row>
    <row r="235" spans="1:40" s="2" customFormat="1" ht="100.5" hidden="1" customHeight="1">
      <c r="A235" s="12"/>
      <c r="B235" s="12"/>
      <c r="C235" s="12"/>
      <c r="D235" s="5"/>
      <c r="E235" s="731" t="s">
        <v>1149</v>
      </c>
      <c r="F235" s="5" t="s">
        <v>1150</v>
      </c>
      <c r="G235" s="5" t="s">
        <v>809</v>
      </c>
      <c r="H235" s="718" t="s">
        <v>1151</v>
      </c>
      <c r="I235" s="13" t="s">
        <v>1152</v>
      </c>
      <c r="J235" s="13">
        <v>1</v>
      </c>
      <c r="K235" s="13">
        <v>0</v>
      </c>
      <c r="L235" s="13">
        <v>100</v>
      </c>
      <c r="M235" s="13" t="s">
        <v>41</v>
      </c>
      <c r="N235" s="13"/>
      <c r="O235" s="13"/>
      <c r="P235" s="13"/>
      <c r="Q235" s="13"/>
      <c r="R235" s="13"/>
      <c r="S235" s="13"/>
      <c r="T235" s="13"/>
      <c r="U235" s="13"/>
      <c r="V235" s="13"/>
      <c r="W235" s="13"/>
      <c r="X235" s="13"/>
      <c r="Y235" s="13"/>
      <c r="Z235" s="12"/>
      <c r="AA235" s="12"/>
      <c r="AB235" s="12"/>
      <c r="AC235" s="12"/>
      <c r="AD235" s="12"/>
      <c r="AE235" s="12"/>
      <c r="AF235" s="12"/>
      <c r="AG235" s="12"/>
      <c r="AH235" s="728"/>
      <c r="AI235" s="728"/>
      <c r="AJ235" s="728"/>
      <c r="AK235" s="728"/>
      <c r="AL235" s="13"/>
      <c r="AM235" s="8" t="s">
        <v>987</v>
      </c>
      <c r="AN235" s="744">
        <v>2</v>
      </c>
    </row>
    <row r="236" spans="1:40" s="2" customFormat="1" ht="100.5" hidden="1" customHeight="1">
      <c r="A236" s="12"/>
      <c r="B236" s="12"/>
      <c r="C236" s="12"/>
      <c r="D236" s="5"/>
      <c r="E236" s="731" t="s">
        <v>1153</v>
      </c>
      <c r="F236" s="5" t="s">
        <v>1154</v>
      </c>
      <c r="G236" s="5" t="s">
        <v>809</v>
      </c>
      <c r="H236" s="718" t="s">
        <v>1155</v>
      </c>
      <c r="I236" s="13" t="s">
        <v>1156</v>
      </c>
      <c r="J236" s="13">
        <v>1</v>
      </c>
      <c r="K236" s="13">
        <v>0</v>
      </c>
      <c r="L236" s="13">
        <v>100</v>
      </c>
      <c r="M236" s="13" t="s">
        <v>41</v>
      </c>
      <c r="N236" s="13"/>
      <c r="O236" s="13"/>
      <c r="P236" s="13"/>
      <c r="Q236" s="13"/>
      <c r="R236" s="13"/>
      <c r="S236" s="13"/>
      <c r="T236" s="13"/>
      <c r="U236" s="13"/>
      <c r="V236" s="13"/>
      <c r="W236" s="13"/>
      <c r="X236" s="13"/>
      <c r="Y236" s="13"/>
      <c r="Z236" s="12"/>
      <c r="AA236" s="12"/>
      <c r="AB236" s="12"/>
      <c r="AC236" s="12"/>
      <c r="AD236" s="12"/>
      <c r="AE236" s="12"/>
      <c r="AF236" s="12"/>
      <c r="AG236" s="12"/>
      <c r="AH236" s="728"/>
      <c r="AI236" s="728"/>
      <c r="AJ236" s="728"/>
      <c r="AK236" s="728"/>
      <c r="AL236" s="13"/>
      <c r="AM236" s="8" t="s">
        <v>987</v>
      </c>
      <c r="AN236" s="744">
        <v>2</v>
      </c>
    </row>
    <row r="237" spans="1:40" s="2" customFormat="1" ht="100.5" hidden="1" customHeight="1">
      <c r="A237" s="12"/>
      <c r="B237" s="12"/>
      <c r="C237" s="12"/>
      <c r="D237" s="5"/>
      <c r="E237" s="731" t="s">
        <v>1157</v>
      </c>
      <c r="F237" s="5" t="s">
        <v>1158</v>
      </c>
      <c r="G237" s="5" t="s">
        <v>809</v>
      </c>
      <c r="H237" s="718" t="s">
        <v>1159</v>
      </c>
      <c r="I237" s="13" t="s">
        <v>1160</v>
      </c>
      <c r="J237" s="13">
        <v>1</v>
      </c>
      <c r="K237" s="13">
        <v>0</v>
      </c>
      <c r="L237" s="13">
        <v>100</v>
      </c>
      <c r="M237" s="13" t="s">
        <v>41</v>
      </c>
      <c r="N237" s="13"/>
      <c r="O237" s="13"/>
      <c r="P237" s="13"/>
      <c r="Q237" s="13"/>
      <c r="R237" s="13"/>
      <c r="S237" s="13"/>
      <c r="T237" s="13"/>
      <c r="U237" s="13"/>
      <c r="V237" s="13"/>
      <c r="W237" s="13"/>
      <c r="X237" s="13"/>
      <c r="Y237" s="13"/>
      <c r="Z237" s="12"/>
      <c r="AA237" s="12"/>
      <c r="AB237" s="12"/>
      <c r="AC237" s="12"/>
      <c r="AD237" s="12"/>
      <c r="AE237" s="12"/>
      <c r="AF237" s="12"/>
      <c r="AG237" s="12"/>
      <c r="AH237" s="728"/>
      <c r="AI237" s="728"/>
      <c r="AJ237" s="728"/>
      <c r="AK237" s="728"/>
      <c r="AL237" s="13"/>
      <c r="AM237" s="8" t="s">
        <v>987</v>
      </c>
      <c r="AN237" s="744">
        <v>2</v>
      </c>
    </row>
    <row r="238" spans="1:40" s="2" customFormat="1" ht="100.5" hidden="1" customHeight="1">
      <c r="A238" s="12"/>
      <c r="B238" s="12"/>
      <c r="C238" s="12"/>
      <c r="D238" s="5"/>
      <c r="E238" s="731" t="s">
        <v>1161</v>
      </c>
      <c r="F238" s="5" t="s">
        <v>1162</v>
      </c>
      <c r="G238" s="5" t="s">
        <v>809</v>
      </c>
      <c r="H238" s="718" t="s">
        <v>1163</v>
      </c>
      <c r="I238" s="13" t="s">
        <v>1164</v>
      </c>
      <c r="J238" s="13">
        <v>1</v>
      </c>
      <c r="K238" s="13">
        <v>0</v>
      </c>
      <c r="L238" s="13">
        <v>100</v>
      </c>
      <c r="M238" s="13" t="s">
        <v>41</v>
      </c>
      <c r="N238" s="13"/>
      <c r="O238" s="13"/>
      <c r="P238" s="13"/>
      <c r="Q238" s="13"/>
      <c r="R238" s="13"/>
      <c r="S238" s="13"/>
      <c r="T238" s="13"/>
      <c r="U238" s="13"/>
      <c r="V238" s="13"/>
      <c r="W238" s="13"/>
      <c r="X238" s="13"/>
      <c r="Y238" s="13"/>
      <c r="Z238" s="12"/>
      <c r="AA238" s="12"/>
      <c r="AB238" s="12"/>
      <c r="AC238" s="12"/>
      <c r="AD238" s="12"/>
      <c r="AE238" s="12"/>
      <c r="AF238" s="12"/>
      <c r="AG238" s="12"/>
      <c r="AH238" s="728"/>
      <c r="AI238" s="728"/>
      <c r="AJ238" s="728"/>
      <c r="AK238" s="728"/>
      <c r="AL238" s="13"/>
      <c r="AM238" s="8" t="s">
        <v>987</v>
      </c>
      <c r="AN238" s="744">
        <v>2</v>
      </c>
    </row>
    <row r="239" spans="1:40" s="2" customFormat="1" ht="100.5" hidden="1" customHeight="1">
      <c r="A239" s="12"/>
      <c r="B239" s="12"/>
      <c r="C239" s="12"/>
      <c r="D239" s="5"/>
      <c r="E239" s="731" t="s">
        <v>1165</v>
      </c>
      <c r="F239" s="5" t="s">
        <v>1166</v>
      </c>
      <c r="G239" s="5" t="s">
        <v>809</v>
      </c>
      <c r="H239" s="718" t="s">
        <v>1167</v>
      </c>
      <c r="I239" s="13" t="s">
        <v>1168</v>
      </c>
      <c r="J239" s="13">
        <v>1</v>
      </c>
      <c r="K239" s="13">
        <v>0</v>
      </c>
      <c r="L239" s="13">
        <v>100</v>
      </c>
      <c r="M239" s="13" t="s">
        <v>41</v>
      </c>
      <c r="N239" s="13"/>
      <c r="O239" s="13"/>
      <c r="P239" s="13"/>
      <c r="Q239" s="13"/>
      <c r="R239" s="13"/>
      <c r="S239" s="13"/>
      <c r="T239" s="13"/>
      <c r="U239" s="13"/>
      <c r="V239" s="13"/>
      <c r="W239" s="13"/>
      <c r="X239" s="13"/>
      <c r="Y239" s="13"/>
      <c r="Z239" s="12"/>
      <c r="AA239" s="12"/>
      <c r="AB239" s="12"/>
      <c r="AC239" s="12"/>
      <c r="AD239" s="12"/>
      <c r="AE239" s="12"/>
      <c r="AF239" s="12"/>
      <c r="AG239" s="12"/>
      <c r="AH239" s="728"/>
      <c r="AI239" s="728"/>
      <c r="AJ239" s="728"/>
      <c r="AK239" s="728"/>
      <c r="AL239" s="13"/>
      <c r="AM239" s="8" t="s">
        <v>987</v>
      </c>
      <c r="AN239" s="744">
        <v>2</v>
      </c>
    </row>
    <row r="240" spans="1:40" s="2" customFormat="1" ht="100.5" hidden="1" customHeight="1">
      <c r="A240" s="12"/>
      <c r="B240" s="12"/>
      <c r="C240" s="12"/>
      <c r="D240" s="5"/>
      <c r="E240" s="731" t="s">
        <v>1169</v>
      </c>
      <c r="F240" s="5" t="s">
        <v>1170</v>
      </c>
      <c r="G240" s="5" t="s">
        <v>809</v>
      </c>
      <c r="H240" s="718" t="s">
        <v>1171</v>
      </c>
      <c r="I240" s="13" t="s">
        <v>1172</v>
      </c>
      <c r="J240" s="13">
        <v>1</v>
      </c>
      <c r="K240" s="13">
        <v>0</v>
      </c>
      <c r="L240" s="13">
        <v>100</v>
      </c>
      <c r="M240" s="13" t="s">
        <v>41</v>
      </c>
      <c r="N240" s="13"/>
      <c r="O240" s="13"/>
      <c r="P240" s="13"/>
      <c r="Q240" s="13"/>
      <c r="R240" s="13"/>
      <c r="S240" s="13"/>
      <c r="T240" s="13"/>
      <c r="U240" s="13"/>
      <c r="V240" s="13"/>
      <c r="W240" s="13"/>
      <c r="X240" s="13"/>
      <c r="Y240" s="13"/>
      <c r="Z240" s="12"/>
      <c r="AA240" s="12"/>
      <c r="AB240" s="12"/>
      <c r="AC240" s="12"/>
      <c r="AD240" s="12"/>
      <c r="AE240" s="12"/>
      <c r="AF240" s="12"/>
      <c r="AG240" s="12"/>
      <c r="AH240" s="728"/>
      <c r="AI240" s="728"/>
      <c r="AJ240" s="728"/>
      <c r="AK240" s="728"/>
      <c r="AL240" s="13"/>
      <c r="AM240" s="8" t="s">
        <v>987</v>
      </c>
      <c r="AN240" s="744">
        <v>2</v>
      </c>
    </row>
    <row r="241" spans="1:40" s="2" customFormat="1" ht="100.5" hidden="1" customHeight="1">
      <c r="A241" s="12"/>
      <c r="B241" s="12"/>
      <c r="C241" s="12"/>
      <c r="D241" s="5"/>
      <c r="E241" s="731" t="s">
        <v>1173</v>
      </c>
      <c r="F241" s="5" t="s">
        <v>1174</v>
      </c>
      <c r="G241" s="5" t="s">
        <v>809</v>
      </c>
      <c r="H241" s="718" t="s">
        <v>1175</v>
      </c>
      <c r="I241" s="13" t="s">
        <v>1176</v>
      </c>
      <c r="J241" s="13">
        <v>1</v>
      </c>
      <c r="K241" s="13">
        <v>0</v>
      </c>
      <c r="L241" s="13">
        <v>100</v>
      </c>
      <c r="M241" s="13" t="s">
        <v>41</v>
      </c>
      <c r="N241" s="13"/>
      <c r="O241" s="13"/>
      <c r="P241" s="13"/>
      <c r="Q241" s="13"/>
      <c r="R241" s="13"/>
      <c r="S241" s="13"/>
      <c r="T241" s="13"/>
      <c r="U241" s="13"/>
      <c r="V241" s="13"/>
      <c r="W241" s="13"/>
      <c r="X241" s="13"/>
      <c r="Y241" s="13"/>
      <c r="Z241" s="12"/>
      <c r="AA241" s="12"/>
      <c r="AB241" s="12"/>
      <c r="AC241" s="12"/>
      <c r="AD241" s="12"/>
      <c r="AE241" s="12"/>
      <c r="AF241" s="12"/>
      <c r="AG241" s="12"/>
      <c r="AH241" s="728"/>
      <c r="AI241" s="728"/>
      <c r="AJ241" s="728"/>
      <c r="AK241" s="728"/>
      <c r="AL241" s="13"/>
      <c r="AM241" s="8" t="s">
        <v>987</v>
      </c>
      <c r="AN241" s="744">
        <v>2</v>
      </c>
    </row>
    <row r="242" spans="1:40" s="2" customFormat="1" ht="99" hidden="1" customHeight="1">
      <c r="A242" s="12"/>
      <c r="B242" s="12"/>
      <c r="C242" s="12"/>
      <c r="D242" s="5"/>
      <c r="E242" s="731" t="s">
        <v>1177</v>
      </c>
      <c r="F242" s="5" t="s">
        <v>1178</v>
      </c>
      <c r="G242" s="5" t="s">
        <v>809</v>
      </c>
      <c r="H242" s="718" t="s">
        <v>1179</v>
      </c>
      <c r="I242" s="13" t="s">
        <v>1180</v>
      </c>
      <c r="J242" s="13">
        <v>1</v>
      </c>
      <c r="K242" s="13">
        <v>-10</v>
      </c>
      <c r="L242" s="13">
        <v>100</v>
      </c>
      <c r="M242" s="13" t="s">
        <v>1181</v>
      </c>
      <c r="N242" s="13"/>
      <c r="O242" s="13"/>
      <c r="P242" s="13"/>
      <c r="Q242" s="13"/>
      <c r="R242" s="13"/>
      <c r="S242" s="13"/>
      <c r="T242" s="13"/>
      <c r="U242" s="13"/>
      <c r="V242" s="13"/>
      <c r="W242" s="13"/>
      <c r="X242" s="13"/>
      <c r="Y242" s="13"/>
      <c r="Z242" s="12"/>
      <c r="AA242" s="12"/>
      <c r="AB242" s="12"/>
      <c r="AC242" s="12"/>
      <c r="AD242" s="12"/>
      <c r="AE242" s="12"/>
      <c r="AF242" s="12"/>
      <c r="AG242" s="12"/>
      <c r="AH242" s="728"/>
      <c r="AI242" s="728"/>
      <c r="AJ242" s="728"/>
      <c r="AK242" s="728"/>
      <c r="AL242" s="13"/>
      <c r="AM242" s="8" t="s">
        <v>1182</v>
      </c>
      <c r="AN242" s="744">
        <v>2</v>
      </c>
    </row>
    <row r="243" spans="1:40" s="2" customFormat="1" ht="99" hidden="1" customHeight="1">
      <c r="A243" s="12"/>
      <c r="B243" s="12"/>
      <c r="C243" s="12"/>
      <c r="D243" s="5"/>
      <c r="E243" s="731" t="s">
        <v>1183</v>
      </c>
      <c r="F243" s="5" t="s">
        <v>1184</v>
      </c>
      <c r="G243" s="5" t="s">
        <v>809</v>
      </c>
      <c r="H243" s="718" t="s">
        <v>1185</v>
      </c>
      <c r="I243" s="13" t="s">
        <v>1186</v>
      </c>
      <c r="J243" s="13">
        <v>1</v>
      </c>
      <c r="K243" s="13">
        <v>-10</v>
      </c>
      <c r="L243" s="13">
        <v>100</v>
      </c>
      <c r="M243" s="13" t="s">
        <v>1181</v>
      </c>
      <c r="N243" s="13"/>
      <c r="O243" s="13"/>
      <c r="P243" s="13"/>
      <c r="Q243" s="13"/>
      <c r="R243" s="13"/>
      <c r="S243" s="13"/>
      <c r="T243" s="13"/>
      <c r="U243" s="13"/>
      <c r="V243" s="13"/>
      <c r="W243" s="13"/>
      <c r="X243" s="13"/>
      <c r="Y243" s="13"/>
      <c r="Z243" s="12"/>
      <c r="AA243" s="12"/>
      <c r="AB243" s="12"/>
      <c r="AC243" s="12"/>
      <c r="AD243" s="12"/>
      <c r="AE243" s="12"/>
      <c r="AF243" s="12"/>
      <c r="AG243" s="12"/>
      <c r="AH243" s="728"/>
      <c r="AI243" s="728"/>
      <c r="AJ243" s="728"/>
      <c r="AK243" s="728"/>
      <c r="AL243" s="13"/>
      <c r="AM243" s="8" t="s">
        <v>1182</v>
      </c>
      <c r="AN243" s="744">
        <v>2</v>
      </c>
    </row>
    <row r="244" spans="1:40" s="2" customFormat="1" ht="121.5" hidden="1" customHeight="1">
      <c r="A244" s="12"/>
      <c r="B244" s="12"/>
      <c r="C244" s="12"/>
      <c r="D244" s="5"/>
      <c r="E244" s="731" t="s">
        <v>1187</v>
      </c>
      <c r="F244" s="736" t="s">
        <v>1188</v>
      </c>
      <c r="G244" s="731" t="s">
        <v>132</v>
      </c>
      <c r="H244" s="731" t="s">
        <v>1189</v>
      </c>
      <c r="I244" s="736" t="s">
        <v>1190</v>
      </c>
      <c r="J244" s="744">
        <v>1</v>
      </c>
      <c r="K244" s="951"/>
      <c r="L244" s="951"/>
      <c r="M244" s="951"/>
      <c r="N244" s="744"/>
      <c r="O244" s="744"/>
      <c r="P244" s="744"/>
      <c r="Q244" s="744"/>
      <c r="R244" s="744"/>
      <c r="S244" s="744"/>
      <c r="T244" s="744"/>
      <c r="U244" s="744"/>
      <c r="V244" s="744"/>
      <c r="W244" s="744"/>
      <c r="X244" s="744"/>
      <c r="Y244" s="744"/>
      <c r="Z244" s="952"/>
      <c r="AA244" s="952"/>
      <c r="AB244" s="952"/>
      <c r="AC244" s="952"/>
      <c r="AD244" s="952"/>
      <c r="AE244" s="952"/>
      <c r="AF244" s="952"/>
      <c r="AG244" s="952"/>
      <c r="AH244" s="973"/>
      <c r="AI244" s="973"/>
      <c r="AJ244" s="973"/>
      <c r="AK244" s="973"/>
      <c r="AL244" s="951"/>
      <c r="AM244" s="746" t="s">
        <v>1191</v>
      </c>
      <c r="AN244" s="744">
        <v>2</v>
      </c>
    </row>
    <row r="245" spans="1:40" s="2" customFormat="1" ht="121.5" hidden="1" customHeight="1">
      <c r="A245" s="12"/>
      <c r="B245" s="12"/>
      <c r="C245" s="12"/>
      <c r="D245" s="5"/>
      <c r="E245" s="731" t="s">
        <v>1192</v>
      </c>
      <c r="F245" s="736" t="s">
        <v>1193</v>
      </c>
      <c r="G245" s="731" t="s">
        <v>132</v>
      </c>
      <c r="H245" s="731" t="s">
        <v>1194</v>
      </c>
      <c r="I245" s="736" t="s">
        <v>1195</v>
      </c>
      <c r="J245" s="744">
        <v>1</v>
      </c>
      <c r="K245" s="951"/>
      <c r="L245" s="951"/>
      <c r="M245" s="951"/>
      <c r="N245" s="744"/>
      <c r="O245" s="744"/>
      <c r="P245" s="744"/>
      <c r="Q245" s="744"/>
      <c r="R245" s="744"/>
      <c r="S245" s="744"/>
      <c r="T245" s="744"/>
      <c r="U245" s="744"/>
      <c r="V245" s="744"/>
      <c r="W245" s="744"/>
      <c r="X245" s="744"/>
      <c r="Y245" s="744"/>
      <c r="Z245" s="952"/>
      <c r="AA245" s="952"/>
      <c r="AB245" s="952"/>
      <c r="AC245" s="952"/>
      <c r="AD245" s="952"/>
      <c r="AE245" s="952"/>
      <c r="AF245" s="952"/>
      <c r="AG245" s="952"/>
      <c r="AH245" s="973"/>
      <c r="AI245" s="973"/>
      <c r="AJ245" s="973"/>
      <c r="AK245" s="973"/>
      <c r="AL245" s="951"/>
      <c r="AM245" s="746" t="s">
        <v>1191</v>
      </c>
      <c r="AN245" s="744">
        <v>2</v>
      </c>
    </row>
    <row r="246" spans="1:40" s="2" customFormat="1" ht="121.5" hidden="1" customHeight="1">
      <c r="A246" s="12"/>
      <c r="B246" s="12"/>
      <c r="C246" s="12"/>
      <c r="D246" s="5"/>
      <c r="E246" s="731" t="s">
        <v>1196</v>
      </c>
      <c r="F246" s="736" t="s">
        <v>1197</v>
      </c>
      <c r="G246" s="731" t="s">
        <v>132</v>
      </c>
      <c r="H246" s="731" t="s">
        <v>1198</v>
      </c>
      <c r="I246" s="736" t="s">
        <v>1199</v>
      </c>
      <c r="J246" s="744">
        <v>1</v>
      </c>
      <c r="K246" s="951"/>
      <c r="L246" s="951"/>
      <c r="M246" s="951"/>
      <c r="N246" s="744"/>
      <c r="O246" s="744"/>
      <c r="P246" s="744"/>
      <c r="Q246" s="744"/>
      <c r="R246" s="744"/>
      <c r="S246" s="744"/>
      <c r="T246" s="744"/>
      <c r="U246" s="744"/>
      <c r="V246" s="744"/>
      <c r="W246" s="744"/>
      <c r="X246" s="744"/>
      <c r="Y246" s="744"/>
      <c r="Z246" s="952"/>
      <c r="AA246" s="952"/>
      <c r="AB246" s="952"/>
      <c r="AC246" s="952"/>
      <c r="AD246" s="952"/>
      <c r="AE246" s="952"/>
      <c r="AF246" s="952"/>
      <c r="AG246" s="952"/>
      <c r="AH246" s="973"/>
      <c r="AI246" s="973"/>
      <c r="AJ246" s="973"/>
      <c r="AK246" s="973"/>
      <c r="AL246" s="951"/>
      <c r="AM246" s="746" t="s">
        <v>1191</v>
      </c>
      <c r="AN246" s="744">
        <v>2</v>
      </c>
    </row>
    <row r="247" spans="1:40" s="2" customFormat="1" ht="121.5" hidden="1" customHeight="1">
      <c r="A247" s="12"/>
      <c r="B247" s="12"/>
      <c r="C247" s="12"/>
      <c r="D247" s="5"/>
      <c r="E247" s="731" t="s">
        <v>1200</v>
      </c>
      <c r="F247" s="736" t="s">
        <v>1201</v>
      </c>
      <c r="G247" s="731" t="s">
        <v>132</v>
      </c>
      <c r="H247" s="731" t="s">
        <v>1202</v>
      </c>
      <c r="I247" s="736" t="s">
        <v>1203</v>
      </c>
      <c r="J247" s="744">
        <v>1</v>
      </c>
      <c r="K247" s="951"/>
      <c r="L247" s="951"/>
      <c r="M247" s="951"/>
      <c r="N247" s="744"/>
      <c r="O247" s="744"/>
      <c r="P247" s="744"/>
      <c r="Q247" s="744"/>
      <c r="R247" s="744"/>
      <c r="S247" s="744"/>
      <c r="T247" s="744"/>
      <c r="U247" s="744"/>
      <c r="V247" s="744"/>
      <c r="W247" s="744"/>
      <c r="X247" s="744"/>
      <c r="Y247" s="744"/>
      <c r="Z247" s="952"/>
      <c r="AA247" s="952"/>
      <c r="AB247" s="952"/>
      <c r="AC247" s="952"/>
      <c r="AD247" s="952"/>
      <c r="AE247" s="952"/>
      <c r="AF247" s="952"/>
      <c r="AG247" s="952"/>
      <c r="AH247" s="973"/>
      <c r="AI247" s="973"/>
      <c r="AJ247" s="973"/>
      <c r="AK247" s="973"/>
      <c r="AL247" s="951"/>
      <c r="AM247" s="746" t="s">
        <v>1191</v>
      </c>
      <c r="AN247" s="744">
        <v>2</v>
      </c>
    </row>
    <row r="248" spans="1:40" s="2" customFormat="1" ht="121.5" hidden="1" customHeight="1">
      <c r="A248" s="12"/>
      <c r="B248" s="12"/>
      <c r="C248" s="12"/>
      <c r="D248" s="5"/>
      <c r="E248" s="731" t="s">
        <v>1204</v>
      </c>
      <c r="F248" s="736" t="s">
        <v>1205</v>
      </c>
      <c r="G248" s="731" t="s">
        <v>132</v>
      </c>
      <c r="H248" s="731" t="s">
        <v>1206</v>
      </c>
      <c r="I248" s="736" t="s">
        <v>1207</v>
      </c>
      <c r="J248" s="744">
        <v>1</v>
      </c>
      <c r="K248" s="951"/>
      <c r="L248" s="951"/>
      <c r="M248" s="951"/>
      <c r="N248" s="744"/>
      <c r="O248" s="744"/>
      <c r="P248" s="744"/>
      <c r="Q248" s="744"/>
      <c r="R248" s="744"/>
      <c r="S248" s="744"/>
      <c r="T248" s="744"/>
      <c r="U248" s="744"/>
      <c r="V248" s="744"/>
      <c r="W248" s="744"/>
      <c r="X248" s="744"/>
      <c r="Y248" s="744"/>
      <c r="Z248" s="952"/>
      <c r="AA248" s="952"/>
      <c r="AB248" s="952"/>
      <c r="AC248" s="952"/>
      <c r="AD248" s="952"/>
      <c r="AE248" s="952"/>
      <c r="AF248" s="952"/>
      <c r="AG248" s="952"/>
      <c r="AH248" s="973"/>
      <c r="AI248" s="973"/>
      <c r="AJ248" s="973"/>
      <c r="AK248" s="973"/>
      <c r="AL248" s="951"/>
      <c r="AM248" s="746" t="s">
        <v>1191</v>
      </c>
      <c r="AN248" s="744">
        <v>2</v>
      </c>
    </row>
    <row r="249" spans="1:40" s="2" customFormat="1" ht="121.5" hidden="1" customHeight="1">
      <c r="A249" s="12"/>
      <c r="B249" s="12"/>
      <c r="C249" s="12"/>
      <c r="D249" s="5"/>
      <c r="E249" s="731" t="s">
        <v>1208</v>
      </c>
      <c r="F249" s="736" t="s">
        <v>1209</v>
      </c>
      <c r="G249" s="731" t="s">
        <v>132</v>
      </c>
      <c r="H249" s="731" t="s">
        <v>1210</v>
      </c>
      <c r="I249" s="736" t="s">
        <v>1211</v>
      </c>
      <c r="J249" s="744">
        <v>1</v>
      </c>
      <c r="K249" s="951"/>
      <c r="L249" s="951"/>
      <c r="M249" s="951"/>
      <c r="N249" s="744"/>
      <c r="O249" s="744"/>
      <c r="P249" s="744"/>
      <c r="Q249" s="744"/>
      <c r="R249" s="744"/>
      <c r="S249" s="744"/>
      <c r="T249" s="744"/>
      <c r="U249" s="744"/>
      <c r="V249" s="744"/>
      <c r="W249" s="744"/>
      <c r="X249" s="744"/>
      <c r="Y249" s="744"/>
      <c r="Z249" s="952"/>
      <c r="AA249" s="952"/>
      <c r="AB249" s="952"/>
      <c r="AC249" s="952"/>
      <c r="AD249" s="952"/>
      <c r="AE249" s="952"/>
      <c r="AF249" s="952"/>
      <c r="AG249" s="952"/>
      <c r="AH249" s="973"/>
      <c r="AI249" s="973"/>
      <c r="AJ249" s="973"/>
      <c r="AK249" s="973"/>
      <c r="AL249" s="951"/>
      <c r="AM249" s="746" t="s">
        <v>1191</v>
      </c>
      <c r="AN249" s="744">
        <v>2</v>
      </c>
    </row>
    <row r="250" spans="1:40" s="2" customFormat="1" ht="121.5" hidden="1" customHeight="1">
      <c r="A250" s="12"/>
      <c r="B250" s="12"/>
      <c r="C250" s="12"/>
      <c r="D250" s="5"/>
      <c r="E250" s="731" t="s">
        <v>1212</v>
      </c>
      <c r="F250" s="736" t="s">
        <v>1213</v>
      </c>
      <c r="G250" s="731" t="s">
        <v>132</v>
      </c>
      <c r="H250" s="731" t="s">
        <v>1214</v>
      </c>
      <c r="I250" s="736" t="s">
        <v>1215</v>
      </c>
      <c r="J250" s="744">
        <v>1</v>
      </c>
      <c r="K250" s="951"/>
      <c r="L250" s="951"/>
      <c r="M250" s="951"/>
      <c r="N250" s="744"/>
      <c r="O250" s="744"/>
      <c r="P250" s="744"/>
      <c r="Q250" s="744"/>
      <c r="R250" s="744"/>
      <c r="S250" s="744"/>
      <c r="T250" s="744"/>
      <c r="U250" s="744"/>
      <c r="V250" s="744"/>
      <c r="W250" s="744"/>
      <c r="X250" s="744"/>
      <c r="Y250" s="744"/>
      <c r="Z250" s="952"/>
      <c r="AA250" s="952"/>
      <c r="AB250" s="952"/>
      <c r="AC250" s="952"/>
      <c r="AD250" s="952"/>
      <c r="AE250" s="952"/>
      <c r="AF250" s="952"/>
      <c r="AG250" s="952"/>
      <c r="AH250" s="973"/>
      <c r="AI250" s="973"/>
      <c r="AJ250" s="973"/>
      <c r="AK250" s="973"/>
      <c r="AL250" s="951"/>
      <c r="AM250" s="746" t="s">
        <v>1191</v>
      </c>
      <c r="AN250" s="744">
        <v>2</v>
      </c>
    </row>
    <row r="251" spans="1:40" s="2" customFormat="1" ht="121.5" hidden="1" customHeight="1">
      <c r="A251" s="12"/>
      <c r="B251" s="12"/>
      <c r="C251" s="12"/>
      <c r="D251" s="5"/>
      <c r="E251" s="731" t="s">
        <v>1216</v>
      </c>
      <c r="F251" s="736" t="s">
        <v>1217</v>
      </c>
      <c r="G251" s="731" t="s">
        <v>132</v>
      </c>
      <c r="H251" s="731" t="s">
        <v>1218</v>
      </c>
      <c r="I251" s="736" t="s">
        <v>1219</v>
      </c>
      <c r="J251" s="744">
        <v>1</v>
      </c>
      <c r="K251" s="951"/>
      <c r="L251" s="951"/>
      <c r="M251" s="951"/>
      <c r="N251" s="744"/>
      <c r="O251" s="744"/>
      <c r="P251" s="744"/>
      <c r="Q251" s="744"/>
      <c r="R251" s="744"/>
      <c r="S251" s="744"/>
      <c r="T251" s="744"/>
      <c r="U251" s="744"/>
      <c r="V251" s="744"/>
      <c r="W251" s="744"/>
      <c r="X251" s="744"/>
      <c r="Y251" s="744"/>
      <c r="Z251" s="952"/>
      <c r="AA251" s="952"/>
      <c r="AB251" s="952"/>
      <c r="AC251" s="952"/>
      <c r="AD251" s="952"/>
      <c r="AE251" s="952"/>
      <c r="AF251" s="952"/>
      <c r="AG251" s="952"/>
      <c r="AH251" s="973"/>
      <c r="AI251" s="973"/>
      <c r="AJ251" s="973"/>
      <c r="AK251" s="973"/>
      <c r="AL251" s="951"/>
      <c r="AM251" s="746" t="s">
        <v>1191</v>
      </c>
      <c r="AN251" s="744">
        <v>2</v>
      </c>
    </row>
    <row r="252" spans="1:40" s="2" customFormat="1" ht="121.5" hidden="1" customHeight="1">
      <c r="A252" s="12"/>
      <c r="B252" s="12"/>
      <c r="C252" s="12"/>
      <c r="D252" s="5"/>
      <c r="E252" s="731" t="s">
        <v>1220</v>
      </c>
      <c r="F252" s="736" t="s">
        <v>1221</v>
      </c>
      <c r="G252" s="731" t="s">
        <v>132</v>
      </c>
      <c r="H252" s="731" t="s">
        <v>1222</v>
      </c>
      <c r="I252" s="736" t="s">
        <v>1223</v>
      </c>
      <c r="J252" s="744">
        <v>1</v>
      </c>
      <c r="K252" s="951"/>
      <c r="L252" s="951"/>
      <c r="M252" s="951"/>
      <c r="N252" s="744"/>
      <c r="O252" s="744"/>
      <c r="P252" s="744"/>
      <c r="Q252" s="744"/>
      <c r="R252" s="744"/>
      <c r="S252" s="744"/>
      <c r="T252" s="744"/>
      <c r="U252" s="744"/>
      <c r="V252" s="744"/>
      <c r="W252" s="744"/>
      <c r="X252" s="744"/>
      <c r="Y252" s="744"/>
      <c r="Z252" s="952"/>
      <c r="AA252" s="952"/>
      <c r="AB252" s="952"/>
      <c r="AC252" s="952"/>
      <c r="AD252" s="952"/>
      <c r="AE252" s="952"/>
      <c r="AF252" s="952"/>
      <c r="AG252" s="952"/>
      <c r="AH252" s="973"/>
      <c r="AI252" s="973"/>
      <c r="AJ252" s="973"/>
      <c r="AK252" s="973"/>
      <c r="AL252" s="951"/>
      <c r="AM252" s="746" t="s">
        <v>1191</v>
      </c>
      <c r="AN252" s="744">
        <v>2</v>
      </c>
    </row>
    <row r="253" spans="1:40" s="2" customFormat="1" ht="121.5" hidden="1" customHeight="1">
      <c r="A253" s="12"/>
      <c r="B253" s="12"/>
      <c r="C253" s="12"/>
      <c r="D253" s="5"/>
      <c r="E253" s="731" t="s">
        <v>1224</v>
      </c>
      <c r="F253" s="736" t="s">
        <v>1225</v>
      </c>
      <c r="G253" s="731" t="s">
        <v>132</v>
      </c>
      <c r="H253" s="731" t="s">
        <v>1226</v>
      </c>
      <c r="I253" s="736" t="s">
        <v>1227</v>
      </c>
      <c r="J253" s="744">
        <v>1</v>
      </c>
      <c r="K253" s="951"/>
      <c r="L253" s="951"/>
      <c r="M253" s="951"/>
      <c r="N253" s="744"/>
      <c r="O253" s="744"/>
      <c r="P253" s="744"/>
      <c r="Q253" s="744"/>
      <c r="R253" s="744"/>
      <c r="S253" s="744"/>
      <c r="T253" s="744"/>
      <c r="U253" s="744"/>
      <c r="V253" s="744"/>
      <c r="W253" s="744"/>
      <c r="X253" s="744"/>
      <c r="Y253" s="744"/>
      <c r="Z253" s="952"/>
      <c r="AA253" s="952"/>
      <c r="AB253" s="952"/>
      <c r="AC253" s="952"/>
      <c r="AD253" s="952"/>
      <c r="AE253" s="952"/>
      <c r="AF253" s="952"/>
      <c r="AG253" s="952"/>
      <c r="AH253" s="973"/>
      <c r="AI253" s="973"/>
      <c r="AJ253" s="973"/>
      <c r="AK253" s="973"/>
      <c r="AL253" s="951"/>
      <c r="AM253" s="746" t="s">
        <v>1191</v>
      </c>
      <c r="AN253" s="744">
        <v>2</v>
      </c>
    </row>
    <row r="254" spans="1:40" s="2" customFormat="1" ht="121.5" hidden="1" customHeight="1">
      <c r="A254" s="12"/>
      <c r="B254" s="12"/>
      <c r="C254" s="12"/>
      <c r="D254" s="5"/>
      <c r="E254" s="731" t="s">
        <v>1228</v>
      </c>
      <c r="F254" s="736" t="s">
        <v>1229</v>
      </c>
      <c r="G254" s="731" t="s">
        <v>132</v>
      </c>
      <c r="H254" s="731" t="s">
        <v>1230</v>
      </c>
      <c r="I254" s="736" t="s">
        <v>1231</v>
      </c>
      <c r="J254" s="744">
        <v>1</v>
      </c>
      <c r="K254" s="951"/>
      <c r="L254" s="951"/>
      <c r="M254" s="951"/>
      <c r="N254" s="744"/>
      <c r="O254" s="744"/>
      <c r="P254" s="744"/>
      <c r="Q254" s="744"/>
      <c r="R254" s="744"/>
      <c r="S254" s="744"/>
      <c r="T254" s="744"/>
      <c r="U254" s="744"/>
      <c r="V254" s="744"/>
      <c r="W254" s="744"/>
      <c r="X254" s="744"/>
      <c r="Y254" s="744"/>
      <c r="Z254" s="952"/>
      <c r="AA254" s="952"/>
      <c r="AB254" s="952"/>
      <c r="AC254" s="952"/>
      <c r="AD254" s="952"/>
      <c r="AE254" s="952"/>
      <c r="AF254" s="952"/>
      <c r="AG254" s="952"/>
      <c r="AH254" s="973"/>
      <c r="AI254" s="973"/>
      <c r="AJ254" s="973"/>
      <c r="AK254" s="973"/>
      <c r="AL254" s="951"/>
      <c r="AM254" s="746" t="s">
        <v>1191</v>
      </c>
      <c r="AN254" s="744">
        <v>2</v>
      </c>
    </row>
    <row r="255" spans="1:40" s="2" customFormat="1" ht="121.5" hidden="1" customHeight="1">
      <c r="A255" s="12"/>
      <c r="B255" s="12"/>
      <c r="C255" s="12"/>
      <c r="D255" s="5"/>
      <c r="E255" s="731" t="s">
        <v>1232</v>
      </c>
      <c r="F255" s="736" t="s">
        <v>1233</v>
      </c>
      <c r="G255" s="731" t="s">
        <v>132</v>
      </c>
      <c r="H255" s="731" t="s">
        <v>1234</v>
      </c>
      <c r="I255" s="736" t="s">
        <v>1235</v>
      </c>
      <c r="J255" s="744">
        <v>1</v>
      </c>
      <c r="K255" s="951"/>
      <c r="L255" s="951"/>
      <c r="M255" s="951"/>
      <c r="N255" s="744"/>
      <c r="O255" s="744"/>
      <c r="P255" s="744"/>
      <c r="Q255" s="744"/>
      <c r="R255" s="744"/>
      <c r="S255" s="744"/>
      <c r="T255" s="744"/>
      <c r="U255" s="744"/>
      <c r="V255" s="744"/>
      <c r="W255" s="744"/>
      <c r="X255" s="744"/>
      <c r="Y255" s="744"/>
      <c r="Z255" s="952"/>
      <c r="AA255" s="952"/>
      <c r="AB255" s="952"/>
      <c r="AC255" s="952"/>
      <c r="AD255" s="952"/>
      <c r="AE255" s="952"/>
      <c r="AF255" s="952"/>
      <c r="AG255" s="952"/>
      <c r="AH255" s="973"/>
      <c r="AI255" s="973"/>
      <c r="AJ255" s="973"/>
      <c r="AK255" s="973"/>
      <c r="AL255" s="951"/>
      <c r="AM255" s="746" t="s">
        <v>1191</v>
      </c>
      <c r="AN255" s="744">
        <v>2</v>
      </c>
    </row>
    <row r="256" spans="1:40" s="2" customFormat="1" ht="121.5" hidden="1" customHeight="1">
      <c r="A256" s="12"/>
      <c r="B256" s="12"/>
      <c r="C256" s="12"/>
      <c r="D256" s="5"/>
      <c r="E256" s="731" t="s">
        <v>1236</v>
      </c>
      <c r="F256" s="736" t="s">
        <v>1237</v>
      </c>
      <c r="G256" s="731" t="s">
        <v>132</v>
      </c>
      <c r="H256" s="731" t="s">
        <v>1238</v>
      </c>
      <c r="I256" s="736" t="s">
        <v>1239</v>
      </c>
      <c r="J256" s="744">
        <v>1</v>
      </c>
      <c r="K256" s="951"/>
      <c r="L256" s="951"/>
      <c r="M256" s="951"/>
      <c r="N256" s="744"/>
      <c r="O256" s="744"/>
      <c r="P256" s="744"/>
      <c r="Q256" s="744"/>
      <c r="R256" s="744"/>
      <c r="S256" s="744"/>
      <c r="T256" s="744"/>
      <c r="U256" s="744"/>
      <c r="V256" s="744"/>
      <c r="W256" s="744"/>
      <c r="X256" s="744"/>
      <c r="Y256" s="744"/>
      <c r="Z256" s="952"/>
      <c r="AA256" s="952"/>
      <c r="AB256" s="952"/>
      <c r="AC256" s="952"/>
      <c r="AD256" s="952"/>
      <c r="AE256" s="952"/>
      <c r="AF256" s="952"/>
      <c r="AG256" s="952"/>
      <c r="AH256" s="973"/>
      <c r="AI256" s="973"/>
      <c r="AJ256" s="973"/>
      <c r="AK256" s="973"/>
      <c r="AL256" s="951"/>
      <c r="AM256" s="746" t="s">
        <v>1191</v>
      </c>
      <c r="AN256" s="744">
        <v>2</v>
      </c>
    </row>
    <row r="257" spans="1:40" s="2" customFormat="1" ht="121.5" hidden="1" customHeight="1">
      <c r="A257" s="12"/>
      <c r="B257" s="12"/>
      <c r="C257" s="12"/>
      <c r="D257" s="5"/>
      <c r="E257" s="731" t="s">
        <v>1240</v>
      </c>
      <c r="F257" s="736" t="s">
        <v>1241</v>
      </c>
      <c r="G257" s="731" t="s">
        <v>132</v>
      </c>
      <c r="H257" s="731" t="s">
        <v>1242</v>
      </c>
      <c r="I257" s="736" t="s">
        <v>1243</v>
      </c>
      <c r="J257" s="744">
        <v>1</v>
      </c>
      <c r="K257" s="951"/>
      <c r="L257" s="951"/>
      <c r="M257" s="951"/>
      <c r="N257" s="744"/>
      <c r="O257" s="744"/>
      <c r="P257" s="744"/>
      <c r="Q257" s="744"/>
      <c r="R257" s="744"/>
      <c r="S257" s="744"/>
      <c r="T257" s="744"/>
      <c r="U257" s="744"/>
      <c r="V257" s="744"/>
      <c r="W257" s="744"/>
      <c r="X257" s="744"/>
      <c r="Y257" s="744"/>
      <c r="Z257" s="952"/>
      <c r="AA257" s="952"/>
      <c r="AB257" s="952"/>
      <c r="AC257" s="952"/>
      <c r="AD257" s="952"/>
      <c r="AE257" s="952"/>
      <c r="AF257" s="952"/>
      <c r="AG257" s="952"/>
      <c r="AH257" s="973"/>
      <c r="AI257" s="973"/>
      <c r="AJ257" s="973"/>
      <c r="AK257" s="973"/>
      <c r="AL257" s="951"/>
      <c r="AM257" s="746" t="s">
        <v>1191</v>
      </c>
      <c r="AN257" s="744">
        <v>2</v>
      </c>
    </row>
    <row r="258" spans="1:40" s="2" customFormat="1" ht="121.5" hidden="1" customHeight="1">
      <c r="A258" s="12"/>
      <c r="B258" s="12"/>
      <c r="C258" s="12"/>
      <c r="D258" s="5"/>
      <c r="E258" s="731" t="s">
        <v>1244</v>
      </c>
      <c r="F258" s="736" t="s">
        <v>1245</v>
      </c>
      <c r="G258" s="731" t="s">
        <v>132</v>
      </c>
      <c r="H258" s="731" t="s">
        <v>1246</v>
      </c>
      <c r="I258" s="736" t="s">
        <v>1247</v>
      </c>
      <c r="J258" s="744">
        <v>1</v>
      </c>
      <c r="K258" s="951"/>
      <c r="L258" s="951"/>
      <c r="M258" s="951"/>
      <c r="N258" s="744"/>
      <c r="O258" s="744"/>
      <c r="P258" s="744"/>
      <c r="Q258" s="744"/>
      <c r="R258" s="744"/>
      <c r="S258" s="744"/>
      <c r="T258" s="744"/>
      <c r="U258" s="744"/>
      <c r="V258" s="744"/>
      <c r="W258" s="744"/>
      <c r="X258" s="744"/>
      <c r="Y258" s="744"/>
      <c r="Z258" s="952"/>
      <c r="AA258" s="952"/>
      <c r="AB258" s="952"/>
      <c r="AC258" s="952"/>
      <c r="AD258" s="952"/>
      <c r="AE258" s="952"/>
      <c r="AF258" s="952"/>
      <c r="AG258" s="952"/>
      <c r="AH258" s="973"/>
      <c r="AI258" s="973"/>
      <c r="AJ258" s="973"/>
      <c r="AK258" s="973"/>
      <c r="AL258" s="951"/>
      <c r="AM258" s="746" t="s">
        <v>1191</v>
      </c>
      <c r="AN258" s="744">
        <v>2</v>
      </c>
    </row>
    <row r="259" spans="1:40" s="2" customFormat="1" ht="121.5" hidden="1" customHeight="1">
      <c r="A259" s="12"/>
      <c r="B259" s="12"/>
      <c r="C259" s="12"/>
      <c r="D259" s="5"/>
      <c r="E259" s="731" t="s">
        <v>1248</v>
      </c>
      <c r="F259" s="736" t="s">
        <v>1249</v>
      </c>
      <c r="G259" s="731" t="s">
        <v>132</v>
      </c>
      <c r="H259" s="731" t="s">
        <v>1250</v>
      </c>
      <c r="I259" s="736" t="s">
        <v>1251</v>
      </c>
      <c r="J259" s="744">
        <v>1</v>
      </c>
      <c r="K259" s="951"/>
      <c r="L259" s="951"/>
      <c r="M259" s="951"/>
      <c r="N259" s="744"/>
      <c r="O259" s="744"/>
      <c r="P259" s="744"/>
      <c r="Q259" s="744"/>
      <c r="R259" s="744"/>
      <c r="S259" s="744"/>
      <c r="T259" s="744"/>
      <c r="U259" s="744"/>
      <c r="V259" s="744"/>
      <c r="W259" s="744"/>
      <c r="X259" s="744"/>
      <c r="Y259" s="744"/>
      <c r="Z259" s="952"/>
      <c r="AA259" s="952"/>
      <c r="AB259" s="952"/>
      <c r="AC259" s="952"/>
      <c r="AD259" s="952"/>
      <c r="AE259" s="952"/>
      <c r="AF259" s="952"/>
      <c r="AG259" s="952"/>
      <c r="AH259" s="973"/>
      <c r="AI259" s="973"/>
      <c r="AJ259" s="973"/>
      <c r="AK259" s="973"/>
      <c r="AL259" s="951"/>
      <c r="AM259" s="746" t="s">
        <v>1191</v>
      </c>
      <c r="AN259" s="744">
        <v>2</v>
      </c>
    </row>
    <row r="260" spans="1:40" s="2" customFormat="1" ht="121.5" hidden="1" customHeight="1">
      <c r="A260" s="12"/>
      <c r="B260" s="12"/>
      <c r="C260" s="12"/>
      <c r="D260" s="5"/>
      <c r="E260" s="731" t="s">
        <v>1252</v>
      </c>
      <c r="F260" s="736" t="s">
        <v>1253</v>
      </c>
      <c r="G260" s="731" t="s">
        <v>132</v>
      </c>
      <c r="H260" s="731" t="s">
        <v>1254</v>
      </c>
      <c r="I260" s="736" t="s">
        <v>1255</v>
      </c>
      <c r="J260" s="744">
        <v>1</v>
      </c>
      <c r="K260" s="951"/>
      <c r="L260" s="951"/>
      <c r="M260" s="951"/>
      <c r="N260" s="744"/>
      <c r="O260" s="744"/>
      <c r="P260" s="744"/>
      <c r="Q260" s="744"/>
      <c r="R260" s="744"/>
      <c r="S260" s="744"/>
      <c r="T260" s="744"/>
      <c r="U260" s="744"/>
      <c r="V260" s="744"/>
      <c r="W260" s="744"/>
      <c r="X260" s="744"/>
      <c r="Y260" s="744"/>
      <c r="Z260" s="952"/>
      <c r="AA260" s="952"/>
      <c r="AB260" s="952"/>
      <c r="AC260" s="952"/>
      <c r="AD260" s="952"/>
      <c r="AE260" s="952"/>
      <c r="AF260" s="952"/>
      <c r="AG260" s="952"/>
      <c r="AH260" s="973"/>
      <c r="AI260" s="973"/>
      <c r="AJ260" s="973"/>
      <c r="AK260" s="973"/>
      <c r="AL260" s="951"/>
      <c r="AM260" s="746" t="s">
        <v>1191</v>
      </c>
      <c r="AN260" s="744">
        <v>2</v>
      </c>
    </row>
    <row r="261" spans="1:40" s="2" customFormat="1" ht="121.5" hidden="1" customHeight="1">
      <c r="A261" s="12"/>
      <c r="B261" s="12"/>
      <c r="C261" s="12"/>
      <c r="D261" s="5"/>
      <c r="E261" s="731" t="s">
        <v>1256</v>
      </c>
      <c r="F261" s="736" t="s">
        <v>1257</v>
      </c>
      <c r="G261" s="731" t="s">
        <v>132</v>
      </c>
      <c r="H261" s="731" t="s">
        <v>1258</v>
      </c>
      <c r="I261" s="736" t="s">
        <v>1259</v>
      </c>
      <c r="J261" s="744">
        <v>1</v>
      </c>
      <c r="K261" s="951"/>
      <c r="L261" s="951"/>
      <c r="M261" s="951"/>
      <c r="N261" s="744"/>
      <c r="O261" s="744"/>
      <c r="P261" s="744"/>
      <c r="Q261" s="744"/>
      <c r="R261" s="744"/>
      <c r="S261" s="744"/>
      <c r="T261" s="744"/>
      <c r="U261" s="744"/>
      <c r="V261" s="744"/>
      <c r="W261" s="744"/>
      <c r="X261" s="744"/>
      <c r="Y261" s="744"/>
      <c r="Z261" s="952"/>
      <c r="AA261" s="952"/>
      <c r="AB261" s="952"/>
      <c r="AC261" s="952"/>
      <c r="AD261" s="952"/>
      <c r="AE261" s="952"/>
      <c r="AF261" s="952"/>
      <c r="AG261" s="952"/>
      <c r="AH261" s="973"/>
      <c r="AI261" s="973"/>
      <c r="AJ261" s="973"/>
      <c r="AK261" s="973"/>
      <c r="AL261" s="951"/>
      <c r="AM261" s="746" t="s">
        <v>1191</v>
      </c>
      <c r="AN261" s="744">
        <v>2</v>
      </c>
    </row>
    <row r="262" spans="1:40" s="2" customFormat="1" ht="121.5" hidden="1" customHeight="1">
      <c r="A262" s="12"/>
      <c r="B262" s="12"/>
      <c r="C262" s="12"/>
      <c r="D262" s="5"/>
      <c r="E262" s="731" t="s">
        <v>1260</v>
      </c>
      <c r="F262" s="736" t="s">
        <v>1261</v>
      </c>
      <c r="G262" s="731" t="s">
        <v>132</v>
      </c>
      <c r="H262" s="731" t="s">
        <v>1262</v>
      </c>
      <c r="I262" s="736" t="s">
        <v>1263</v>
      </c>
      <c r="J262" s="744">
        <v>1</v>
      </c>
      <c r="K262" s="951"/>
      <c r="L262" s="951"/>
      <c r="M262" s="951"/>
      <c r="N262" s="744"/>
      <c r="O262" s="744"/>
      <c r="P262" s="744"/>
      <c r="Q262" s="744"/>
      <c r="R262" s="744"/>
      <c r="S262" s="744"/>
      <c r="T262" s="744"/>
      <c r="U262" s="744"/>
      <c r="V262" s="744"/>
      <c r="W262" s="744"/>
      <c r="X262" s="744"/>
      <c r="Y262" s="744"/>
      <c r="Z262" s="952"/>
      <c r="AA262" s="952"/>
      <c r="AB262" s="952"/>
      <c r="AC262" s="952"/>
      <c r="AD262" s="952"/>
      <c r="AE262" s="952"/>
      <c r="AF262" s="952"/>
      <c r="AG262" s="952"/>
      <c r="AH262" s="973"/>
      <c r="AI262" s="973"/>
      <c r="AJ262" s="973"/>
      <c r="AK262" s="973"/>
      <c r="AL262" s="951"/>
      <c r="AM262" s="746" t="s">
        <v>1191</v>
      </c>
      <c r="AN262" s="744">
        <v>2</v>
      </c>
    </row>
    <row r="263" spans="1:40" s="2" customFormat="1" ht="121.5" hidden="1" customHeight="1">
      <c r="A263" s="12"/>
      <c r="B263" s="12"/>
      <c r="C263" s="12"/>
      <c r="D263" s="5"/>
      <c r="E263" s="731" t="s">
        <v>1264</v>
      </c>
      <c r="F263" s="736" t="s">
        <v>1265</v>
      </c>
      <c r="G263" s="731" t="s">
        <v>132</v>
      </c>
      <c r="H263" s="731" t="s">
        <v>1266</v>
      </c>
      <c r="I263" s="736" t="s">
        <v>1267</v>
      </c>
      <c r="J263" s="744">
        <v>1</v>
      </c>
      <c r="K263" s="951"/>
      <c r="L263" s="951"/>
      <c r="M263" s="951"/>
      <c r="N263" s="744"/>
      <c r="O263" s="744"/>
      <c r="P263" s="744"/>
      <c r="Q263" s="744"/>
      <c r="R263" s="744"/>
      <c r="S263" s="744"/>
      <c r="T263" s="744"/>
      <c r="U263" s="744"/>
      <c r="V263" s="744"/>
      <c r="W263" s="744"/>
      <c r="X263" s="744"/>
      <c r="Y263" s="744"/>
      <c r="Z263" s="952"/>
      <c r="AA263" s="952"/>
      <c r="AB263" s="952"/>
      <c r="AC263" s="952"/>
      <c r="AD263" s="952"/>
      <c r="AE263" s="952"/>
      <c r="AF263" s="952"/>
      <c r="AG263" s="952"/>
      <c r="AH263" s="973"/>
      <c r="AI263" s="973"/>
      <c r="AJ263" s="973"/>
      <c r="AK263" s="973"/>
      <c r="AL263" s="951"/>
      <c r="AM263" s="746" t="s">
        <v>1191</v>
      </c>
      <c r="AN263" s="744">
        <v>2</v>
      </c>
    </row>
    <row r="264" spans="1:40" s="2" customFormat="1" ht="121.5" hidden="1" customHeight="1">
      <c r="A264" s="12"/>
      <c r="B264" s="12"/>
      <c r="C264" s="12"/>
      <c r="D264" s="5"/>
      <c r="E264" s="731" t="s">
        <v>1268</v>
      </c>
      <c r="F264" s="736" t="s">
        <v>1269</v>
      </c>
      <c r="G264" s="731" t="s">
        <v>132</v>
      </c>
      <c r="H264" s="731" t="s">
        <v>1270</v>
      </c>
      <c r="I264" s="736" t="s">
        <v>1271</v>
      </c>
      <c r="J264" s="744">
        <v>1</v>
      </c>
      <c r="K264" s="951"/>
      <c r="L264" s="951"/>
      <c r="M264" s="951"/>
      <c r="N264" s="744"/>
      <c r="O264" s="744"/>
      <c r="P264" s="744"/>
      <c r="Q264" s="744"/>
      <c r="R264" s="744"/>
      <c r="S264" s="744"/>
      <c r="T264" s="744"/>
      <c r="U264" s="744"/>
      <c r="V264" s="744"/>
      <c r="W264" s="744"/>
      <c r="X264" s="744"/>
      <c r="Y264" s="744"/>
      <c r="Z264" s="952"/>
      <c r="AA264" s="952"/>
      <c r="AB264" s="952"/>
      <c r="AC264" s="952"/>
      <c r="AD264" s="952"/>
      <c r="AE264" s="952"/>
      <c r="AF264" s="952"/>
      <c r="AG264" s="952"/>
      <c r="AH264" s="973"/>
      <c r="AI264" s="973"/>
      <c r="AJ264" s="973"/>
      <c r="AK264" s="973"/>
      <c r="AL264" s="951"/>
      <c r="AM264" s="746" t="s">
        <v>1191</v>
      </c>
      <c r="AN264" s="744">
        <v>2</v>
      </c>
    </row>
    <row r="265" spans="1:40" s="2" customFormat="1" ht="121.5" hidden="1" customHeight="1">
      <c r="A265" s="12"/>
      <c r="B265" s="12"/>
      <c r="C265" s="12"/>
      <c r="D265" s="5"/>
      <c r="E265" s="731" t="s">
        <v>1272</v>
      </c>
      <c r="F265" s="736" t="s">
        <v>1273</v>
      </c>
      <c r="G265" s="731" t="s">
        <v>132</v>
      </c>
      <c r="H265" s="731" t="s">
        <v>1274</v>
      </c>
      <c r="I265" s="736" t="s">
        <v>1275</v>
      </c>
      <c r="J265" s="744">
        <v>1</v>
      </c>
      <c r="K265" s="951"/>
      <c r="L265" s="951"/>
      <c r="M265" s="951"/>
      <c r="N265" s="744"/>
      <c r="O265" s="744"/>
      <c r="P265" s="744"/>
      <c r="Q265" s="744"/>
      <c r="R265" s="744"/>
      <c r="S265" s="744"/>
      <c r="T265" s="744"/>
      <c r="U265" s="744"/>
      <c r="V265" s="744"/>
      <c r="W265" s="744"/>
      <c r="X265" s="744"/>
      <c r="Y265" s="744"/>
      <c r="Z265" s="952"/>
      <c r="AA265" s="952"/>
      <c r="AB265" s="952"/>
      <c r="AC265" s="952"/>
      <c r="AD265" s="952"/>
      <c r="AE265" s="952"/>
      <c r="AF265" s="952"/>
      <c r="AG265" s="952"/>
      <c r="AH265" s="973"/>
      <c r="AI265" s="973"/>
      <c r="AJ265" s="973"/>
      <c r="AK265" s="973"/>
      <c r="AL265" s="951"/>
      <c r="AM265" s="746" t="s">
        <v>1191</v>
      </c>
      <c r="AN265" s="744">
        <v>2</v>
      </c>
    </row>
    <row r="266" spans="1:40" s="2" customFormat="1" ht="121.5" hidden="1" customHeight="1">
      <c r="A266" s="12"/>
      <c r="B266" s="12"/>
      <c r="C266" s="12"/>
      <c r="D266" s="5"/>
      <c r="E266" s="731" t="s">
        <v>1276</v>
      </c>
      <c r="F266" s="736" t="s">
        <v>1277</v>
      </c>
      <c r="G266" s="731" t="s">
        <v>132</v>
      </c>
      <c r="H266" s="731" t="s">
        <v>1278</v>
      </c>
      <c r="I266" s="736" t="s">
        <v>1279</v>
      </c>
      <c r="J266" s="744">
        <v>1</v>
      </c>
      <c r="K266" s="951"/>
      <c r="L266" s="951"/>
      <c r="M266" s="951"/>
      <c r="N266" s="744"/>
      <c r="O266" s="744"/>
      <c r="P266" s="744"/>
      <c r="Q266" s="744"/>
      <c r="R266" s="744"/>
      <c r="S266" s="744"/>
      <c r="T266" s="744"/>
      <c r="U266" s="744"/>
      <c r="V266" s="744"/>
      <c r="W266" s="744"/>
      <c r="X266" s="744"/>
      <c r="Y266" s="744"/>
      <c r="Z266" s="952"/>
      <c r="AA266" s="952"/>
      <c r="AB266" s="952"/>
      <c r="AC266" s="952"/>
      <c r="AD266" s="952"/>
      <c r="AE266" s="952"/>
      <c r="AF266" s="952"/>
      <c r="AG266" s="952"/>
      <c r="AH266" s="973"/>
      <c r="AI266" s="973"/>
      <c r="AJ266" s="973"/>
      <c r="AK266" s="973"/>
      <c r="AL266" s="951"/>
      <c r="AM266" s="746" t="s">
        <v>1191</v>
      </c>
      <c r="AN266" s="744">
        <v>2</v>
      </c>
    </row>
    <row r="267" spans="1:40" s="2" customFormat="1" ht="121.5" hidden="1" customHeight="1">
      <c r="A267" s="12"/>
      <c r="B267" s="12"/>
      <c r="C267" s="12"/>
      <c r="D267" s="5"/>
      <c r="E267" s="731" t="s">
        <v>1280</v>
      </c>
      <c r="F267" s="736" t="s">
        <v>1281</v>
      </c>
      <c r="G267" s="731" t="s">
        <v>172</v>
      </c>
      <c r="H267" s="731" t="s">
        <v>1282</v>
      </c>
      <c r="I267" s="736" t="s">
        <v>1283</v>
      </c>
      <c r="J267" s="744">
        <v>1</v>
      </c>
      <c r="K267" s="951"/>
      <c r="L267" s="951"/>
      <c r="M267" s="951"/>
      <c r="N267" s="744"/>
      <c r="O267" s="744"/>
      <c r="P267" s="744"/>
      <c r="Q267" s="744"/>
      <c r="R267" s="744"/>
      <c r="S267" s="744"/>
      <c r="T267" s="744"/>
      <c r="U267" s="744"/>
      <c r="V267" s="744"/>
      <c r="W267" s="744"/>
      <c r="X267" s="744"/>
      <c r="Y267" s="744"/>
      <c r="Z267" s="952"/>
      <c r="AA267" s="952"/>
      <c r="AB267" s="952"/>
      <c r="AC267" s="952"/>
      <c r="AD267" s="952"/>
      <c r="AE267" s="952"/>
      <c r="AF267" s="952"/>
      <c r="AG267" s="952"/>
      <c r="AH267" s="973"/>
      <c r="AI267" s="973"/>
      <c r="AJ267" s="973"/>
      <c r="AK267" s="973"/>
      <c r="AL267" s="951"/>
      <c r="AM267" s="746" t="s">
        <v>1191</v>
      </c>
      <c r="AN267" s="744">
        <v>2</v>
      </c>
    </row>
    <row r="268" spans="1:40" s="2" customFormat="1" ht="121.5" hidden="1" customHeight="1">
      <c r="A268" s="12"/>
      <c r="B268" s="12"/>
      <c r="C268" s="12"/>
      <c r="D268" s="5"/>
      <c r="E268" s="731" t="s">
        <v>1284</v>
      </c>
      <c r="F268" s="736" t="s">
        <v>1285</v>
      </c>
      <c r="G268" s="731" t="s">
        <v>172</v>
      </c>
      <c r="H268" s="731" t="s">
        <v>1286</v>
      </c>
      <c r="I268" s="736" t="s">
        <v>1287</v>
      </c>
      <c r="J268" s="744">
        <v>1</v>
      </c>
      <c r="K268" s="951"/>
      <c r="L268" s="951"/>
      <c r="M268" s="951"/>
      <c r="N268" s="744"/>
      <c r="O268" s="744"/>
      <c r="P268" s="744"/>
      <c r="Q268" s="744"/>
      <c r="R268" s="744"/>
      <c r="S268" s="744"/>
      <c r="T268" s="744"/>
      <c r="U268" s="744"/>
      <c r="V268" s="744"/>
      <c r="W268" s="744"/>
      <c r="X268" s="744"/>
      <c r="Y268" s="744"/>
      <c r="Z268" s="952"/>
      <c r="AA268" s="952"/>
      <c r="AB268" s="952"/>
      <c r="AC268" s="952"/>
      <c r="AD268" s="952"/>
      <c r="AE268" s="952"/>
      <c r="AF268" s="952"/>
      <c r="AG268" s="952"/>
      <c r="AH268" s="973"/>
      <c r="AI268" s="973"/>
      <c r="AJ268" s="973"/>
      <c r="AK268" s="973"/>
      <c r="AL268" s="951"/>
      <c r="AM268" s="746" t="s">
        <v>1191</v>
      </c>
      <c r="AN268" s="744">
        <v>2</v>
      </c>
    </row>
    <row r="269" spans="1:40" s="2" customFormat="1" ht="121.5" hidden="1" customHeight="1">
      <c r="A269" s="12"/>
      <c r="B269" s="12"/>
      <c r="C269" s="12"/>
      <c r="D269" s="5"/>
      <c r="E269" s="731" t="s">
        <v>1288</v>
      </c>
      <c r="F269" s="736" t="s">
        <v>1289</v>
      </c>
      <c r="G269" s="731" t="s">
        <v>172</v>
      </c>
      <c r="H269" s="731" t="s">
        <v>1290</v>
      </c>
      <c r="I269" s="736" t="s">
        <v>1291</v>
      </c>
      <c r="J269" s="744">
        <v>1</v>
      </c>
      <c r="K269" s="951"/>
      <c r="L269" s="951"/>
      <c r="M269" s="951"/>
      <c r="N269" s="744"/>
      <c r="O269" s="744"/>
      <c r="P269" s="744"/>
      <c r="Q269" s="744"/>
      <c r="R269" s="744"/>
      <c r="S269" s="744"/>
      <c r="T269" s="744"/>
      <c r="U269" s="744"/>
      <c r="V269" s="744"/>
      <c r="W269" s="744"/>
      <c r="X269" s="744"/>
      <c r="Y269" s="744"/>
      <c r="Z269" s="952"/>
      <c r="AA269" s="952"/>
      <c r="AB269" s="952"/>
      <c r="AC269" s="952"/>
      <c r="AD269" s="952"/>
      <c r="AE269" s="952"/>
      <c r="AF269" s="952"/>
      <c r="AG269" s="952"/>
      <c r="AH269" s="973"/>
      <c r="AI269" s="973"/>
      <c r="AJ269" s="973"/>
      <c r="AK269" s="973"/>
      <c r="AL269" s="951"/>
      <c r="AM269" s="746" t="s">
        <v>1191</v>
      </c>
      <c r="AN269" s="744">
        <v>2</v>
      </c>
    </row>
    <row r="270" spans="1:40" s="2" customFormat="1" ht="121.5" hidden="1" customHeight="1">
      <c r="A270" s="12"/>
      <c r="B270" s="12"/>
      <c r="C270" s="12"/>
      <c r="D270" s="5"/>
      <c r="E270" s="731" t="s">
        <v>1292</v>
      </c>
      <c r="F270" s="736" t="s">
        <v>1293</v>
      </c>
      <c r="G270" s="731" t="s">
        <v>172</v>
      </c>
      <c r="H270" s="731" t="s">
        <v>1294</v>
      </c>
      <c r="I270" s="736" t="s">
        <v>1295</v>
      </c>
      <c r="J270" s="744">
        <v>1</v>
      </c>
      <c r="K270" s="951"/>
      <c r="L270" s="951"/>
      <c r="M270" s="951"/>
      <c r="N270" s="744"/>
      <c r="O270" s="744"/>
      <c r="P270" s="744"/>
      <c r="Q270" s="744"/>
      <c r="R270" s="744"/>
      <c r="S270" s="744"/>
      <c r="T270" s="744"/>
      <c r="U270" s="744"/>
      <c r="V270" s="744"/>
      <c r="W270" s="744"/>
      <c r="X270" s="744"/>
      <c r="Y270" s="744"/>
      <c r="Z270" s="952"/>
      <c r="AA270" s="952"/>
      <c r="AB270" s="952"/>
      <c r="AC270" s="952"/>
      <c r="AD270" s="952"/>
      <c r="AE270" s="952"/>
      <c r="AF270" s="952"/>
      <c r="AG270" s="952"/>
      <c r="AH270" s="973"/>
      <c r="AI270" s="973"/>
      <c r="AJ270" s="973"/>
      <c r="AK270" s="973"/>
      <c r="AL270" s="951"/>
      <c r="AM270" s="746" t="s">
        <v>1191</v>
      </c>
      <c r="AN270" s="744">
        <v>2</v>
      </c>
    </row>
    <row r="271" spans="1:40" s="2" customFormat="1" ht="121.5" hidden="1" customHeight="1">
      <c r="A271" s="12"/>
      <c r="B271" s="12"/>
      <c r="C271" s="12"/>
      <c r="D271" s="5"/>
      <c r="E271" s="731" t="s">
        <v>1296</v>
      </c>
      <c r="F271" s="736" t="s">
        <v>1297</v>
      </c>
      <c r="G271" s="731" t="s">
        <v>172</v>
      </c>
      <c r="H271" s="731" t="s">
        <v>1298</v>
      </c>
      <c r="I271" s="736" t="s">
        <v>1299</v>
      </c>
      <c r="J271" s="744">
        <v>1</v>
      </c>
      <c r="K271" s="951"/>
      <c r="L271" s="951"/>
      <c r="M271" s="951"/>
      <c r="N271" s="744"/>
      <c r="O271" s="744"/>
      <c r="P271" s="744"/>
      <c r="Q271" s="744"/>
      <c r="R271" s="744"/>
      <c r="S271" s="744"/>
      <c r="T271" s="744"/>
      <c r="U271" s="744"/>
      <c r="V271" s="744"/>
      <c r="W271" s="744"/>
      <c r="X271" s="744"/>
      <c r="Y271" s="744"/>
      <c r="Z271" s="952"/>
      <c r="AA271" s="952"/>
      <c r="AB271" s="952"/>
      <c r="AC271" s="952"/>
      <c r="AD271" s="952"/>
      <c r="AE271" s="952"/>
      <c r="AF271" s="952"/>
      <c r="AG271" s="952"/>
      <c r="AH271" s="973"/>
      <c r="AI271" s="973"/>
      <c r="AJ271" s="973"/>
      <c r="AK271" s="973"/>
      <c r="AL271" s="951"/>
      <c r="AM271" s="746" t="s">
        <v>1191</v>
      </c>
      <c r="AN271" s="744">
        <v>2</v>
      </c>
    </row>
    <row r="272" spans="1:40" s="2" customFormat="1" ht="121.5" hidden="1" customHeight="1">
      <c r="A272" s="12"/>
      <c r="B272" s="12"/>
      <c r="C272" s="12"/>
      <c r="D272" s="5"/>
      <c r="E272" s="731" t="s">
        <v>1300</v>
      </c>
      <c r="F272" s="736" t="s">
        <v>1301</v>
      </c>
      <c r="G272" s="731" t="s">
        <v>172</v>
      </c>
      <c r="H272" s="731" t="s">
        <v>1302</v>
      </c>
      <c r="I272" s="736" t="s">
        <v>1303</v>
      </c>
      <c r="J272" s="744">
        <v>1</v>
      </c>
      <c r="K272" s="951"/>
      <c r="L272" s="951"/>
      <c r="M272" s="951"/>
      <c r="N272" s="744"/>
      <c r="O272" s="744"/>
      <c r="P272" s="744"/>
      <c r="Q272" s="744"/>
      <c r="R272" s="744"/>
      <c r="S272" s="744"/>
      <c r="T272" s="744"/>
      <c r="U272" s="744"/>
      <c r="V272" s="744"/>
      <c r="W272" s="744"/>
      <c r="X272" s="744"/>
      <c r="Y272" s="744"/>
      <c r="Z272" s="952"/>
      <c r="AA272" s="952"/>
      <c r="AB272" s="952"/>
      <c r="AC272" s="952"/>
      <c r="AD272" s="952"/>
      <c r="AE272" s="952"/>
      <c r="AF272" s="952"/>
      <c r="AG272" s="952"/>
      <c r="AH272" s="973"/>
      <c r="AI272" s="973"/>
      <c r="AJ272" s="973"/>
      <c r="AK272" s="973"/>
      <c r="AL272" s="951"/>
      <c r="AM272" s="746" t="s">
        <v>1191</v>
      </c>
      <c r="AN272" s="744">
        <v>2</v>
      </c>
    </row>
    <row r="273" spans="1:40" s="2" customFormat="1" ht="121.5" hidden="1" customHeight="1">
      <c r="A273" s="12"/>
      <c r="B273" s="12"/>
      <c r="C273" s="12"/>
      <c r="D273" s="5"/>
      <c r="E273" s="731" t="s">
        <v>1304</v>
      </c>
      <c r="F273" s="736" t="s">
        <v>1305</v>
      </c>
      <c r="G273" s="731" t="s">
        <v>172</v>
      </c>
      <c r="H273" s="731" t="s">
        <v>1306</v>
      </c>
      <c r="I273" s="736" t="s">
        <v>1307</v>
      </c>
      <c r="J273" s="744">
        <v>1</v>
      </c>
      <c r="K273" s="951"/>
      <c r="L273" s="951"/>
      <c r="M273" s="951"/>
      <c r="N273" s="744"/>
      <c r="O273" s="744"/>
      <c r="P273" s="744"/>
      <c r="Q273" s="744"/>
      <c r="R273" s="744"/>
      <c r="S273" s="744"/>
      <c r="T273" s="744"/>
      <c r="U273" s="744"/>
      <c r="V273" s="744"/>
      <c r="W273" s="744"/>
      <c r="X273" s="744"/>
      <c r="Y273" s="744"/>
      <c r="Z273" s="952"/>
      <c r="AA273" s="952"/>
      <c r="AB273" s="952"/>
      <c r="AC273" s="952"/>
      <c r="AD273" s="952"/>
      <c r="AE273" s="952"/>
      <c r="AF273" s="952"/>
      <c r="AG273" s="952"/>
      <c r="AH273" s="973"/>
      <c r="AI273" s="973"/>
      <c r="AJ273" s="973"/>
      <c r="AK273" s="973"/>
      <c r="AL273" s="951"/>
      <c r="AM273" s="746" t="s">
        <v>1191</v>
      </c>
      <c r="AN273" s="744">
        <v>2</v>
      </c>
    </row>
    <row r="274" spans="1:40" s="2" customFormat="1" ht="121.5" hidden="1" customHeight="1">
      <c r="A274" s="12"/>
      <c r="B274" s="12"/>
      <c r="C274" s="12"/>
      <c r="D274" s="5"/>
      <c r="E274" s="731" t="s">
        <v>1308</v>
      </c>
      <c r="F274" s="736" t="s">
        <v>1309</v>
      </c>
      <c r="G274" s="731" t="s">
        <v>172</v>
      </c>
      <c r="H274" s="731" t="s">
        <v>1310</v>
      </c>
      <c r="I274" s="736" t="s">
        <v>1311</v>
      </c>
      <c r="J274" s="744">
        <v>1</v>
      </c>
      <c r="K274" s="951"/>
      <c r="L274" s="951"/>
      <c r="M274" s="951"/>
      <c r="N274" s="744"/>
      <c r="O274" s="744"/>
      <c r="P274" s="744"/>
      <c r="Q274" s="744"/>
      <c r="R274" s="744"/>
      <c r="S274" s="744"/>
      <c r="T274" s="744"/>
      <c r="U274" s="744"/>
      <c r="V274" s="744"/>
      <c r="W274" s="744"/>
      <c r="X274" s="744"/>
      <c r="Y274" s="744"/>
      <c r="Z274" s="952"/>
      <c r="AA274" s="952"/>
      <c r="AB274" s="952"/>
      <c r="AC274" s="952"/>
      <c r="AD274" s="952"/>
      <c r="AE274" s="952"/>
      <c r="AF274" s="952"/>
      <c r="AG274" s="952"/>
      <c r="AH274" s="973"/>
      <c r="AI274" s="973"/>
      <c r="AJ274" s="973"/>
      <c r="AK274" s="973"/>
      <c r="AL274" s="951"/>
      <c r="AM274" s="746" t="s">
        <v>1191</v>
      </c>
      <c r="AN274" s="744">
        <v>2</v>
      </c>
    </row>
    <row r="275" spans="1:40" s="2" customFormat="1" ht="121.5" hidden="1" customHeight="1">
      <c r="A275" s="12"/>
      <c r="B275" s="12"/>
      <c r="C275" s="12"/>
      <c r="D275" s="5"/>
      <c r="E275" s="731" t="s">
        <v>1312</v>
      </c>
      <c r="F275" s="736" t="s">
        <v>1313</v>
      </c>
      <c r="G275" s="731" t="s">
        <v>172</v>
      </c>
      <c r="H275" s="731" t="s">
        <v>1314</v>
      </c>
      <c r="I275" s="736" t="s">
        <v>1315</v>
      </c>
      <c r="J275" s="744">
        <v>1</v>
      </c>
      <c r="K275" s="951"/>
      <c r="L275" s="951"/>
      <c r="M275" s="951"/>
      <c r="N275" s="744"/>
      <c r="O275" s="744"/>
      <c r="P275" s="744"/>
      <c r="Q275" s="744"/>
      <c r="R275" s="744"/>
      <c r="S275" s="744"/>
      <c r="T275" s="744"/>
      <c r="U275" s="744"/>
      <c r="V275" s="744"/>
      <c r="W275" s="744"/>
      <c r="X275" s="744"/>
      <c r="Y275" s="744"/>
      <c r="Z275" s="952"/>
      <c r="AA275" s="952"/>
      <c r="AB275" s="952"/>
      <c r="AC275" s="952"/>
      <c r="AD275" s="952"/>
      <c r="AE275" s="952"/>
      <c r="AF275" s="952"/>
      <c r="AG275" s="952"/>
      <c r="AH275" s="973"/>
      <c r="AI275" s="973"/>
      <c r="AJ275" s="973"/>
      <c r="AK275" s="973"/>
      <c r="AL275" s="951"/>
      <c r="AM275" s="746" t="s">
        <v>1191</v>
      </c>
      <c r="AN275" s="744">
        <v>2</v>
      </c>
    </row>
    <row r="276" spans="1:40" s="2" customFormat="1" ht="121.5" hidden="1" customHeight="1">
      <c r="A276" s="12"/>
      <c r="B276" s="12"/>
      <c r="C276" s="12"/>
      <c r="D276" s="5"/>
      <c r="E276" s="731" t="s">
        <v>1316</v>
      </c>
      <c r="F276" s="736" t="s">
        <v>1317</v>
      </c>
      <c r="G276" s="731" t="s">
        <v>172</v>
      </c>
      <c r="H276" s="731" t="s">
        <v>1318</v>
      </c>
      <c r="I276" s="736" t="s">
        <v>1319</v>
      </c>
      <c r="J276" s="744">
        <v>1</v>
      </c>
      <c r="K276" s="951"/>
      <c r="L276" s="951"/>
      <c r="M276" s="951"/>
      <c r="N276" s="744"/>
      <c r="O276" s="744"/>
      <c r="P276" s="744"/>
      <c r="Q276" s="744"/>
      <c r="R276" s="744"/>
      <c r="S276" s="744"/>
      <c r="T276" s="744"/>
      <c r="U276" s="744"/>
      <c r="V276" s="744"/>
      <c r="W276" s="744"/>
      <c r="X276" s="744"/>
      <c r="Y276" s="744"/>
      <c r="Z276" s="952"/>
      <c r="AA276" s="952"/>
      <c r="AB276" s="952"/>
      <c r="AC276" s="952"/>
      <c r="AD276" s="952"/>
      <c r="AE276" s="952"/>
      <c r="AF276" s="952"/>
      <c r="AG276" s="952"/>
      <c r="AH276" s="973"/>
      <c r="AI276" s="973"/>
      <c r="AJ276" s="973"/>
      <c r="AK276" s="973"/>
      <c r="AL276" s="951"/>
      <c r="AM276" s="746" t="s">
        <v>1191</v>
      </c>
      <c r="AN276" s="744">
        <v>2</v>
      </c>
    </row>
    <row r="277" spans="1:40" s="2" customFormat="1" ht="121.5" hidden="1" customHeight="1">
      <c r="A277" s="12"/>
      <c r="B277" s="12"/>
      <c r="C277" s="12"/>
      <c r="D277" s="5"/>
      <c r="E277" s="731" t="s">
        <v>1320</v>
      </c>
      <c r="F277" s="736" t="s">
        <v>1321</v>
      </c>
      <c r="G277" s="731" t="s">
        <v>172</v>
      </c>
      <c r="H277" s="731" t="s">
        <v>1322</v>
      </c>
      <c r="I277" s="736" t="s">
        <v>1323</v>
      </c>
      <c r="J277" s="744">
        <v>1</v>
      </c>
      <c r="K277" s="951"/>
      <c r="L277" s="951"/>
      <c r="M277" s="951"/>
      <c r="N277" s="744"/>
      <c r="O277" s="744"/>
      <c r="P277" s="744"/>
      <c r="Q277" s="744"/>
      <c r="R277" s="744"/>
      <c r="S277" s="744"/>
      <c r="T277" s="744"/>
      <c r="U277" s="744"/>
      <c r="V277" s="744"/>
      <c r="W277" s="744"/>
      <c r="X277" s="744"/>
      <c r="Y277" s="744"/>
      <c r="Z277" s="952"/>
      <c r="AA277" s="952"/>
      <c r="AB277" s="952"/>
      <c r="AC277" s="952"/>
      <c r="AD277" s="952"/>
      <c r="AE277" s="952"/>
      <c r="AF277" s="952"/>
      <c r="AG277" s="952"/>
      <c r="AH277" s="973"/>
      <c r="AI277" s="973"/>
      <c r="AJ277" s="973"/>
      <c r="AK277" s="973"/>
      <c r="AL277" s="951"/>
      <c r="AM277" s="746" t="s">
        <v>1191</v>
      </c>
      <c r="AN277" s="744">
        <v>2</v>
      </c>
    </row>
    <row r="278" spans="1:40" s="2" customFormat="1" ht="121.5" hidden="1" customHeight="1">
      <c r="A278" s="12"/>
      <c r="B278" s="12"/>
      <c r="C278" s="12"/>
      <c r="D278" s="5"/>
      <c r="E278" s="731" t="s">
        <v>1324</v>
      </c>
      <c r="F278" s="736" t="s">
        <v>1325</v>
      </c>
      <c r="G278" s="731" t="s">
        <v>172</v>
      </c>
      <c r="H278" s="731" t="s">
        <v>1326</v>
      </c>
      <c r="I278" s="736" t="s">
        <v>1327</v>
      </c>
      <c r="J278" s="744">
        <v>1</v>
      </c>
      <c r="K278" s="951"/>
      <c r="L278" s="951"/>
      <c r="M278" s="951"/>
      <c r="N278" s="744"/>
      <c r="O278" s="744"/>
      <c r="P278" s="744"/>
      <c r="Q278" s="744"/>
      <c r="R278" s="744"/>
      <c r="S278" s="744"/>
      <c r="T278" s="744"/>
      <c r="U278" s="744"/>
      <c r="V278" s="744"/>
      <c r="W278" s="744"/>
      <c r="X278" s="744"/>
      <c r="Y278" s="744"/>
      <c r="Z278" s="952"/>
      <c r="AA278" s="952"/>
      <c r="AB278" s="952"/>
      <c r="AC278" s="952"/>
      <c r="AD278" s="952"/>
      <c r="AE278" s="952"/>
      <c r="AF278" s="952"/>
      <c r="AG278" s="952"/>
      <c r="AH278" s="973"/>
      <c r="AI278" s="973"/>
      <c r="AJ278" s="973"/>
      <c r="AK278" s="973"/>
      <c r="AL278" s="951"/>
      <c r="AM278" s="746" t="s">
        <v>1191</v>
      </c>
      <c r="AN278" s="744">
        <v>2</v>
      </c>
    </row>
    <row r="279" spans="1:40" s="2" customFormat="1" ht="121.5" hidden="1" customHeight="1">
      <c r="A279" s="12"/>
      <c r="B279" s="12"/>
      <c r="C279" s="12"/>
      <c r="D279" s="5"/>
      <c r="E279" s="731" t="s">
        <v>1328</v>
      </c>
      <c r="F279" s="736" t="s">
        <v>1329</v>
      </c>
      <c r="G279" s="731" t="s">
        <v>172</v>
      </c>
      <c r="H279" s="731" t="s">
        <v>1330</v>
      </c>
      <c r="I279" s="736" t="s">
        <v>1331</v>
      </c>
      <c r="J279" s="744">
        <v>1</v>
      </c>
      <c r="K279" s="951"/>
      <c r="L279" s="951"/>
      <c r="M279" s="951"/>
      <c r="N279" s="744"/>
      <c r="O279" s="744"/>
      <c r="P279" s="744"/>
      <c r="Q279" s="744"/>
      <c r="R279" s="744"/>
      <c r="S279" s="744"/>
      <c r="T279" s="744"/>
      <c r="U279" s="744"/>
      <c r="V279" s="744"/>
      <c r="W279" s="744"/>
      <c r="X279" s="744"/>
      <c r="Y279" s="744"/>
      <c r="Z279" s="952"/>
      <c r="AA279" s="952"/>
      <c r="AB279" s="952"/>
      <c r="AC279" s="952"/>
      <c r="AD279" s="952"/>
      <c r="AE279" s="952"/>
      <c r="AF279" s="952"/>
      <c r="AG279" s="952"/>
      <c r="AH279" s="973"/>
      <c r="AI279" s="973"/>
      <c r="AJ279" s="973"/>
      <c r="AK279" s="973"/>
      <c r="AL279" s="951"/>
      <c r="AM279" s="746" t="s">
        <v>1191</v>
      </c>
      <c r="AN279" s="744">
        <v>2</v>
      </c>
    </row>
    <row r="280" spans="1:40" s="2" customFormat="1" ht="121.5" hidden="1" customHeight="1">
      <c r="A280" s="12"/>
      <c r="B280" s="12"/>
      <c r="C280" s="12"/>
      <c r="D280" s="5"/>
      <c r="E280" s="731" t="s">
        <v>1332</v>
      </c>
      <c r="F280" s="736" t="s">
        <v>1333</v>
      </c>
      <c r="G280" s="731" t="s">
        <v>172</v>
      </c>
      <c r="H280" s="731" t="s">
        <v>1334</v>
      </c>
      <c r="I280" s="736" t="s">
        <v>1335</v>
      </c>
      <c r="J280" s="744">
        <v>1</v>
      </c>
      <c r="K280" s="951"/>
      <c r="L280" s="951"/>
      <c r="M280" s="951"/>
      <c r="N280" s="744"/>
      <c r="O280" s="744"/>
      <c r="P280" s="744"/>
      <c r="Q280" s="744"/>
      <c r="R280" s="744"/>
      <c r="S280" s="744"/>
      <c r="T280" s="744"/>
      <c r="U280" s="744"/>
      <c r="V280" s="744"/>
      <c r="W280" s="744"/>
      <c r="X280" s="744"/>
      <c r="Y280" s="744"/>
      <c r="Z280" s="952"/>
      <c r="AA280" s="952"/>
      <c r="AB280" s="952"/>
      <c r="AC280" s="952"/>
      <c r="AD280" s="952"/>
      <c r="AE280" s="952"/>
      <c r="AF280" s="952"/>
      <c r="AG280" s="952"/>
      <c r="AH280" s="973"/>
      <c r="AI280" s="973"/>
      <c r="AJ280" s="973"/>
      <c r="AK280" s="973"/>
      <c r="AL280" s="951"/>
      <c r="AM280" s="746" t="s">
        <v>1191</v>
      </c>
      <c r="AN280" s="744">
        <v>2</v>
      </c>
    </row>
    <row r="281" spans="1:40" s="2" customFormat="1" ht="121.5" hidden="1" customHeight="1">
      <c r="A281" s="12"/>
      <c r="B281" s="12"/>
      <c r="C281" s="12"/>
      <c r="D281" s="5"/>
      <c r="E281" s="731" t="s">
        <v>1336</v>
      </c>
      <c r="F281" s="736" t="s">
        <v>1337</v>
      </c>
      <c r="G281" s="731" t="s">
        <v>172</v>
      </c>
      <c r="H281" s="731" t="s">
        <v>1338</v>
      </c>
      <c r="I281" s="736" t="s">
        <v>1339</v>
      </c>
      <c r="J281" s="744">
        <v>1</v>
      </c>
      <c r="K281" s="951"/>
      <c r="L281" s="951"/>
      <c r="M281" s="951"/>
      <c r="N281" s="744"/>
      <c r="O281" s="744"/>
      <c r="P281" s="744"/>
      <c r="Q281" s="744"/>
      <c r="R281" s="744"/>
      <c r="S281" s="744"/>
      <c r="T281" s="744"/>
      <c r="U281" s="744"/>
      <c r="V281" s="744"/>
      <c r="W281" s="744"/>
      <c r="X281" s="744"/>
      <c r="Y281" s="744"/>
      <c r="Z281" s="952"/>
      <c r="AA281" s="952"/>
      <c r="AB281" s="952"/>
      <c r="AC281" s="952"/>
      <c r="AD281" s="952"/>
      <c r="AE281" s="952"/>
      <c r="AF281" s="952"/>
      <c r="AG281" s="952"/>
      <c r="AH281" s="973"/>
      <c r="AI281" s="973"/>
      <c r="AJ281" s="973"/>
      <c r="AK281" s="973"/>
      <c r="AL281" s="951"/>
      <c r="AM281" s="746" t="s">
        <v>1191</v>
      </c>
      <c r="AN281" s="744">
        <v>2</v>
      </c>
    </row>
    <row r="282" spans="1:40" s="2" customFormat="1" ht="121.5" hidden="1" customHeight="1">
      <c r="A282" s="12"/>
      <c r="B282" s="12"/>
      <c r="C282" s="12"/>
      <c r="D282" s="5"/>
      <c r="E282" s="731" t="s">
        <v>1340</v>
      </c>
      <c r="F282" s="736" t="s">
        <v>1341</v>
      </c>
      <c r="G282" s="731" t="s">
        <v>172</v>
      </c>
      <c r="H282" s="731" t="s">
        <v>1342</v>
      </c>
      <c r="I282" s="736" t="s">
        <v>1343</v>
      </c>
      <c r="J282" s="744">
        <v>1</v>
      </c>
      <c r="K282" s="951"/>
      <c r="L282" s="951"/>
      <c r="M282" s="951"/>
      <c r="N282" s="744"/>
      <c r="O282" s="744"/>
      <c r="P282" s="744"/>
      <c r="Q282" s="744"/>
      <c r="R282" s="744"/>
      <c r="S282" s="744"/>
      <c r="T282" s="744"/>
      <c r="U282" s="744"/>
      <c r="V282" s="744"/>
      <c r="W282" s="744"/>
      <c r="X282" s="744"/>
      <c r="Y282" s="744"/>
      <c r="Z282" s="952"/>
      <c r="AA282" s="952"/>
      <c r="AB282" s="952"/>
      <c r="AC282" s="952"/>
      <c r="AD282" s="952"/>
      <c r="AE282" s="952"/>
      <c r="AF282" s="952"/>
      <c r="AG282" s="952"/>
      <c r="AH282" s="973"/>
      <c r="AI282" s="973"/>
      <c r="AJ282" s="973"/>
      <c r="AK282" s="973"/>
      <c r="AL282" s="951"/>
      <c r="AM282" s="746" t="s">
        <v>1191</v>
      </c>
      <c r="AN282" s="744">
        <v>2</v>
      </c>
    </row>
    <row r="283" spans="1:40" s="2" customFormat="1" ht="121.5" hidden="1" customHeight="1">
      <c r="A283" s="12"/>
      <c r="B283" s="12"/>
      <c r="C283" s="12"/>
      <c r="D283" s="5"/>
      <c r="E283" s="731" t="s">
        <v>1344</v>
      </c>
      <c r="F283" s="736" t="s">
        <v>1345</v>
      </c>
      <c r="G283" s="731" t="s">
        <v>172</v>
      </c>
      <c r="H283" s="731" t="s">
        <v>1346</v>
      </c>
      <c r="I283" s="736" t="s">
        <v>1347</v>
      </c>
      <c r="J283" s="744">
        <v>1</v>
      </c>
      <c r="K283" s="951"/>
      <c r="L283" s="951"/>
      <c r="M283" s="951"/>
      <c r="N283" s="744"/>
      <c r="O283" s="744"/>
      <c r="P283" s="744"/>
      <c r="Q283" s="744"/>
      <c r="R283" s="744"/>
      <c r="S283" s="744"/>
      <c r="T283" s="744"/>
      <c r="U283" s="744"/>
      <c r="V283" s="744"/>
      <c r="W283" s="744"/>
      <c r="X283" s="744"/>
      <c r="Y283" s="744"/>
      <c r="Z283" s="952"/>
      <c r="AA283" s="952"/>
      <c r="AB283" s="952"/>
      <c r="AC283" s="952"/>
      <c r="AD283" s="952"/>
      <c r="AE283" s="952"/>
      <c r="AF283" s="952"/>
      <c r="AG283" s="952"/>
      <c r="AH283" s="973"/>
      <c r="AI283" s="973"/>
      <c r="AJ283" s="973"/>
      <c r="AK283" s="973"/>
      <c r="AL283" s="951"/>
      <c r="AM283" s="746" t="s">
        <v>1191</v>
      </c>
      <c r="AN283" s="744">
        <v>2</v>
      </c>
    </row>
    <row r="284" spans="1:40" s="2" customFormat="1" ht="121.5" hidden="1" customHeight="1">
      <c r="A284" s="12"/>
      <c r="B284" s="12"/>
      <c r="C284" s="12"/>
      <c r="D284" s="5"/>
      <c r="E284" s="731" t="s">
        <v>1348</v>
      </c>
      <c r="F284" s="736" t="s">
        <v>1349</v>
      </c>
      <c r="G284" s="731" t="s">
        <v>172</v>
      </c>
      <c r="H284" s="731" t="s">
        <v>1350</v>
      </c>
      <c r="I284" s="736" t="s">
        <v>1351</v>
      </c>
      <c r="J284" s="744">
        <v>1</v>
      </c>
      <c r="K284" s="951"/>
      <c r="L284" s="951"/>
      <c r="M284" s="951"/>
      <c r="N284" s="744"/>
      <c r="O284" s="744"/>
      <c r="P284" s="744"/>
      <c r="Q284" s="744"/>
      <c r="R284" s="744"/>
      <c r="S284" s="744"/>
      <c r="T284" s="744"/>
      <c r="U284" s="744"/>
      <c r="V284" s="744"/>
      <c r="W284" s="744"/>
      <c r="X284" s="744"/>
      <c r="Y284" s="744"/>
      <c r="Z284" s="952"/>
      <c r="AA284" s="952"/>
      <c r="AB284" s="952"/>
      <c r="AC284" s="952"/>
      <c r="AD284" s="952"/>
      <c r="AE284" s="952"/>
      <c r="AF284" s="952"/>
      <c r="AG284" s="952"/>
      <c r="AH284" s="973"/>
      <c r="AI284" s="973"/>
      <c r="AJ284" s="973"/>
      <c r="AK284" s="973"/>
      <c r="AL284" s="951"/>
      <c r="AM284" s="746" t="s">
        <v>1191</v>
      </c>
      <c r="AN284" s="744">
        <v>2</v>
      </c>
    </row>
    <row r="285" spans="1:40" s="2" customFormat="1" ht="121.5" hidden="1" customHeight="1">
      <c r="A285" s="12"/>
      <c r="B285" s="12"/>
      <c r="C285" s="12"/>
      <c r="D285" s="5"/>
      <c r="E285" s="731" t="s">
        <v>1352</v>
      </c>
      <c r="F285" s="736" t="s">
        <v>1353</v>
      </c>
      <c r="G285" s="731" t="s">
        <v>172</v>
      </c>
      <c r="H285" s="731" t="s">
        <v>1354</v>
      </c>
      <c r="I285" s="736" t="s">
        <v>1355</v>
      </c>
      <c r="J285" s="744">
        <v>1</v>
      </c>
      <c r="K285" s="951"/>
      <c r="L285" s="951"/>
      <c r="M285" s="951"/>
      <c r="N285" s="744"/>
      <c r="O285" s="744"/>
      <c r="P285" s="744"/>
      <c r="Q285" s="744"/>
      <c r="R285" s="744"/>
      <c r="S285" s="744"/>
      <c r="T285" s="744"/>
      <c r="U285" s="744"/>
      <c r="V285" s="744"/>
      <c r="W285" s="744"/>
      <c r="X285" s="744"/>
      <c r="Y285" s="744"/>
      <c r="Z285" s="952"/>
      <c r="AA285" s="952"/>
      <c r="AB285" s="952"/>
      <c r="AC285" s="952"/>
      <c r="AD285" s="952"/>
      <c r="AE285" s="952"/>
      <c r="AF285" s="952"/>
      <c r="AG285" s="952"/>
      <c r="AH285" s="973"/>
      <c r="AI285" s="973"/>
      <c r="AJ285" s="973"/>
      <c r="AK285" s="973"/>
      <c r="AL285" s="951"/>
      <c r="AM285" s="746" t="s">
        <v>1191</v>
      </c>
      <c r="AN285" s="744">
        <v>2</v>
      </c>
    </row>
    <row r="286" spans="1:40" s="2" customFormat="1" ht="121.5" hidden="1" customHeight="1">
      <c r="A286" s="12"/>
      <c r="B286" s="12"/>
      <c r="C286" s="12"/>
      <c r="D286" s="5"/>
      <c r="E286" s="731" t="s">
        <v>1356</v>
      </c>
      <c r="F286" s="736" t="s">
        <v>1357</v>
      </c>
      <c r="G286" s="731" t="s">
        <v>172</v>
      </c>
      <c r="H286" s="731" t="s">
        <v>1358</v>
      </c>
      <c r="I286" s="736" t="s">
        <v>1359</v>
      </c>
      <c r="J286" s="744">
        <v>1</v>
      </c>
      <c r="K286" s="951"/>
      <c r="L286" s="951"/>
      <c r="M286" s="951"/>
      <c r="N286" s="744"/>
      <c r="O286" s="744"/>
      <c r="P286" s="744"/>
      <c r="Q286" s="744"/>
      <c r="R286" s="744"/>
      <c r="S286" s="744"/>
      <c r="T286" s="744"/>
      <c r="U286" s="744"/>
      <c r="V286" s="744"/>
      <c r="W286" s="744"/>
      <c r="X286" s="744"/>
      <c r="Y286" s="744"/>
      <c r="Z286" s="952"/>
      <c r="AA286" s="952"/>
      <c r="AB286" s="952"/>
      <c r="AC286" s="952"/>
      <c r="AD286" s="952"/>
      <c r="AE286" s="952"/>
      <c r="AF286" s="952"/>
      <c r="AG286" s="952"/>
      <c r="AH286" s="973"/>
      <c r="AI286" s="973"/>
      <c r="AJ286" s="973"/>
      <c r="AK286" s="973"/>
      <c r="AL286" s="951"/>
      <c r="AM286" s="746" t="s">
        <v>1191</v>
      </c>
      <c r="AN286" s="744">
        <v>2</v>
      </c>
    </row>
    <row r="287" spans="1:40" s="2" customFormat="1" ht="121.5" hidden="1" customHeight="1">
      <c r="A287" s="12"/>
      <c r="B287" s="12"/>
      <c r="C287" s="12"/>
      <c r="D287" s="5"/>
      <c r="E287" s="731" t="s">
        <v>1360</v>
      </c>
      <c r="F287" s="736" t="s">
        <v>1361</v>
      </c>
      <c r="G287" s="731" t="s">
        <v>172</v>
      </c>
      <c r="H287" s="731" t="s">
        <v>1362</v>
      </c>
      <c r="I287" s="736" t="s">
        <v>1363</v>
      </c>
      <c r="J287" s="744">
        <v>1</v>
      </c>
      <c r="K287" s="951"/>
      <c r="L287" s="951"/>
      <c r="M287" s="951"/>
      <c r="N287" s="744"/>
      <c r="O287" s="744"/>
      <c r="P287" s="744"/>
      <c r="Q287" s="744"/>
      <c r="R287" s="744"/>
      <c r="S287" s="744"/>
      <c r="T287" s="744"/>
      <c r="U287" s="744"/>
      <c r="V287" s="744"/>
      <c r="W287" s="744"/>
      <c r="X287" s="744"/>
      <c r="Y287" s="744"/>
      <c r="Z287" s="952"/>
      <c r="AA287" s="952"/>
      <c r="AB287" s="952"/>
      <c r="AC287" s="952"/>
      <c r="AD287" s="952"/>
      <c r="AE287" s="952"/>
      <c r="AF287" s="952"/>
      <c r="AG287" s="952"/>
      <c r="AH287" s="973"/>
      <c r="AI287" s="973"/>
      <c r="AJ287" s="973"/>
      <c r="AK287" s="973"/>
      <c r="AL287" s="951"/>
      <c r="AM287" s="746" t="s">
        <v>1191</v>
      </c>
      <c r="AN287" s="744">
        <v>2</v>
      </c>
    </row>
    <row r="288" spans="1:40" s="2" customFormat="1" ht="121.5" hidden="1" customHeight="1">
      <c r="A288" s="12"/>
      <c r="B288" s="12"/>
      <c r="C288" s="12"/>
      <c r="D288" s="5"/>
      <c r="E288" s="731" t="s">
        <v>1364</v>
      </c>
      <c r="F288" s="736" t="s">
        <v>1365</v>
      </c>
      <c r="G288" s="731" t="s">
        <v>172</v>
      </c>
      <c r="H288" s="731" t="s">
        <v>1366</v>
      </c>
      <c r="I288" s="736" t="s">
        <v>1367</v>
      </c>
      <c r="J288" s="744">
        <v>1</v>
      </c>
      <c r="K288" s="951"/>
      <c r="L288" s="951"/>
      <c r="M288" s="951"/>
      <c r="N288" s="744"/>
      <c r="O288" s="744"/>
      <c r="P288" s="744"/>
      <c r="Q288" s="744"/>
      <c r="R288" s="744"/>
      <c r="S288" s="744"/>
      <c r="T288" s="744"/>
      <c r="U288" s="744"/>
      <c r="V288" s="744"/>
      <c r="W288" s="744"/>
      <c r="X288" s="744"/>
      <c r="Y288" s="744"/>
      <c r="Z288" s="952"/>
      <c r="AA288" s="952"/>
      <c r="AB288" s="952"/>
      <c r="AC288" s="952"/>
      <c r="AD288" s="952"/>
      <c r="AE288" s="952"/>
      <c r="AF288" s="952"/>
      <c r="AG288" s="952"/>
      <c r="AH288" s="973"/>
      <c r="AI288" s="973"/>
      <c r="AJ288" s="973"/>
      <c r="AK288" s="973"/>
      <c r="AL288" s="951"/>
      <c r="AM288" s="746" t="s">
        <v>1191</v>
      </c>
      <c r="AN288" s="744">
        <v>2</v>
      </c>
    </row>
    <row r="289" spans="1:40" s="2" customFormat="1" ht="121.5" hidden="1" customHeight="1">
      <c r="A289" s="12"/>
      <c r="B289" s="12"/>
      <c r="C289" s="12"/>
      <c r="D289" s="5"/>
      <c r="E289" s="731" t="s">
        <v>1368</v>
      </c>
      <c r="F289" s="736" t="s">
        <v>1369</v>
      </c>
      <c r="G289" s="731" t="s">
        <v>172</v>
      </c>
      <c r="H289" s="731" t="s">
        <v>1370</v>
      </c>
      <c r="I289" s="736" t="s">
        <v>1371</v>
      </c>
      <c r="J289" s="744">
        <v>1</v>
      </c>
      <c r="K289" s="951"/>
      <c r="L289" s="951"/>
      <c r="M289" s="951"/>
      <c r="N289" s="744"/>
      <c r="O289" s="744"/>
      <c r="P289" s="744"/>
      <c r="Q289" s="744"/>
      <c r="R289" s="744"/>
      <c r="S289" s="744"/>
      <c r="T289" s="744"/>
      <c r="U289" s="744"/>
      <c r="V289" s="744"/>
      <c r="W289" s="744"/>
      <c r="X289" s="744"/>
      <c r="Y289" s="744"/>
      <c r="Z289" s="952"/>
      <c r="AA289" s="952"/>
      <c r="AB289" s="952"/>
      <c r="AC289" s="952"/>
      <c r="AD289" s="952"/>
      <c r="AE289" s="952"/>
      <c r="AF289" s="952"/>
      <c r="AG289" s="952"/>
      <c r="AH289" s="973"/>
      <c r="AI289" s="973"/>
      <c r="AJ289" s="973"/>
      <c r="AK289" s="973"/>
      <c r="AL289" s="951"/>
      <c r="AM289" s="746" t="s">
        <v>1191</v>
      </c>
      <c r="AN289" s="744">
        <v>2</v>
      </c>
    </row>
    <row r="290" spans="1:40" s="2" customFormat="1" ht="121.5" hidden="1" customHeight="1">
      <c r="A290" s="12"/>
      <c r="B290" s="12"/>
      <c r="C290" s="12"/>
      <c r="D290" s="5"/>
      <c r="E290" s="731" t="s">
        <v>1372</v>
      </c>
      <c r="F290" s="736" t="s">
        <v>1373</v>
      </c>
      <c r="G290" s="731" t="s">
        <v>172</v>
      </c>
      <c r="H290" s="731" t="s">
        <v>1374</v>
      </c>
      <c r="I290" s="736" t="s">
        <v>1375</v>
      </c>
      <c r="J290" s="744">
        <v>1</v>
      </c>
      <c r="K290" s="951"/>
      <c r="L290" s="951"/>
      <c r="M290" s="951"/>
      <c r="N290" s="744"/>
      <c r="O290" s="744"/>
      <c r="P290" s="744"/>
      <c r="Q290" s="744"/>
      <c r="R290" s="744"/>
      <c r="S290" s="744"/>
      <c r="T290" s="744"/>
      <c r="U290" s="744"/>
      <c r="V290" s="744"/>
      <c r="W290" s="744"/>
      <c r="X290" s="744"/>
      <c r="Y290" s="744"/>
      <c r="Z290" s="952"/>
      <c r="AA290" s="952"/>
      <c r="AB290" s="952"/>
      <c r="AC290" s="952"/>
      <c r="AD290" s="952"/>
      <c r="AE290" s="952"/>
      <c r="AF290" s="952"/>
      <c r="AG290" s="952"/>
      <c r="AH290" s="973"/>
      <c r="AI290" s="973"/>
      <c r="AJ290" s="973"/>
      <c r="AK290" s="973"/>
      <c r="AL290" s="951"/>
      <c r="AM290" s="746" t="s">
        <v>1191</v>
      </c>
      <c r="AN290" s="744">
        <v>2</v>
      </c>
    </row>
    <row r="291" spans="1:40" s="2" customFormat="1" ht="121.5" hidden="1" customHeight="1">
      <c r="A291" s="12"/>
      <c r="B291" s="12"/>
      <c r="C291" s="12"/>
      <c r="D291" s="5"/>
      <c r="E291" s="731" t="s">
        <v>1376</v>
      </c>
      <c r="F291" s="736" t="s">
        <v>1377</v>
      </c>
      <c r="G291" s="731" t="s">
        <v>172</v>
      </c>
      <c r="H291" s="731" t="s">
        <v>1378</v>
      </c>
      <c r="I291" s="736" t="s">
        <v>1379</v>
      </c>
      <c r="J291" s="744">
        <v>1</v>
      </c>
      <c r="K291" s="951"/>
      <c r="L291" s="951"/>
      <c r="M291" s="951"/>
      <c r="N291" s="744"/>
      <c r="O291" s="744"/>
      <c r="P291" s="744"/>
      <c r="Q291" s="744"/>
      <c r="R291" s="744"/>
      <c r="S291" s="744"/>
      <c r="T291" s="744"/>
      <c r="U291" s="744"/>
      <c r="V291" s="744"/>
      <c r="W291" s="744"/>
      <c r="X291" s="744"/>
      <c r="Y291" s="744"/>
      <c r="Z291" s="952"/>
      <c r="AA291" s="952"/>
      <c r="AB291" s="952"/>
      <c r="AC291" s="952"/>
      <c r="AD291" s="952"/>
      <c r="AE291" s="952"/>
      <c r="AF291" s="952"/>
      <c r="AG291" s="952"/>
      <c r="AH291" s="973"/>
      <c r="AI291" s="973"/>
      <c r="AJ291" s="973"/>
      <c r="AK291" s="973"/>
      <c r="AL291" s="951"/>
      <c r="AM291" s="746" t="s">
        <v>1191</v>
      </c>
      <c r="AN291" s="744">
        <v>2</v>
      </c>
    </row>
    <row r="292" spans="1:40" s="2" customFormat="1" ht="121.5" hidden="1" customHeight="1">
      <c r="A292" s="12"/>
      <c r="B292" s="12"/>
      <c r="C292" s="12"/>
      <c r="D292" s="5"/>
      <c r="E292" s="731" t="s">
        <v>1380</v>
      </c>
      <c r="F292" s="736" t="s">
        <v>1381</v>
      </c>
      <c r="G292" s="731" t="s">
        <v>172</v>
      </c>
      <c r="H292" s="731" t="s">
        <v>1382</v>
      </c>
      <c r="I292" s="736" t="s">
        <v>1383</v>
      </c>
      <c r="J292" s="744">
        <v>1</v>
      </c>
      <c r="K292" s="951"/>
      <c r="L292" s="951"/>
      <c r="M292" s="951"/>
      <c r="N292" s="744"/>
      <c r="O292" s="744"/>
      <c r="P292" s="744"/>
      <c r="Q292" s="744"/>
      <c r="R292" s="744"/>
      <c r="S292" s="744"/>
      <c r="T292" s="744"/>
      <c r="U292" s="744"/>
      <c r="V292" s="744"/>
      <c r="W292" s="744"/>
      <c r="X292" s="744"/>
      <c r="Y292" s="744"/>
      <c r="Z292" s="952"/>
      <c r="AA292" s="952"/>
      <c r="AB292" s="952"/>
      <c r="AC292" s="952"/>
      <c r="AD292" s="952"/>
      <c r="AE292" s="952"/>
      <c r="AF292" s="952"/>
      <c r="AG292" s="952"/>
      <c r="AH292" s="973"/>
      <c r="AI292" s="973"/>
      <c r="AJ292" s="973"/>
      <c r="AK292" s="973"/>
      <c r="AL292" s="951"/>
      <c r="AM292" s="746" t="s">
        <v>1191</v>
      </c>
      <c r="AN292" s="744">
        <v>2</v>
      </c>
    </row>
    <row r="293" spans="1:40" s="2" customFormat="1" ht="121.5" hidden="1" customHeight="1">
      <c r="A293" s="12"/>
      <c r="B293" s="12"/>
      <c r="C293" s="12"/>
      <c r="D293" s="5"/>
      <c r="E293" s="731" t="s">
        <v>1384</v>
      </c>
      <c r="F293" s="736" t="s">
        <v>1385</v>
      </c>
      <c r="G293" s="731" t="s">
        <v>172</v>
      </c>
      <c r="H293" s="731" t="s">
        <v>1386</v>
      </c>
      <c r="I293" s="736" t="s">
        <v>1387</v>
      </c>
      <c r="J293" s="744">
        <v>1</v>
      </c>
      <c r="K293" s="951"/>
      <c r="L293" s="951"/>
      <c r="M293" s="951"/>
      <c r="N293" s="744"/>
      <c r="O293" s="744"/>
      <c r="P293" s="744"/>
      <c r="Q293" s="744"/>
      <c r="R293" s="744"/>
      <c r="S293" s="744"/>
      <c r="T293" s="744"/>
      <c r="U293" s="744"/>
      <c r="V293" s="744"/>
      <c r="W293" s="744"/>
      <c r="X293" s="744"/>
      <c r="Y293" s="744"/>
      <c r="Z293" s="952"/>
      <c r="AA293" s="952"/>
      <c r="AB293" s="952"/>
      <c r="AC293" s="952"/>
      <c r="AD293" s="952"/>
      <c r="AE293" s="952"/>
      <c r="AF293" s="952"/>
      <c r="AG293" s="952"/>
      <c r="AH293" s="973"/>
      <c r="AI293" s="973"/>
      <c r="AJ293" s="973"/>
      <c r="AK293" s="973"/>
      <c r="AL293" s="951"/>
      <c r="AM293" s="746" t="s">
        <v>1191</v>
      </c>
      <c r="AN293" s="744">
        <v>2</v>
      </c>
    </row>
    <row r="294" spans="1:40" s="2" customFormat="1" ht="121.5" hidden="1" customHeight="1">
      <c r="A294" s="12"/>
      <c r="B294" s="12"/>
      <c r="C294" s="12"/>
      <c r="D294" s="5"/>
      <c r="E294" s="731" t="s">
        <v>1388</v>
      </c>
      <c r="F294" s="736" t="s">
        <v>1389</v>
      </c>
      <c r="G294" s="731" t="s">
        <v>172</v>
      </c>
      <c r="H294" s="731" t="s">
        <v>1390</v>
      </c>
      <c r="I294" s="736" t="s">
        <v>1391</v>
      </c>
      <c r="J294" s="744">
        <v>1</v>
      </c>
      <c r="K294" s="951"/>
      <c r="L294" s="951"/>
      <c r="M294" s="951"/>
      <c r="N294" s="744"/>
      <c r="O294" s="744"/>
      <c r="P294" s="744"/>
      <c r="Q294" s="744"/>
      <c r="R294" s="744"/>
      <c r="S294" s="744"/>
      <c r="T294" s="744"/>
      <c r="U294" s="744"/>
      <c r="V294" s="744"/>
      <c r="W294" s="744"/>
      <c r="X294" s="744"/>
      <c r="Y294" s="744"/>
      <c r="Z294" s="952"/>
      <c r="AA294" s="952"/>
      <c r="AB294" s="952"/>
      <c r="AC294" s="952"/>
      <c r="AD294" s="952"/>
      <c r="AE294" s="952"/>
      <c r="AF294" s="952"/>
      <c r="AG294" s="952"/>
      <c r="AH294" s="973"/>
      <c r="AI294" s="973"/>
      <c r="AJ294" s="973"/>
      <c r="AK294" s="973"/>
      <c r="AL294" s="951"/>
      <c r="AM294" s="746" t="s">
        <v>1191</v>
      </c>
      <c r="AN294" s="744">
        <v>2</v>
      </c>
    </row>
    <row r="295" spans="1:40" s="2" customFormat="1" ht="121.5" hidden="1" customHeight="1">
      <c r="A295" s="12"/>
      <c r="B295" s="12"/>
      <c r="C295" s="12"/>
      <c r="D295" s="5"/>
      <c r="E295" s="731" t="s">
        <v>1392</v>
      </c>
      <c r="F295" s="736" t="s">
        <v>1393</v>
      </c>
      <c r="G295" s="731" t="s">
        <v>172</v>
      </c>
      <c r="H295" s="731" t="s">
        <v>1394</v>
      </c>
      <c r="I295" s="736" t="s">
        <v>1395</v>
      </c>
      <c r="J295" s="744">
        <v>1</v>
      </c>
      <c r="K295" s="951"/>
      <c r="L295" s="951"/>
      <c r="M295" s="951"/>
      <c r="N295" s="744"/>
      <c r="O295" s="744"/>
      <c r="P295" s="744"/>
      <c r="Q295" s="744"/>
      <c r="R295" s="744"/>
      <c r="S295" s="744"/>
      <c r="T295" s="744"/>
      <c r="U295" s="744"/>
      <c r="V295" s="744"/>
      <c r="W295" s="744"/>
      <c r="X295" s="744"/>
      <c r="Y295" s="744"/>
      <c r="Z295" s="952"/>
      <c r="AA295" s="952"/>
      <c r="AB295" s="952"/>
      <c r="AC295" s="952"/>
      <c r="AD295" s="952"/>
      <c r="AE295" s="952"/>
      <c r="AF295" s="952"/>
      <c r="AG295" s="952"/>
      <c r="AH295" s="973"/>
      <c r="AI295" s="973"/>
      <c r="AJ295" s="973"/>
      <c r="AK295" s="973"/>
      <c r="AL295" s="951"/>
      <c r="AM295" s="746" t="s">
        <v>1191</v>
      </c>
      <c r="AN295" s="744">
        <v>2</v>
      </c>
    </row>
    <row r="296" spans="1:40" s="2" customFormat="1" ht="121.5" hidden="1" customHeight="1">
      <c r="A296" s="12"/>
      <c r="B296" s="12"/>
      <c r="C296" s="12"/>
      <c r="D296" s="5"/>
      <c r="E296" s="731" t="s">
        <v>1396</v>
      </c>
      <c r="F296" s="736" t="s">
        <v>1397</v>
      </c>
      <c r="G296" s="731" t="s">
        <v>172</v>
      </c>
      <c r="H296" s="731" t="s">
        <v>1398</v>
      </c>
      <c r="I296" s="736" t="s">
        <v>1399</v>
      </c>
      <c r="J296" s="744">
        <v>1</v>
      </c>
      <c r="K296" s="951"/>
      <c r="L296" s="951"/>
      <c r="M296" s="951"/>
      <c r="N296" s="744"/>
      <c r="O296" s="744"/>
      <c r="P296" s="744"/>
      <c r="Q296" s="744"/>
      <c r="R296" s="744"/>
      <c r="S296" s="744"/>
      <c r="T296" s="744"/>
      <c r="U296" s="744"/>
      <c r="V296" s="744"/>
      <c r="W296" s="744"/>
      <c r="X296" s="744"/>
      <c r="Y296" s="744"/>
      <c r="Z296" s="952"/>
      <c r="AA296" s="952"/>
      <c r="AB296" s="952"/>
      <c r="AC296" s="952"/>
      <c r="AD296" s="952"/>
      <c r="AE296" s="952"/>
      <c r="AF296" s="952"/>
      <c r="AG296" s="952"/>
      <c r="AH296" s="973"/>
      <c r="AI296" s="973"/>
      <c r="AJ296" s="973"/>
      <c r="AK296" s="973"/>
      <c r="AL296" s="951"/>
      <c r="AM296" s="746" t="s">
        <v>1191</v>
      </c>
      <c r="AN296" s="744">
        <v>2</v>
      </c>
    </row>
    <row r="297" spans="1:40" s="2" customFormat="1" ht="121.5" hidden="1" customHeight="1">
      <c r="A297" s="12"/>
      <c r="B297" s="12"/>
      <c r="C297" s="12"/>
      <c r="D297" s="5"/>
      <c r="E297" s="731" t="s">
        <v>1400</v>
      </c>
      <c r="F297" s="736" t="s">
        <v>1401</v>
      </c>
      <c r="G297" s="731" t="s">
        <v>172</v>
      </c>
      <c r="H297" s="731" t="s">
        <v>1402</v>
      </c>
      <c r="I297" s="736" t="s">
        <v>1403</v>
      </c>
      <c r="J297" s="744">
        <v>1</v>
      </c>
      <c r="K297" s="951"/>
      <c r="L297" s="951"/>
      <c r="M297" s="951"/>
      <c r="N297" s="744"/>
      <c r="O297" s="744"/>
      <c r="P297" s="744"/>
      <c r="Q297" s="744"/>
      <c r="R297" s="744"/>
      <c r="S297" s="744"/>
      <c r="T297" s="744"/>
      <c r="U297" s="744"/>
      <c r="V297" s="744"/>
      <c r="W297" s="744"/>
      <c r="X297" s="744"/>
      <c r="Y297" s="744"/>
      <c r="Z297" s="952"/>
      <c r="AA297" s="952"/>
      <c r="AB297" s="952"/>
      <c r="AC297" s="952"/>
      <c r="AD297" s="952"/>
      <c r="AE297" s="952"/>
      <c r="AF297" s="952"/>
      <c r="AG297" s="952"/>
      <c r="AH297" s="973"/>
      <c r="AI297" s="973"/>
      <c r="AJ297" s="973"/>
      <c r="AK297" s="973"/>
      <c r="AL297" s="951"/>
      <c r="AM297" s="746" t="s">
        <v>1191</v>
      </c>
      <c r="AN297" s="744">
        <v>2</v>
      </c>
    </row>
    <row r="298" spans="1:40" s="2" customFormat="1" ht="121.5" hidden="1" customHeight="1">
      <c r="A298" s="12"/>
      <c r="B298" s="12"/>
      <c r="C298" s="12"/>
      <c r="D298" s="5"/>
      <c r="E298" s="731" t="s">
        <v>1404</v>
      </c>
      <c r="F298" s="736" t="s">
        <v>1405</v>
      </c>
      <c r="G298" s="731" t="s">
        <v>172</v>
      </c>
      <c r="H298" s="731" t="s">
        <v>1406</v>
      </c>
      <c r="I298" s="736" t="s">
        <v>1407</v>
      </c>
      <c r="J298" s="744">
        <v>1</v>
      </c>
      <c r="K298" s="951"/>
      <c r="L298" s="951"/>
      <c r="M298" s="951"/>
      <c r="N298" s="744"/>
      <c r="O298" s="744"/>
      <c r="P298" s="744"/>
      <c r="Q298" s="744"/>
      <c r="R298" s="744"/>
      <c r="S298" s="744"/>
      <c r="T298" s="744"/>
      <c r="U298" s="744"/>
      <c r="V298" s="744"/>
      <c r="W298" s="744"/>
      <c r="X298" s="744"/>
      <c r="Y298" s="744"/>
      <c r="Z298" s="952"/>
      <c r="AA298" s="952"/>
      <c r="AB298" s="952"/>
      <c r="AC298" s="952"/>
      <c r="AD298" s="952"/>
      <c r="AE298" s="952"/>
      <c r="AF298" s="952"/>
      <c r="AG298" s="952"/>
      <c r="AH298" s="973"/>
      <c r="AI298" s="973"/>
      <c r="AJ298" s="973"/>
      <c r="AK298" s="973"/>
      <c r="AL298" s="951"/>
      <c r="AM298" s="746" t="s">
        <v>1191</v>
      </c>
      <c r="AN298" s="744">
        <v>2</v>
      </c>
    </row>
    <row r="299" spans="1:40" s="2" customFormat="1" ht="121.5" hidden="1" customHeight="1">
      <c r="A299" s="12"/>
      <c r="B299" s="12"/>
      <c r="C299" s="12"/>
      <c r="D299" s="5"/>
      <c r="E299" s="731" t="s">
        <v>1408</v>
      </c>
      <c r="F299" s="736" t="s">
        <v>1409</v>
      </c>
      <c r="G299" s="731" t="s">
        <v>172</v>
      </c>
      <c r="H299" s="731" t="s">
        <v>1410</v>
      </c>
      <c r="I299" s="736" t="s">
        <v>1411</v>
      </c>
      <c r="J299" s="744">
        <v>1</v>
      </c>
      <c r="K299" s="951"/>
      <c r="L299" s="951"/>
      <c r="M299" s="951"/>
      <c r="N299" s="744"/>
      <c r="O299" s="744"/>
      <c r="P299" s="744"/>
      <c r="Q299" s="744"/>
      <c r="R299" s="744"/>
      <c r="S299" s="744"/>
      <c r="T299" s="744"/>
      <c r="U299" s="744"/>
      <c r="V299" s="744"/>
      <c r="W299" s="744"/>
      <c r="X299" s="744"/>
      <c r="Y299" s="744"/>
      <c r="Z299" s="952"/>
      <c r="AA299" s="952"/>
      <c r="AB299" s="952"/>
      <c r="AC299" s="952"/>
      <c r="AD299" s="952"/>
      <c r="AE299" s="952"/>
      <c r="AF299" s="952"/>
      <c r="AG299" s="952"/>
      <c r="AH299" s="973"/>
      <c r="AI299" s="973"/>
      <c r="AJ299" s="973"/>
      <c r="AK299" s="973"/>
      <c r="AL299" s="951"/>
      <c r="AM299" s="746" t="s">
        <v>1191</v>
      </c>
      <c r="AN299" s="744">
        <v>2</v>
      </c>
    </row>
    <row r="300" spans="1:40" s="2" customFormat="1" ht="121.5" hidden="1" customHeight="1">
      <c r="A300" s="12"/>
      <c r="B300" s="12"/>
      <c r="C300" s="12"/>
      <c r="D300" s="5"/>
      <c r="E300" s="731" t="s">
        <v>1412</v>
      </c>
      <c r="F300" s="736" t="s">
        <v>1413</v>
      </c>
      <c r="G300" s="731" t="s">
        <v>172</v>
      </c>
      <c r="H300" s="731" t="s">
        <v>1414</v>
      </c>
      <c r="I300" s="736" t="s">
        <v>1415</v>
      </c>
      <c r="J300" s="744">
        <v>1</v>
      </c>
      <c r="K300" s="951"/>
      <c r="L300" s="951"/>
      <c r="M300" s="951"/>
      <c r="N300" s="744"/>
      <c r="O300" s="744"/>
      <c r="P300" s="744"/>
      <c r="Q300" s="744"/>
      <c r="R300" s="744"/>
      <c r="S300" s="744"/>
      <c r="T300" s="744"/>
      <c r="U300" s="744"/>
      <c r="V300" s="744"/>
      <c r="W300" s="744"/>
      <c r="X300" s="744"/>
      <c r="Y300" s="744"/>
      <c r="Z300" s="952"/>
      <c r="AA300" s="952"/>
      <c r="AB300" s="952"/>
      <c r="AC300" s="952"/>
      <c r="AD300" s="952"/>
      <c r="AE300" s="952"/>
      <c r="AF300" s="952"/>
      <c r="AG300" s="952"/>
      <c r="AH300" s="973"/>
      <c r="AI300" s="973"/>
      <c r="AJ300" s="973"/>
      <c r="AK300" s="973"/>
      <c r="AL300" s="951"/>
      <c r="AM300" s="746" t="s">
        <v>1191</v>
      </c>
      <c r="AN300" s="744">
        <v>2</v>
      </c>
    </row>
    <row r="301" spans="1:40" s="2" customFormat="1" ht="121.5" hidden="1" customHeight="1">
      <c r="A301" s="12"/>
      <c r="B301" s="12"/>
      <c r="C301" s="12"/>
      <c r="D301" s="5"/>
      <c r="E301" s="731" t="s">
        <v>1416</v>
      </c>
      <c r="F301" s="736" t="s">
        <v>1417</v>
      </c>
      <c r="G301" s="731" t="s">
        <v>172</v>
      </c>
      <c r="H301" s="731" t="s">
        <v>1418</v>
      </c>
      <c r="I301" s="736" t="s">
        <v>1419</v>
      </c>
      <c r="J301" s="744">
        <v>1</v>
      </c>
      <c r="K301" s="951"/>
      <c r="L301" s="951"/>
      <c r="M301" s="951"/>
      <c r="N301" s="744"/>
      <c r="O301" s="744"/>
      <c r="P301" s="744"/>
      <c r="Q301" s="744"/>
      <c r="R301" s="744"/>
      <c r="S301" s="744"/>
      <c r="T301" s="744"/>
      <c r="U301" s="744"/>
      <c r="V301" s="744"/>
      <c r="W301" s="744"/>
      <c r="X301" s="744"/>
      <c r="Y301" s="744"/>
      <c r="Z301" s="952"/>
      <c r="AA301" s="952"/>
      <c r="AB301" s="952"/>
      <c r="AC301" s="952"/>
      <c r="AD301" s="952"/>
      <c r="AE301" s="952"/>
      <c r="AF301" s="952"/>
      <c r="AG301" s="952"/>
      <c r="AH301" s="973"/>
      <c r="AI301" s="973"/>
      <c r="AJ301" s="973"/>
      <c r="AK301" s="973"/>
      <c r="AL301" s="951"/>
      <c r="AM301" s="746" t="s">
        <v>1191</v>
      </c>
      <c r="AN301" s="744">
        <v>2</v>
      </c>
    </row>
    <row r="302" spans="1:40" s="2" customFormat="1" ht="121.5" hidden="1" customHeight="1">
      <c r="A302" s="12"/>
      <c r="B302" s="12"/>
      <c r="C302" s="12"/>
      <c r="D302" s="5"/>
      <c r="E302" s="731" t="s">
        <v>1420</v>
      </c>
      <c r="F302" s="736" t="s">
        <v>1421</v>
      </c>
      <c r="G302" s="731" t="s">
        <v>172</v>
      </c>
      <c r="H302" s="731" t="s">
        <v>1422</v>
      </c>
      <c r="I302" s="736" t="s">
        <v>1423</v>
      </c>
      <c r="J302" s="744">
        <v>1</v>
      </c>
      <c r="K302" s="951"/>
      <c r="L302" s="951"/>
      <c r="M302" s="951"/>
      <c r="N302" s="744"/>
      <c r="O302" s="744"/>
      <c r="P302" s="744"/>
      <c r="Q302" s="744"/>
      <c r="R302" s="744"/>
      <c r="S302" s="744"/>
      <c r="T302" s="744"/>
      <c r="U302" s="744"/>
      <c r="V302" s="744"/>
      <c r="W302" s="744"/>
      <c r="X302" s="744"/>
      <c r="Y302" s="744"/>
      <c r="Z302" s="952"/>
      <c r="AA302" s="952"/>
      <c r="AB302" s="952"/>
      <c r="AC302" s="952"/>
      <c r="AD302" s="952"/>
      <c r="AE302" s="952"/>
      <c r="AF302" s="952"/>
      <c r="AG302" s="952"/>
      <c r="AH302" s="973"/>
      <c r="AI302" s="973"/>
      <c r="AJ302" s="973"/>
      <c r="AK302" s="973"/>
      <c r="AL302" s="951"/>
      <c r="AM302" s="746" t="s">
        <v>1191</v>
      </c>
      <c r="AN302" s="744">
        <v>2</v>
      </c>
    </row>
    <row r="303" spans="1:40" s="2" customFormat="1" ht="121.5" hidden="1" customHeight="1">
      <c r="A303" s="12"/>
      <c r="B303" s="12"/>
      <c r="C303" s="12"/>
      <c r="D303" s="5"/>
      <c r="E303" s="731" t="s">
        <v>1424</v>
      </c>
      <c r="F303" s="736" t="s">
        <v>1425</v>
      </c>
      <c r="G303" s="731" t="s">
        <v>172</v>
      </c>
      <c r="H303" s="731" t="s">
        <v>1426</v>
      </c>
      <c r="I303" s="736" t="s">
        <v>1427</v>
      </c>
      <c r="J303" s="744">
        <v>1</v>
      </c>
      <c r="K303" s="951"/>
      <c r="L303" s="951"/>
      <c r="M303" s="951"/>
      <c r="N303" s="744"/>
      <c r="O303" s="744"/>
      <c r="P303" s="744"/>
      <c r="Q303" s="744"/>
      <c r="R303" s="744"/>
      <c r="S303" s="744"/>
      <c r="T303" s="744"/>
      <c r="U303" s="744"/>
      <c r="V303" s="744"/>
      <c r="W303" s="744"/>
      <c r="X303" s="744"/>
      <c r="Y303" s="744"/>
      <c r="Z303" s="952"/>
      <c r="AA303" s="952"/>
      <c r="AB303" s="952"/>
      <c r="AC303" s="952"/>
      <c r="AD303" s="952"/>
      <c r="AE303" s="952"/>
      <c r="AF303" s="952"/>
      <c r="AG303" s="952"/>
      <c r="AH303" s="973"/>
      <c r="AI303" s="973"/>
      <c r="AJ303" s="973"/>
      <c r="AK303" s="973"/>
      <c r="AL303" s="951"/>
      <c r="AM303" s="746" t="s">
        <v>1191</v>
      </c>
      <c r="AN303" s="744">
        <v>2</v>
      </c>
    </row>
    <row r="304" spans="1:40" s="2" customFormat="1" ht="121.5" hidden="1" customHeight="1">
      <c r="A304" s="12"/>
      <c r="B304" s="12"/>
      <c r="C304" s="12"/>
      <c r="D304" s="5"/>
      <c r="E304" s="731" t="s">
        <v>1428</v>
      </c>
      <c r="F304" s="736" t="s">
        <v>1429</v>
      </c>
      <c r="G304" s="731" t="s">
        <v>172</v>
      </c>
      <c r="H304" s="731" t="s">
        <v>1430</v>
      </c>
      <c r="I304" s="736" t="s">
        <v>1431</v>
      </c>
      <c r="J304" s="744">
        <v>1</v>
      </c>
      <c r="K304" s="951"/>
      <c r="L304" s="951"/>
      <c r="M304" s="951"/>
      <c r="N304" s="744"/>
      <c r="O304" s="744"/>
      <c r="P304" s="744"/>
      <c r="Q304" s="744"/>
      <c r="R304" s="744"/>
      <c r="S304" s="744"/>
      <c r="T304" s="744"/>
      <c r="U304" s="744"/>
      <c r="V304" s="744"/>
      <c r="W304" s="744"/>
      <c r="X304" s="744"/>
      <c r="Y304" s="744"/>
      <c r="Z304" s="952"/>
      <c r="AA304" s="952"/>
      <c r="AB304" s="952"/>
      <c r="AC304" s="952"/>
      <c r="AD304" s="952"/>
      <c r="AE304" s="952"/>
      <c r="AF304" s="952"/>
      <c r="AG304" s="952"/>
      <c r="AH304" s="973"/>
      <c r="AI304" s="973"/>
      <c r="AJ304" s="973"/>
      <c r="AK304" s="973"/>
      <c r="AL304" s="951"/>
      <c r="AM304" s="746" t="s">
        <v>1191</v>
      </c>
      <c r="AN304" s="744">
        <v>2</v>
      </c>
    </row>
    <row r="305" spans="1:40" s="2" customFormat="1" ht="121.5" hidden="1" customHeight="1">
      <c r="A305" s="12"/>
      <c r="B305" s="12"/>
      <c r="C305" s="12"/>
      <c r="D305" s="5"/>
      <c r="E305" s="731" t="s">
        <v>1432</v>
      </c>
      <c r="F305" s="736" t="s">
        <v>1433</v>
      </c>
      <c r="G305" s="731" t="s">
        <v>172</v>
      </c>
      <c r="H305" s="731" t="s">
        <v>1434</v>
      </c>
      <c r="I305" s="736" t="s">
        <v>1435</v>
      </c>
      <c r="J305" s="744">
        <v>1</v>
      </c>
      <c r="K305" s="951"/>
      <c r="L305" s="951"/>
      <c r="M305" s="951"/>
      <c r="N305" s="744"/>
      <c r="O305" s="744"/>
      <c r="P305" s="744"/>
      <c r="Q305" s="744"/>
      <c r="R305" s="744"/>
      <c r="S305" s="744"/>
      <c r="T305" s="744"/>
      <c r="U305" s="744"/>
      <c r="V305" s="744"/>
      <c r="W305" s="744"/>
      <c r="X305" s="744"/>
      <c r="Y305" s="744"/>
      <c r="Z305" s="952"/>
      <c r="AA305" s="952"/>
      <c r="AB305" s="952"/>
      <c r="AC305" s="952"/>
      <c r="AD305" s="952"/>
      <c r="AE305" s="952"/>
      <c r="AF305" s="952"/>
      <c r="AG305" s="952"/>
      <c r="AH305" s="973"/>
      <c r="AI305" s="973"/>
      <c r="AJ305" s="973"/>
      <c r="AK305" s="973"/>
      <c r="AL305" s="951"/>
      <c r="AM305" s="746" t="s">
        <v>1191</v>
      </c>
      <c r="AN305" s="744">
        <v>2</v>
      </c>
    </row>
    <row r="306" spans="1:40" s="2" customFormat="1" ht="121.5" hidden="1" customHeight="1">
      <c r="A306" s="12"/>
      <c r="B306" s="12"/>
      <c r="C306" s="12"/>
      <c r="D306" s="5"/>
      <c r="E306" s="731" t="s">
        <v>1436</v>
      </c>
      <c r="F306" s="736" t="s">
        <v>1437</v>
      </c>
      <c r="G306" s="731" t="s">
        <v>172</v>
      </c>
      <c r="H306" s="731" t="s">
        <v>1438</v>
      </c>
      <c r="I306" s="736" t="s">
        <v>1439</v>
      </c>
      <c r="J306" s="744">
        <v>1</v>
      </c>
      <c r="K306" s="951"/>
      <c r="L306" s="951"/>
      <c r="M306" s="951"/>
      <c r="N306" s="744"/>
      <c r="O306" s="744"/>
      <c r="P306" s="744"/>
      <c r="Q306" s="744"/>
      <c r="R306" s="744"/>
      <c r="S306" s="744"/>
      <c r="T306" s="744"/>
      <c r="U306" s="744"/>
      <c r="V306" s="744"/>
      <c r="W306" s="744"/>
      <c r="X306" s="744"/>
      <c r="Y306" s="744"/>
      <c r="Z306" s="952"/>
      <c r="AA306" s="952"/>
      <c r="AB306" s="952"/>
      <c r="AC306" s="952"/>
      <c r="AD306" s="952"/>
      <c r="AE306" s="952"/>
      <c r="AF306" s="952"/>
      <c r="AG306" s="952"/>
      <c r="AH306" s="973"/>
      <c r="AI306" s="973"/>
      <c r="AJ306" s="973"/>
      <c r="AK306" s="973"/>
      <c r="AL306" s="951"/>
      <c r="AM306" s="746" t="s">
        <v>1191</v>
      </c>
      <c r="AN306" s="744">
        <v>2</v>
      </c>
    </row>
    <row r="307" spans="1:40" s="2" customFormat="1" ht="121.5" hidden="1" customHeight="1">
      <c r="A307" s="12"/>
      <c r="B307" s="12"/>
      <c r="C307" s="12"/>
      <c r="D307" s="5"/>
      <c r="E307" s="731" t="s">
        <v>1440</v>
      </c>
      <c r="F307" s="736" t="s">
        <v>1441</v>
      </c>
      <c r="G307" s="731" t="s">
        <v>172</v>
      </c>
      <c r="H307" s="731" t="s">
        <v>1442</v>
      </c>
      <c r="I307" s="736" t="s">
        <v>1443</v>
      </c>
      <c r="J307" s="744">
        <v>1</v>
      </c>
      <c r="K307" s="951"/>
      <c r="L307" s="951"/>
      <c r="M307" s="951"/>
      <c r="N307" s="744"/>
      <c r="O307" s="744"/>
      <c r="P307" s="744"/>
      <c r="Q307" s="744"/>
      <c r="R307" s="744"/>
      <c r="S307" s="744"/>
      <c r="T307" s="744"/>
      <c r="U307" s="744"/>
      <c r="V307" s="744"/>
      <c r="W307" s="744"/>
      <c r="X307" s="744"/>
      <c r="Y307" s="744"/>
      <c r="Z307" s="952"/>
      <c r="AA307" s="952"/>
      <c r="AB307" s="952"/>
      <c r="AC307" s="952"/>
      <c r="AD307" s="952"/>
      <c r="AE307" s="952"/>
      <c r="AF307" s="952"/>
      <c r="AG307" s="952"/>
      <c r="AH307" s="973"/>
      <c r="AI307" s="973"/>
      <c r="AJ307" s="973"/>
      <c r="AK307" s="973"/>
      <c r="AL307" s="951"/>
      <c r="AM307" s="746" t="s">
        <v>1191</v>
      </c>
      <c r="AN307" s="744">
        <v>2</v>
      </c>
    </row>
    <row r="308" spans="1:40" s="2" customFormat="1" ht="121.5" hidden="1" customHeight="1">
      <c r="A308" s="12"/>
      <c r="B308" s="12"/>
      <c r="C308" s="12"/>
      <c r="D308" s="5"/>
      <c r="E308" s="731" t="s">
        <v>1444</v>
      </c>
      <c r="F308" s="736" t="s">
        <v>1445</v>
      </c>
      <c r="G308" s="731" t="s">
        <v>172</v>
      </c>
      <c r="H308" s="731" t="s">
        <v>1446</v>
      </c>
      <c r="I308" s="736" t="s">
        <v>1447</v>
      </c>
      <c r="J308" s="744">
        <v>1</v>
      </c>
      <c r="K308" s="951"/>
      <c r="L308" s="951"/>
      <c r="M308" s="951"/>
      <c r="N308" s="744"/>
      <c r="O308" s="744"/>
      <c r="P308" s="744"/>
      <c r="Q308" s="744"/>
      <c r="R308" s="744"/>
      <c r="S308" s="744"/>
      <c r="T308" s="744"/>
      <c r="U308" s="744"/>
      <c r="V308" s="744"/>
      <c r="W308" s="744"/>
      <c r="X308" s="744"/>
      <c r="Y308" s="744"/>
      <c r="Z308" s="952"/>
      <c r="AA308" s="952"/>
      <c r="AB308" s="952"/>
      <c r="AC308" s="952"/>
      <c r="AD308" s="952"/>
      <c r="AE308" s="952"/>
      <c r="AF308" s="952"/>
      <c r="AG308" s="952"/>
      <c r="AH308" s="973"/>
      <c r="AI308" s="973"/>
      <c r="AJ308" s="973"/>
      <c r="AK308" s="973"/>
      <c r="AL308" s="951"/>
      <c r="AM308" s="746" t="s">
        <v>1191</v>
      </c>
      <c r="AN308" s="744">
        <v>2</v>
      </c>
    </row>
    <row r="309" spans="1:40" s="2" customFormat="1" ht="121.5" hidden="1" customHeight="1">
      <c r="A309" s="12"/>
      <c r="B309" s="12"/>
      <c r="C309" s="12"/>
      <c r="D309" s="5"/>
      <c r="E309" s="731" t="s">
        <v>1448</v>
      </c>
      <c r="F309" s="736" t="s">
        <v>1449</v>
      </c>
      <c r="G309" s="731" t="s">
        <v>172</v>
      </c>
      <c r="H309" s="731" t="s">
        <v>1450</v>
      </c>
      <c r="I309" s="736" t="s">
        <v>1451</v>
      </c>
      <c r="J309" s="744">
        <v>1</v>
      </c>
      <c r="K309" s="951"/>
      <c r="L309" s="951"/>
      <c r="M309" s="951"/>
      <c r="N309" s="744"/>
      <c r="O309" s="744"/>
      <c r="P309" s="744"/>
      <c r="Q309" s="744"/>
      <c r="R309" s="744"/>
      <c r="S309" s="744"/>
      <c r="T309" s="744"/>
      <c r="U309" s="744"/>
      <c r="V309" s="744"/>
      <c r="W309" s="744"/>
      <c r="X309" s="744"/>
      <c r="Y309" s="744"/>
      <c r="Z309" s="952"/>
      <c r="AA309" s="952"/>
      <c r="AB309" s="952"/>
      <c r="AC309" s="952"/>
      <c r="AD309" s="952"/>
      <c r="AE309" s="952"/>
      <c r="AF309" s="952"/>
      <c r="AG309" s="952"/>
      <c r="AH309" s="973"/>
      <c r="AI309" s="973"/>
      <c r="AJ309" s="973"/>
      <c r="AK309" s="973"/>
      <c r="AL309" s="951"/>
      <c r="AM309" s="746" t="s">
        <v>1191</v>
      </c>
      <c r="AN309" s="744">
        <v>2</v>
      </c>
    </row>
    <row r="310" spans="1:40" s="2" customFormat="1" ht="121.5" hidden="1" customHeight="1">
      <c r="A310" s="12"/>
      <c r="B310" s="12"/>
      <c r="C310" s="12"/>
      <c r="D310" s="5"/>
      <c r="E310" s="731" t="s">
        <v>1452</v>
      </c>
      <c r="F310" s="736" t="s">
        <v>1453</v>
      </c>
      <c r="G310" s="731" t="s">
        <v>172</v>
      </c>
      <c r="H310" s="731" t="s">
        <v>1454</v>
      </c>
      <c r="I310" s="736" t="s">
        <v>1455</v>
      </c>
      <c r="J310" s="744">
        <v>1</v>
      </c>
      <c r="K310" s="951"/>
      <c r="L310" s="951"/>
      <c r="M310" s="951"/>
      <c r="N310" s="744"/>
      <c r="O310" s="744"/>
      <c r="P310" s="744"/>
      <c r="Q310" s="744"/>
      <c r="R310" s="744"/>
      <c r="S310" s="744"/>
      <c r="T310" s="744"/>
      <c r="U310" s="744"/>
      <c r="V310" s="744"/>
      <c r="W310" s="744"/>
      <c r="X310" s="744"/>
      <c r="Y310" s="744"/>
      <c r="Z310" s="952"/>
      <c r="AA310" s="952"/>
      <c r="AB310" s="952"/>
      <c r="AC310" s="952"/>
      <c r="AD310" s="952"/>
      <c r="AE310" s="952"/>
      <c r="AF310" s="952"/>
      <c r="AG310" s="952"/>
      <c r="AH310" s="973"/>
      <c r="AI310" s="973"/>
      <c r="AJ310" s="973"/>
      <c r="AK310" s="973"/>
      <c r="AL310" s="951"/>
      <c r="AM310" s="746" t="s">
        <v>1191</v>
      </c>
      <c r="AN310" s="744">
        <v>2</v>
      </c>
    </row>
    <row r="311" spans="1:40" s="2" customFormat="1" ht="121.5" hidden="1" customHeight="1">
      <c r="A311" s="12"/>
      <c r="B311" s="12"/>
      <c r="C311" s="12"/>
      <c r="D311" s="5"/>
      <c r="E311" s="731" t="s">
        <v>1456</v>
      </c>
      <c r="F311" s="736" t="s">
        <v>1457</v>
      </c>
      <c r="G311" s="731" t="s">
        <v>172</v>
      </c>
      <c r="H311" s="731" t="s">
        <v>1458</v>
      </c>
      <c r="I311" s="736" t="s">
        <v>1459</v>
      </c>
      <c r="J311" s="744">
        <v>1</v>
      </c>
      <c r="K311" s="951"/>
      <c r="L311" s="951"/>
      <c r="M311" s="951"/>
      <c r="N311" s="744"/>
      <c r="O311" s="744"/>
      <c r="P311" s="744"/>
      <c r="Q311" s="744"/>
      <c r="R311" s="744"/>
      <c r="S311" s="744"/>
      <c r="T311" s="744"/>
      <c r="U311" s="744"/>
      <c r="V311" s="744"/>
      <c r="W311" s="744"/>
      <c r="X311" s="744"/>
      <c r="Y311" s="744"/>
      <c r="Z311" s="952"/>
      <c r="AA311" s="952"/>
      <c r="AB311" s="952"/>
      <c r="AC311" s="952"/>
      <c r="AD311" s="952"/>
      <c r="AE311" s="952"/>
      <c r="AF311" s="952"/>
      <c r="AG311" s="952"/>
      <c r="AH311" s="973"/>
      <c r="AI311" s="973"/>
      <c r="AJ311" s="973"/>
      <c r="AK311" s="973"/>
      <c r="AL311" s="951"/>
      <c r="AM311" s="746" t="s">
        <v>1191</v>
      </c>
      <c r="AN311" s="744">
        <v>2</v>
      </c>
    </row>
    <row r="312" spans="1:40" s="2" customFormat="1" ht="121.5" hidden="1" customHeight="1">
      <c r="A312" s="12"/>
      <c r="B312" s="12"/>
      <c r="C312" s="12"/>
      <c r="D312" s="5"/>
      <c r="E312" s="731" t="s">
        <v>1460</v>
      </c>
      <c r="F312" s="736" t="s">
        <v>1461</v>
      </c>
      <c r="G312" s="731" t="s">
        <v>172</v>
      </c>
      <c r="H312" s="731" t="s">
        <v>1462</v>
      </c>
      <c r="I312" s="736" t="s">
        <v>1463</v>
      </c>
      <c r="J312" s="744">
        <v>1</v>
      </c>
      <c r="K312" s="951"/>
      <c r="L312" s="951"/>
      <c r="M312" s="951"/>
      <c r="N312" s="744"/>
      <c r="O312" s="744"/>
      <c r="P312" s="744"/>
      <c r="Q312" s="744"/>
      <c r="R312" s="744"/>
      <c r="S312" s="744"/>
      <c r="T312" s="744"/>
      <c r="U312" s="744"/>
      <c r="V312" s="744"/>
      <c r="W312" s="744"/>
      <c r="X312" s="744"/>
      <c r="Y312" s="744"/>
      <c r="Z312" s="952"/>
      <c r="AA312" s="952"/>
      <c r="AB312" s="952"/>
      <c r="AC312" s="952"/>
      <c r="AD312" s="952"/>
      <c r="AE312" s="952"/>
      <c r="AF312" s="952"/>
      <c r="AG312" s="952"/>
      <c r="AH312" s="973"/>
      <c r="AI312" s="973"/>
      <c r="AJ312" s="973"/>
      <c r="AK312" s="973"/>
      <c r="AL312" s="951"/>
      <c r="AM312" s="746" t="s">
        <v>1191</v>
      </c>
      <c r="AN312" s="744">
        <v>2</v>
      </c>
    </row>
    <row r="313" spans="1:40" s="2" customFormat="1" ht="121.5" hidden="1" customHeight="1">
      <c r="A313" s="12"/>
      <c r="B313" s="12"/>
      <c r="C313" s="12"/>
      <c r="D313" s="5"/>
      <c r="E313" s="731" t="s">
        <v>1464</v>
      </c>
      <c r="F313" s="736" t="s">
        <v>1465</v>
      </c>
      <c r="G313" s="731" t="s">
        <v>223</v>
      </c>
      <c r="H313" s="731" t="s">
        <v>1466</v>
      </c>
      <c r="I313" s="736" t="s">
        <v>1467</v>
      </c>
      <c r="J313" s="744">
        <v>1</v>
      </c>
      <c r="K313" s="951"/>
      <c r="L313" s="951"/>
      <c r="M313" s="951"/>
      <c r="N313" s="744"/>
      <c r="O313" s="744"/>
      <c r="P313" s="744"/>
      <c r="Q313" s="744"/>
      <c r="R313" s="744"/>
      <c r="S313" s="744"/>
      <c r="T313" s="744"/>
      <c r="U313" s="744"/>
      <c r="V313" s="744"/>
      <c r="W313" s="744"/>
      <c r="X313" s="744"/>
      <c r="Y313" s="744"/>
      <c r="Z313" s="952"/>
      <c r="AA313" s="952"/>
      <c r="AB313" s="952"/>
      <c r="AC313" s="952"/>
      <c r="AD313" s="952"/>
      <c r="AE313" s="952"/>
      <c r="AF313" s="952"/>
      <c r="AG313" s="952"/>
      <c r="AH313" s="973"/>
      <c r="AI313" s="973"/>
      <c r="AJ313" s="973"/>
      <c r="AK313" s="973"/>
      <c r="AL313" s="951"/>
      <c r="AM313" s="746" t="s">
        <v>1191</v>
      </c>
      <c r="AN313" s="744">
        <v>2</v>
      </c>
    </row>
    <row r="314" spans="1:40" s="2" customFormat="1" ht="121.5" hidden="1" customHeight="1">
      <c r="A314" s="12"/>
      <c r="B314" s="12"/>
      <c r="C314" s="12"/>
      <c r="D314" s="5"/>
      <c r="E314" s="731" t="s">
        <v>1468</v>
      </c>
      <c r="F314" s="736" t="s">
        <v>1469</v>
      </c>
      <c r="G314" s="731" t="s">
        <v>223</v>
      </c>
      <c r="H314" s="731" t="s">
        <v>1470</v>
      </c>
      <c r="I314" s="736" t="s">
        <v>1471</v>
      </c>
      <c r="J314" s="744">
        <v>1</v>
      </c>
      <c r="K314" s="951"/>
      <c r="L314" s="951"/>
      <c r="M314" s="951"/>
      <c r="N314" s="744"/>
      <c r="O314" s="744"/>
      <c r="P314" s="744"/>
      <c r="Q314" s="744"/>
      <c r="R314" s="744"/>
      <c r="S314" s="744"/>
      <c r="T314" s="744"/>
      <c r="U314" s="744"/>
      <c r="V314" s="744"/>
      <c r="W314" s="744"/>
      <c r="X314" s="744"/>
      <c r="Y314" s="744"/>
      <c r="Z314" s="952"/>
      <c r="AA314" s="952"/>
      <c r="AB314" s="952"/>
      <c r="AC314" s="952"/>
      <c r="AD314" s="952"/>
      <c r="AE314" s="952"/>
      <c r="AF314" s="952"/>
      <c r="AG314" s="952"/>
      <c r="AH314" s="973"/>
      <c r="AI314" s="973"/>
      <c r="AJ314" s="973"/>
      <c r="AK314" s="973"/>
      <c r="AL314" s="951"/>
      <c r="AM314" s="746" t="s">
        <v>1191</v>
      </c>
      <c r="AN314" s="744">
        <v>2</v>
      </c>
    </row>
    <row r="315" spans="1:40" s="2" customFormat="1" ht="121.5" hidden="1" customHeight="1">
      <c r="A315" s="12"/>
      <c r="B315" s="12"/>
      <c r="C315" s="12"/>
      <c r="D315" s="5"/>
      <c r="E315" s="731" t="s">
        <v>1472</v>
      </c>
      <c r="F315" s="736" t="s">
        <v>1473</v>
      </c>
      <c r="G315" s="731" t="s">
        <v>223</v>
      </c>
      <c r="H315" s="731" t="s">
        <v>1474</v>
      </c>
      <c r="I315" s="736" t="s">
        <v>1475</v>
      </c>
      <c r="J315" s="744">
        <v>1</v>
      </c>
      <c r="K315" s="951"/>
      <c r="L315" s="951"/>
      <c r="M315" s="951"/>
      <c r="N315" s="744"/>
      <c r="O315" s="744"/>
      <c r="P315" s="744"/>
      <c r="Q315" s="744"/>
      <c r="R315" s="744"/>
      <c r="S315" s="744"/>
      <c r="T315" s="744"/>
      <c r="U315" s="744"/>
      <c r="V315" s="744"/>
      <c r="W315" s="744"/>
      <c r="X315" s="744"/>
      <c r="Y315" s="744"/>
      <c r="Z315" s="952"/>
      <c r="AA315" s="952"/>
      <c r="AB315" s="952"/>
      <c r="AC315" s="952"/>
      <c r="AD315" s="952"/>
      <c r="AE315" s="952"/>
      <c r="AF315" s="952"/>
      <c r="AG315" s="952"/>
      <c r="AH315" s="973"/>
      <c r="AI315" s="973"/>
      <c r="AJ315" s="973"/>
      <c r="AK315" s="973"/>
      <c r="AL315" s="951"/>
      <c r="AM315" s="746" t="s">
        <v>1191</v>
      </c>
      <c r="AN315" s="744">
        <v>2</v>
      </c>
    </row>
    <row r="316" spans="1:40" s="2" customFormat="1" ht="121.5" hidden="1" customHeight="1">
      <c r="A316" s="12"/>
      <c r="B316" s="12"/>
      <c r="C316" s="12"/>
      <c r="D316" s="5"/>
      <c r="E316" s="731" t="s">
        <v>1476</v>
      </c>
      <c r="F316" s="736" t="s">
        <v>1477</v>
      </c>
      <c r="G316" s="731" t="s">
        <v>223</v>
      </c>
      <c r="H316" s="731" t="s">
        <v>1478</v>
      </c>
      <c r="I316" s="736" t="s">
        <v>1479</v>
      </c>
      <c r="J316" s="744">
        <v>1</v>
      </c>
      <c r="K316" s="951"/>
      <c r="L316" s="951"/>
      <c r="M316" s="951"/>
      <c r="N316" s="744"/>
      <c r="O316" s="744"/>
      <c r="P316" s="744"/>
      <c r="Q316" s="744"/>
      <c r="R316" s="744"/>
      <c r="S316" s="744"/>
      <c r="T316" s="744"/>
      <c r="U316" s="744"/>
      <c r="V316" s="744"/>
      <c r="W316" s="744"/>
      <c r="X316" s="744"/>
      <c r="Y316" s="744"/>
      <c r="Z316" s="952"/>
      <c r="AA316" s="952"/>
      <c r="AB316" s="952"/>
      <c r="AC316" s="952"/>
      <c r="AD316" s="952"/>
      <c r="AE316" s="952"/>
      <c r="AF316" s="952"/>
      <c r="AG316" s="952"/>
      <c r="AH316" s="973"/>
      <c r="AI316" s="973"/>
      <c r="AJ316" s="973"/>
      <c r="AK316" s="973"/>
      <c r="AL316" s="951"/>
      <c r="AM316" s="746" t="s">
        <v>1191</v>
      </c>
      <c r="AN316" s="744">
        <v>2</v>
      </c>
    </row>
    <row r="317" spans="1:40" s="2" customFormat="1" ht="121.5" hidden="1" customHeight="1">
      <c r="A317" s="12"/>
      <c r="B317" s="12"/>
      <c r="C317" s="12"/>
      <c r="D317" s="5"/>
      <c r="E317" s="731" t="s">
        <v>1480</v>
      </c>
      <c r="F317" s="736" t="s">
        <v>1481</v>
      </c>
      <c r="G317" s="731" t="s">
        <v>223</v>
      </c>
      <c r="H317" s="731" t="s">
        <v>1482</v>
      </c>
      <c r="I317" s="736" t="s">
        <v>1483</v>
      </c>
      <c r="J317" s="744">
        <v>1</v>
      </c>
      <c r="K317" s="951"/>
      <c r="L317" s="951"/>
      <c r="M317" s="951"/>
      <c r="N317" s="744"/>
      <c r="O317" s="744"/>
      <c r="P317" s="744"/>
      <c r="Q317" s="744"/>
      <c r="R317" s="744"/>
      <c r="S317" s="744"/>
      <c r="T317" s="744"/>
      <c r="U317" s="744"/>
      <c r="V317" s="744"/>
      <c r="W317" s="744"/>
      <c r="X317" s="744"/>
      <c r="Y317" s="744"/>
      <c r="Z317" s="952"/>
      <c r="AA317" s="952"/>
      <c r="AB317" s="952"/>
      <c r="AC317" s="952"/>
      <c r="AD317" s="952"/>
      <c r="AE317" s="952"/>
      <c r="AF317" s="952"/>
      <c r="AG317" s="952"/>
      <c r="AH317" s="973"/>
      <c r="AI317" s="973"/>
      <c r="AJ317" s="973"/>
      <c r="AK317" s="973"/>
      <c r="AL317" s="951"/>
      <c r="AM317" s="746" t="s">
        <v>1191</v>
      </c>
      <c r="AN317" s="744">
        <v>2</v>
      </c>
    </row>
    <row r="318" spans="1:40" s="2" customFormat="1" ht="121.5" hidden="1" customHeight="1">
      <c r="A318" s="12"/>
      <c r="B318" s="12"/>
      <c r="C318" s="12"/>
      <c r="D318" s="5"/>
      <c r="E318" s="731" t="s">
        <v>1484</v>
      </c>
      <c r="F318" s="736" t="s">
        <v>1485</v>
      </c>
      <c r="G318" s="731" t="s">
        <v>223</v>
      </c>
      <c r="H318" s="731" t="s">
        <v>1486</v>
      </c>
      <c r="I318" s="736" t="s">
        <v>1487</v>
      </c>
      <c r="J318" s="744">
        <v>1</v>
      </c>
      <c r="K318" s="951"/>
      <c r="L318" s="951"/>
      <c r="M318" s="951"/>
      <c r="N318" s="744"/>
      <c r="O318" s="744"/>
      <c r="P318" s="744"/>
      <c r="Q318" s="744"/>
      <c r="R318" s="744"/>
      <c r="S318" s="744"/>
      <c r="T318" s="744"/>
      <c r="U318" s="744"/>
      <c r="V318" s="744"/>
      <c r="W318" s="744"/>
      <c r="X318" s="744"/>
      <c r="Y318" s="744"/>
      <c r="Z318" s="952"/>
      <c r="AA318" s="952"/>
      <c r="AB318" s="952"/>
      <c r="AC318" s="952"/>
      <c r="AD318" s="952"/>
      <c r="AE318" s="952"/>
      <c r="AF318" s="952"/>
      <c r="AG318" s="952"/>
      <c r="AH318" s="973"/>
      <c r="AI318" s="973"/>
      <c r="AJ318" s="973"/>
      <c r="AK318" s="973"/>
      <c r="AL318" s="951"/>
      <c r="AM318" s="746" t="s">
        <v>1191</v>
      </c>
      <c r="AN318" s="744">
        <v>2</v>
      </c>
    </row>
    <row r="319" spans="1:40" s="2" customFormat="1" ht="121.5" hidden="1" customHeight="1">
      <c r="A319" s="12"/>
      <c r="B319" s="12"/>
      <c r="C319" s="12"/>
      <c r="D319" s="5"/>
      <c r="E319" s="731" t="s">
        <v>1488</v>
      </c>
      <c r="F319" s="736" t="s">
        <v>1489</v>
      </c>
      <c r="G319" s="731" t="s">
        <v>223</v>
      </c>
      <c r="H319" s="731" t="s">
        <v>1490</v>
      </c>
      <c r="I319" s="736" t="s">
        <v>1491</v>
      </c>
      <c r="J319" s="744">
        <v>1</v>
      </c>
      <c r="K319" s="951"/>
      <c r="L319" s="951"/>
      <c r="M319" s="951"/>
      <c r="N319" s="744"/>
      <c r="O319" s="744"/>
      <c r="P319" s="744"/>
      <c r="Q319" s="744"/>
      <c r="R319" s="744"/>
      <c r="S319" s="744"/>
      <c r="T319" s="744"/>
      <c r="U319" s="744"/>
      <c r="V319" s="744"/>
      <c r="W319" s="744"/>
      <c r="X319" s="744"/>
      <c r="Y319" s="744"/>
      <c r="Z319" s="952"/>
      <c r="AA319" s="952"/>
      <c r="AB319" s="952"/>
      <c r="AC319" s="952"/>
      <c r="AD319" s="952"/>
      <c r="AE319" s="952"/>
      <c r="AF319" s="952"/>
      <c r="AG319" s="952"/>
      <c r="AH319" s="973"/>
      <c r="AI319" s="973"/>
      <c r="AJ319" s="973"/>
      <c r="AK319" s="973"/>
      <c r="AL319" s="951"/>
      <c r="AM319" s="746" t="s">
        <v>1191</v>
      </c>
      <c r="AN319" s="744">
        <v>2</v>
      </c>
    </row>
    <row r="320" spans="1:40" s="2" customFormat="1" ht="121.5" hidden="1" customHeight="1">
      <c r="A320" s="12"/>
      <c r="B320" s="12"/>
      <c r="C320" s="12"/>
      <c r="D320" s="5"/>
      <c r="E320" s="731" t="s">
        <v>1492</v>
      </c>
      <c r="F320" s="736" t="s">
        <v>1493</v>
      </c>
      <c r="G320" s="731" t="s">
        <v>223</v>
      </c>
      <c r="H320" s="731" t="s">
        <v>1494</v>
      </c>
      <c r="I320" s="736" t="s">
        <v>1495</v>
      </c>
      <c r="J320" s="744">
        <v>1</v>
      </c>
      <c r="K320" s="951"/>
      <c r="L320" s="951"/>
      <c r="M320" s="951"/>
      <c r="N320" s="744"/>
      <c r="O320" s="744"/>
      <c r="P320" s="744"/>
      <c r="Q320" s="744"/>
      <c r="R320" s="744"/>
      <c r="S320" s="744"/>
      <c r="T320" s="744"/>
      <c r="U320" s="744"/>
      <c r="V320" s="744"/>
      <c r="W320" s="744"/>
      <c r="X320" s="744"/>
      <c r="Y320" s="744"/>
      <c r="Z320" s="952"/>
      <c r="AA320" s="952"/>
      <c r="AB320" s="952"/>
      <c r="AC320" s="952"/>
      <c r="AD320" s="952"/>
      <c r="AE320" s="952"/>
      <c r="AF320" s="952"/>
      <c r="AG320" s="952"/>
      <c r="AH320" s="973"/>
      <c r="AI320" s="973"/>
      <c r="AJ320" s="973"/>
      <c r="AK320" s="973"/>
      <c r="AL320" s="951"/>
      <c r="AM320" s="746" t="s">
        <v>1191</v>
      </c>
      <c r="AN320" s="744">
        <v>2</v>
      </c>
    </row>
    <row r="321" spans="1:40" s="2" customFormat="1" ht="121.5" hidden="1" customHeight="1">
      <c r="A321" s="12"/>
      <c r="B321" s="12"/>
      <c r="C321" s="12"/>
      <c r="D321" s="5"/>
      <c r="E321" s="731" t="s">
        <v>1496</v>
      </c>
      <c r="F321" s="736" t="s">
        <v>1497</v>
      </c>
      <c r="G321" s="731" t="s">
        <v>223</v>
      </c>
      <c r="H321" s="731" t="s">
        <v>1498</v>
      </c>
      <c r="I321" s="736" t="s">
        <v>1499</v>
      </c>
      <c r="J321" s="744">
        <v>1</v>
      </c>
      <c r="K321" s="951"/>
      <c r="L321" s="951"/>
      <c r="M321" s="951"/>
      <c r="N321" s="744"/>
      <c r="O321" s="744"/>
      <c r="P321" s="744"/>
      <c r="Q321" s="744"/>
      <c r="R321" s="744"/>
      <c r="S321" s="744"/>
      <c r="T321" s="744"/>
      <c r="U321" s="744"/>
      <c r="V321" s="744"/>
      <c r="W321" s="744"/>
      <c r="X321" s="744"/>
      <c r="Y321" s="744"/>
      <c r="Z321" s="952"/>
      <c r="AA321" s="952"/>
      <c r="AB321" s="952"/>
      <c r="AC321" s="952"/>
      <c r="AD321" s="952"/>
      <c r="AE321" s="952"/>
      <c r="AF321" s="952"/>
      <c r="AG321" s="952"/>
      <c r="AH321" s="973"/>
      <c r="AI321" s="973"/>
      <c r="AJ321" s="973"/>
      <c r="AK321" s="973"/>
      <c r="AL321" s="951"/>
      <c r="AM321" s="746" t="s">
        <v>1191</v>
      </c>
      <c r="AN321" s="744">
        <v>2</v>
      </c>
    </row>
    <row r="322" spans="1:40" s="2" customFormat="1" ht="121.5" hidden="1" customHeight="1">
      <c r="A322" s="12"/>
      <c r="B322" s="12"/>
      <c r="C322" s="12"/>
      <c r="D322" s="5"/>
      <c r="E322" s="731" t="s">
        <v>1500</v>
      </c>
      <c r="F322" s="736" t="s">
        <v>1501</v>
      </c>
      <c r="G322" s="731" t="s">
        <v>223</v>
      </c>
      <c r="H322" s="731" t="s">
        <v>1502</v>
      </c>
      <c r="I322" s="736" t="s">
        <v>1503</v>
      </c>
      <c r="J322" s="744">
        <v>1</v>
      </c>
      <c r="K322" s="951"/>
      <c r="L322" s="951"/>
      <c r="M322" s="951"/>
      <c r="N322" s="744"/>
      <c r="O322" s="744"/>
      <c r="P322" s="744"/>
      <c r="Q322" s="744"/>
      <c r="R322" s="744"/>
      <c r="S322" s="744"/>
      <c r="T322" s="744"/>
      <c r="U322" s="744"/>
      <c r="V322" s="744"/>
      <c r="W322" s="744"/>
      <c r="X322" s="744"/>
      <c r="Y322" s="744"/>
      <c r="Z322" s="952"/>
      <c r="AA322" s="952"/>
      <c r="AB322" s="952"/>
      <c r="AC322" s="952"/>
      <c r="AD322" s="952"/>
      <c r="AE322" s="952"/>
      <c r="AF322" s="952"/>
      <c r="AG322" s="952"/>
      <c r="AH322" s="973"/>
      <c r="AI322" s="973"/>
      <c r="AJ322" s="973"/>
      <c r="AK322" s="973"/>
      <c r="AL322" s="951"/>
      <c r="AM322" s="746" t="s">
        <v>1191</v>
      </c>
      <c r="AN322" s="744">
        <v>2</v>
      </c>
    </row>
    <row r="323" spans="1:40" s="2" customFormat="1" ht="121.5" hidden="1" customHeight="1">
      <c r="A323" s="12"/>
      <c r="B323" s="12"/>
      <c r="C323" s="12"/>
      <c r="D323" s="5"/>
      <c r="E323" s="731" t="s">
        <v>1504</v>
      </c>
      <c r="F323" s="736" t="s">
        <v>1505</v>
      </c>
      <c r="G323" s="731" t="s">
        <v>223</v>
      </c>
      <c r="H323" s="731" t="s">
        <v>1506</v>
      </c>
      <c r="I323" s="736" t="s">
        <v>1507</v>
      </c>
      <c r="J323" s="744">
        <v>1</v>
      </c>
      <c r="K323" s="951"/>
      <c r="L323" s="951"/>
      <c r="M323" s="951"/>
      <c r="N323" s="744"/>
      <c r="O323" s="744"/>
      <c r="P323" s="744"/>
      <c r="Q323" s="744"/>
      <c r="R323" s="744"/>
      <c r="S323" s="744"/>
      <c r="T323" s="744"/>
      <c r="U323" s="744"/>
      <c r="V323" s="744"/>
      <c r="W323" s="744"/>
      <c r="X323" s="744"/>
      <c r="Y323" s="744"/>
      <c r="Z323" s="952"/>
      <c r="AA323" s="952"/>
      <c r="AB323" s="952"/>
      <c r="AC323" s="952"/>
      <c r="AD323" s="952"/>
      <c r="AE323" s="952"/>
      <c r="AF323" s="952"/>
      <c r="AG323" s="952"/>
      <c r="AH323" s="973"/>
      <c r="AI323" s="973"/>
      <c r="AJ323" s="973"/>
      <c r="AK323" s="973"/>
      <c r="AL323" s="951"/>
      <c r="AM323" s="746" t="s">
        <v>1191</v>
      </c>
      <c r="AN323" s="744">
        <v>2</v>
      </c>
    </row>
    <row r="324" spans="1:40" s="2" customFormat="1" ht="121.5" hidden="1" customHeight="1">
      <c r="A324" s="12"/>
      <c r="B324" s="12"/>
      <c r="C324" s="12"/>
      <c r="D324" s="5"/>
      <c r="E324" s="731" t="s">
        <v>1508</v>
      </c>
      <c r="F324" s="736" t="s">
        <v>1509</v>
      </c>
      <c r="G324" s="731" t="s">
        <v>223</v>
      </c>
      <c r="H324" s="731" t="s">
        <v>1510</v>
      </c>
      <c r="I324" s="736" t="s">
        <v>1511</v>
      </c>
      <c r="J324" s="744">
        <v>1</v>
      </c>
      <c r="K324" s="951"/>
      <c r="L324" s="951"/>
      <c r="M324" s="951"/>
      <c r="N324" s="744"/>
      <c r="O324" s="744"/>
      <c r="P324" s="744"/>
      <c r="Q324" s="744"/>
      <c r="R324" s="744"/>
      <c r="S324" s="744"/>
      <c r="T324" s="744"/>
      <c r="U324" s="744"/>
      <c r="V324" s="744"/>
      <c r="W324" s="744"/>
      <c r="X324" s="744"/>
      <c r="Y324" s="744"/>
      <c r="Z324" s="952"/>
      <c r="AA324" s="952"/>
      <c r="AB324" s="952"/>
      <c r="AC324" s="952"/>
      <c r="AD324" s="952"/>
      <c r="AE324" s="952"/>
      <c r="AF324" s="952"/>
      <c r="AG324" s="952"/>
      <c r="AH324" s="973"/>
      <c r="AI324" s="973"/>
      <c r="AJ324" s="973"/>
      <c r="AK324" s="973"/>
      <c r="AL324" s="951"/>
      <c r="AM324" s="746" t="s">
        <v>1191</v>
      </c>
      <c r="AN324" s="744">
        <v>2</v>
      </c>
    </row>
    <row r="325" spans="1:40" s="2" customFormat="1" ht="121.5" hidden="1" customHeight="1">
      <c r="A325" s="12"/>
      <c r="B325" s="12"/>
      <c r="C325" s="12"/>
      <c r="D325" s="5"/>
      <c r="E325" s="731" t="s">
        <v>1512</v>
      </c>
      <c r="F325" s="736" t="s">
        <v>1513</v>
      </c>
      <c r="G325" s="731" t="s">
        <v>223</v>
      </c>
      <c r="H325" s="731" t="s">
        <v>1514</v>
      </c>
      <c r="I325" s="736" t="s">
        <v>1515</v>
      </c>
      <c r="J325" s="744">
        <v>1</v>
      </c>
      <c r="K325" s="951"/>
      <c r="L325" s="951"/>
      <c r="M325" s="951"/>
      <c r="N325" s="744"/>
      <c r="O325" s="744"/>
      <c r="P325" s="744"/>
      <c r="Q325" s="744"/>
      <c r="R325" s="744"/>
      <c r="S325" s="744"/>
      <c r="T325" s="744"/>
      <c r="U325" s="744"/>
      <c r="V325" s="744"/>
      <c r="W325" s="744"/>
      <c r="X325" s="744"/>
      <c r="Y325" s="744"/>
      <c r="Z325" s="952"/>
      <c r="AA325" s="952"/>
      <c r="AB325" s="952"/>
      <c r="AC325" s="952"/>
      <c r="AD325" s="952"/>
      <c r="AE325" s="952"/>
      <c r="AF325" s="952"/>
      <c r="AG325" s="952"/>
      <c r="AH325" s="973"/>
      <c r="AI325" s="973"/>
      <c r="AJ325" s="973"/>
      <c r="AK325" s="973"/>
      <c r="AL325" s="951"/>
      <c r="AM325" s="746" t="s">
        <v>1191</v>
      </c>
      <c r="AN325" s="744">
        <v>2</v>
      </c>
    </row>
    <row r="326" spans="1:40" s="2" customFormat="1" ht="121.5" hidden="1" customHeight="1">
      <c r="A326" s="12"/>
      <c r="B326" s="12"/>
      <c r="C326" s="12"/>
      <c r="D326" s="5"/>
      <c r="E326" s="731" t="s">
        <v>1516</v>
      </c>
      <c r="F326" s="736" t="s">
        <v>1517</v>
      </c>
      <c r="G326" s="731" t="s">
        <v>223</v>
      </c>
      <c r="H326" s="731" t="s">
        <v>1518</v>
      </c>
      <c r="I326" s="736" t="s">
        <v>1519</v>
      </c>
      <c r="J326" s="744">
        <v>1</v>
      </c>
      <c r="K326" s="951"/>
      <c r="L326" s="951"/>
      <c r="M326" s="951"/>
      <c r="N326" s="744"/>
      <c r="O326" s="744"/>
      <c r="P326" s="744"/>
      <c r="Q326" s="744"/>
      <c r="R326" s="744"/>
      <c r="S326" s="744"/>
      <c r="T326" s="744"/>
      <c r="U326" s="744"/>
      <c r="V326" s="744"/>
      <c r="W326" s="744"/>
      <c r="X326" s="744"/>
      <c r="Y326" s="744"/>
      <c r="Z326" s="952"/>
      <c r="AA326" s="952"/>
      <c r="AB326" s="952"/>
      <c r="AC326" s="952"/>
      <c r="AD326" s="952"/>
      <c r="AE326" s="952"/>
      <c r="AF326" s="952"/>
      <c r="AG326" s="952"/>
      <c r="AH326" s="973"/>
      <c r="AI326" s="973"/>
      <c r="AJ326" s="973"/>
      <c r="AK326" s="973"/>
      <c r="AL326" s="951"/>
      <c r="AM326" s="746" t="s">
        <v>1191</v>
      </c>
      <c r="AN326" s="744">
        <v>2</v>
      </c>
    </row>
    <row r="327" spans="1:40" s="2" customFormat="1" ht="121.5" hidden="1" customHeight="1">
      <c r="A327" s="12"/>
      <c r="B327" s="12"/>
      <c r="C327" s="12"/>
      <c r="D327" s="5"/>
      <c r="E327" s="731" t="s">
        <v>1520</v>
      </c>
      <c r="F327" s="736" t="s">
        <v>1521</v>
      </c>
      <c r="G327" s="731" t="s">
        <v>223</v>
      </c>
      <c r="H327" s="731" t="s">
        <v>1522</v>
      </c>
      <c r="I327" s="736" t="s">
        <v>1523</v>
      </c>
      <c r="J327" s="744">
        <v>1</v>
      </c>
      <c r="K327" s="951"/>
      <c r="L327" s="951"/>
      <c r="M327" s="951"/>
      <c r="N327" s="744"/>
      <c r="O327" s="744"/>
      <c r="P327" s="744"/>
      <c r="Q327" s="744"/>
      <c r="R327" s="744"/>
      <c r="S327" s="744"/>
      <c r="T327" s="744"/>
      <c r="U327" s="744"/>
      <c r="V327" s="744"/>
      <c r="W327" s="744"/>
      <c r="X327" s="744"/>
      <c r="Y327" s="744"/>
      <c r="Z327" s="952"/>
      <c r="AA327" s="952"/>
      <c r="AB327" s="952"/>
      <c r="AC327" s="952"/>
      <c r="AD327" s="952"/>
      <c r="AE327" s="952"/>
      <c r="AF327" s="952"/>
      <c r="AG327" s="952"/>
      <c r="AH327" s="973"/>
      <c r="AI327" s="973"/>
      <c r="AJ327" s="973"/>
      <c r="AK327" s="973"/>
      <c r="AL327" s="951"/>
      <c r="AM327" s="746" t="s">
        <v>1191</v>
      </c>
      <c r="AN327" s="744">
        <v>2</v>
      </c>
    </row>
    <row r="328" spans="1:40" s="2" customFormat="1" ht="121.5" hidden="1" customHeight="1">
      <c r="A328" s="12"/>
      <c r="B328" s="12"/>
      <c r="C328" s="12"/>
      <c r="D328" s="5"/>
      <c r="E328" s="731" t="s">
        <v>1524</v>
      </c>
      <c r="F328" s="736" t="s">
        <v>1525</v>
      </c>
      <c r="G328" s="731" t="s">
        <v>223</v>
      </c>
      <c r="H328" s="731" t="s">
        <v>1526</v>
      </c>
      <c r="I328" s="736" t="s">
        <v>1527</v>
      </c>
      <c r="J328" s="744">
        <v>1</v>
      </c>
      <c r="K328" s="951"/>
      <c r="L328" s="951"/>
      <c r="M328" s="951"/>
      <c r="N328" s="744"/>
      <c r="O328" s="744"/>
      <c r="P328" s="744"/>
      <c r="Q328" s="744"/>
      <c r="R328" s="744"/>
      <c r="S328" s="744"/>
      <c r="T328" s="744"/>
      <c r="U328" s="744"/>
      <c r="V328" s="744"/>
      <c r="W328" s="744"/>
      <c r="X328" s="744"/>
      <c r="Y328" s="744"/>
      <c r="Z328" s="952"/>
      <c r="AA328" s="952"/>
      <c r="AB328" s="952"/>
      <c r="AC328" s="952"/>
      <c r="AD328" s="952"/>
      <c r="AE328" s="952"/>
      <c r="AF328" s="952"/>
      <c r="AG328" s="952"/>
      <c r="AH328" s="973"/>
      <c r="AI328" s="973"/>
      <c r="AJ328" s="973"/>
      <c r="AK328" s="973"/>
      <c r="AL328" s="951"/>
      <c r="AM328" s="746" t="s">
        <v>1191</v>
      </c>
      <c r="AN328" s="744">
        <v>2</v>
      </c>
    </row>
    <row r="329" spans="1:40" s="2" customFormat="1" ht="121.5" hidden="1" customHeight="1">
      <c r="A329" s="12"/>
      <c r="B329" s="12"/>
      <c r="C329" s="12"/>
      <c r="D329" s="5"/>
      <c r="E329" s="731" t="s">
        <v>1528</v>
      </c>
      <c r="F329" s="736" t="s">
        <v>1529</v>
      </c>
      <c r="G329" s="731" t="s">
        <v>223</v>
      </c>
      <c r="H329" s="731" t="s">
        <v>1530</v>
      </c>
      <c r="I329" s="736" t="s">
        <v>1531</v>
      </c>
      <c r="J329" s="744">
        <v>1</v>
      </c>
      <c r="K329" s="951"/>
      <c r="L329" s="951"/>
      <c r="M329" s="951"/>
      <c r="N329" s="744"/>
      <c r="O329" s="744"/>
      <c r="P329" s="744"/>
      <c r="Q329" s="744"/>
      <c r="R329" s="744"/>
      <c r="S329" s="744"/>
      <c r="T329" s="744"/>
      <c r="U329" s="744"/>
      <c r="V329" s="744"/>
      <c r="W329" s="744"/>
      <c r="X329" s="744"/>
      <c r="Y329" s="744"/>
      <c r="Z329" s="952"/>
      <c r="AA329" s="952"/>
      <c r="AB329" s="952"/>
      <c r="AC329" s="952"/>
      <c r="AD329" s="952"/>
      <c r="AE329" s="952"/>
      <c r="AF329" s="952"/>
      <c r="AG329" s="952"/>
      <c r="AH329" s="973"/>
      <c r="AI329" s="973"/>
      <c r="AJ329" s="973"/>
      <c r="AK329" s="973"/>
      <c r="AL329" s="951"/>
      <c r="AM329" s="746" t="s">
        <v>1191</v>
      </c>
      <c r="AN329" s="744">
        <v>2</v>
      </c>
    </row>
    <row r="330" spans="1:40" s="2" customFormat="1" ht="121.5" hidden="1" customHeight="1">
      <c r="A330" s="12"/>
      <c r="B330" s="12"/>
      <c r="C330" s="12"/>
      <c r="D330" s="5"/>
      <c r="E330" s="731" t="s">
        <v>1532</v>
      </c>
      <c r="F330" s="736" t="s">
        <v>1533</v>
      </c>
      <c r="G330" s="731" t="s">
        <v>223</v>
      </c>
      <c r="H330" s="731" t="s">
        <v>1534</v>
      </c>
      <c r="I330" s="736" t="s">
        <v>1535</v>
      </c>
      <c r="J330" s="744">
        <v>1</v>
      </c>
      <c r="K330" s="951"/>
      <c r="L330" s="951"/>
      <c r="M330" s="951"/>
      <c r="N330" s="744"/>
      <c r="O330" s="744"/>
      <c r="P330" s="744"/>
      <c r="Q330" s="744"/>
      <c r="R330" s="744"/>
      <c r="S330" s="744"/>
      <c r="T330" s="744"/>
      <c r="U330" s="744"/>
      <c r="V330" s="744"/>
      <c r="W330" s="744"/>
      <c r="X330" s="744"/>
      <c r="Y330" s="744"/>
      <c r="Z330" s="952"/>
      <c r="AA330" s="952"/>
      <c r="AB330" s="952"/>
      <c r="AC330" s="952"/>
      <c r="AD330" s="952"/>
      <c r="AE330" s="952"/>
      <c r="AF330" s="952"/>
      <c r="AG330" s="952"/>
      <c r="AH330" s="973"/>
      <c r="AI330" s="973"/>
      <c r="AJ330" s="973"/>
      <c r="AK330" s="973"/>
      <c r="AL330" s="951"/>
      <c r="AM330" s="746" t="s">
        <v>1191</v>
      </c>
      <c r="AN330" s="744">
        <v>2</v>
      </c>
    </row>
    <row r="331" spans="1:40" s="2" customFormat="1" ht="121.5" hidden="1" customHeight="1">
      <c r="A331" s="12"/>
      <c r="B331" s="12"/>
      <c r="C331" s="12"/>
      <c r="D331" s="5"/>
      <c r="E331" s="731" t="s">
        <v>1536</v>
      </c>
      <c r="F331" s="736" t="s">
        <v>1537</v>
      </c>
      <c r="G331" s="731" t="s">
        <v>223</v>
      </c>
      <c r="H331" s="731" t="s">
        <v>1538</v>
      </c>
      <c r="I331" s="736" t="s">
        <v>1539</v>
      </c>
      <c r="J331" s="744">
        <v>1</v>
      </c>
      <c r="K331" s="951"/>
      <c r="L331" s="951"/>
      <c r="M331" s="951"/>
      <c r="N331" s="744"/>
      <c r="O331" s="744"/>
      <c r="P331" s="744"/>
      <c r="Q331" s="744"/>
      <c r="R331" s="744"/>
      <c r="S331" s="744"/>
      <c r="T331" s="744"/>
      <c r="U331" s="744"/>
      <c r="V331" s="744"/>
      <c r="W331" s="744"/>
      <c r="X331" s="744"/>
      <c r="Y331" s="744"/>
      <c r="Z331" s="952"/>
      <c r="AA331" s="952"/>
      <c r="AB331" s="952"/>
      <c r="AC331" s="952"/>
      <c r="AD331" s="952"/>
      <c r="AE331" s="952"/>
      <c r="AF331" s="952"/>
      <c r="AG331" s="952"/>
      <c r="AH331" s="973"/>
      <c r="AI331" s="973"/>
      <c r="AJ331" s="973"/>
      <c r="AK331" s="973"/>
      <c r="AL331" s="951"/>
      <c r="AM331" s="746" t="s">
        <v>1191</v>
      </c>
      <c r="AN331" s="744">
        <v>2</v>
      </c>
    </row>
    <row r="332" spans="1:40" s="2" customFormat="1" ht="121.5" hidden="1" customHeight="1">
      <c r="A332" s="12"/>
      <c r="B332" s="12"/>
      <c r="C332" s="12"/>
      <c r="D332" s="5"/>
      <c r="E332" s="731" t="s">
        <v>1540</v>
      </c>
      <c r="F332" s="736" t="s">
        <v>1541</v>
      </c>
      <c r="G332" s="731" t="s">
        <v>223</v>
      </c>
      <c r="H332" s="731" t="s">
        <v>1542</v>
      </c>
      <c r="I332" s="736" t="s">
        <v>1543</v>
      </c>
      <c r="J332" s="744">
        <v>1</v>
      </c>
      <c r="K332" s="951"/>
      <c r="L332" s="951"/>
      <c r="M332" s="951"/>
      <c r="N332" s="744"/>
      <c r="O332" s="744"/>
      <c r="P332" s="744"/>
      <c r="Q332" s="744"/>
      <c r="R332" s="744"/>
      <c r="S332" s="744"/>
      <c r="T332" s="744"/>
      <c r="U332" s="744"/>
      <c r="V332" s="744"/>
      <c r="W332" s="744"/>
      <c r="X332" s="744"/>
      <c r="Y332" s="744"/>
      <c r="Z332" s="952"/>
      <c r="AA332" s="952"/>
      <c r="AB332" s="952"/>
      <c r="AC332" s="952"/>
      <c r="AD332" s="952"/>
      <c r="AE332" s="952"/>
      <c r="AF332" s="952"/>
      <c r="AG332" s="952"/>
      <c r="AH332" s="973"/>
      <c r="AI332" s="973"/>
      <c r="AJ332" s="973"/>
      <c r="AK332" s="973"/>
      <c r="AL332" s="951"/>
      <c r="AM332" s="746" t="s">
        <v>1191</v>
      </c>
      <c r="AN332" s="744">
        <v>2</v>
      </c>
    </row>
    <row r="333" spans="1:40" s="2" customFormat="1" ht="121.5" hidden="1" customHeight="1">
      <c r="A333" s="12"/>
      <c r="B333" s="12"/>
      <c r="C333" s="12"/>
      <c r="D333" s="5"/>
      <c r="E333" s="731" t="s">
        <v>1544</v>
      </c>
      <c r="F333" s="736" t="s">
        <v>1545</v>
      </c>
      <c r="G333" s="731" t="s">
        <v>223</v>
      </c>
      <c r="H333" s="731" t="s">
        <v>1546</v>
      </c>
      <c r="I333" s="736" t="s">
        <v>1547</v>
      </c>
      <c r="J333" s="744">
        <v>1</v>
      </c>
      <c r="K333" s="951"/>
      <c r="L333" s="951"/>
      <c r="M333" s="951"/>
      <c r="N333" s="744"/>
      <c r="O333" s="744"/>
      <c r="P333" s="744"/>
      <c r="Q333" s="744"/>
      <c r="R333" s="744"/>
      <c r="S333" s="744"/>
      <c r="T333" s="744"/>
      <c r="U333" s="744"/>
      <c r="V333" s="744"/>
      <c r="W333" s="744"/>
      <c r="X333" s="744"/>
      <c r="Y333" s="744"/>
      <c r="Z333" s="952"/>
      <c r="AA333" s="952"/>
      <c r="AB333" s="952"/>
      <c r="AC333" s="952"/>
      <c r="AD333" s="952"/>
      <c r="AE333" s="952"/>
      <c r="AF333" s="952"/>
      <c r="AG333" s="952"/>
      <c r="AH333" s="973"/>
      <c r="AI333" s="973"/>
      <c r="AJ333" s="973"/>
      <c r="AK333" s="973"/>
      <c r="AL333" s="951"/>
      <c r="AM333" s="746" t="s">
        <v>1191</v>
      </c>
      <c r="AN333" s="744">
        <v>2</v>
      </c>
    </row>
    <row r="334" spans="1:40" s="2" customFormat="1" ht="121.5" hidden="1" customHeight="1">
      <c r="A334" s="12"/>
      <c r="B334" s="12"/>
      <c r="C334" s="12"/>
      <c r="D334" s="5"/>
      <c r="E334" s="731" t="s">
        <v>1548</v>
      </c>
      <c r="F334" s="736" t="s">
        <v>1549</v>
      </c>
      <c r="G334" s="731" t="s">
        <v>223</v>
      </c>
      <c r="H334" s="731" t="s">
        <v>1550</v>
      </c>
      <c r="I334" s="736" t="s">
        <v>1551</v>
      </c>
      <c r="J334" s="744">
        <v>1</v>
      </c>
      <c r="K334" s="951"/>
      <c r="L334" s="951"/>
      <c r="M334" s="951"/>
      <c r="N334" s="744"/>
      <c r="O334" s="744"/>
      <c r="P334" s="744"/>
      <c r="Q334" s="744"/>
      <c r="R334" s="744"/>
      <c r="S334" s="744"/>
      <c r="T334" s="744"/>
      <c r="U334" s="744"/>
      <c r="V334" s="744"/>
      <c r="W334" s="744"/>
      <c r="X334" s="744"/>
      <c r="Y334" s="744"/>
      <c r="Z334" s="952"/>
      <c r="AA334" s="952"/>
      <c r="AB334" s="952"/>
      <c r="AC334" s="952"/>
      <c r="AD334" s="952"/>
      <c r="AE334" s="952"/>
      <c r="AF334" s="952"/>
      <c r="AG334" s="952"/>
      <c r="AH334" s="973"/>
      <c r="AI334" s="973"/>
      <c r="AJ334" s="973"/>
      <c r="AK334" s="973"/>
      <c r="AL334" s="951"/>
      <c r="AM334" s="746" t="s">
        <v>1191</v>
      </c>
      <c r="AN334" s="744">
        <v>2</v>
      </c>
    </row>
    <row r="335" spans="1:40" s="2" customFormat="1" ht="121.5" hidden="1" customHeight="1">
      <c r="A335" s="12"/>
      <c r="B335" s="12"/>
      <c r="C335" s="12"/>
      <c r="D335" s="5"/>
      <c r="E335" s="731" t="s">
        <v>1552</v>
      </c>
      <c r="F335" s="736" t="s">
        <v>1553</v>
      </c>
      <c r="G335" s="731" t="s">
        <v>223</v>
      </c>
      <c r="H335" s="731" t="s">
        <v>1554</v>
      </c>
      <c r="I335" s="736" t="s">
        <v>1555</v>
      </c>
      <c r="J335" s="744">
        <v>1</v>
      </c>
      <c r="K335" s="951"/>
      <c r="L335" s="951"/>
      <c r="M335" s="951"/>
      <c r="N335" s="744"/>
      <c r="O335" s="744"/>
      <c r="P335" s="744"/>
      <c r="Q335" s="744"/>
      <c r="R335" s="744"/>
      <c r="S335" s="744"/>
      <c r="T335" s="744"/>
      <c r="U335" s="744"/>
      <c r="V335" s="744"/>
      <c r="W335" s="744"/>
      <c r="X335" s="744"/>
      <c r="Y335" s="744"/>
      <c r="Z335" s="952"/>
      <c r="AA335" s="952"/>
      <c r="AB335" s="952"/>
      <c r="AC335" s="952"/>
      <c r="AD335" s="952"/>
      <c r="AE335" s="952"/>
      <c r="AF335" s="952"/>
      <c r="AG335" s="952"/>
      <c r="AH335" s="973"/>
      <c r="AI335" s="973"/>
      <c r="AJ335" s="973"/>
      <c r="AK335" s="973"/>
      <c r="AL335" s="951"/>
      <c r="AM335" s="746" t="s">
        <v>1191</v>
      </c>
      <c r="AN335" s="744">
        <v>2</v>
      </c>
    </row>
    <row r="336" spans="1:40" s="2" customFormat="1" ht="121.5" hidden="1" customHeight="1">
      <c r="A336" s="12"/>
      <c r="B336" s="12"/>
      <c r="C336" s="12"/>
      <c r="D336" s="5"/>
      <c r="E336" s="731" t="s">
        <v>1556</v>
      </c>
      <c r="F336" s="736" t="s">
        <v>1557</v>
      </c>
      <c r="G336" s="731" t="s">
        <v>223</v>
      </c>
      <c r="H336" s="731" t="s">
        <v>1558</v>
      </c>
      <c r="I336" s="736" t="s">
        <v>1559</v>
      </c>
      <c r="J336" s="744">
        <v>1</v>
      </c>
      <c r="K336" s="951"/>
      <c r="L336" s="951"/>
      <c r="M336" s="951"/>
      <c r="N336" s="744"/>
      <c r="O336" s="744"/>
      <c r="P336" s="744"/>
      <c r="Q336" s="744"/>
      <c r="R336" s="744"/>
      <c r="S336" s="744"/>
      <c r="T336" s="744"/>
      <c r="U336" s="744"/>
      <c r="V336" s="744"/>
      <c r="W336" s="744"/>
      <c r="X336" s="744"/>
      <c r="Y336" s="744"/>
      <c r="Z336" s="952"/>
      <c r="AA336" s="952"/>
      <c r="AB336" s="952"/>
      <c r="AC336" s="952"/>
      <c r="AD336" s="952"/>
      <c r="AE336" s="952"/>
      <c r="AF336" s="952"/>
      <c r="AG336" s="952"/>
      <c r="AH336" s="973"/>
      <c r="AI336" s="973"/>
      <c r="AJ336" s="973"/>
      <c r="AK336" s="973"/>
      <c r="AL336" s="951"/>
      <c r="AM336" s="746" t="s">
        <v>1191</v>
      </c>
      <c r="AN336" s="744">
        <v>2</v>
      </c>
    </row>
    <row r="337" spans="1:40" s="2" customFormat="1" ht="121.5" hidden="1" customHeight="1">
      <c r="A337" s="12"/>
      <c r="B337" s="12"/>
      <c r="C337" s="12"/>
      <c r="D337" s="5"/>
      <c r="E337" s="731" t="s">
        <v>1560</v>
      </c>
      <c r="F337" s="736" t="s">
        <v>1561</v>
      </c>
      <c r="G337" s="731" t="s">
        <v>223</v>
      </c>
      <c r="H337" s="731" t="s">
        <v>1562</v>
      </c>
      <c r="I337" s="736" t="s">
        <v>1563</v>
      </c>
      <c r="J337" s="744">
        <v>1</v>
      </c>
      <c r="K337" s="951"/>
      <c r="L337" s="951"/>
      <c r="M337" s="951"/>
      <c r="N337" s="744"/>
      <c r="O337" s="744"/>
      <c r="P337" s="744"/>
      <c r="Q337" s="744"/>
      <c r="R337" s="744"/>
      <c r="S337" s="744"/>
      <c r="T337" s="744"/>
      <c r="U337" s="744"/>
      <c r="V337" s="744"/>
      <c r="W337" s="744"/>
      <c r="X337" s="744"/>
      <c r="Y337" s="744"/>
      <c r="Z337" s="952"/>
      <c r="AA337" s="952"/>
      <c r="AB337" s="952"/>
      <c r="AC337" s="952"/>
      <c r="AD337" s="952"/>
      <c r="AE337" s="952"/>
      <c r="AF337" s="952"/>
      <c r="AG337" s="952"/>
      <c r="AH337" s="973"/>
      <c r="AI337" s="973"/>
      <c r="AJ337" s="973"/>
      <c r="AK337" s="973"/>
      <c r="AL337" s="951"/>
      <c r="AM337" s="746" t="s">
        <v>1191</v>
      </c>
      <c r="AN337" s="744">
        <v>2</v>
      </c>
    </row>
    <row r="338" spans="1:40" s="2" customFormat="1" ht="121.5" hidden="1" customHeight="1">
      <c r="A338" s="12"/>
      <c r="B338" s="12"/>
      <c r="C338" s="12"/>
      <c r="D338" s="5"/>
      <c r="E338" s="731" t="s">
        <v>1564</v>
      </c>
      <c r="F338" s="736" t="s">
        <v>1565</v>
      </c>
      <c r="G338" s="731" t="s">
        <v>223</v>
      </c>
      <c r="H338" s="731" t="s">
        <v>1566</v>
      </c>
      <c r="I338" s="736" t="s">
        <v>1567</v>
      </c>
      <c r="J338" s="744">
        <v>1</v>
      </c>
      <c r="K338" s="951"/>
      <c r="L338" s="951"/>
      <c r="M338" s="951"/>
      <c r="N338" s="744"/>
      <c r="O338" s="744"/>
      <c r="P338" s="744"/>
      <c r="Q338" s="744"/>
      <c r="R338" s="744"/>
      <c r="S338" s="744"/>
      <c r="T338" s="744"/>
      <c r="U338" s="744"/>
      <c r="V338" s="744"/>
      <c r="W338" s="744"/>
      <c r="X338" s="744"/>
      <c r="Y338" s="744"/>
      <c r="Z338" s="952"/>
      <c r="AA338" s="952"/>
      <c r="AB338" s="952"/>
      <c r="AC338" s="952"/>
      <c r="AD338" s="952"/>
      <c r="AE338" s="952"/>
      <c r="AF338" s="952"/>
      <c r="AG338" s="952"/>
      <c r="AH338" s="973"/>
      <c r="AI338" s="973"/>
      <c r="AJ338" s="973"/>
      <c r="AK338" s="973"/>
      <c r="AL338" s="951"/>
      <c r="AM338" s="746" t="s">
        <v>1191</v>
      </c>
      <c r="AN338" s="744">
        <v>2</v>
      </c>
    </row>
    <row r="339" spans="1:40" s="2" customFormat="1" ht="121.5" hidden="1" customHeight="1">
      <c r="A339" s="12"/>
      <c r="B339" s="12"/>
      <c r="C339" s="12"/>
      <c r="D339" s="5"/>
      <c r="E339" s="731" t="s">
        <v>1568</v>
      </c>
      <c r="F339" s="736" t="s">
        <v>1569</v>
      </c>
      <c r="G339" s="731" t="s">
        <v>223</v>
      </c>
      <c r="H339" s="731" t="s">
        <v>1570</v>
      </c>
      <c r="I339" s="736" t="s">
        <v>1571</v>
      </c>
      <c r="J339" s="744">
        <v>1</v>
      </c>
      <c r="K339" s="951"/>
      <c r="L339" s="951"/>
      <c r="M339" s="951"/>
      <c r="N339" s="744"/>
      <c r="O339" s="744"/>
      <c r="P339" s="744"/>
      <c r="Q339" s="744"/>
      <c r="R339" s="744"/>
      <c r="S339" s="744"/>
      <c r="T339" s="744"/>
      <c r="U339" s="744"/>
      <c r="V339" s="744"/>
      <c r="W339" s="744"/>
      <c r="X339" s="744"/>
      <c r="Y339" s="744"/>
      <c r="Z339" s="952"/>
      <c r="AA339" s="952"/>
      <c r="AB339" s="952"/>
      <c r="AC339" s="952"/>
      <c r="AD339" s="952"/>
      <c r="AE339" s="952"/>
      <c r="AF339" s="952"/>
      <c r="AG339" s="952"/>
      <c r="AH339" s="973"/>
      <c r="AI339" s="973"/>
      <c r="AJ339" s="973"/>
      <c r="AK339" s="973"/>
      <c r="AL339" s="951"/>
      <c r="AM339" s="746" t="s">
        <v>1191</v>
      </c>
      <c r="AN339" s="744">
        <v>2</v>
      </c>
    </row>
    <row r="340" spans="1:40" s="2" customFormat="1" ht="121.5" hidden="1" customHeight="1">
      <c r="A340" s="12"/>
      <c r="B340" s="12"/>
      <c r="C340" s="12"/>
      <c r="D340" s="5"/>
      <c r="E340" s="731" t="s">
        <v>1572</v>
      </c>
      <c r="F340" s="736" t="s">
        <v>1573</v>
      </c>
      <c r="G340" s="731" t="s">
        <v>223</v>
      </c>
      <c r="H340" s="731" t="s">
        <v>1574</v>
      </c>
      <c r="I340" s="736" t="s">
        <v>1575</v>
      </c>
      <c r="J340" s="744">
        <v>1</v>
      </c>
      <c r="K340" s="951"/>
      <c r="L340" s="951"/>
      <c r="M340" s="951"/>
      <c r="N340" s="744"/>
      <c r="O340" s="744"/>
      <c r="P340" s="744"/>
      <c r="Q340" s="744"/>
      <c r="R340" s="744"/>
      <c r="S340" s="744"/>
      <c r="T340" s="744"/>
      <c r="U340" s="744"/>
      <c r="V340" s="744"/>
      <c r="W340" s="744"/>
      <c r="X340" s="744"/>
      <c r="Y340" s="744"/>
      <c r="Z340" s="952"/>
      <c r="AA340" s="952"/>
      <c r="AB340" s="952"/>
      <c r="AC340" s="952"/>
      <c r="AD340" s="952"/>
      <c r="AE340" s="952"/>
      <c r="AF340" s="952"/>
      <c r="AG340" s="952"/>
      <c r="AH340" s="973"/>
      <c r="AI340" s="973"/>
      <c r="AJ340" s="973"/>
      <c r="AK340" s="973"/>
      <c r="AL340" s="951"/>
      <c r="AM340" s="746" t="s">
        <v>1191</v>
      </c>
      <c r="AN340" s="744">
        <v>2</v>
      </c>
    </row>
    <row r="341" spans="1:40" s="2" customFormat="1" ht="121.5" hidden="1" customHeight="1">
      <c r="A341" s="12"/>
      <c r="B341" s="12"/>
      <c r="C341" s="12"/>
      <c r="D341" s="5"/>
      <c r="E341" s="731" t="s">
        <v>1576</v>
      </c>
      <c r="F341" s="736" t="s">
        <v>1577</v>
      </c>
      <c r="G341" s="731" t="s">
        <v>223</v>
      </c>
      <c r="H341" s="731" t="s">
        <v>1578</v>
      </c>
      <c r="I341" s="736" t="s">
        <v>1579</v>
      </c>
      <c r="J341" s="744">
        <v>1</v>
      </c>
      <c r="K341" s="951"/>
      <c r="L341" s="951"/>
      <c r="M341" s="951"/>
      <c r="N341" s="744"/>
      <c r="O341" s="744"/>
      <c r="P341" s="744"/>
      <c r="Q341" s="744"/>
      <c r="R341" s="744"/>
      <c r="S341" s="744"/>
      <c r="T341" s="744"/>
      <c r="U341" s="744"/>
      <c r="V341" s="744"/>
      <c r="W341" s="744"/>
      <c r="X341" s="744"/>
      <c r="Y341" s="744"/>
      <c r="Z341" s="952"/>
      <c r="AA341" s="952"/>
      <c r="AB341" s="952"/>
      <c r="AC341" s="952"/>
      <c r="AD341" s="952"/>
      <c r="AE341" s="952"/>
      <c r="AF341" s="952"/>
      <c r="AG341" s="952"/>
      <c r="AH341" s="973"/>
      <c r="AI341" s="973"/>
      <c r="AJ341" s="973"/>
      <c r="AK341" s="973"/>
      <c r="AL341" s="951"/>
      <c r="AM341" s="746" t="s">
        <v>1191</v>
      </c>
      <c r="AN341" s="744">
        <v>2</v>
      </c>
    </row>
    <row r="342" spans="1:40" s="2" customFormat="1" ht="121.5" hidden="1" customHeight="1">
      <c r="A342" s="12"/>
      <c r="B342" s="12"/>
      <c r="C342" s="12"/>
      <c r="D342" s="5"/>
      <c r="E342" s="731" t="s">
        <v>1580</v>
      </c>
      <c r="F342" s="736" t="s">
        <v>1581</v>
      </c>
      <c r="G342" s="731" t="s">
        <v>223</v>
      </c>
      <c r="H342" s="731" t="s">
        <v>1582</v>
      </c>
      <c r="I342" s="736" t="s">
        <v>1583</v>
      </c>
      <c r="J342" s="744">
        <v>1</v>
      </c>
      <c r="K342" s="951"/>
      <c r="L342" s="951"/>
      <c r="M342" s="951"/>
      <c r="N342" s="744"/>
      <c r="O342" s="744"/>
      <c r="P342" s="744"/>
      <c r="Q342" s="744"/>
      <c r="R342" s="744"/>
      <c r="S342" s="744"/>
      <c r="T342" s="744"/>
      <c r="U342" s="744"/>
      <c r="V342" s="744"/>
      <c r="W342" s="744"/>
      <c r="X342" s="744"/>
      <c r="Y342" s="744"/>
      <c r="Z342" s="952"/>
      <c r="AA342" s="952"/>
      <c r="AB342" s="952"/>
      <c r="AC342" s="952"/>
      <c r="AD342" s="952"/>
      <c r="AE342" s="952"/>
      <c r="AF342" s="952"/>
      <c r="AG342" s="952"/>
      <c r="AH342" s="973"/>
      <c r="AI342" s="973"/>
      <c r="AJ342" s="973"/>
      <c r="AK342" s="973"/>
      <c r="AL342" s="951"/>
      <c r="AM342" s="746" t="s">
        <v>1191</v>
      </c>
      <c r="AN342" s="744">
        <v>2</v>
      </c>
    </row>
    <row r="343" spans="1:40" s="2" customFormat="1" ht="121.5" hidden="1" customHeight="1">
      <c r="A343" s="12"/>
      <c r="B343" s="12"/>
      <c r="C343" s="12"/>
      <c r="D343" s="5"/>
      <c r="E343" s="731" t="s">
        <v>1584</v>
      </c>
      <c r="F343" s="736" t="s">
        <v>1585</v>
      </c>
      <c r="G343" s="731" t="s">
        <v>223</v>
      </c>
      <c r="H343" s="731" t="s">
        <v>1586</v>
      </c>
      <c r="I343" s="736" t="s">
        <v>1587</v>
      </c>
      <c r="J343" s="744">
        <v>1</v>
      </c>
      <c r="K343" s="951"/>
      <c r="L343" s="951"/>
      <c r="M343" s="951"/>
      <c r="N343" s="744"/>
      <c r="O343" s="744"/>
      <c r="P343" s="744"/>
      <c r="Q343" s="744"/>
      <c r="R343" s="744"/>
      <c r="S343" s="744"/>
      <c r="T343" s="744"/>
      <c r="U343" s="744"/>
      <c r="V343" s="744"/>
      <c r="W343" s="744"/>
      <c r="X343" s="744"/>
      <c r="Y343" s="744"/>
      <c r="Z343" s="952"/>
      <c r="AA343" s="952"/>
      <c r="AB343" s="952"/>
      <c r="AC343" s="952"/>
      <c r="AD343" s="952"/>
      <c r="AE343" s="952"/>
      <c r="AF343" s="952"/>
      <c r="AG343" s="952"/>
      <c r="AH343" s="973"/>
      <c r="AI343" s="973"/>
      <c r="AJ343" s="973"/>
      <c r="AK343" s="973"/>
      <c r="AL343" s="951"/>
      <c r="AM343" s="746" t="s">
        <v>1191</v>
      </c>
      <c r="AN343" s="744">
        <v>2</v>
      </c>
    </row>
    <row r="344" spans="1:40" s="2" customFormat="1" ht="121.5" hidden="1" customHeight="1">
      <c r="A344" s="12"/>
      <c r="B344" s="12"/>
      <c r="C344" s="12"/>
      <c r="D344" s="5"/>
      <c r="E344" s="731" t="s">
        <v>1588</v>
      </c>
      <c r="F344" s="736" t="s">
        <v>1589</v>
      </c>
      <c r="G344" s="731" t="s">
        <v>223</v>
      </c>
      <c r="H344" s="731" t="s">
        <v>1590</v>
      </c>
      <c r="I344" s="736" t="s">
        <v>1591</v>
      </c>
      <c r="J344" s="744">
        <v>1</v>
      </c>
      <c r="K344" s="951"/>
      <c r="L344" s="951"/>
      <c r="M344" s="951"/>
      <c r="N344" s="744"/>
      <c r="O344" s="744"/>
      <c r="P344" s="744"/>
      <c r="Q344" s="744"/>
      <c r="R344" s="744"/>
      <c r="S344" s="744"/>
      <c r="T344" s="744"/>
      <c r="U344" s="744"/>
      <c r="V344" s="744"/>
      <c r="W344" s="744"/>
      <c r="X344" s="744"/>
      <c r="Y344" s="744"/>
      <c r="Z344" s="952"/>
      <c r="AA344" s="952"/>
      <c r="AB344" s="952"/>
      <c r="AC344" s="952"/>
      <c r="AD344" s="952"/>
      <c r="AE344" s="952"/>
      <c r="AF344" s="952"/>
      <c r="AG344" s="952"/>
      <c r="AH344" s="973"/>
      <c r="AI344" s="973"/>
      <c r="AJ344" s="973"/>
      <c r="AK344" s="973"/>
      <c r="AL344" s="951"/>
      <c r="AM344" s="746" t="s">
        <v>1191</v>
      </c>
      <c r="AN344" s="744">
        <v>2</v>
      </c>
    </row>
    <row r="345" spans="1:40" s="2" customFormat="1" ht="121.5" hidden="1" customHeight="1">
      <c r="A345" s="12"/>
      <c r="B345" s="12"/>
      <c r="C345" s="12"/>
      <c r="D345" s="5"/>
      <c r="E345" s="731" t="s">
        <v>1592</v>
      </c>
      <c r="F345" s="736" t="s">
        <v>1593</v>
      </c>
      <c r="G345" s="731" t="s">
        <v>223</v>
      </c>
      <c r="H345" s="731" t="s">
        <v>1594</v>
      </c>
      <c r="I345" s="736" t="s">
        <v>1595</v>
      </c>
      <c r="J345" s="744">
        <v>1</v>
      </c>
      <c r="K345" s="951"/>
      <c r="L345" s="951"/>
      <c r="M345" s="951"/>
      <c r="N345" s="744"/>
      <c r="O345" s="744"/>
      <c r="P345" s="744"/>
      <c r="Q345" s="744"/>
      <c r="R345" s="744"/>
      <c r="S345" s="744"/>
      <c r="T345" s="744"/>
      <c r="U345" s="744"/>
      <c r="V345" s="744"/>
      <c r="W345" s="744"/>
      <c r="X345" s="744"/>
      <c r="Y345" s="744"/>
      <c r="Z345" s="952"/>
      <c r="AA345" s="952"/>
      <c r="AB345" s="952"/>
      <c r="AC345" s="952"/>
      <c r="AD345" s="952"/>
      <c r="AE345" s="952"/>
      <c r="AF345" s="952"/>
      <c r="AG345" s="952"/>
      <c r="AH345" s="973"/>
      <c r="AI345" s="973"/>
      <c r="AJ345" s="973"/>
      <c r="AK345" s="973"/>
      <c r="AL345" s="951"/>
      <c r="AM345" s="746" t="s">
        <v>1191</v>
      </c>
      <c r="AN345" s="744">
        <v>2</v>
      </c>
    </row>
    <row r="346" spans="1:40" s="2" customFormat="1" ht="121.5" hidden="1" customHeight="1">
      <c r="A346" s="12"/>
      <c r="B346" s="12"/>
      <c r="C346" s="12"/>
      <c r="D346" s="5"/>
      <c r="E346" s="731" t="s">
        <v>1596</v>
      </c>
      <c r="F346" s="736" t="s">
        <v>1597</v>
      </c>
      <c r="G346" s="731" t="s">
        <v>223</v>
      </c>
      <c r="H346" s="731" t="s">
        <v>1598</v>
      </c>
      <c r="I346" s="736" t="s">
        <v>1599</v>
      </c>
      <c r="J346" s="744">
        <v>1</v>
      </c>
      <c r="K346" s="951"/>
      <c r="L346" s="951"/>
      <c r="M346" s="951"/>
      <c r="N346" s="744"/>
      <c r="O346" s="744"/>
      <c r="P346" s="744"/>
      <c r="Q346" s="744"/>
      <c r="R346" s="744"/>
      <c r="S346" s="744"/>
      <c r="T346" s="744"/>
      <c r="U346" s="744"/>
      <c r="V346" s="744"/>
      <c r="W346" s="744"/>
      <c r="X346" s="744"/>
      <c r="Y346" s="744"/>
      <c r="Z346" s="952"/>
      <c r="AA346" s="952"/>
      <c r="AB346" s="952"/>
      <c r="AC346" s="952"/>
      <c r="AD346" s="952"/>
      <c r="AE346" s="952"/>
      <c r="AF346" s="952"/>
      <c r="AG346" s="952"/>
      <c r="AH346" s="973"/>
      <c r="AI346" s="973"/>
      <c r="AJ346" s="973"/>
      <c r="AK346" s="973"/>
      <c r="AL346" s="951"/>
      <c r="AM346" s="746" t="s">
        <v>1191</v>
      </c>
      <c r="AN346" s="744">
        <v>2</v>
      </c>
    </row>
    <row r="347" spans="1:40" s="2" customFormat="1" ht="121.5" hidden="1" customHeight="1">
      <c r="A347" s="12"/>
      <c r="B347" s="12"/>
      <c r="C347" s="12"/>
      <c r="D347" s="5"/>
      <c r="E347" s="731" t="s">
        <v>1600</v>
      </c>
      <c r="F347" s="736" t="s">
        <v>1601</v>
      </c>
      <c r="G347" s="731" t="s">
        <v>223</v>
      </c>
      <c r="H347" s="731" t="s">
        <v>1602</v>
      </c>
      <c r="I347" s="736" t="s">
        <v>1603</v>
      </c>
      <c r="J347" s="744">
        <v>1</v>
      </c>
      <c r="K347" s="951"/>
      <c r="L347" s="951"/>
      <c r="M347" s="951"/>
      <c r="N347" s="744"/>
      <c r="O347" s="744"/>
      <c r="P347" s="744"/>
      <c r="Q347" s="744"/>
      <c r="R347" s="744"/>
      <c r="S347" s="744"/>
      <c r="T347" s="744"/>
      <c r="U347" s="744"/>
      <c r="V347" s="744"/>
      <c r="W347" s="744"/>
      <c r="X347" s="744"/>
      <c r="Y347" s="744"/>
      <c r="Z347" s="952"/>
      <c r="AA347" s="952"/>
      <c r="AB347" s="952"/>
      <c r="AC347" s="952"/>
      <c r="AD347" s="952"/>
      <c r="AE347" s="952"/>
      <c r="AF347" s="952"/>
      <c r="AG347" s="952"/>
      <c r="AH347" s="973"/>
      <c r="AI347" s="973"/>
      <c r="AJ347" s="973"/>
      <c r="AK347" s="973"/>
      <c r="AL347" s="951"/>
      <c r="AM347" s="746" t="s">
        <v>1191</v>
      </c>
      <c r="AN347" s="744">
        <v>2</v>
      </c>
    </row>
    <row r="348" spans="1:40" s="2" customFormat="1" ht="121.5" hidden="1" customHeight="1">
      <c r="A348" s="12"/>
      <c r="B348" s="12"/>
      <c r="C348" s="12"/>
      <c r="D348" s="5"/>
      <c r="E348" s="731" t="s">
        <v>1604</v>
      </c>
      <c r="F348" s="736" t="s">
        <v>1605</v>
      </c>
      <c r="G348" s="731" t="s">
        <v>223</v>
      </c>
      <c r="H348" s="731" t="s">
        <v>1606</v>
      </c>
      <c r="I348" s="736" t="s">
        <v>1607</v>
      </c>
      <c r="J348" s="744">
        <v>1</v>
      </c>
      <c r="K348" s="951"/>
      <c r="L348" s="951"/>
      <c r="M348" s="951"/>
      <c r="N348" s="744"/>
      <c r="O348" s="744"/>
      <c r="P348" s="744"/>
      <c r="Q348" s="744"/>
      <c r="R348" s="744"/>
      <c r="S348" s="744"/>
      <c r="T348" s="744"/>
      <c r="U348" s="744"/>
      <c r="V348" s="744"/>
      <c r="W348" s="744"/>
      <c r="X348" s="744"/>
      <c r="Y348" s="744"/>
      <c r="Z348" s="952"/>
      <c r="AA348" s="952"/>
      <c r="AB348" s="952"/>
      <c r="AC348" s="952"/>
      <c r="AD348" s="952"/>
      <c r="AE348" s="952"/>
      <c r="AF348" s="952"/>
      <c r="AG348" s="952"/>
      <c r="AH348" s="973"/>
      <c r="AI348" s="973"/>
      <c r="AJ348" s="973"/>
      <c r="AK348" s="973"/>
      <c r="AL348" s="951"/>
      <c r="AM348" s="746" t="s">
        <v>1191</v>
      </c>
      <c r="AN348" s="744">
        <v>2</v>
      </c>
    </row>
    <row r="349" spans="1:40" s="2" customFormat="1" ht="121.5" hidden="1" customHeight="1">
      <c r="A349" s="12"/>
      <c r="B349" s="12"/>
      <c r="C349" s="12"/>
      <c r="D349" s="5"/>
      <c r="E349" s="731" t="s">
        <v>1608</v>
      </c>
      <c r="F349" s="736" t="s">
        <v>1609</v>
      </c>
      <c r="G349" s="731" t="s">
        <v>223</v>
      </c>
      <c r="H349" s="731" t="s">
        <v>1610</v>
      </c>
      <c r="I349" s="736" t="s">
        <v>1611</v>
      </c>
      <c r="J349" s="744">
        <v>1</v>
      </c>
      <c r="K349" s="951"/>
      <c r="L349" s="951"/>
      <c r="M349" s="951"/>
      <c r="N349" s="744"/>
      <c r="O349" s="744"/>
      <c r="P349" s="744"/>
      <c r="Q349" s="744"/>
      <c r="R349" s="744"/>
      <c r="S349" s="744"/>
      <c r="T349" s="744"/>
      <c r="U349" s="744"/>
      <c r="V349" s="744"/>
      <c r="W349" s="744"/>
      <c r="X349" s="744"/>
      <c r="Y349" s="744"/>
      <c r="Z349" s="952"/>
      <c r="AA349" s="952"/>
      <c r="AB349" s="952"/>
      <c r="AC349" s="952"/>
      <c r="AD349" s="952"/>
      <c r="AE349" s="952"/>
      <c r="AF349" s="952"/>
      <c r="AG349" s="952"/>
      <c r="AH349" s="973"/>
      <c r="AI349" s="973"/>
      <c r="AJ349" s="973"/>
      <c r="AK349" s="973"/>
      <c r="AL349" s="951"/>
      <c r="AM349" s="746" t="s">
        <v>1191</v>
      </c>
      <c r="AN349" s="744">
        <v>2</v>
      </c>
    </row>
    <row r="350" spans="1:40" s="2" customFormat="1" ht="121.5" hidden="1" customHeight="1">
      <c r="A350" s="12"/>
      <c r="B350" s="12"/>
      <c r="C350" s="12"/>
      <c r="D350" s="5"/>
      <c r="E350" s="731" t="s">
        <v>1612</v>
      </c>
      <c r="F350" s="736" t="s">
        <v>1613</v>
      </c>
      <c r="G350" s="731" t="s">
        <v>223</v>
      </c>
      <c r="H350" s="731" t="s">
        <v>1614</v>
      </c>
      <c r="I350" s="736" t="s">
        <v>1615</v>
      </c>
      <c r="J350" s="744">
        <v>1</v>
      </c>
      <c r="K350" s="951"/>
      <c r="L350" s="951"/>
      <c r="M350" s="951"/>
      <c r="N350" s="744"/>
      <c r="O350" s="744"/>
      <c r="P350" s="744"/>
      <c r="Q350" s="744"/>
      <c r="R350" s="744"/>
      <c r="S350" s="744"/>
      <c r="T350" s="744"/>
      <c r="U350" s="744"/>
      <c r="V350" s="744"/>
      <c r="W350" s="744"/>
      <c r="X350" s="744"/>
      <c r="Y350" s="744"/>
      <c r="Z350" s="952"/>
      <c r="AA350" s="952"/>
      <c r="AB350" s="952"/>
      <c r="AC350" s="952"/>
      <c r="AD350" s="952"/>
      <c r="AE350" s="952"/>
      <c r="AF350" s="952"/>
      <c r="AG350" s="952"/>
      <c r="AH350" s="973"/>
      <c r="AI350" s="973"/>
      <c r="AJ350" s="973"/>
      <c r="AK350" s="973"/>
      <c r="AL350" s="951"/>
      <c r="AM350" s="746" t="s">
        <v>1191</v>
      </c>
      <c r="AN350" s="744">
        <v>2</v>
      </c>
    </row>
    <row r="351" spans="1:40" s="2" customFormat="1" ht="121.5" hidden="1" customHeight="1">
      <c r="A351" s="12"/>
      <c r="B351" s="12"/>
      <c r="C351" s="12"/>
      <c r="D351" s="5"/>
      <c r="E351" s="731" t="s">
        <v>1616</v>
      </c>
      <c r="F351" s="736" t="s">
        <v>1617</v>
      </c>
      <c r="G351" s="731" t="s">
        <v>223</v>
      </c>
      <c r="H351" s="731" t="s">
        <v>1618</v>
      </c>
      <c r="I351" s="736" t="s">
        <v>1619</v>
      </c>
      <c r="J351" s="744">
        <v>1</v>
      </c>
      <c r="K351" s="951"/>
      <c r="L351" s="951"/>
      <c r="M351" s="951"/>
      <c r="N351" s="744"/>
      <c r="O351" s="744"/>
      <c r="P351" s="744"/>
      <c r="Q351" s="744"/>
      <c r="R351" s="744"/>
      <c r="S351" s="744"/>
      <c r="T351" s="744"/>
      <c r="U351" s="744"/>
      <c r="V351" s="744"/>
      <c r="W351" s="744"/>
      <c r="X351" s="744"/>
      <c r="Y351" s="744"/>
      <c r="Z351" s="952"/>
      <c r="AA351" s="952"/>
      <c r="AB351" s="952"/>
      <c r="AC351" s="952"/>
      <c r="AD351" s="952"/>
      <c r="AE351" s="952"/>
      <c r="AF351" s="952"/>
      <c r="AG351" s="952"/>
      <c r="AH351" s="973"/>
      <c r="AI351" s="973"/>
      <c r="AJ351" s="973"/>
      <c r="AK351" s="973"/>
      <c r="AL351" s="951"/>
      <c r="AM351" s="746" t="s">
        <v>1191</v>
      </c>
      <c r="AN351" s="744">
        <v>2</v>
      </c>
    </row>
    <row r="352" spans="1:40" s="2" customFormat="1" ht="121.5" hidden="1" customHeight="1">
      <c r="A352" s="12"/>
      <c r="B352" s="12"/>
      <c r="C352" s="12"/>
      <c r="D352" s="5"/>
      <c r="E352" s="731" t="s">
        <v>1620</v>
      </c>
      <c r="F352" s="736" t="s">
        <v>1621</v>
      </c>
      <c r="G352" s="731" t="s">
        <v>223</v>
      </c>
      <c r="H352" s="731" t="s">
        <v>1622</v>
      </c>
      <c r="I352" s="736" t="s">
        <v>1623</v>
      </c>
      <c r="J352" s="744">
        <v>1</v>
      </c>
      <c r="K352" s="951"/>
      <c r="L352" s="951"/>
      <c r="M352" s="951"/>
      <c r="N352" s="744"/>
      <c r="O352" s="744"/>
      <c r="P352" s="744"/>
      <c r="Q352" s="744"/>
      <c r="R352" s="744"/>
      <c r="S352" s="744"/>
      <c r="T352" s="744"/>
      <c r="U352" s="744"/>
      <c r="V352" s="744"/>
      <c r="W352" s="744"/>
      <c r="X352" s="744"/>
      <c r="Y352" s="744"/>
      <c r="Z352" s="952"/>
      <c r="AA352" s="952"/>
      <c r="AB352" s="952"/>
      <c r="AC352" s="952"/>
      <c r="AD352" s="952"/>
      <c r="AE352" s="952"/>
      <c r="AF352" s="952"/>
      <c r="AG352" s="952"/>
      <c r="AH352" s="973"/>
      <c r="AI352" s="973"/>
      <c r="AJ352" s="973"/>
      <c r="AK352" s="973"/>
      <c r="AL352" s="951"/>
      <c r="AM352" s="746" t="s">
        <v>1191</v>
      </c>
      <c r="AN352" s="744">
        <v>2</v>
      </c>
    </row>
    <row r="353" spans="1:40" s="2" customFormat="1" ht="121.5" hidden="1" customHeight="1">
      <c r="A353" s="12"/>
      <c r="B353" s="12"/>
      <c r="C353" s="12"/>
      <c r="D353" s="5"/>
      <c r="E353" s="731" t="s">
        <v>1624</v>
      </c>
      <c r="F353" s="736" t="s">
        <v>1625</v>
      </c>
      <c r="G353" s="731" t="s">
        <v>223</v>
      </c>
      <c r="H353" s="731" t="s">
        <v>1626</v>
      </c>
      <c r="I353" s="736" t="s">
        <v>1627</v>
      </c>
      <c r="J353" s="744">
        <v>1</v>
      </c>
      <c r="K353" s="951"/>
      <c r="L353" s="951"/>
      <c r="M353" s="951"/>
      <c r="N353" s="744"/>
      <c r="O353" s="744"/>
      <c r="P353" s="744"/>
      <c r="Q353" s="744"/>
      <c r="R353" s="744"/>
      <c r="S353" s="744"/>
      <c r="T353" s="744"/>
      <c r="U353" s="744"/>
      <c r="V353" s="744"/>
      <c r="W353" s="744"/>
      <c r="X353" s="744"/>
      <c r="Y353" s="744"/>
      <c r="Z353" s="952"/>
      <c r="AA353" s="952"/>
      <c r="AB353" s="952"/>
      <c r="AC353" s="952"/>
      <c r="AD353" s="952"/>
      <c r="AE353" s="952"/>
      <c r="AF353" s="952"/>
      <c r="AG353" s="952"/>
      <c r="AH353" s="973"/>
      <c r="AI353" s="973"/>
      <c r="AJ353" s="973"/>
      <c r="AK353" s="973"/>
      <c r="AL353" s="951"/>
      <c r="AM353" s="746" t="s">
        <v>1191</v>
      </c>
      <c r="AN353" s="744">
        <v>2</v>
      </c>
    </row>
    <row r="354" spans="1:40" s="2" customFormat="1" ht="121.5" hidden="1" customHeight="1">
      <c r="A354" s="12"/>
      <c r="B354" s="12"/>
      <c r="C354" s="12"/>
      <c r="D354" s="5"/>
      <c r="E354" s="731" t="s">
        <v>1628</v>
      </c>
      <c r="F354" s="736" t="s">
        <v>1629</v>
      </c>
      <c r="G354" s="731" t="s">
        <v>223</v>
      </c>
      <c r="H354" s="731" t="s">
        <v>1630</v>
      </c>
      <c r="I354" s="736" t="s">
        <v>1631</v>
      </c>
      <c r="J354" s="744">
        <v>1</v>
      </c>
      <c r="K354" s="951"/>
      <c r="L354" s="951"/>
      <c r="M354" s="951"/>
      <c r="N354" s="744"/>
      <c r="O354" s="744"/>
      <c r="P354" s="744"/>
      <c r="Q354" s="744"/>
      <c r="R354" s="744"/>
      <c r="S354" s="744"/>
      <c r="T354" s="744"/>
      <c r="U354" s="744"/>
      <c r="V354" s="744"/>
      <c r="W354" s="744"/>
      <c r="X354" s="744"/>
      <c r="Y354" s="744"/>
      <c r="Z354" s="952"/>
      <c r="AA354" s="952"/>
      <c r="AB354" s="952"/>
      <c r="AC354" s="952"/>
      <c r="AD354" s="952"/>
      <c r="AE354" s="952"/>
      <c r="AF354" s="952"/>
      <c r="AG354" s="952"/>
      <c r="AH354" s="973"/>
      <c r="AI354" s="973"/>
      <c r="AJ354" s="973"/>
      <c r="AK354" s="973"/>
      <c r="AL354" s="951"/>
      <c r="AM354" s="746" t="s">
        <v>1191</v>
      </c>
      <c r="AN354" s="744">
        <v>2</v>
      </c>
    </row>
    <row r="355" spans="1:40" s="2" customFormat="1" ht="121.5" hidden="1" customHeight="1">
      <c r="A355" s="12"/>
      <c r="B355" s="12"/>
      <c r="C355" s="12"/>
      <c r="D355" s="5"/>
      <c r="E355" s="731" t="s">
        <v>1632</v>
      </c>
      <c r="F355" s="736" t="s">
        <v>1633</v>
      </c>
      <c r="G355" s="731" t="s">
        <v>223</v>
      </c>
      <c r="H355" s="731" t="s">
        <v>1634</v>
      </c>
      <c r="I355" s="736" t="s">
        <v>1635</v>
      </c>
      <c r="J355" s="744">
        <v>1</v>
      </c>
      <c r="K355" s="951"/>
      <c r="L355" s="951"/>
      <c r="M355" s="951"/>
      <c r="N355" s="744"/>
      <c r="O355" s="744"/>
      <c r="P355" s="744"/>
      <c r="Q355" s="744"/>
      <c r="R355" s="744"/>
      <c r="S355" s="744"/>
      <c r="T355" s="744"/>
      <c r="U355" s="744"/>
      <c r="V355" s="744"/>
      <c r="W355" s="744"/>
      <c r="X355" s="744"/>
      <c r="Y355" s="744"/>
      <c r="Z355" s="952"/>
      <c r="AA355" s="952"/>
      <c r="AB355" s="952"/>
      <c r="AC355" s="952"/>
      <c r="AD355" s="952"/>
      <c r="AE355" s="952"/>
      <c r="AF355" s="952"/>
      <c r="AG355" s="952"/>
      <c r="AH355" s="973"/>
      <c r="AI355" s="973"/>
      <c r="AJ355" s="973"/>
      <c r="AK355" s="973"/>
      <c r="AL355" s="951"/>
      <c r="AM355" s="746" t="s">
        <v>1191</v>
      </c>
      <c r="AN355" s="744">
        <v>2</v>
      </c>
    </row>
    <row r="356" spans="1:40" s="2" customFormat="1" ht="121.5" hidden="1" customHeight="1">
      <c r="A356" s="12"/>
      <c r="B356" s="12"/>
      <c r="C356" s="12"/>
      <c r="D356" s="5"/>
      <c r="E356" s="731" t="s">
        <v>1636</v>
      </c>
      <c r="F356" s="736" t="s">
        <v>1637</v>
      </c>
      <c r="G356" s="731" t="s">
        <v>223</v>
      </c>
      <c r="H356" s="731" t="s">
        <v>1638</v>
      </c>
      <c r="I356" s="736" t="s">
        <v>1639</v>
      </c>
      <c r="J356" s="744">
        <v>1</v>
      </c>
      <c r="K356" s="951"/>
      <c r="L356" s="951"/>
      <c r="M356" s="951"/>
      <c r="N356" s="744"/>
      <c r="O356" s="744"/>
      <c r="P356" s="744"/>
      <c r="Q356" s="744"/>
      <c r="R356" s="744"/>
      <c r="S356" s="744"/>
      <c r="T356" s="744"/>
      <c r="U356" s="744"/>
      <c r="V356" s="744"/>
      <c r="W356" s="744"/>
      <c r="X356" s="744"/>
      <c r="Y356" s="744"/>
      <c r="Z356" s="952"/>
      <c r="AA356" s="952"/>
      <c r="AB356" s="952"/>
      <c r="AC356" s="952"/>
      <c r="AD356" s="952"/>
      <c r="AE356" s="952"/>
      <c r="AF356" s="952"/>
      <c r="AG356" s="952"/>
      <c r="AH356" s="973"/>
      <c r="AI356" s="973"/>
      <c r="AJ356" s="973"/>
      <c r="AK356" s="973"/>
      <c r="AL356" s="951"/>
      <c r="AM356" s="746" t="s">
        <v>1191</v>
      </c>
      <c r="AN356" s="744">
        <v>2</v>
      </c>
    </row>
    <row r="357" spans="1:40" s="2" customFormat="1" ht="121.5" hidden="1" customHeight="1">
      <c r="A357" s="12"/>
      <c r="B357" s="12"/>
      <c r="C357" s="12"/>
      <c r="D357" s="5"/>
      <c r="E357" s="731" t="s">
        <v>1640</v>
      </c>
      <c r="F357" s="736" t="s">
        <v>1641</v>
      </c>
      <c r="G357" s="731" t="s">
        <v>223</v>
      </c>
      <c r="H357" s="731" t="s">
        <v>1642</v>
      </c>
      <c r="I357" s="736" t="s">
        <v>1643</v>
      </c>
      <c r="J357" s="744">
        <v>1</v>
      </c>
      <c r="K357" s="951"/>
      <c r="L357" s="951"/>
      <c r="M357" s="951"/>
      <c r="N357" s="744"/>
      <c r="O357" s="744"/>
      <c r="P357" s="744"/>
      <c r="Q357" s="744"/>
      <c r="R357" s="744"/>
      <c r="S357" s="744"/>
      <c r="T357" s="744"/>
      <c r="U357" s="744"/>
      <c r="V357" s="744"/>
      <c r="W357" s="744"/>
      <c r="X357" s="744"/>
      <c r="Y357" s="744"/>
      <c r="Z357" s="952"/>
      <c r="AA357" s="952"/>
      <c r="AB357" s="952"/>
      <c r="AC357" s="952"/>
      <c r="AD357" s="952"/>
      <c r="AE357" s="952"/>
      <c r="AF357" s="952"/>
      <c r="AG357" s="952"/>
      <c r="AH357" s="973"/>
      <c r="AI357" s="973"/>
      <c r="AJ357" s="973"/>
      <c r="AK357" s="973"/>
      <c r="AL357" s="951"/>
      <c r="AM357" s="746" t="s">
        <v>1191</v>
      </c>
      <c r="AN357" s="744">
        <v>2</v>
      </c>
    </row>
    <row r="358" spans="1:40" s="2" customFormat="1" ht="121.5" hidden="1" customHeight="1">
      <c r="A358" s="12"/>
      <c r="B358" s="12"/>
      <c r="C358" s="12"/>
      <c r="D358" s="5"/>
      <c r="E358" s="731" t="s">
        <v>1644</v>
      </c>
      <c r="F358" s="736" t="s">
        <v>1645</v>
      </c>
      <c r="G358" s="731" t="s">
        <v>223</v>
      </c>
      <c r="H358" s="731" t="s">
        <v>1646</v>
      </c>
      <c r="I358" s="736" t="s">
        <v>1647</v>
      </c>
      <c r="J358" s="744">
        <v>1</v>
      </c>
      <c r="K358" s="951"/>
      <c r="L358" s="951"/>
      <c r="M358" s="951"/>
      <c r="N358" s="744"/>
      <c r="O358" s="744"/>
      <c r="P358" s="744"/>
      <c r="Q358" s="744"/>
      <c r="R358" s="744"/>
      <c r="S358" s="744"/>
      <c r="T358" s="744"/>
      <c r="U358" s="744"/>
      <c r="V358" s="744"/>
      <c r="W358" s="744"/>
      <c r="X358" s="744"/>
      <c r="Y358" s="744"/>
      <c r="Z358" s="952"/>
      <c r="AA358" s="952"/>
      <c r="AB358" s="952"/>
      <c r="AC358" s="952"/>
      <c r="AD358" s="952"/>
      <c r="AE358" s="952"/>
      <c r="AF358" s="952"/>
      <c r="AG358" s="952"/>
      <c r="AH358" s="973"/>
      <c r="AI358" s="973"/>
      <c r="AJ358" s="973"/>
      <c r="AK358" s="973"/>
      <c r="AL358" s="951"/>
      <c r="AM358" s="746" t="s">
        <v>1191</v>
      </c>
      <c r="AN358" s="744">
        <v>2</v>
      </c>
    </row>
    <row r="359" spans="1:40" s="2" customFormat="1" ht="121.5" hidden="1" customHeight="1">
      <c r="A359" s="12"/>
      <c r="B359" s="12"/>
      <c r="C359" s="12"/>
      <c r="D359" s="5"/>
      <c r="E359" s="731" t="s">
        <v>1648</v>
      </c>
      <c r="F359" s="736" t="s">
        <v>1649</v>
      </c>
      <c r="G359" s="731" t="s">
        <v>223</v>
      </c>
      <c r="H359" s="731" t="s">
        <v>1650</v>
      </c>
      <c r="I359" s="736" t="s">
        <v>1651</v>
      </c>
      <c r="J359" s="744">
        <v>1</v>
      </c>
      <c r="K359" s="951"/>
      <c r="L359" s="951"/>
      <c r="M359" s="951"/>
      <c r="N359" s="744"/>
      <c r="O359" s="744"/>
      <c r="P359" s="744"/>
      <c r="Q359" s="744"/>
      <c r="R359" s="744"/>
      <c r="S359" s="744"/>
      <c r="T359" s="744"/>
      <c r="U359" s="744"/>
      <c r="V359" s="744"/>
      <c r="W359" s="744"/>
      <c r="X359" s="744"/>
      <c r="Y359" s="744"/>
      <c r="Z359" s="952"/>
      <c r="AA359" s="952"/>
      <c r="AB359" s="952"/>
      <c r="AC359" s="952"/>
      <c r="AD359" s="952"/>
      <c r="AE359" s="952"/>
      <c r="AF359" s="952"/>
      <c r="AG359" s="952"/>
      <c r="AH359" s="973"/>
      <c r="AI359" s="973"/>
      <c r="AJ359" s="973"/>
      <c r="AK359" s="973"/>
      <c r="AL359" s="951"/>
      <c r="AM359" s="746" t="s">
        <v>1191</v>
      </c>
      <c r="AN359" s="744">
        <v>2</v>
      </c>
    </row>
    <row r="360" spans="1:40" s="2" customFormat="1" ht="121.5" hidden="1" customHeight="1">
      <c r="A360" s="12"/>
      <c r="B360" s="12"/>
      <c r="C360" s="12"/>
      <c r="D360" s="5"/>
      <c r="E360" s="731" t="s">
        <v>1652</v>
      </c>
      <c r="F360" s="736" t="s">
        <v>1653</v>
      </c>
      <c r="G360" s="731" t="s">
        <v>223</v>
      </c>
      <c r="H360" s="731" t="s">
        <v>1654</v>
      </c>
      <c r="I360" s="736" t="s">
        <v>1655</v>
      </c>
      <c r="J360" s="744">
        <v>1</v>
      </c>
      <c r="K360" s="951"/>
      <c r="L360" s="951"/>
      <c r="M360" s="951"/>
      <c r="N360" s="744"/>
      <c r="O360" s="744"/>
      <c r="P360" s="744"/>
      <c r="Q360" s="744"/>
      <c r="R360" s="744"/>
      <c r="S360" s="744"/>
      <c r="T360" s="744"/>
      <c r="U360" s="744"/>
      <c r="V360" s="744"/>
      <c r="W360" s="744"/>
      <c r="X360" s="744"/>
      <c r="Y360" s="744"/>
      <c r="Z360" s="952"/>
      <c r="AA360" s="952"/>
      <c r="AB360" s="952"/>
      <c r="AC360" s="952"/>
      <c r="AD360" s="952"/>
      <c r="AE360" s="952"/>
      <c r="AF360" s="952"/>
      <c r="AG360" s="952"/>
      <c r="AH360" s="973"/>
      <c r="AI360" s="973"/>
      <c r="AJ360" s="973"/>
      <c r="AK360" s="973"/>
      <c r="AL360" s="951"/>
      <c r="AM360" s="746" t="s">
        <v>1191</v>
      </c>
      <c r="AN360" s="744">
        <v>2</v>
      </c>
    </row>
    <row r="361" spans="1:40" s="2" customFormat="1" ht="121.5" hidden="1" customHeight="1">
      <c r="A361" s="12"/>
      <c r="B361" s="12"/>
      <c r="C361" s="12"/>
      <c r="D361" s="5"/>
      <c r="E361" s="731" t="s">
        <v>1656</v>
      </c>
      <c r="F361" s="736" t="s">
        <v>1657</v>
      </c>
      <c r="G361" s="731" t="s">
        <v>223</v>
      </c>
      <c r="H361" s="731" t="s">
        <v>1658</v>
      </c>
      <c r="I361" s="736" t="s">
        <v>1659</v>
      </c>
      <c r="J361" s="744">
        <v>1</v>
      </c>
      <c r="K361" s="951"/>
      <c r="L361" s="951"/>
      <c r="M361" s="951"/>
      <c r="N361" s="744"/>
      <c r="O361" s="744"/>
      <c r="P361" s="744"/>
      <c r="Q361" s="744"/>
      <c r="R361" s="744"/>
      <c r="S361" s="744"/>
      <c r="T361" s="744"/>
      <c r="U361" s="744"/>
      <c r="V361" s="744"/>
      <c r="W361" s="744"/>
      <c r="X361" s="744"/>
      <c r="Y361" s="744"/>
      <c r="Z361" s="952"/>
      <c r="AA361" s="952"/>
      <c r="AB361" s="952"/>
      <c r="AC361" s="952"/>
      <c r="AD361" s="952"/>
      <c r="AE361" s="952"/>
      <c r="AF361" s="952"/>
      <c r="AG361" s="952"/>
      <c r="AH361" s="973"/>
      <c r="AI361" s="973"/>
      <c r="AJ361" s="973"/>
      <c r="AK361" s="973"/>
      <c r="AL361" s="951"/>
      <c r="AM361" s="746" t="s">
        <v>1191</v>
      </c>
      <c r="AN361" s="744">
        <v>2</v>
      </c>
    </row>
    <row r="362" spans="1:40" s="2" customFormat="1" ht="121.5" hidden="1" customHeight="1">
      <c r="A362" s="12"/>
      <c r="B362" s="12"/>
      <c r="C362" s="12"/>
      <c r="D362" s="5"/>
      <c r="E362" s="731" t="s">
        <v>1660</v>
      </c>
      <c r="F362" s="736" t="s">
        <v>1661</v>
      </c>
      <c r="G362" s="731" t="s">
        <v>223</v>
      </c>
      <c r="H362" s="731" t="s">
        <v>1662</v>
      </c>
      <c r="I362" s="736" t="s">
        <v>1663</v>
      </c>
      <c r="J362" s="744">
        <v>1</v>
      </c>
      <c r="K362" s="951"/>
      <c r="L362" s="951"/>
      <c r="M362" s="951"/>
      <c r="N362" s="744"/>
      <c r="O362" s="744"/>
      <c r="P362" s="744"/>
      <c r="Q362" s="744"/>
      <c r="R362" s="744"/>
      <c r="S362" s="744"/>
      <c r="T362" s="744"/>
      <c r="U362" s="744"/>
      <c r="V362" s="744"/>
      <c r="W362" s="744"/>
      <c r="X362" s="744"/>
      <c r="Y362" s="744"/>
      <c r="Z362" s="952"/>
      <c r="AA362" s="952"/>
      <c r="AB362" s="952"/>
      <c r="AC362" s="952"/>
      <c r="AD362" s="952"/>
      <c r="AE362" s="952"/>
      <c r="AF362" s="952"/>
      <c r="AG362" s="952"/>
      <c r="AH362" s="973"/>
      <c r="AI362" s="973"/>
      <c r="AJ362" s="973"/>
      <c r="AK362" s="973"/>
      <c r="AL362" s="951"/>
      <c r="AM362" s="746" t="s">
        <v>1191</v>
      </c>
      <c r="AN362" s="744">
        <v>2</v>
      </c>
    </row>
    <row r="363" spans="1:40" s="2" customFormat="1" ht="121.5" hidden="1" customHeight="1">
      <c r="A363" s="12"/>
      <c r="B363" s="12"/>
      <c r="C363" s="12"/>
      <c r="D363" s="5"/>
      <c r="E363" s="731" t="s">
        <v>1664</v>
      </c>
      <c r="F363" s="736" t="s">
        <v>1665</v>
      </c>
      <c r="G363" s="731" t="s">
        <v>223</v>
      </c>
      <c r="H363" s="731" t="s">
        <v>1666</v>
      </c>
      <c r="I363" s="736" t="s">
        <v>1667</v>
      </c>
      <c r="J363" s="744">
        <v>1</v>
      </c>
      <c r="K363" s="951"/>
      <c r="L363" s="951"/>
      <c r="M363" s="951"/>
      <c r="N363" s="744"/>
      <c r="O363" s="744"/>
      <c r="P363" s="744"/>
      <c r="Q363" s="744"/>
      <c r="R363" s="744"/>
      <c r="S363" s="744"/>
      <c r="T363" s="744"/>
      <c r="U363" s="744"/>
      <c r="V363" s="744"/>
      <c r="W363" s="744"/>
      <c r="X363" s="744"/>
      <c r="Y363" s="744"/>
      <c r="Z363" s="952"/>
      <c r="AA363" s="952"/>
      <c r="AB363" s="952"/>
      <c r="AC363" s="952"/>
      <c r="AD363" s="952"/>
      <c r="AE363" s="952"/>
      <c r="AF363" s="952"/>
      <c r="AG363" s="952"/>
      <c r="AH363" s="973"/>
      <c r="AI363" s="973"/>
      <c r="AJ363" s="973"/>
      <c r="AK363" s="973"/>
      <c r="AL363" s="951"/>
      <c r="AM363" s="746" t="s">
        <v>1191</v>
      </c>
      <c r="AN363" s="744">
        <v>2</v>
      </c>
    </row>
    <row r="364" spans="1:40" s="2" customFormat="1" ht="121.5" hidden="1" customHeight="1">
      <c r="A364" s="12"/>
      <c r="B364" s="12"/>
      <c r="C364" s="12"/>
      <c r="D364" s="5"/>
      <c r="E364" s="731" t="s">
        <v>1668</v>
      </c>
      <c r="F364" s="736" t="s">
        <v>1669</v>
      </c>
      <c r="G364" s="731" t="s">
        <v>223</v>
      </c>
      <c r="H364" s="731" t="s">
        <v>1670</v>
      </c>
      <c r="I364" s="736" t="s">
        <v>1671</v>
      </c>
      <c r="J364" s="744">
        <v>1</v>
      </c>
      <c r="K364" s="951"/>
      <c r="L364" s="951"/>
      <c r="M364" s="951"/>
      <c r="N364" s="744"/>
      <c r="O364" s="744"/>
      <c r="P364" s="744"/>
      <c r="Q364" s="744"/>
      <c r="R364" s="744"/>
      <c r="S364" s="744"/>
      <c r="T364" s="744"/>
      <c r="U364" s="744"/>
      <c r="V364" s="744"/>
      <c r="W364" s="744"/>
      <c r="X364" s="744"/>
      <c r="Y364" s="744"/>
      <c r="Z364" s="952"/>
      <c r="AA364" s="952"/>
      <c r="AB364" s="952"/>
      <c r="AC364" s="952"/>
      <c r="AD364" s="952"/>
      <c r="AE364" s="952"/>
      <c r="AF364" s="952"/>
      <c r="AG364" s="952"/>
      <c r="AH364" s="973"/>
      <c r="AI364" s="973"/>
      <c r="AJ364" s="973"/>
      <c r="AK364" s="973"/>
      <c r="AL364" s="951"/>
      <c r="AM364" s="746" t="s">
        <v>1191</v>
      </c>
      <c r="AN364" s="744">
        <v>2</v>
      </c>
    </row>
    <row r="365" spans="1:40" s="2" customFormat="1" ht="121.5" hidden="1" customHeight="1">
      <c r="A365" s="12"/>
      <c r="B365" s="12"/>
      <c r="C365" s="12"/>
      <c r="D365" s="5"/>
      <c r="E365" s="731" t="s">
        <v>1672</v>
      </c>
      <c r="F365" s="736" t="s">
        <v>1673</v>
      </c>
      <c r="G365" s="731" t="s">
        <v>223</v>
      </c>
      <c r="H365" s="731" t="s">
        <v>1674</v>
      </c>
      <c r="I365" s="736" t="s">
        <v>1675</v>
      </c>
      <c r="J365" s="744">
        <v>1</v>
      </c>
      <c r="K365" s="951"/>
      <c r="L365" s="951"/>
      <c r="M365" s="951"/>
      <c r="N365" s="744"/>
      <c r="O365" s="744"/>
      <c r="P365" s="744"/>
      <c r="Q365" s="744"/>
      <c r="R365" s="744"/>
      <c r="S365" s="744"/>
      <c r="T365" s="744"/>
      <c r="U365" s="744"/>
      <c r="V365" s="744"/>
      <c r="W365" s="744"/>
      <c r="X365" s="744"/>
      <c r="Y365" s="744"/>
      <c r="Z365" s="952"/>
      <c r="AA365" s="952"/>
      <c r="AB365" s="952"/>
      <c r="AC365" s="952"/>
      <c r="AD365" s="952"/>
      <c r="AE365" s="952"/>
      <c r="AF365" s="952"/>
      <c r="AG365" s="952"/>
      <c r="AH365" s="973"/>
      <c r="AI365" s="973"/>
      <c r="AJ365" s="973"/>
      <c r="AK365" s="973"/>
      <c r="AL365" s="951"/>
      <c r="AM365" s="746" t="s">
        <v>1191</v>
      </c>
      <c r="AN365" s="744">
        <v>2</v>
      </c>
    </row>
    <row r="366" spans="1:40" s="2" customFormat="1" ht="121.5" hidden="1" customHeight="1">
      <c r="A366" s="12"/>
      <c r="B366" s="12"/>
      <c r="C366" s="12"/>
      <c r="D366" s="5"/>
      <c r="E366" s="731" t="s">
        <v>1676</v>
      </c>
      <c r="F366" s="736" t="s">
        <v>1677</v>
      </c>
      <c r="G366" s="731" t="s">
        <v>223</v>
      </c>
      <c r="H366" s="731" t="s">
        <v>1678</v>
      </c>
      <c r="I366" s="736" t="s">
        <v>1679</v>
      </c>
      <c r="J366" s="744">
        <v>1</v>
      </c>
      <c r="K366" s="951"/>
      <c r="L366" s="951"/>
      <c r="M366" s="951"/>
      <c r="N366" s="744"/>
      <c r="O366" s="744"/>
      <c r="P366" s="744"/>
      <c r="Q366" s="744"/>
      <c r="R366" s="744"/>
      <c r="S366" s="744"/>
      <c r="T366" s="744"/>
      <c r="U366" s="744"/>
      <c r="V366" s="744"/>
      <c r="W366" s="744"/>
      <c r="X366" s="744"/>
      <c r="Y366" s="744"/>
      <c r="Z366" s="952"/>
      <c r="AA366" s="952"/>
      <c r="AB366" s="952"/>
      <c r="AC366" s="952"/>
      <c r="AD366" s="952"/>
      <c r="AE366" s="952"/>
      <c r="AF366" s="952"/>
      <c r="AG366" s="952"/>
      <c r="AH366" s="973"/>
      <c r="AI366" s="973"/>
      <c r="AJ366" s="973"/>
      <c r="AK366" s="973"/>
      <c r="AL366" s="951"/>
      <c r="AM366" s="746" t="s">
        <v>1191</v>
      </c>
      <c r="AN366" s="744">
        <v>2</v>
      </c>
    </row>
    <row r="367" spans="1:40" s="2" customFormat="1" ht="121.5" hidden="1" customHeight="1">
      <c r="A367" s="12"/>
      <c r="B367" s="12"/>
      <c r="C367" s="12"/>
      <c r="D367" s="5"/>
      <c r="E367" s="731" t="s">
        <v>1680</v>
      </c>
      <c r="F367" s="736" t="s">
        <v>1681</v>
      </c>
      <c r="G367" s="731" t="s">
        <v>223</v>
      </c>
      <c r="H367" s="731" t="s">
        <v>1682</v>
      </c>
      <c r="I367" s="736" t="s">
        <v>1683</v>
      </c>
      <c r="J367" s="744">
        <v>1</v>
      </c>
      <c r="K367" s="951"/>
      <c r="L367" s="951"/>
      <c r="M367" s="951"/>
      <c r="N367" s="744"/>
      <c r="O367" s="744"/>
      <c r="P367" s="744"/>
      <c r="Q367" s="744"/>
      <c r="R367" s="744"/>
      <c r="S367" s="744"/>
      <c r="T367" s="744"/>
      <c r="U367" s="744"/>
      <c r="V367" s="744"/>
      <c r="W367" s="744"/>
      <c r="X367" s="744"/>
      <c r="Y367" s="744"/>
      <c r="Z367" s="952"/>
      <c r="AA367" s="952"/>
      <c r="AB367" s="952"/>
      <c r="AC367" s="952"/>
      <c r="AD367" s="952"/>
      <c r="AE367" s="952"/>
      <c r="AF367" s="952"/>
      <c r="AG367" s="952"/>
      <c r="AH367" s="973"/>
      <c r="AI367" s="973"/>
      <c r="AJ367" s="973"/>
      <c r="AK367" s="973"/>
      <c r="AL367" s="951"/>
      <c r="AM367" s="746" t="s">
        <v>1191</v>
      </c>
      <c r="AN367" s="744">
        <v>2</v>
      </c>
    </row>
    <row r="368" spans="1:40" s="2" customFormat="1" ht="121.5" hidden="1" customHeight="1">
      <c r="A368" s="12"/>
      <c r="B368" s="12"/>
      <c r="C368" s="12"/>
      <c r="D368" s="5"/>
      <c r="E368" s="731" t="s">
        <v>1684</v>
      </c>
      <c r="F368" s="736" t="s">
        <v>1685</v>
      </c>
      <c r="G368" s="731" t="s">
        <v>223</v>
      </c>
      <c r="H368" s="731" t="s">
        <v>1686</v>
      </c>
      <c r="I368" s="736" t="s">
        <v>1687</v>
      </c>
      <c r="J368" s="744">
        <v>1</v>
      </c>
      <c r="K368" s="951"/>
      <c r="L368" s="951"/>
      <c r="M368" s="951"/>
      <c r="N368" s="744"/>
      <c r="O368" s="744"/>
      <c r="P368" s="744"/>
      <c r="Q368" s="744"/>
      <c r="R368" s="744"/>
      <c r="S368" s="744"/>
      <c r="T368" s="744"/>
      <c r="U368" s="744"/>
      <c r="V368" s="744"/>
      <c r="W368" s="744"/>
      <c r="X368" s="744"/>
      <c r="Y368" s="744"/>
      <c r="Z368" s="952"/>
      <c r="AA368" s="952"/>
      <c r="AB368" s="952"/>
      <c r="AC368" s="952"/>
      <c r="AD368" s="952"/>
      <c r="AE368" s="952"/>
      <c r="AF368" s="952"/>
      <c r="AG368" s="952"/>
      <c r="AH368" s="973"/>
      <c r="AI368" s="973"/>
      <c r="AJ368" s="973"/>
      <c r="AK368" s="973"/>
      <c r="AL368" s="951"/>
      <c r="AM368" s="746" t="s">
        <v>1191</v>
      </c>
      <c r="AN368" s="744">
        <v>2</v>
      </c>
    </row>
    <row r="369" spans="1:40" s="2" customFormat="1" ht="121.5" hidden="1" customHeight="1">
      <c r="A369" s="12"/>
      <c r="B369" s="12"/>
      <c r="C369" s="12"/>
      <c r="D369" s="5"/>
      <c r="E369" s="731" t="s">
        <v>1688</v>
      </c>
      <c r="F369" s="736" t="s">
        <v>1689</v>
      </c>
      <c r="G369" s="731" t="s">
        <v>223</v>
      </c>
      <c r="H369" s="731" t="s">
        <v>1690</v>
      </c>
      <c r="I369" s="736" t="s">
        <v>1691</v>
      </c>
      <c r="J369" s="744">
        <v>1</v>
      </c>
      <c r="K369" s="951"/>
      <c r="L369" s="951"/>
      <c r="M369" s="951"/>
      <c r="N369" s="744"/>
      <c r="O369" s="744"/>
      <c r="P369" s="744"/>
      <c r="Q369" s="744"/>
      <c r="R369" s="744"/>
      <c r="S369" s="744"/>
      <c r="T369" s="744"/>
      <c r="U369" s="744"/>
      <c r="V369" s="744"/>
      <c r="W369" s="744"/>
      <c r="X369" s="744"/>
      <c r="Y369" s="744"/>
      <c r="Z369" s="952"/>
      <c r="AA369" s="952"/>
      <c r="AB369" s="952"/>
      <c r="AC369" s="952"/>
      <c r="AD369" s="952"/>
      <c r="AE369" s="952"/>
      <c r="AF369" s="952"/>
      <c r="AG369" s="952"/>
      <c r="AH369" s="973"/>
      <c r="AI369" s="973"/>
      <c r="AJ369" s="973"/>
      <c r="AK369" s="973"/>
      <c r="AL369" s="951"/>
      <c r="AM369" s="746" t="s">
        <v>1191</v>
      </c>
      <c r="AN369" s="744">
        <v>2</v>
      </c>
    </row>
    <row r="370" spans="1:40" s="2" customFormat="1" ht="121.5" hidden="1" customHeight="1">
      <c r="A370" s="12"/>
      <c r="B370" s="12"/>
      <c r="C370" s="12"/>
      <c r="D370" s="5"/>
      <c r="E370" s="731" t="s">
        <v>1692</v>
      </c>
      <c r="F370" s="736" t="s">
        <v>1693</v>
      </c>
      <c r="G370" s="731" t="s">
        <v>223</v>
      </c>
      <c r="H370" s="731" t="s">
        <v>1694</v>
      </c>
      <c r="I370" s="736" t="s">
        <v>1695</v>
      </c>
      <c r="J370" s="744">
        <v>1</v>
      </c>
      <c r="K370" s="951"/>
      <c r="L370" s="951"/>
      <c r="M370" s="951"/>
      <c r="N370" s="744"/>
      <c r="O370" s="744"/>
      <c r="P370" s="744"/>
      <c r="Q370" s="744"/>
      <c r="R370" s="744"/>
      <c r="S370" s="744"/>
      <c r="T370" s="744"/>
      <c r="U370" s="744"/>
      <c r="V370" s="744"/>
      <c r="W370" s="744"/>
      <c r="X370" s="744"/>
      <c r="Y370" s="744"/>
      <c r="Z370" s="952"/>
      <c r="AA370" s="952"/>
      <c r="AB370" s="952"/>
      <c r="AC370" s="952"/>
      <c r="AD370" s="952"/>
      <c r="AE370" s="952"/>
      <c r="AF370" s="952"/>
      <c r="AG370" s="952"/>
      <c r="AH370" s="973"/>
      <c r="AI370" s="973"/>
      <c r="AJ370" s="973"/>
      <c r="AK370" s="973"/>
      <c r="AL370" s="951"/>
      <c r="AM370" s="746" t="s">
        <v>1191</v>
      </c>
      <c r="AN370" s="744">
        <v>2</v>
      </c>
    </row>
    <row r="371" spans="1:40" s="2" customFormat="1" ht="121.5" hidden="1" customHeight="1">
      <c r="A371" s="12"/>
      <c r="B371" s="12"/>
      <c r="C371" s="12"/>
      <c r="D371" s="5"/>
      <c r="E371" s="731" t="s">
        <v>1696</v>
      </c>
      <c r="F371" s="736" t="s">
        <v>1697</v>
      </c>
      <c r="G371" s="731" t="s">
        <v>223</v>
      </c>
      <c r="H371" s="731" t="s">
        <v>1698</v>
      </c>
      <c r="I371" s="736" t="s">
        <v>1699</v>
      </c>
      <c r="J371" s="744">
        <v>1</v>
      </c>
      <c r="K371" s="951"/>
      <c r="L371" s="951"/>
      <c r="M371" s="951"/>
      <c r="N371" s="744"/>
      <c r="O371" s="744"/>
      <c r="P371" s="744"/>
      <c r="Q371" s="744"/>
      <c r="R371" s="744"/>
      <c r="S371" s="744"/>
      <c r="T371" s="744"/>
      <c r="U371" s="744"/>
      <c r="V371" s="744"/>
      <c r="W371" s="744"/>
      <c r="X371" s="744"/>
      <c r="Y371" s="744"/>
      <c r="Z371" s="952"/>
      <c r="AA371" s="952"/>
      <c r="AB371" s="952"/>
      <c r="AC371" s="952"/>
      <c r="AD371" s="952"/>
      <c r="AE371" s="952"/>
      <c r="AF371" s="952"/>
      <c r="AG371" s="952"/>
      <c r="AH371" s="973"/>
      <c r="AI371" s="973"/>
      <c r="AJ371" s="973"/>
      <c r="AK371" s="973"/>
      <c r="AL371" s="951"/>
      <c r="AM371" s="746" t="s">
        <v>1191</v>
      </c>
      <c r="AN371" s="744">
        <v>2</v>
      </c>
    </row>
    <row r="372" spans="1:40" s="2" customFormat="1" ht="121.5" hidden="1" customHeight="1">
      <c r="A372" s="12"/>
      <c r="B372" s="12"/>
      <c r="C372" s="12"/>
      <c r="D372" s="5"/>
      <c r="E372" s="731" t="s">
        <v>1700</v>
      </c>
      <c r="F372" s="736" t="s">
        <v>1701</v>
      </c>
      <c r="G372" s="731" t="s">
        <v>223</v>
      </c>
      <c r="H372" s="731" t="s">
        <v>1702</v>
      </c>
      <c r="I372" s="736" t="s">
        <v>1703</v>
      </c>
      <c r="J372" s="744">
        <v>1</v>
      </c>
      <c r="K372" s="951"/>
      <c r="L372" s="951"/>
      <c r="M372" s="951"/>
      <c r="N372" s="744"/>
      <c r="O372" s="744"/>
      <c r="P372" s="744"/>
      <c r="Q372" s="744"/>
      <c r="R372" s="744"/>
      <c r="S372" s="744"/>
      <c r="T372" s="744"/>
      <c r="U372" s="744"/>
      <c r="V372" s="744"/>
      <c r="W372" s="744"/>
      <c r="X372" s="744"/>
      <c r="Y372" s="744"/>
      <c r="Z372" s="952"/>
      <c r="AA372" s="952"/>
      <c r="AB372" s="952"/>
      <c r="AC372" s="952"/>
      <c r="AD372" s="952"/>
      <c r="AE372" s="952"/>
      <c r="AF372" s="952"/>
      <c r="AG372" s="952"/>
      <c r="AH372" s="973"/>
      <c r="AI372" s="973"/>
      <c r="AJ372" s="973"/>
      <c r="AK372" s="973"/>
      <c r="AL372" s="951"/>
      <c r="AM372" s="746" t="s">
        <v>1191</v>
      </c>
      <c r="AN372" s="744">
        <v>2</v>
      </c>
    </row>
    <row r="373" spans="1:40" s="2" customFormat="1" ht="121.5" hidden="1" customHeight="1">
      <c r="A373" s="12"/>
      <c r="B373" s="12"/>
      <c r="C373" s="12"/>
      <c r="D373" s="5"/>
      <c r="E373" s="731" t="s">
        <v>1704</v>
      </c>
      <c r="F373" s="736" t="s">
        <v>1705</v>
      </c>
      <c r="G373" s="731" t="s">
        <v>223</v>
      </c>
      <c r="H373" s="731" t="s">
        <v>1706</v>
      </c>
      <c r="I373" s="736" t="s">
        <v>1707</v>
      </c>
      <c r="J373" s="744">
        <v>1</v>
      </c>
      <c r="K373" s="951"/>
      <c r="L373" s="951"/>
      <c r="M373" s="951"/>
      <c r="N373" s="744"/>
      <c r="O373" s="744"/>
      <c r="P373" s="744"/>
      <c r="Q373" s="744"/>
      <c r="R373" s="744"/>
      <c r="S373" s="744"/>
      <c r="T373" s="744"/>
      <c r="U373" s="744"/>
      <c r="V373" s="744"/>
      <c r="W373" s="744"/>
      <c r="X373" s="744"/>
      <c r="Y373" s="744"/>
      <c r="Z373" s="952"/>
      <c r="AA373" s="952"/>
      <c r="AB373" s="952"/>
      <c r="AC373" s="952"/>
      <c r="AD373" s="952"/>
      <c r="AE373" s="952"/>
      <c r="AF373" s="952"/>
      <c r="AG373" s="952"/>
      <c r="AH373" s="973"/>
      <c r="AI373" s="973"/>
      <c r="AJ373" s="973"/>
      <c r="AK373" s="973"/>
      <c r="AL373" s="951"/>
      <c r="AM373" s="746" t="s">
        <v>1191</v>
      </c>
      <c r="AN373" s="744">
        <v>2</v>
      </c>
    </row>
    <row r="374" spans="1:40" s="2" customFormat="1" ht="121.5" hidden="1" customHeight="1">
      <c r="A374" s="12"/>
      <c r="B374" s="12"/>
      <c r="C374" s="12"/>
      <c r="D374" s="5"/>
      <c r="E374" s="731" t="s">
        <v>1708</v>
      </c>
      <c r="F374" s="736" t="s">
        <v>1709</v>
      </c>
      <c r="G374" s="731" t="s">
        <v>223</v>
      </c>
      <c r="H374" s="731" t="s">
        <v>1710</v>
      </c>
      <c r="I374" s="736" t="s">
        <v>1711</v>
      </c>
      <c r="J374" s="744">
        <v>1</v>
      </c>
      <c r="K374" s="951"/>
      <c r="L374" s="951"/>
      <c r="M374" s="951"/>
      <c r="N374" s="744"/>
      <c r="O374" s="744"/>
      <c r="P374" s="744"/>
      <c r="Q374" s="744"/>
      <c r="R374" s="744"/>
      <c r="S374" s="744"/>
      <c r="T374" s="744"/>
      <c r="U374" s="744"/>
      <c r="V374" s="744"/>
      <c r="W374" s="744"/>
      <c r="X374" s="744"/>
      <c r="Y374" s="744"/>
      <c r="Z374" s="952"/>
      <c r="AA374" s="952"/>
      <c r="AB374" s="952"/>
      <c r="AC374" s="952"/>
      <c r="AD374" s="952"/>
      <c r="AE374" s="952"/>
      <c r="AF374" s="952"/>
      <c r="AG374" s="952"/>
      <c r="AH374" s="973"/>
      <c r="AI374" s="973"/>
      <c r="AJ374" s="973"/>
      <c r="AK374" s="973"/>
      <c r="AL374" s="951"/>
      <c r="AM374" s="746" t="s">
        <v>1191</v>
      </c>
      <c r="AN374" s="744">
        <v>2</v>
      </c>
    </row>
    <row r="375" spans="1:40" s="2" customFormat="1" ht="121.5" hidden="1" customHeight="1">
      <c r="A375" s="12"/>
      <c r="B375" s="12"/>
      <c r="C375" s="12"/>
      <c r="D375" s="5"/>
      <c r="E375" s="731" t="s">
        <v>1712</v>
      </c>
      <c r="F375" s="736" t="s">
        <v>1713</v>
      </c>
      <c r="G375" s="731" t="s">
        <v>223</v>
      </c>
      <c r="H375" s="731" t="s">
        <v>1714</v>
      </c>
      <c r="I375" s="736" t="s">
        <v>1715</v>
      </c>
      <c r="J375" s="744">
        <v>1</v>
      </c>
      <c r="K375" s="951"/>
      <c r="L375" s="951"/>
      <c r="M375" s="951"/>
      <c r="N375" s="744"/>
      <c r="O375" s="744"/>
      <c r="P375" s="744"/>
      <c r="Q375" s="744"/>
      <c r="R375" s="744"/>
      <c r="S375" s="744"/>
      <c r="T375" s="744"/>
      <c r="U375" s="744"/>
      <c r="V375" s="744"/>
      <c r="W375" s="744"/>
      <c r="X375" s="744"/>
      <c r="Y375" s="744"/>
      <c r="Z375" s="952"/>
      <c r="AA375" s="952"/>
      <c r="AB375" s="952"/>
      <c r="AC375" s="952"/>
      <c r="AD375" s="952"/>
      <c r="AE375" s="952"/>
      <c r="AF375" s="952"/>
      <c r="AG375" s="952"/>
      <c r="AH375" s="973"/>
      <c r="AI375" s="973"/>
      <c r="AJ375" s="973"/>
      <c r="AK375" s="973"/>
      <c r="AL375" s="951"/>
      <c r="AM375" s="746" t="s">
        <v>1191</v>
      </c>
      <c r="AN375" s="744">
        <v>2</v>
      </c>
    </row>
    <row r="376" spans="1:40" s="2" customFormat="1" ht="121.5" hidden="1" customHeight="1">
      <c r="A376" s="12"/>
      <c r="B376" s="12"/>
      <c r="C376" s="12"/>
      <c r="D376" s="5"/>
      <c r="E376" s="731" t="s">
        <v>1716</v>
      </c>
      <c r="F376" s="736" t="s">
        <v>1717</v>
      </c>
      <c r="G376" s="731" t="s">
        <v>223</v>
      </c>
      <c r="H376" s="731" t="s">
        <v>1718</v>
      </c>
      <c r="I376" s="736" t="s">
        <v>1719</v>
      </c>
      <c r="J376" s="744">
        <v>1</v>
      </c>
      <c r="K376" s="951"/>
      <c r="L376" s="951"/>
      <c r="M376" s="951"/>
      <c r="N376" s="744"/>
      <c r="O376" s="744"/>
      <c r="P376" s="744"/>
      <c r="Q376" s="744"/>
      <c r="R376" s="744"/>
      <c r="S376" s="744"/>
      <c r="T376" s="744"/>
      <c r="U376" s="744"/>
      <c r="V376" s="744"/>
      <c r="W376" s="744"/>
      <c r="X376" s="744"/>
      <c r="Y376" s="744"/>
      <c r="Z376" s="952"/>
      <c r="AA376" s="952"/>
      <c r="AB376" s="952"/>
      <c r="AC376" s="952"/>
      <c r="AD376" s="952"/>
      <c r="AE376" s="952"/>
      <c r="AF376" s="952"/>
      <c r="AG376" s="952"/>
      <c r="AH376" s="973"/>
      <c r="AI376" s="973"/>
      <c r="AJ376" s="973"/>
      <c r="AK376" s="973"/>
      <c r="AL376" s="951"/>
      <c r="AM376" s="746" t="s">
        <v>1191</v>
      </c>
      <c r="AN376" s="744">
        <v>2</v>
      </c>
    </row>
    <row r="377" spans="1:40" s="2" customFormat="1" ht="121.5" hidden="1" customHeight="1">
      <c r="A377" s="12"/>
      <c r="B377" s="12"/>
      <c r="C377" s="12"/>
      <c r="D377" s="5"/>
      <c r="E377" s="731" t="s">
        <v>1720</v>
      </c>
      <c r="F377" s="736" t="s">
        <v>1721</v>
      </c>
      <c r="G377" s="731" t="s">
        <v>223</v>
      </c>
      <c r="H377" s="731" t="s">
        <v>1722</v>
      </c>
      <c r="I377" s="736" t="s">
        <v>1723</v>
      </c>
      <c r="J377" s="744">
        <v>1</v>
      </c>
      <c r="K377" s="951"/>
      <c r="L377" s="951"/>
      <c r="M377" s="951"/>
      <c r="N377" s="744"/>
      <c r="O377" s="744"/>
      <c r="P377" s="744"/>
      <c r="Q377" s="744"/>
      <c r="R377" s="744"/>
      <c r="S377" s="744"/>
      <c r="T377" s="744"/>
      <c r="U377" s="744"/>
      <c r="V377" s="744"/>
      <c r="W377" s="744"/>
      <c r="X377" s="744"/>
      <c r="Y377" s="744"/>
      <c r="Z377" s="952"/>
      <c r="AA377" s="952"/>
      <c r="AB377" s="952"/>
      <c r="AC377" s="952"/>
      <c r="AD377" s="952"/>
      <c r="AE377" s="952"/>
      <c r="AF377" s="952"/>
      <c r="AG377" s="952"/>
      <c r="AH377" s="973"/>
      <c r="AI377" s="973"/>
      <c r="AJ377" s="973"/>
      <c r="AK377" s="973"/>
      <c r="AL377" s="951"/>
      <c r="AM377" s="746" t="s">
        <v>1191</v>
      </c>
      <c r="AN377" s="744">
        <v>2</v>
      </c>
    </row>
    <row r="378" spans="1:40" s="2" customFormat="1" ht="121.5" hidden="1" customHeight="1">
      <c r="A378" s="12"/>
      <c r="B378" s="12"/>
      <c r="C378" s="12"/>
      <c r="D378" s="5"/>
      <c r="E378" s="731" t="s">
        <v>1724</v>
      </c>
      <c r="F378" s="736" t="s">
        <v>1725</v>
      </c>
      <c r="G378" s="731" t="s">
        <v>223</v>
      </c>
      <c r="H378" s="731" t="s">
        <v>1726</v>
      </c>
      <c r="I378" s="736" t="s">
        <v>1727</v>
      </c>
      <c r="J378" s="744">
        <v>1</v>
      </c>
      <c r="K378" s="951"/>
      <c r="L378" s="951"/>
      <c r="M378" s="951"/>
      <c r="N378" s="744"/>
      <c r="O378" s="744"/>
      <c r="P378" s="744"/>
      <c r="Q378" s="744"/>
      <c r="R378" s="744"/>
      <c r="S378" s="744"/>
      <c r="T378" s="744"/>
      <c r="U378" s="744"/>
      <c r="V378" s="744"/>
      <c r="W378" s="744"/>
      <c r="X378" s="744"/>
      <c r="Y378" s="744"/>
      <c r="Z378" s="952"/>
      <c r="AA378" s="952"/>
      <c r="AB378" s="952"/>
      <c r="AC378" s="952"/>
      <c r="AD378" s="952"/>
      <c r="AE378" s="952"/>
      <c r="AF378" s="952"/>
      <c r="AG378" s="952"/>
      <c r="AH378" s="973"/>
      <c r="AI378" s="973"/>
      <c r="AJ378" s="973"/>
      <c r="AK378" s="973"/>
      <c r="AL378" s="951"/>
      <c r="AM378" s="746" t="s">
        <v>1191</v>
      </c>
      <c r="AN378" s="744">
        <v>2</v>
      </c>
    </row>
    <row r="379" spans="1:40" s="2" customFormat="1" ht="121.5" hidden="1" customHeight="1">
      <c r="A379" s="12"/>
      <c r="B379" s="12"/>
      <c r="C379" s="12"/>
      <c r="D379" s="5"/>
      <c r="E379" s="731" t="s">
        <v>1728</v>
      </c>
      <c r="F379" s="736" t="s">
        <v>1729</v>
      </c>
      <c r="G379" s="731" t="s">
        <v>223</v>
      </c>
      <c r="H379" s="731" t="s">
        <v>1730</v>
      </c>
      <c r="I379" s="736" t="s">
        <v>1731</v>
      </c>
      <c r="J379" s="744">
        <v>1</v>
      </c>
      <c r="K379" s="951"/>
      <c r="L379" s="951"/>
      <c r="M379" s="951"/>
      <c r="N379" s="744"/>
      <c r="O379" s="744"/>
      <c r="P379" s="744"/>
      <c r="Q379" s="744"/>
      <c r="R379" s="744"/>
      <c r="S379" s="744"/>
      <c r="T379" s="744"/>
      <c r="U379" s="744"/>
      <c r="V379" s="744"/>
      <c r="W379" s="744"/>
      <c r="X379" s="744"/>
      <c r="Y379" s="744"/>
      <c r="Z379" s="952"/>
      <c r="AA379" s="952"/>
      <c r="AB379" s="952"/>
      <c r="AC379" s="952"/>
      <c r="AD379" s="952"/>
      <c r="AE379" s="952"/>
      <c r="AF379" s="952"/>
      <c r="AG379" s="952"/>
      <c r="AH379" s="973"/>
      <c r="AI379" s="973"/>
      <c r="AJ379" s="973"/>
      <c r="AK379" s="973"/>
      <c r="AL379" s="951"/>
      <c r="AM379" s="746" t="s">
        <v>1191</v>
      </c>
      <c r="AN379" s="744">
        <v>2</v>
      </c>
    </row>
    <row r="380" spans="1:40" s="2" customFormat="1" ht="121.5" hidden="1" customHeight="1">
      <c r="A380" s="12"/>
      <c r="B380" s="12"/>
      <c r="C380" s="12"/>
      <c r="D380" s="5"/>
      <c r="E380" s="731" t="s">
        <v>1732</v>
      </c>
      <c r="F380" s="736" t="s">
        <v>1733</v>
      </c>
      <c r="G380" s="731" t="s">
        <v>223</v>
      </c>
      <c r="H380" s="731" t="s">
        <v>1734</v>
      </c>
      <c r="I380" s="736" t="s">
        <v>1735</v>
      </c>
      <c r="J380" s="744">
        <v>1</v>
      </c>
      <c r="K380" s="951"/>
      <c r="L380" s="951"/>
      <c r="M380" s="951"/>
      <c r="N380" s="744"/>
      <c r="O380" s="744"/>
      <c r="P380" s="744"/>
      <c r="Q380" s="744"/>
      <c r="R380" s="744"/>
      <c r="S380" s="744"/>
      <c r="T380" s="744"/>
      <c r="U380" s="744"/>
      <c r="V380" s="744"/>
      <c r="W380" s="744"/>
      <c r="X380" s="744"/>
      <c r="Y380" s="744"/>
      <c r="Z380" s="952"/>
      <c r="AA380" s="952"/>
      <c r="AB380" s="952"/>
      <c r="AC380" s="952"/>
      <c r="AD380" s="952"/>
      <c r="AE380" s="952"/>
      <c r="AF380" s="952"/>
      <c r="AG380" s="952"/>
      <c r="AH380" s="973"/>
      <c r="AI380" s="973"/>
      <c r="AJ380" s="973"/>
      <c r="AK380" s="973"/>
      <c r="AL380" s="951"/>
      <c r="AM380" s="746" t="s">
        <v>1191</v>
      </c>
      <c r="AN380" s="744">
        <v>2</v>
      </c>
    </row>
    <row r="381" spans="1:40" s="2" customFormat="1" ht="121.5" hidden="1" customHeight="1">
      <c r="A381" s="12"/>
      <c r="B381" s="12"/>
      <c r="C381" s="12"/>
      <c r="D381" s="5"/>
      <c r="E381" s="731" t="s">
        <v>1736</v>
      </c>
      <c r="F381" s="736" t="s">
        <v>1737</v>
      </c>
      <c r="G381" s="731" t="s">
        <v>223</v>
      </c>
      <c r="H381" s="731" t="s">
        <v>1738</v>
      </c>
      <c r="I381" s="736" t="s">
        <v>1739</v>
      </c>
      <c r="J381" s="744">
        <v>1</v>
      </c>
      <c r="K381" s="951"/>
      <c r="L381" s="951"/>
      <c r="M381" s="951"/>
      <c r="N381" s="744"/>
      <c r="O381" s="744"/>
      <c r="P381" s="744"/>
      <c r="Q381" s="744"/>
      <c r="R381" s="744"/>
      <c r="S381" s="744"/>
      <c r="T381" s="744"/>
      <c r="U381" s="744"/>
      <c r="V381" s="744"/>
      <c r="W381" s="744"/>
      <c r="X381" s="744"/>
      <c r="Y381" s="744"/>
      <c r="Z381" s="952"/>
      <c r="AA381" s="952"/>
      <c r="AB381" s="952"/>
      <c r="AC381" s="952"/>
      <c r="AD381" s="952"/>
      <c r="AE381" s="952"/>
      <c r="AF381" s="952"/>
      <c r="AG381" s="952"/>
      <c r="AH381" s="973"/>
      <c r="AI381" s="973"/>
      <c r="AJ381" s="973"/>
      <c r="AK381" s="973"/>
      <c r="AL381" s="951"/>
      <c r="AM381" s="746" t="s">
        <v>1191</v>
      </c>
      <c r="AN381" s="744">
        <v>2</v>
      </c>
    </row>
    <row r="382" spans="1:40" s="2" customFormat="1" ht="121.5" hidden="1" customHeight="1">
      <c r="A382" s="12"/>
      <c r="B382" s="12"/>
      <c r="C382" s="12"/>
      <c r="D382" s="5"/>
      <c r="E382" s="731" t="s">
        <v>1740</v>
      </c>
      <c r="F382" s="736" t="s">
        <v>1741</v>
      </c>
      <c r="G382" s="731" t="s">
        <v>223</v>
      </c>
      <c r="H382" s="731" t="s">
        <v>1742</v>
      </c>
      <c r="I382" s="736" t="s">
        <v>1743</v>
      </c>
      <c r="J382" s="744">
        <v>1</v>
      </c>
      <c r="K382" s="951"/>
      <c r="L382" s="951"/>
      <c r="M382" s="951"/>
      <c r="N382" s="744"/>
      <c r="O382" s="744"/>
      <c r="P382" s="744"/>
      <c r="Q382" s="744"/>
      <c r="R382" s="744"/>
      <c r="S382" s="744"/>
      <c r="T382" s="744"/>
      <c r="U382" s="744"/>
      <c r="V382" s="744"/>
      <c r="W382" s="744"/>
      <c r="X382" s="744"/>
      <c r="Y382" s="744"/>
      <c r="Z382" s="952"/>
      <c r="AA382" s="952"/>
      <c r="AB382" s="952"/>
      <c r="AC382" s="952"/>
      <c r="AD382" s="952"/>
      <c r="AE382" s="952"/>
      <c r="AF382" s="952"/>
      <c r="AG382" s="952"/>
      <c r="AH382" s="973"/>
      <c r="AI382" s="973"/>
      <c r="AJ382" s="973"/>
      <c r="AK382" s="973"/>
      <c r="AL382" s="951"/>
      <c r="AM382" s="746" t="s">
        <v>1191</v>
      </c>
      <c r="AN382" s="744">
        <v>2</v>
      </c>
    </row>
    <row r="383" spans="1:40" s="2" customFormat="1" ht="121.5" hidden="1" customHeight="1">
      <c r="A383" s="12"/>
      <c r="B383" s="12"/>
      <c r="C383" s="12"/>
      <c r="D383" s="5"/>
      <c r="E383" s="731" t="s">
        <v>1744</v>
      </c>
      <c r="F383" s="736" t="s">
        <v>1745</v>
      </c>
      <c r="G383" s="731" t="s">
        <v>223</v>
      </c>
      <c r="H383" s="731" t="s">
        <v>1746</v>
      </c>
      <c r="I383" s="736" t="s">
        <v>1747</v>
      </c>
      <c r="J383" s="744">
        <v>1</v>
      </c>
      <c r="K383" s="951"/>
      <c r="L383" s="951"/>
      <c r="M383" s="951"/>
      <c r="N383" s="744"/>
      <c r="O383" s="744"/>
      <c r="P383" s="744"/>
      <c r="Q383" s="744"/>
      <c r="R383" s="744"/>
      <c r="S383" s="744"/>
      <c r="T383" s="744"/>
      <c r="U383" s="744"/>
      <c r="V383" s="744"/>
      <c r="W383" s="744"/>
      <c r="X383" s="744"/>
      <c r="Y383" s="744"/>
      <c r="Z383" s="952"/>
      <c r="AA383" s="952"/>
      <c r="AB383" s="952"/>
      <c r="AC383" s="952"/>
      <c r="AD383" s="952"/>
      <c r="AE383" s="952"/>
      <c r="AF383" s="952"/>
      <c r="AG383" s="952"/>
      <c r="AH383" s="973"/>
      <c r="AI383" s="973"/>
      <c r="AJ383" s="973"/>
      <c r="AK383" s="973"/>
      <c r="AL383" s="951"/>
      <c r="AM383" s="746" t="s">
        <v>1191</v>
      </c>
      <c r="AN383" s="744">
        <v>2</v>
      </c>
    </row>
    <row r="384" spans="1:40" s="2" customFormat="1" ht="121.5" hidden="1" customHeight="1">
      <c r="A384" s="12"/>
      <c r="B384" s="12"/>
      <c r="C384" s="12"/>
      <c r="D384" s="5"/>
      <c r="E384" s="731" t="s">
        <v>1748</v>
      </c>
      <c r="F384" s="736" t="s">
        <v>1749</v>
      </c>
      <c r="G384" s="731" t="s">
        <v>223</v>
      </c>
      <c r="H384" s="731" t="s">
        <v>1750</v>
      </c>
      <c r="I384" s="736" t="s">
        <v>1751</v>
      </c>
      <c r="J384" s="744">
        <v>1</v>
      </c>
      <c r="K384" s="951"/>
      <c r="L384" s="951"/>
      <c r="M384" s="951"/>
      <c r="N384" s="744"/>
      <c r="O384" s="744"/>
      <c r="P384" s="744"/>
      <c r="Q384" s="744"/>
      <c r="R384" s="744"/>
      <c r="S384" s="744"/>
      <c r="T384" s="744"/>
      <c r="U384" s="744"/>
      <c r="V384" s="744"/>
      <c r="W384" s="744"/>
      <c r="X384" s="744"/>
      <c r="Y384" s="744"/>
      <c r="Z384" s="952"/>
      <c r="AA384" s="952"/>
      <c r="AB384" s="952"/>
      <c r="AC384" s="952"/>
      <c r="AD384" s="952"/>
      <c r="AE384" s="952"/>
      <c r="AF384" s="952"/>
      <c r="AG384" s="952"/>
      <c r="AH384" s="973"/>
      <c r="AI384" s="973"/>
      <c r="AJ384" s="973"/>
      <c r="AK384" s="973"/>
      <c r="AL384" s="951"/>
      <c r="AM384" s="746" t="s">
        <v>1191</v>
      </c>
      <c r="AN384" s="744">
        <v>2</v>
      </c>
    </row>
    <row r="385" spans="1:40" s="2" customFormat="1" ht="121.5" hidden="1" customHeight="1">
      <c r="A385" s="12"/>
      <c r="B385" s="12"/>
      <c r="C385" s="12"/>
      <c r="D385" s="5"/>
      <c r="E385" s="731" t="s">
        <v>1752</v>
      </c>
      <c r="F385" s="736" t="s">
        <v>1753</v>
      </c>
      <c r="G385" s="731" t="s">
        <v>223</v>
      </c>
      <c r="H385" s="731" t="s">
        <v>1754</v>
      </c>
      <c r="I385" s="736" t="s">
        <v>1755</v>
      </c>
      <c r="J385" s="744">
        <v>1</v>
      </c>
      <c r="K385" s="951"/>
      <c r="L385" s="951"/>
      <c r="M385" s="951"/>
      <c r="N385" s="744"/>
      <c r="O385" s="744"/>
      <c r="P385" s="744"/>
      <c r="Q385" s="744"/>
      <c r="R385" s="744"/>
      <c r="S385" s="744"/>
      <c r="T385" s="744"/>
      <c r="U385" s="744"/>
      <c r="V385" s="744"/>
      <c r="W385" s="744"/>
      <c r="X385" s="744"/>
      <c r="Y385" s="744"/>
      <c r="Z385" s="952"/>
      <c r="AA385" s="952"/>
      <c r="AB385" s="952"/>
      <c r="AC385" s="952"/>
      <c r="AD385" s="952"/>
      <c r="AE385" s="952"/>
      <c r="AF385" s="952"/>
      <c r="AG385" s="952"/>
      <c r="AH385" s="973"/>
      <c r="AI385" s="973"/>
      <c r="AJ385" s="973"/>
      <c r="AK385" s="973"/>
      <c r="AL385" s="951"/>
      <c r="AM385" s="746" t="s">
        <v>1191</v>
      </c>
      <c r="AN385" s="744">
        <v>2</v>
      </c>
    </row>
    <row r="386" spans="1:40" s="2" customFormat="1" ht="121.5" hidden="1" customHeight="1">
      <c r="A386" s="12"/>
      <c r="B386" s="12"/>
      <c r="C386" s="12"/>
      <c r="D386" s="5"/>
      <c r="E386" s="731" t="s">
        <v>1756</v>
      </c>
      <c r="F386" s="736" t="s">
        <v>1757</v>
      </c>
      <c r="G386" s="731" t="s">
        <v>223</v>
      </c>
      <c r="H386" s="731" t="s">
        <v>1758</v>
      </c>
      <c r="I386" s="736" t="s">
        <v>1759</v>
      </c>
      <c r="J386" s="744">
        <v>1</v>
      </c>
      <c r="K386" s="951"/>
      <c r="L386" s="951"/>
      <c r="M386" s="951"/>
      <c r="N386" s="744"/>
      <c r="O386" s="744"/>
      <c r="P386" s="744"/>
      <c r="Q386" s="744"/>
      <c r="R386" s="744"/>
      <c r="S386" s="744"/>
      <c r="T386" s="744"/>
      <c r="U386" s="744"/>
      <c r="V386" s="744"/>
      <c r="W386" s="744"/>
      <c r="X386" s="744"/>
      <c r="Y386" s="744"/>
      <c r="Z386" s="952"/>
      <c r="AA386" s="952"/>
      <c r="AB386" s="952"/>
      <c r="AC386" s="952"/>
      <c r="AD386" s="952"/>
      <c r="AE386" s="952"/>
      <c r="AF386" s="952"/>
      <c r="AG386" s="952"/>
      <c r="AH386" s="973"/>
      <c r="AI386" s="973"/>
      <c r="AJ386" s="973"/>
      <c r="AK386" s="973"/>
      <c r="AL386" s="951"/>
      <c r="AM386" s="746" t="s">
        <v>1191</v>
      </c>
      <c r="AN386" s="744">
        <v>2</v>
      </c>
    </row>
    <row r="387" spans="1:40" s="2" customFormat="1" ht="121.5" hidden="1" customHeight="1">
      <c r="A387" s="12"/>
      <c r="B387" s="12"/>
      <c r="C387" s="12"/>
      <c r="D387" s="5"/>
      <c r="E387" s="731" t="s">
        <v>1760</v>
      </c>
      <c r="F387" s="736" t="s">
        <v>1761</v>
      </c>
      <c r="G387" s="731" t="s">
        <v>223</v>
      </c>
      <c r="H387" s="731" t="s">
        <v>1762</v>
      </c>
      <c r="I387" s="736" t="s">
        <v>1763</v>
      </c>
      <c r="J387" s="744">
        <v>1</v>
      </c>
      <c r="K387" s="951"/>
      <c r="L387" s="951"/>
      <c r="M387" s="951"/>
      <c r="N387" s="744"/>
      <c r="O387" s="744"/>
      <c r="P387" s="744"/>
      <c r="Q387" s="744"/>
      <c r="R387" s="744"/>
      <c r="S387" s="744"/>
      <c r="T387" s="744"/>
      <c r="U387" s="744"/>
      <c r="V387" s="744"/>
      <c r="W387" s="744"/>
      <c r="X387" s="744"/>
      <c r="Y387" s="744"/>
      <c r="Z387" s="952"/>
      <c r="AA387" s="952"/>
      <c r="AB387" s="952"/>
      <c r="AC387" s="952"/>
      <c r="AD387" s="952"/>
      <c r="AE387" s="952"/>
      <c r="AF387" s="952"/>
      <c r="AG387" s="952"/>
      <c r="AH387" s="973"/>
      <c r="AI387" s="973"/>
      <c r="AJ387" s="973"/>
      <c r="AK387" s="973"/>
      <c r="AL387" s="951"/>
      <c r="AM387" s="746" t="s">
        <v>1191</v>
      </c>
      <c r="AN387" s="744">
        <v>2</v>
      </c>
    </row>
    <row r="388" spans="1:40" s="2" customFormat="1" ht="121.5" hidden="1" customHeight="1">
      <c r="A388" s="12"/>
      <c r="B388" s="12"/>
      <c r="C388" s="12"/>
      <c r="D388" s="5"/>
      <c r="E388" s="731" t="s">
        <v>1764</v>
      </c>
      <c r="F388" s="736" t="s">
        <v>1765</v>
      </c>
      <c r="G388" s="731" t="s">
        <v>223</v>
      </c>
      <c r="H388" s="731" t="s">
        <v>1766</v>
      </c>
      <c r="I388" s="736" t="s">
        <v>1767</v>
      </c>
      <c r="J388" s="744">
        <v>1</v>
      </c>
      <c r="K388" s="951"/>
      <c r="L388" s="951"/>
      <c r="M388" s="951"/>
      <c r="N388" s="744"/>
      <c r="O388" s="744"/>
      <c r="P388" s="744"/>
      <c r="Q388" s="744"/>
      <c r="R388" s="744"/>
      <c r="S388" s="744"/>
      <c r="T388" s="744"/>
      <c r="U388" s="744"/>
      <c r="V388" s="744"/>
      <c r="W388" s="744"/>
      <c r="X388" s="744"/>
      <c r="Y388" s="744"/>
      <c r="Z388" s="952"/>
      <c r="AA388" s="952"/>
      <c r="AB388" s="952"/>
      <c r="AC388" s="952"/>
      <c r="AD388" s="952"/>
      <c r="AE388" s="952"/>
      <c r="AF388" s="952"/>
      <c r="AG388" s="952"/>
      <c r="AH388" s="973"/>
      <c r="AI388" s="973"/>
      <c r="AJ388" s="973"/>
      <c r="AK388" s="973"/>
      <c r="AL388" s="951"/>
      <c r="AM388" s="746" t="s">
        <v>1191</v>
      </c>
      <c r="AN388" s="744">
        <v>2</v>
      </c>
    </row>
    <row r="389" spans="1:40" s="2" customFormat="1" ht="121.5" hidden="1" customHeight="1">
      <c r="A389" s="12"/>
      <c r="B389" s="12"/>
      <c r="C389" s="12"/>
      <c r="D389" s="5"/>
      <c r="E389" s="731" t="s">
        <v>1768</v>
      </c>
      <c r="F389" s="736" t="s">
        <v>1769</v>
      </c>
      <c r="G389" s="731" t="s">
        <v>223</v>
      </c>
      <c r="H389" s="731" t="s">
        <v>1770</v>
      </c>
      <c r="I389" s="736" t="s">
        <v>1771</v>
      </c>
      <c r="J389" s="744">
        <v>1</v>
      </c>
      <c r="K389" s="951"/>
      <c r="L389" s="951"/>
      <c r="M389" s="951"/>
      <c r="N389" s="744"/>
      <c r="O389" s="744"/>
      <c r="P389" s="744"/>
      <c r="Q389" s="744"/>
      <c r="R389" s="744"/>
      <c r="S389" s="744"/>
      <c r="T389" s="744"/>
      <c r="U389" s="744"/>
      <c r="V389" s="744"/>
      <c r="W389" s="744"/>
      <c r="X389" s="744"/>
      <c r="Y389" s="744"/>
      <c r="Z389" s="952"/>
      <c r="AA389" s="952"/>
      <c r="AB389" s="952"/>
      <c r="AC389" s="952"/>
      <c r="AD389" s="952"/>
      <c r="AE389" s="952"/>
      <c r="AF389" s="952"/>
      <c r="AG389" s="952"/>
      <c r="AH389" s="973"/>
      <c r="AI389" s="973"/>
      <c r="AJ389" s="973"/>
      <c r="AK389" s="973"/>
      <c r="AL389" s="951"/>
      <c r="AM389" s="746" t="s">
        <v>1191</v>
      </c>
      <c r="AN389" s="744">
        <v>2</v>
      </c>
    </row>
    <row r="390" spans="1:40" s="2" customFormat="1" ht="121.5" hidden="1" customHeight="1">
      <c r="A390" s="12"/>
      <c r="B390" s="12"/>
      <c r="C390" s="12"/>
      <c r="D390" s="5"/>
      <c r="E390" s="731" t="s">
        <v>1772</v>
      </c>
      <c r="F390" s="736" t="s">
        <v>1773</v>
      </c>
      <c r="G390" s="731" t="s">
        <v>223</v>
      </c>
      <c r="H390" s="731" t="s">
        <v>1774</v>
      </c>
      <c r="I390" s="736" t="s">
        <v>1775</v>
      </c>
      <c r="J390" s="744">
        <v>1</v>
      </c>
      <c r="K390" s="951"/>
      <c r="L390" s="951"/>
      <c r="M390" s="951"/>
      <c r="N390" s="744"/>
      <c r="O390" s="744"/>
      <c r="P390" s="744"/>
      <c r="Q390" s="744"/>
      <c r="R390" s="744"/>
      <c r="S390" s="744"/>
      <c r="T390" s="744"/>
      <c r="U390" s="744"/>
      <c r="V390" s="744"/>
      <c r="W390" s="744"/>
      <c r="X390" s="744"/>
      <c r="Y390" s="744"/>
      <c r="Z390" s="952"/>
      <c r="AA390" s="952"/>
      <c r="AB390" s="952"/>
      <c r="AC390" s="952"/>
      <c r="AD390" s="952"/>
      <c r="AE390" s="952"/>
      <c r="AF390" s="952"/>
      <c r="AG390" s="952"/>
      <c r="AH390" s="973"/>
      <c r="AI390" s="973"/>
      <c r="AJ390" s="973"/>
      <c r="AK390" s="973"/>
      <c r="AL390" s="951"/>
      <c r="AM390" s="746" t="s">
        <v>1191</v>
      </c>
      <c r="AN390" s="744">
        <v>2</v>
      </c>
    </row>
    <row r="391" spans="1:40" s="2" customFormat="1" ht="121.5" hidden="1" customHeight="1">
      <c r="A391" s="12"/>
      <c r="B391" s="12"/>
      <c r="C391" s="12"/>
      <c r="D391" s="5"/>
      <c r="E391" s="731" t="s">
        <v>1776</v>
      </c>
      <c r="F391" s="736" t="s">
        <v>1777</v>
      </c>
      <c r="G391" s="731" t="s">
        <v>223</v>
      </c>
      <c r="H391" s="731" t="s">
        <v>1778</v>
      </c>
      <c r="I391" s="736" t="s">
        <v>1779</v>
      </c>
      <c r="J391" s="744">
        <v>1</v>
      </c>
      <c r="K391" s="951"/>
      <c r="L391" s="951"/>
      <c r="M391" s="951"/>
      <c r="N391" s="744"/>
      <c r="O391" s="744"/>
      <c r="P391" s="744"/>
      <c r="Q391" s="744"/>
      <c r="R391" s="744"/>
      <c r="S391" s="744"/>
      <c r="T391" s="744"/>
      <c r="U391" s="744"/>
      <c r="V391" s="744"/>
      <c r="W391" s="744"/>
      <c r="X391" s="744"/>
      <c r="Y391" s="744"/>
      <c r="Z391" s="952"/>
      <c r="AA391" s="952"/>
      <c r="AB391" s="952"/>
      <c r="AC391" s="952"/>
      <c r="AD391" s="952"/>
      <c r="AE391" s="952"/>
      <c r="AF391" s="952"/>
      <c r="AG391" s="952"/>
      <c r="AH391" s="973"/>
      <c r="AI391" s="973"/>
      <c r="AJ391" s="973"/>
      <c r="AK391" s="973"/>
      <c r="AL391" s="951"/>
      <c r="AM391" s="746" t="s">
        <v>1191</v>
      </c>
      <c r="AN391" s="744">
        <v>2</v>
      </c>
    </row>
    <row r="392" spans="1:40" s="2" customFormat="1" ht="121.5" hidden="1" customHeight="1">
      <c r="A392" s="12"/>
      <c r="B392" s="12"/>
      <c r="C392" s="12"/>
      <c r="D392" s="5"/>
      <c r="E392" s="731" t="s">
        <v>1780</v>
      </c>
      <c r="F392" s="736" t="s">
        <v>1781</v>
      </c>
      <c r="G392" s="731" t="s">
        <v>223</v>
      </c>
      <c r="H392" s="731" t="s">
        <v>1782</v>
      </c>
      <c r="I392" s="736" t="s">
        <v>1783</v>
      </c>
      <c r="J392" s="744">
        <v>1</v>
      </c>
      <c r="K392" s="951"/>
      <c r="L392" s="951"/>
      <c r="M392" s="951"/>
      <c r="N392" s="744"/>
      <c r="O392" s="744"/>
      <c r="P392" s="744"/>
      <c r="Q392" s="744"/>
      <c r="R392" s="744"/>
      <c r="S392" s="744"/>
      <c r="T392" s="744"/>
      <c r="U392" s="744"/>
      <c r="V392" s="744"/>
      <c r="W392" s="744"/>
      <c r="X392" s="744"/>
      <c r="Y392" s="744"/>
      <c r="Z392" s="952"/>
      <c r="AA392" s="952"/>
      <c r="AB392" s="952"/>
      <c r="AC392" s="952"/>
      <c r="AD392" s="952"/>
      <c r="AE392" s="952"/>
      <c r="AF392" s="952"/>
      <c r="AG392" s="952"/>
      <c r="AH392" s="973"/>
      <c r="AI392" s="973"/>
      <c r="AJ392" s="973"/>
      <c r="AK392" s="973"/>
      <c r="AL392" s="951"/>
      <c r="AM392" s="746" t="s">
        <v>1191</v>
      </c>
      <c r="AN392" s="744">
        <v>2</v>
      </c>
    </row>
    <row r="393" spans="1:40" s="2" customFormat="1" ht="121.5" hidden="1" customHeight="1">
      <c r="A393" s="12"/>
      <c r="B393" s="12"/>
      <c r="C393" s="12"/>
      <c r="D393" s="5"/>
      <c r="E393" s="731" t="s">
        <v>1784</v>
      </c>
      <c r="F393" s="736" t="s">
        <v>1785</v>
      </c>
      <c r="G393" s="731" t="s">
        <v>223</v>
      </c>
      <c r="H393" s="731" t="s">
        <v>1786</v>
      </c>
      <c r="I393" s="736" t="s">
        <v>1787</v>
      </c>
      <c r="J393" s="744">
        <v>1</v>
      </c>
      <c r="K393" s="951"/>
      <c r="L393" s="951"/>
      <c r="M393" s="951"/>
      <c r="N393" s="744"/>
      <c r="O393" s="744"/>
      <c r="P393" s="744"/>
      <c r="Q393" s="744"/>
      <c r="R393" s="744"/>
      <c r="S393" s="744"/>
      <c r="T393" s="744"/>
      <c r="U393" s="744"/>
      <c r="V393" s="744"/>
      <c r="W393" s="744"/>
      <c r="X393" s="744"/>
      <c r="Y393" s="744"/>
      <c r="Z393" s="952"/>
      <c r="AA393" s="952"/>
      <c r="AB393" s="952"/>
      <c r="AC393" s="952"/>
      <c r="AD393" s="952"/>
      <c r="AE393" s="952"/>
      <c r="AF393" s="952"/>
      <c r="AG393" s="952"/>
      <c r="AH393" s="973"/>
      <c r="AI393" s="973"/>
      <c r="AJ393" s="973"/>
      <c r="AK393" s="973"/>
      <c r="AL393" s="951"/>
      <c r="AM393" s="746" t="s">
        <v>1191</v>
      </c>
      <c r="AN393" s="744">
        <v>2</v>
      </c>
    </row>
    <row r="394" spans="1:40" s="2" customFormat="1" ht="121.5" hidden="1" customHeight="1">
      <c r="A394" s="12"/>
      <c r="B394" s="12"/>
      <c r="C394" s="12"/>
      <c r="D394" s="5"/>
      <c r="E394" s="731" t="s">
        <v>1788</v>
      </c>
      <c r="F394" s="736" t="s">
        <v>1789</v>
      </c>
      <c r="G394" s="731" t="s">
        <v>223</v>
      </c>
      <c r="H394" s="731" t="s">
        <v>1790</v>
      </c>
      <c r="I394" s="736" t="s">
        <v>1791</v>
      </c>
      <c r="J394" s="744">
        <v>1</v>
      </c>
      <c r="K394" s="951"/>
      <c r="L394" s="951"/>
      <c r="M394" s="951"/>
      <c r="N394" s="744"/>
      <c r="O394" s="744"/>
      <c r="P394" s="744"/>
      <c r="Q394" s="744"/>
      <c r="R394" s="744"/>
      <c r="S394" s="744"/>
      <c r="T394" s="744"/>
      <c r="U394" s="744"/>
      <c r="V394" s="744"/>
      <c r="W394" s="744"/>
      <c r="X394" s="744"/>
      <c r="Y394" s="744"/>
      <c r="Z394" s="952"/>
      <c r="AA394" s="952"/>
      <c r="AB394" s="952"/>
      <c r="AC394" s="952"/>
      <c r="AD394" s="952"/>
      <c r="AE394" s="952"/>
      <c r="AF394" s="952"/>
      <c r="AG394" s="952"/>
      <c r="AH394" s="973"/>
      <c r="AI394" s="973"/>
      <c r="AJ394" s="973"/>
      <c r="AK394" s="973"/>
      <c r="AL394" s="951"/>
      <c r="AM394" s="746" t="s">
        <v>1191</v>
      </c>
      <c r="AN394" s="744">
        <v>2</v>
      </c>
    </row>
    <row r="395" spans="1:40" s="2" customFormat="1" ht="121.5" hidden="1" customHeight="1">
      <c r="A395" s="12"/>
      <c r="B395" s="12"/>
      <c r="C395" s="12"/>
      <c r="D395" s="5"/>
      <c r="E395" s="731" t="s">
        <v>1792</v>
      </c>
      <c r="F395" s="736" t="s">
        <v>1793</v>
      </c>
      <c r="G395" s="731" t="s">
        <v>223</v>
      </c>
      <c r="H395" s="731" t="s">
        <v>1794</v>
      </c>
      <c r="I395" s="736" t="s">
        <v>1795</v>
      </c>
      <c r="J395" s="744">
        <v>1</v>
      </c>
      <c r="K395" s="951"/>
      <c r="L395" s="951"/>
      <c r="M395" s="951"/>
      <c r="N395" s="744"/>
      <c r="O395" s="744"/>
      <c r="P395" s="744"/>
      <c r="Q395" s="744"/>
      <c r="R395" s="744"/>
      <c r="S395" s="744"/>
      <c r="T395" s="744"/>
      <c r="U395" s="744"/>
      <c r="V395" s="744"/>
      <c r="W395" s="744"/>
      <c r="X395" s="744"/>
      <c r="Y395" s="744"/>
      <c r="Z395" s="952"/>
      <c r="AA395" s="952"/>
      <c r="AB395" s="952"/>
      <c r="AC395" s="952"/>
      <c r="AD395" s="952"/>
      <c r="AE395" s="952"/>
      <c r="AF395" s="952"/>
      <c r="AG395" s="952"/>
      <c r="AH395" s="973"/>
      <c r="AI395" s="973"/>
      <c r="AJ395" s="973"/>
      <c r="AK395" s="973"/>
      <c r="AL395" s="951"/>
      <c r="AM395" s="746" t="s">
        <v>1191</v>
      </c>
      <c r="AN395" s="744">
        <v>2</v>
      </c>
    </row>
    <row r="396" spans="1:40" s="2" customFormat="1" ht="121.5" hidden="1" customHeight="1">
      <c r="A396" s="12"/>
      <c r="B396" s="12"/>
      <c r="C396" s="12"/>
      <c r="D396" s="5"/>
      <c r="E396" s="731" t="s">
        <v>1796</v>
      </c>
      <c r="F396" s="736" t="s">
        <v>1797</v>
      </c>
      <c r="G396" s="731" t="s">
        <v>223</v>
      </c>
      <c r="H396" s="731" t="s">
        <v>1798</v>
      </c>
      <c r="I396" s="736" t="s">
        <v>1799</v>
      </c>
      <c r="J396" s="744">
        <v>1</v>
      </c>
      <c r="K396" s="951"/>
      <c r="L396" s="951"/>
      <c r="M396" s="951"/>
      <c r="N396" s="744"/>
      <c r="O396" s="744"/>
      <c r="P396" s="744"/>
      <c r="Q396" s="744"/>
      <c r="R396" s="744"/>
      <c r="S396" s="744"/>
      <c r="T396" s="744"/>
      <c r="U396" s="744"/>
      <c r="V396" s="744"/>
      <c r="W396" s="744"/>
      <c r="X396" s="744"/>
      <c r="Y396" s="744"/>
      <c r="Z396" s="952"/>
      <c r="AA396" s="952"/>
      <c r="AB396" s="952"/>
      <c r="AC396" s="952"/>
      <c r="AD396" s="952"/>
      <c r="AE396" s="952"/>
      <c r="AF396" s="952"/>
      <c r="AG396" s="952"/>
      <c r="AH396" s="973"/>
      <c r="AI396" s="973"/>
      <c r="AJ396" s="973"/>
      <c r="AK396" s="973"/>
      <c r="AL396" s="951"/>
      <c r="AM396" s="746" t="s">
        <v>1191</v>
      </c>
      <c r="AN396" s="744">
        <v>2</v>
      </c>
    </row>
    <row r="397" spans="1:40" s="2" customFormat="1" ht="121.5" hidden="1" customHeight="1">
      <c r="A397" s="12"/>
      <c r="B397" s="12"/>
      <c r="C397" s="12"/>
      <c r="D397" s="5"/>
      <c r="E397" s="731" t="s">
        <v>1800</v>
      </c>
      <c r="F397" s="736" t="s">
        <v>1801</v>
      </c>
      <c r="G397" s="731" t="s">
        <v>223</v>
      </c>
      <c r="H397" s="731" t="s">
        <v>1802</v>
      </c>
      <c r="I397" s="736" t="s">
        <v>1803</v>
      </c>
      <c r="J397" s="744">
        <v>1</v>
      </c>
      <c r="K397" s="951"/>
      <c r="L397" s="951"/>
      <c r="M397" s="951"/>
      <c r="N397" s="744"/>
      <c r="O397" s="744"/>
      <c r="P397" s="744"/>
      <c r="Q397" s="744"/>
      <c r="R397" s="744"/>
      <c r="S397" s="744"/>
      <c r="T397" s="744"/>
      <c r="U397" s="744"/>
      <c r="V397" s="744"/>
      <c r="W397" s="744"/>
      <c r="X397" s="744"/>
      <c r="Y397" s="744"/>
      <c r="Z397" s="952"/>
      <c r="AA397" s="952"/>
      <c r="AB397" s="952"/>
      <c r="AC397" s="952"/>
      <c r="AD397" s="952"/>
      <c r="AE397" s="952"/>
      <c r="AF397" s="952"/>
      <c r="AG397" s="952"/>
      <c r="AH397" s="973"/>
      <c r="AI397" s="973"/>
      <c r="AJ397" s="973"/>
      <c r="AK397" s="973"/>
      <c r="AL397" s="951"/>
      <c r="AM397" s="746" t="s">
        <v>1191</v>
      </c>
      <c r="AN397" s="744">
        <v>2</v>
      </c>
    </row>
    <row r="398" spans="1:40" s="2" customFormat="1" ht="121.5" hidden="1" customHeight="1">
      <c r="A398" s="12"/>
      <c r="B398" s="12"/>
      <c r="C398" s="12"/>
      <c r="D398" s="5"/>
      <c r="E398" s="731" t="s">
        <v>1804</v>
      </c>
      <c r="F398" s="736" t="s">
        <v>1805</v>
      </c>
      <c r="G398" s="731" t="s">
        <v>223</v>
      </c>
      <c r="H398" s="731" t="s">
        <v>1806</v>
      </c>
      <c r="I398" s="736" t="s">
        <v>1807</v>
      </c>
      <c r="J398" s="744">
        <v>1</v>
      </c>
      <c r="K398" s="951"/>
      <c r="L398" s="951"/>
      <c r="M398" s="951"/>
      <c r="N398" s="744"/>
      <c r="O398" s="744"/>
      <c r="P398" s="744"/>
      <c r="Q398" s="744"/>
      <c r="R398" s="744"/>
      <c r="S398" s="744"/>
      <c r="T398" s="744"/>
      <c r="U398" s="744"/>
      <c r="V398" s="744"/>
      <c r="W398" s="744"/>
      <c r="X398" s="744"/>
      <c r="Y398" s="744"/>
      <c r="Z398" s="952"/>
      <c r="AA398" s="952"/>
      <c r="AB398" s="952"/>
      <c r="AC398" s="952"/>
      <c r="AD398" s="952"/>
      <c r="AE398" s="952"/>
      <c r="AF398" s="952"/>
      <c r="AG398" s="952"/>
      <c r="AH398" s="973"/>
      <c r="AI398" s="973"/>
      <c r="AJ398" s="973"/>
      <c r="AK398" s="973"/>
      <c r="AL398" s="951"/>
      <c r="AM398" s="746" t="s">
        <v>1191</v>
      </c>
      <c r="AN398" s="744">
        <v>2</v>
      </c>
    </row>
    <row r="399" spans="1:40" s="2" customFormat="1" ht="121.5" hidden="1" customHeight="1">
      <c r="A399" s="12"/>
      <c r="B399" s="12"/>
      <c r="C399" s="12"/>
      <c r="D399" s="5"/>
      <c r="E399" s="731" t="s">
        <v>1808</v>
      </c>
      <c r="F399" s="736" t="s">
        <v>1809</v>
      </c>
      <c r="G399" s="731" t="s">
        <v>223</v>
      </c>
      <c r="H399" s="731" t="s">
        <v>1810</v>
      </c>
      <c r="I399" s="736" t="s">
        <v>1811</v>
      </c>
      <c r="J399" s="744">
        <v>1</v>
      </c>
      <c r="K399" s="951"/>
      <c r="L399" s="951"/>
      <c r="M399" s="951"/>
      <c r="N399" s="744"/>
      <c r="O399" s="744"/>
      <c r="P399" s="744"/>
      <c r="Q399" s="744"/>
      <c r="R399" s="744"/>
      <c r="S399" s="744"/>
      <c r="T399" s="744"/>
      <c r="U399" s="744"/>
      <c r="V399" s="744"/>
      <c r="W399" s="744"/>
      <c r="X399" s="744"/>
      <c r="Y399" s="744"/>
      <c r="Z399" s="952"/>
      <c r="AA399" s="952"/>
      <c r="AB399" s="952"/>
      <c r="AC399" s="952"/>
      <c r="AD399" s="952"/>
      <c r="AE399" s="952"/>
      <c r="AF399" s="952"/>
      <c r="AG399" s="952"/>
      <c r="AH399" s="973"/>
      <c r="AI399" s="973"/>
      <c r="AJ399" s="973"/>
      <c r="AK399" s="973"/>
      <c r="AL399" s="951"/>
      <c r="AM399" s="746" t="s">
        <v>1191</v>
      </c>
      <c r="AN399" s="744">
        <v>2</v>
      </c>
    </row>
    <row r="400" spans="1:40" s="2" customFormat="1" ht="121.5" hidden="1" customHeight="1">
      <c r="A400" s="12"/>
      <c r="B400" s="12"/>
      <c r="C400" s="12"/>
      <c r="D400" s="5"/>
      <c r="E400" s="731" t="s">
        <v>1812</v>
      </c>
      <c r="F400" s="736" t="s">
        <v>1813</v>
      </c>
      <c r="G400" s="731" t="s">
        <v>223</v>
      </c>
      <c r="H400" s="731" t="s">
        <v>1814</v>
      </c>
      <c r="I400" s="736" t="s">
        <v>1815</v>
      </c>
      <c r="J400" s="744">
        <v>1</v>
      </c>
      <c r="K400" s="951"/>
      <c r="L400" s="951"/>
      <c r="M400" s="951"/>
      <c r="N400" s="744"/>
      <c r="O400" s="744"/>
      <c r="P400" s="744"/>
      <c r="Q400" s="744"/>
      <c r="R400" s="744"/>
      <c r="S400" s="744"/>
      <c r="T400" s="744"/>
      <c r="U400" s="744"/>
      <c r="V400" s="744"/>
      <c r="W400" s="744"/>
      <c r="X400" s="744"/>
      <c r="Y400" s="744"/>
      <c r="Z400" s="952"/>
      <c r="AA400" s="952"/>
      <c r="AB400" s="952"/>
      <c r="AC400" s="952"/>
      <c r="AD400" s="952"/>
      <c r="AE400" s="952"/>
      <c r="AF400" s="952"/>
      <c r="AG400" s="952"/>
      <c r="AH400" s="973"/>
      <c r="AI400" s="973"/>
      <c r="AJ400" s="973"/>
      <c r="AK400" s="973"/>
      <c r="AL400" s="951"/>
      <c r="AM400" s="746" t="s">
        <v>1191</v>
      </c>
      <c r="AN400" s="744">
        <v>2</v>
      </c>
    </row>
    <row r="401" spans="1:40" s="2" customFormat="1" ht="121.5" hidden="1" customHeight="1">
      <c r="A401" s="12"/>
      <c r="B401" s="12"/>
      <c r="C401" s="12"/>
      <c r="D401" s="5"/>
      <c r="E401" s="731" t="s">
        <v>1816</v>
      </c>
      <c r="F401" s="736" t="s">
        <v>1817</v>
      </c>
      <c r="G401" s="731" t="s">
        <v>223</v>
      </c>
      <c r="H401" s="731" t="s">
        <v>1818</v>
      </c>
      <c r="I401" s="736" t="s">
        <v>1819</v>
      </c>
      <c r="J401" s="744">
        <v>1</v>
      </c>
      <c r="K401" s="951"/>
      <c r="L401" s="951"/>
      <c r="M401" s="951"/>
      <c r="N401" s="744"/>
      <c r="O401" s="744"/>
      <c r="P401" s="744"/>
      <c r="Q401" s="744"/>
      <c r="R401" s="744"/>
      <c r="S401" s="744"/>
      <c r="T401" s="744"/>
      <c r="U401" s="744"/>
      <c r="V401" s="744"/>
      <c r="W401" s="744"/>
      <c r="X401" s="744"/>
      <c r="Y401" s="744"/>
      <c r="Z401" s="952"/>
      <c r="AA401" s="952"/>
      <c r="AB401" s="952"/>
      <c r="AC401" s="952"/>
      <c r="AD401" s="952"/>
      <c r="AE401" s="952"/>
      <c r="AF401" s="952"/>
      <c r="AG401" s="952"/>
      <c r="AH401" s="973"/>
      <c r="AI401" s="973"/>
      <c r="AJ401" s="973"/>
      <c r="AK401" s="973"/>
      <c r="AL401" s="951"/>
      <c r="AM401" s="746" t="s">
        <v>1191</v>
      </c>
      <c r="AN401" s="744">
        <v>2</v>
      </c>
    </row>
    <row r="402" spans="1:40" s="2" customFormat="1" ht="121.5" hidden="1" customHeight="1">
      <c r="A402" s="12"/>
      <c r="B402" s="12"/>
      <c r="C402" s="12"/>
      <c r="D402" s="5"/>
      <c r="E402" s="731" t="s">
        <v>1820</v>
      </c>
      <c r="F402" s="736" t="s">
        <v>1821</v>
      </c>
      <c r="G402" s="731" t="s">
        <v>223</v>
      </c>
      <c r="H402" s="731" t="s">
        <v>1822</v>
      </c>
      <c r="I402" s="736" t="s">
        <v>1823</v>
      </c>
      <c r="J402" s="744">
        <v>1</v>
      </c>
      <c r="K402" s="951"/>
      <c r="L402" s="951"/>
      <c r="M402" s="951"/>
      <c r="N402" s="744"/>
      <c r="O402" s="744"/>
      <c r="P402" s="744"/>
      <c r="Q402" s="744"/>
      <c r="R402" s="744"/>
      <c r="S402" s="744"/>
      <c r="T402" s="744"/>
      <c r="U402" s="744"/>
      <c r="V402" s="744"/>
      <c r="W402" s="744"/>
      <c r="X402" s="744"/>
      <c r="Y402" s="744"/>
      <c r="Z402" s="952"/>
      <c r="AA402" s="952"/>
      <c r="AB402" s="952"/>
      <c r="AC402" s="952"/>
      <c r="AD402" s="952"/>
      <c r="AE402" s="952"/>
      <c r="AF402" s="952"/>
      <c r="AG402" s="952"/>
      <c r="AH402" s="973"/>
      <c r="AI402" s="973"/>
      <c r="AJ402" s="973"/>
      <c r="AK402" s="973"/>
      <c r="AL402" s="951"/>
      <c r="AM402" s="746" t="s">
        <v>1191</v>
      </c>
      <c r="AN402" s="744">
        <v>2</v>
      </c>
    </row>
    <row r="403" spans="1:40" s="2" customFormat="1" ht="121.5" hidden="1" customHeight="1">
      <c r="A403" s="12"/>
      <c r="B403" s="12"/>
      <c r="C403" s="12"/>
      <c r="D403" s="5"/>
      <c r="E403" s="731" t="s">
        <v>1824</v>
      </c>
      <c r="F403" s="736" t="s">
        <v>1825</v>
      </c>
      <c r="G403" s="731" t="s">
        <v>223</v>
      </c>
      <c r="H403" s="731" t="s">
        <v>1826</v>
      </c>
      <c r="I403" s="736" t="s">
        <v>1827</v>
      </c>
      <c r="J403" s="744">
        <v>1</v>
      </c>
      <c r="K403" s="951"/>
      <c r="L403" s="951"/>
      <c r="M403" s="951"/>
      <c r="N403" s="744"/>
      <c r="O403" s="744"/>
      <c r="P403" s="744"/>
      <c r="Q403" s="744"/>
      <c r="R403" s="744"/>
      <c r="S403" s="744"/>
      <c r="T403" s="744"/>
      <c r="U403" s="744"/>
      <c r="V403" s="744"/>
      <c r="W403" s="744"/>
      <c r="X403" s="744"/>
      <c r="Y403" s="744"/>
      <c r="Z403" s="952"/>
      <c r="AA403" s="952"/>
      <c r="AB403" s="952"/>
      <c r="AC403" s="952"/>
      <c r="AD403" s="952"/>
      <c r="AE403" s="952"/>
      <c r="AF403" s="952"/>
      <c r="AG403" s="952"/>
      <c r="AH403" s="973"/>
      <c r="AI403" s="973"/>
      <c r="AJ403" s="973"/>
      <c r="AK403" s="973"/>
      <c r="AL403" s="951"/>
      <c r="AM403" s="746" t="s">
        <v>1191</v>
      </c>
      <c r="AN403" s="744">
        <v>2</v>
      </c>
    </row>
    <row r="404" spans="1:40" s="2" customFormat="1" ht="121.5" hidden="1" customHeight="1">
      <c r="A404" s="12"/>
      <c r="B404" s="12"/>
      <c r="C404" s="12"/>
      <c r="D404" s="5"/>
      <c r="E404" s="731" t="s">
        <v>1828</v>
      </c>
      <c r="F404" s="736" t="s">
        <v>1829</v>
      </c>
      <c r="G404" s="731" t="s">
        <v>223</v>
      </c>
      <c r="H404" s="731" t="s">
        <v>1830</v>
      </c>
      <c r="I404" s="736" t="s">
        <v>1831</v>
      </c>
      <c r="J404" s="744">
        <v>1</v>
      </c>
      <c r="K404" s="951"/>
      <c r="L404" s="951"/>
      <c r="M404" s="951"/>
      <c r="N404" s="744"/>
      <c r="O404" s="744"/>
      <c r="P404" s="744"/>
      <c r="Q404" s="744"/>
      <c r="R404" s="744"/>
      <c r="S404" s="744"/>
      <c r="T404" s="744"/>
      <c r="U404" s="744"/>
      <c r="V404" s="744"/>
      <c r="W404" s="744"/>
      <c r="X404" s="744"/>
      <c r="Y404" s="744"/>
      <c r="Z404" s="952"/>
      <c r="AA404" s="952"/>
      <c r="AB404" s="952"/>
      <c r="AC404" s="952"/>
      <c r="AD404" s="952"/>
      <c r="AE404" s="952"/>
      <c r="AF404" s="952"/>
      <c r="AG404" s="952"/>
      <c r="AH404" s="973"/>
      <c r="AI404" s="973"/>
      <c r="AJ404" s="973"/>
      <c r="AK404" s="973"/>
      <c r="AL404" s="951"/>
      <c r="AM404" s="746" t="s">
        <v>1191</v>
      </c>
      <c r="AN404" s="744">
        <v>2</v>
      </c>
    </row>
    <row r="405" spans="1:40" s="2" customFormat="1" ht="121.5" hidden="1" customHeight="1">
      <c r="A405" s="12"/>
      <c r="B405" s="12"/>
      <c r="C405" s="12"/>
      <c r="D405" s="5"/>
      <c r="E405" s="731" t="s">
        <v>1832</v>
      </c>
      <c r="F405" s="736" t="s">
        <v>1833</v>
      </c>
      <c r="G405" s="731" t="s">
        <v>223</v>
      </c>
      <c r="H405" s="731" t="s">
        <v>1834</v>
      </c>
      <c r="I405" s="736" t="s">
        <v>1835</v>
      </c>
      <c r="J405" s="744">
        <v>1</v>
      </c>
      <c r="K405" s="951"/>
      <c r="L405" s="951"/>
      <c r="M405" s="951"/>
      <c r="N405" s="744"/>
      <c r="O405" s="744"/>
      <c r="P405" s="744"/>
      <c r="Q405" s="744"/>
      <c r="R405" s="744"/>
      <c r="S405" s="744"/>
      <c r="T405" s="744"/>
      <c r="U405" s="744"/>
      <c r="V405" s="744"/>
      <c r="W405" s="744"/>
      <c r="X405" s="744"/>
      <c r="Y405" s="744"/>
      <c r="Z405" s="952"/>
      <c r="AA405" s="952"/>
      <c r="AB405" s="952"/>
      <c r="AC405" s="952"/>
      <c r="AD405" s="952"/>
      <c r="AE405" s="952"/>
      <c r="AF405" s="952"/>
      <c r="AG405" s="952"/>
      <c r="AH405" s="973"/>
      <c r="AI405" s="973"/>
      <c r="AJ405" s="973"/>
      <c r="AK405" s="973"/>
      <c r="AL405" s="951"/>
      <c r="AM405" s="746" t="s">
        <v>1191</v>
      </c>
      <c r="AN405" s="744">
        <v>2</v>
      </c>
    </row>
    <row r="406" spans="1:40" s="2" customFormat="1" ht="121.5" hidden="1" customHeight="1">
      <c r="A406" s="12"/>
      <c r="B406" s="12"/>
      <c r="C406" s="12"/>
      <c r="D406" s="5"/>
      <c r="E406" s="731" t="s">
        <v>1836</v>
      </c>
      <c r="F406" s="736" t="s">
        <v>1837</v>
      </c>
      <c r="G406" s="731" t="s">
        <v>223</v>
      </c>
      <c r="H406" s="731" t="s">
        <v>1838</v>
      </c>
      <c r="I406" s="736" t="s">
        <v>1839</v>
      </c>
      <c r="J406" s="744">
        <v>1</v>
      </c>
      <c r="K406" s="951"/>
      <c r="L406" s="951"/>
      <c r="M406" s="951"/>
      <c r="N406" s="744"/>
      <c r="O406" s="744"/>
      <c r="P406" s="744"/>
      <c r="Q406" s="744"/>
      <c r="R406" s="744"/>
      <c r="S406" s="744"/>
      <c r="T406" s="744"/>
      <c r="U406" s="744"/>
      <c r="V406" s="744"/>
      <c r="W406" s="744"/>
      <c r="X406" s="744"/>
      <c r="Y406" s="744"/>
      <c r="Z406" s="952"/>
      <c r="AA406" s="952"/>
      <c r="AB406" s="952"/>
      <c r="AC406" s="952"/>
      <c r="AD406" s="952"/>
      <c r="AE406" s="952"/>
      <c r="AF406" s="952"/>
      <c r="AG406" s="952"/>
      <c r="AH406" s="973"/>
      <c r="AI406" s="973"/>
      <c r="AJ406" s="973"/>
      <c r="AK406" s="973"/>
      <c r="AL406" s="951"/>
      <c r="AM406" s="746" t="s">
        <v>1191</v>
      </c>
      <c r="AN406" s="744">
        <v>2</v>
      </c>
    </row>
    <row r="407" spans="1:40" s="2" customFormat="1" ht="121.5" hidden="1" customHeight="1">
      <c r="A407" s="12"/>
      <c r="B407" s="12"/>
      <c r="C407" s="12"/>
      <c r="D407" s="5"/>
      <c r="E407" s="731" t="s">
        <v>1840</v>
      </c>
      <c r="F407" s="736" t="s">
        <v>1841</v>
      </c>
      <c r="G407" s="731" t="s">
        <v>223</v>
      </c>
      <c r="H407" s="731" t="s">
        <v>1842</v>
      </c>
      <c r="I407" s="736" t="s">
        <v>1843</v>
      </c>
      <c r="J407" s="744">
        <v>1</v>
      </c>
      <c r="K407" s="951"/>
      <c r="L407" s="951"/>
      <c r="M407" s="951"/>
      <c r="N407" s="744"/>
      <c r="O407" s="744"/>
      <c r="P407" s="744"/>
      <c r="Q407" s="744"/>
      <c r="R407" s="744"/>
      <c r="S407" s="744"/>
      <c r="T407" s="744"/>
      <c r="U407" s="744"/>
      <c r="V407" s="744"/>
      <c r="W407" s="744"/>
      <c r="X407" s="744"/>
      <c r="Y407" s="744"/>
      <c r="Z407" s="952"/>
      <c r="AA407" s="952"/>
      <c r="AB407" s="952"/>
      <c r="AC407" s="952"/>
      <c r="AD407" s="952"/>
      <c r="AE407" s="952"/>
      <c r="AF407" s="952"/>
      <c r="AG407" s="952"/>
      <c r="AH407" s="973"/>
      <c r="AI407" s="973"/>
      <c r="AJ407" s="973"/>
      <c r="AK407" s="973"/>
      <c r="AL407" s="951"/>
      <c r="AM407" s="746" t="s">
        <v>1191</v>
      </c>
      <c r="AN407" s="744">
        <v>2</v>
      </c>
    </row>
    <row r="408" spans="1:40" s="2" customFormat="1" ht="121.5" hidden="1" customHeight="1">
      <c r="A408" s="12"/>
      <c r="B408" s="12"/>
      <c r="C408" s="12"/>
      <c r="D408" s="5"/>
      <c r="E408" s="731" t="s">
        <v>1844</v>
      </c>
      <c r="F408" s="736" t="s">
        <v>1845</v>
      </c>
      <c r="G408" s="731" t="s">
        <v>223</v>
      </c>
      <c r="H408" s="731" t="s">
        <v>1846</v>
      </c>
      <c r="I408" s="736" t="s">
        <v>1847</v>
      </c>
      <c r="J408" s="744">
        <v>1</v>
      </c>
      <c r="K408" s="951"/>
      <c r="L408" s="951"/>
      <c r="M408" s="951"/>
      <c r="N408" s="744"/>
      <c r="O408" s="744"/>
      <c r="P408" s="744"/>
      <c r="Q408" s="744"/>
      <c r="R408" s="744"/>
      <c r="S408" s="744"/>
      <c r="T408" s="744"/>
      <c r="U408" s="744"/>
      <c r="V408" s="744"/>
      <c r="W408" s="744"/>
      <c r="X408" s="744"/>
      <c r="Y408" s="744"/>
      <c r="Z408" s="952"/>
      <c r="AA408" s="952"/>
      <c r="AB408" s="952"/>
      <c r="AC408" s="952"/>
      <c r="AD408" s="952"/>
      <c r="AE408" s="952"/>
      <c r="AF408" s="952"/>
      <c r="AG408" s="952"/>
      <c r="AH408" s="973"/>
      <c r="AI408" s="973"/>
      <c r="AJ408" s="973"/>
      <c r="AK408" s="973"/>
      <c r="AL408" s="951"/>
      <c r="AM408" s="746" t="s">
        <v>1191</v>
      </c>
      <c r="AN408" s="744">
        <v>2</v>
      </c>
    </row>
    <row r="409" spans="1:40" s="2" customFormat="1" ht="121.5" hidden="1" customHeight="1">
      <c r="A409" s="12"/>
      <c r="B409" s="12"/>
      <c r="C409" s="12"/>
      <c r="D409" s="5"/>
      <c r="E409" s="731" t="s">
        <v>1848</v>
      </c>
      <c r="F409" s="736" t="s">
        <v>1849</v>
      </c>
      <c r="G409" s="731" t="s">
        <v>223</v>
      </c>
      <c r="H409" s="731" t="s">
        <v>1850</v>
      </c>
      <c r="I409" s="736" t="s">
        <v>1851</v>
      </c>
      <c r="J409" s="744">
        <v>1</v>
      </c>
      <c r="K409" s="951"/>
      <c r="L409" s="951"/>
      <c r="M409" s="951"/>
      <c r="N409" s="744"/>
      <c r="O409" s="744"/>
      <c r="P409" s="744"/>
      <c r="Q409" s="744"/>
      <c r="R409" s="744"/>
      <c r="S409" s="744"/>
      <c r="T409" s="744"/>
      <c r="U409" s="744"/>
      <c r="V409" s="744"/>
      <c r="W409" s="744"/>
      <c r="X409" s="744"/>
      <c r="Y409" s="744"/>
      <c r="Z409" s="952"/>
      <c r="AA409" s="952"/>
      <c r="AB409" s="952"/>
      <c r="AC409" s="952"/>
      <c r="AD409" s="952"/>
      <c r="AE409" s="952"/>
      <c r="AF409" s="952"/>
      <c r="AG409" s="952"/>
      <c r="AH409" s="973"/>
      <c r="AI409" s="973"/>
      <c r="AJ409" s="973"/>
      <c r="AK409" s="973"/>
      <c r="AL409" s="951"/>
      <c r="AM409" s="746" t="s">
        <v>1191</v>
      </c>
      <c r="AN409" s="744">
        <v>2</v>
      </c>
    </row>
    <row r="410" spans="1:40" s="2" customFormat="1" ht="121.5" hidden="1" customHeight="1">
      <c r="A410" s="12"/>
      <c r="B410" s="12"/>
      <c r="C410" s="12"/>
      <c r="D410" s="5"/>
      <c r="E410" s="731" t="s">
        <v>1852</v>
      </c>
      <c r="F410" s="736" t="s">
        <v>1853</v>
      </c>
      <c r="G410" s="731" t="s">
        <v>223</v>
      </c>
      <c r="H410" s="731" t="s">
        <v>1854</v>
      </c>
      <c r="I410" s="736" t="s">
        <v>1855</v>
      </c>
      <c r="J410" s="744">
        <v>1</v>
      </c>
      <c r="K410" s="951"/>
      <c r="L410" s="951"/>
      <c r="M410" s="951"/>
      <c r="N410" s="744"/>
      <c r="O410" s="744"/>
      <c r="P410" s="744"/>
      <c r="Q410" s="744"/>
      <c r="R410" s="744"/>
      <c r="S410" s="744"/>
      <c r="T410" s="744"/>
      <c r="U410" s="744"/>
      <c r="V410" s="744"/>
      <c r="W410" s="744"/>
      <c r="X410" s="744"/>
      <c r="Y410" s="744"/>
      <c r="Z410" s="952"/>
      <c r="AA410" s="952"/>
      <c r="AB410" s="952"/>
      <c r="AC410" s="952"/>
      <c r="AD410" s="952"/>
      <c r="AE410" s="952"/>
      <c r="AF410" s="952"/>
      <c r="AG410" s="952"/>
      <c r="AH410" s="973"/>
      <c r="AI410" s="973"/>
      <c r="AJ410" s="973"/>
      <c r="AK410" s="973"/>
      <c r="AL410" s="951"/>
      <c r="AM410" s="746" t="s">
        <v>1191</v>
      </c>
      <c r="AN410" s="744">
        <v>2</v>
      </c>
    </row>
    <row r="411" spans="1:40" s="2" customFormat="1" ht="121.5" hidden="1" customHeight="1">
      <c r="A411" s="12"/>
      <c r="B411" s="12"/>
      <c r="C411" s="12"/>
      <c r="D411" s="5"/>
      <c r="E411" s="731" t="s">
        <v>1856</v>
      </c>
      <c r="F411" s="736" t="s">
        <v>1857</v>
      </c>
      <c r="G411" s="731" t="s">
        <v>223</v>
      </c>
      <c r="H411" s="731" t="s">
        <v>1858</v>
      </c>
      <c r="I411" s="736" t="s">
        <v>1859</v>
      </c>
      <c r="J411" s="744">
        <v>1</v>
      </c>
      <c r="K411" s="951"/>
      <c r="L411" s="951"/>
      <c r="M411" s="951"/>
      <c r="N411" s="744"/>
      <c r="O411" s="744"/>
      <c r="P411" s="744"/>
      <c r="Q411" s="744"/>
      <c r="R411" s="744"/>
      <c r="S411" s="744"/>
      <c r="T411" s="744"/>
      <c r="U411" s="744"/>
      <c r="V411" s="744"/>
      <c r="W411" s="744"/>
      <c r="X411" s="744"/>
      <c r="Y411" s="744"/>
      <c r="Z411" s="952"/>
      <c r="AA411" s="952"/>
      <c r="AB411" s="952"/>
      <c r="AC411" s="952"/>
      <c r="AD411" s="952"/>
      <c r="AE411" s="952"/>
      <c r="AF411" s="952"/>
      <c r="AG411" s="952"/>
      <c r="AH411" s="973"/>
      <c r="AI411" s="973"/>
      <c r="AJ411" s="973"/>
      <c r="AK411" s="973"/>
      <c r="AL411" s="951"/>
      <c r="AM411" s="746" t="s">
        <v>1191</v>
      </c>
      <c r="AN411" s="744">
        <v>2</v>
      </c>
    </row>
    <row r="412" spans="1:40" s="2" customFormat="1" ht="121.5" hidden="1" customHeight="1">
      <c r="A412" s="12"/>
      <c r="B412" s="12"/>
      <c r="C412" s="12"/>
      <c r="D412" s="5"/>
      <c r="E412" s="731" t="s">
        <v>1860</v>
      </c>
      <c r="F412" s="736" t="s">
        <v>1861</v>
      </c>
      <c r="G412" s="731" t="s">
        <v>223</v>
      </c>
      <c r="H412" s="731" t="s">
        <v>1862</v>
      </c>
      <c r="I412" s="736" t="s">
        <v>1863</v>
      </c>
      <c r="J412" s="744">
        <v>1</v>
      </c>
      <c r="K412" s="951"/>
      <c r="L412" s="951"/>
      <c r="M412" s="951"/>
      <c r="N412" s="744"/>
      <c r="O412" s="744"/>
      <c r="P412" s="744"/>
      <c r="Q412" s="744"/>
      <c r="R412" s="744"/>
      <c r="S412" s="744"/>
      <c r="T412" s="744"/>
      <c r="U412" s="744"/>
      <c r="V412" s="744"/>
      <c r="W412" s="744"/>
      <c r="X412" s="744"/>
      <c r="Y412" s="744"/>
      <c r="Z412" s="952"/>
      <c r="AA412" s="952"/>
      <c r="AB412" s="952"/>
      <c r="AC412" s="952"/>
      <c r="AD412" s="952"/>
      <c r="AE412" s="952"/>
      <c r="AF412" s="952"/>
      <c r="AG412" s="952"/>
      <c r="AH412" s="973"/>
      <c r="AI412" s="973"/>
      <c r="AJ412" s="973"/>
      <c r="AK412" s="973"/>
      <c r="AL412" s="951"/>
      <c r="AM412" s="746" t="s">
        <v>1191</v>
      </c>
      <c r="AN412" s="744">
        <v>2</v>
      </c>
    </row>
    <row r="413" spans="1:40" s="2" customFormat="1" ht="121.5" hidden="1" customHeight="1">
      <c r="A413" s="12"/>
      <c r="B413" s="12"/>
      <c r="C413" s="12"/>
      <c r="D413" s="5"/>
      <c r="E413" s="731" t="s">
        <v>1864</v>
      </c>
      <c r="F413" s="736" t="s">
        <v>1865</v>
      </c>
      <c r="G413" s="731" t="s">
        <v>223</v>
      </c>
      <c r="H413" s="731" t="s">
        <v>1866</v>
      </c>
      <c r="I413" s="736" t="s">
        <v>1867</v>
      </c>
      <c r="J413" s="744">
        <v>1</v>
      </c>
      <c r="K413" s="951"/>
      <c r="L413" s="951"/>
      <c r="M413" s="951"/>
      <c r="N413" s="744"/>
      <c r="O413" s="744"/>
      <c r="P413" s="744"/>
      <c r="Q413" s="744"/>
      <c r="R413" s="744"/>
      <c r="S413" s="744"/>
      <c r="T413" s="744"/>
      <c r="U413" s="744"/>
      <c r="V413" s="744"/>
      <c r="W413" s="744"/>
      <c r="X413" s="744"/>
      <c r="Y413" s="744"/>
      <c r="Z413" s="952"/>
      <c r="AA413" s="952"/>
      <c r="AB413" s="952"/>
      <c r="AC413" s="952"/>
      <c r="AD413" s="952"/>
      <c r="AE413" s="952"/>
      <c r="AF413" s="952"/>
      <c r="AG413" s="952"/>
      <c r="AH413" s="973"/>
      <c r="AI413" s="973"/>
      <c r="AJ413" s="973"/>
      <c r="AK413" s="973"/>
      <c r="AL413" s="951"/>
      <c r="AM413" s="746" t="s">
        <v>1191</v>
      </c>
      <c r="AN413" s="744">
        <v>2</v>
      </c>
    </row>
    <row r="414" spans="1:40" s="2" customFormat="1" ht="121.5" hidden="1" customHeight="1">
      <c r="A414" s="12"/>
      <c r="B414" s="12"/>
      <c r="C414" s="12"/>
      <c r="D414" s="5"/>
      <c r="E414" s="731" t="s">
        <v>1868</v>
      </c>
      <c r="F414" s="736" t="s">
        <v>1869</v>
      </c>
      <c r="G414" s="731" t="s">
        <v>223</v>
      </c>
      <c r="H414" s="731" t="s">
        <v>1870</v>
      </c>
      <c r="I414" s="736" t="s">
        <v>1871</v>
      </c>
      <c r="J414" s="744">
        <v>1</v>
      </c>
      <c r="K414" s="951"/>
      <c r="L414" s="951"/>
      <c r="M414" s="951"/>
      <c r="N414" s="744"/>
      <c r="O414" s="744"/>
      <c r="P414" s="744"/>
      <c r="Q414" s="744"/>
      <c r="R414" s="744"/>
      <c r="S414" s="744"/>
      <c r="T414" s="744"/>
      <c r="U414" s="744"/>
      <c r="V414" s="744"/>
      <c r="W414" s="744"/>
      <c r="X414" s="744"/>
      <c r="Y414" s="744"/>
      <c r="Z414" s="952"/>
      <c r="AA414" s="952"/>
      <c r="AB414" s="952"/>
      <c r="AC414" s="952"/>
      <c r="AD414" s="952"/>
      <c r="AE414" s="952"/>
      <c r="AF414" s="952"/>
      <c r="AG414" s="952"/>
      <c r="AH414" s="973"/>
      <c r="AI414" s="973"/>
      <c r="AJ414" s="973"/>
      <c r="AK414" s="973"/>
      <c r="AL414" s="951"/>
      <c r="AM414" s="746" t="s">
        <v>1191</v>
      </c>
      <c r="AN414" s="744">
        <v>2</v>
      </c>
    </row>
    <row r="415" spans="1:40" s="2" customFormat="1" ht="121.5" hidden="1" customHeight="1">
      <c r="A415" s="12"/>
      <c r="B415" s="12"/>
      <c r="C415" s="12"/>
      <c r="D415" s="5"/>
      <c r="E415" s="731" t="s">
        <v>1872</v>
      </c>
      <c r="F415" s="736" t="s">
        <v>1873</v>
      </c>
      <c r="G415" s="731" t="s">
        <v>223</v>
      </c>
      <c r="H415" s="731" t="s">
        <v>1874</v>
      </c>
      <c r="I415" s="736" t="s">
        <v>1875</v>
      </c>
      <c r="J415" s="744">
        <v>1</v>
      </c>
      <c r="K415" s="951"/>
      <c r="L415" s="951"/>
      <c r="M415" s="951"/>
      <c r="N415" s="744"/>
      <c r="O415" s="744"/>
      <c r="P415" s="744"/>
      <c r="Q415" s="744"/>
      <c r="R415" s="744"/>
      <c r="S415" s="744"/>
      <c r="T415" s="744"/>
      <c r="U415" s="744"/>
      <c r="V415" s="744"/>
      <c r="W415" s="744"/>
      <c r="X415" s="744"/>
      <c r="Y415" s="744"/>
      <c r="Z415" s="952"/>
      <c r="AA415" s="952"/>
      <c r="AB415" s="952"/>
      <c r="AC415" s="952"/>
      <c r="AD415" s="952"/>
      <c r="AE415" s="952"/>
      <c r="AF415" s="952"/>
      <c r="AG415" s="952"/>
      <c r="AH415" s="973"/>
      <c r="AI415" s="973"/>
      <c r="AJ415" s="973"/>
      <c r="AK415" s="973"/>
      <c r="AL415" s="951"/>
      <c r="AM415" s="746" t="s">
        <v>1191</v>
      </c>
      <c r="AN415" s="744">
        <v>2</v>
      </c>
    </row>
    <row r="416" spans="1:40" s="2" customFormat="1" ht="121.5" hidden="1" customHeight="1">
      <c r="A416" s="12"/>
      <c r="B416" s="12"/>
      <c r="C416" s="12"/>
      <c r="D416" s="5"/>
      <c r="E416" s="731" t="s">
        <v>1876</v>
      </c>
      <c r="F416" s="736" t="s">
        <v>1877</v>
      </c>
      <c r="G416" s="731" t="s">
        <v>223</v>
      </c>
      <c r="H416" s="731" t="s">
        <v>1878</v>
      </c>
      <c r="I416" s="736" t="s">
        <v>1879</v>
      </c>
      <c r="J416" s="744">
        <v>1</v>
      </c>
      <c r="K416" s="951"/>
      <c r="L416" s="951"/>
      <c r="M416" s="951"/>
      <c r="N416" s="744"/>
      <c r="O416" s="744"/>
      <c r="P416" s="744"/>
      <c r="Q416" s="744"/>
      <c r="R416" s="744"/>
      <c r="S416" s="744"/>
      <c r="T416" s="744"/>
      <c r="U416" s="744"/>
      <c r="V416" s="744"/>
      <c r="W416" s="744"/>
      <c r="X416" s="744"/>
      <c r="Y416" s="744"/>
      <c r="Z416" s="952"/>
      <c r="AA416" s="952"/>
      <c r="AB416" s="952"/>
      <c r="AC416" s="952"/>
      <c r="AD416" s="952"/>
      <c r="AE416" s="952"/>
      <c r="AF416" s="952"/>
      <c r="AG416" s="952"/>
      <c r="AH416" s="973"/>
      <c r="AI416" s="973"/>
      <c r="AJ416" s="973"/>
      <c r="AK416" s="973"/>
      <c r="AL416" s="951"/>
      <c r="AM416" s="746" t="s">
        <v>1191</v>
      </c>
      <c r="AN416" s="744">
        <v>2</v>
      </c>
    </row>
    <row r="417" spans="1:44" s="2" customFormat="1" ht="121.5" hidden="1" customHeight="1">
      <c r="A417" s="12"/>
      <c r="B417" s="12"/>
      <c r="C417" s="12"/>
      <c r="D417" s="5"/>
      <c r="E417" s="731" t="s">
        <v>1880</v>
      </c>
      <c r="F417" s="736" t="s">
        <v>1881</v>
      </c>
      <c r="G417" s="731" t="s">
        <v>223</v>
      </c>
      <c r="H417" s="731" t="s">
        <v>1882</v>
      </c>
      <c r="I417" s="736" t="s">
        <v>1883</v>
      </c>
      <c r="J417" s="744">
        <v>1</v>
      </c>
      <c r="K417" s="951"/>
      <c r="L417" s="951"/>
      <c r="M417" s="951"/>
      <c r="N417" s="744"/>
      <c r="O417" s="744"/>
      <c r="P417" s="744"/>
      <c r="Q417" s="744"/>
      <c r="R417" s="744"/>
      <c r="S417" s="744"/>
      <c r="T417" s="744"/>
      <c r="U417" s="744"/>
      <c r="V417" s="744"/>
      <c r="W417" s="744"/>
      <c r="X417" s="744"/>
      <c r="Y417" s="744"/>
      <c r="Z417" s="952"/>
      <c r="AA417" s="952"/>
      <c r="AB417" s="952"/>
      <c r="AC417" s="952"/>
      <c r="AD417" s="952"/>
      <c r="AE417" s="952"/>
      <c r="AF417" s="952"/>
      <c r="AG417" s="952"/>
      <c r="AH417" s="973"/>
      <c r="AI417" s="973"/>
      <c r="AJ417" s="973"/>
      <c r="AK417" s="973"/>
      <c r="AL417" s="951"/>
      <c r="AM417" s="746" t="s">
        <v>1191</v>
      </c>
      <c r="AN417" s="744">
        <v>2</v>
      </c>
    </row>
    <row r="418" spans="1:44" s="2" customFormat="1" ht="121.5" hidden="1" customHeight="1">
      <c r="A418" s="12"/>
      <c r="B418" s="12"/>
      <c r="C418" s="12"/>
      <c r="D418" s="5"/>
      <c r="E418" s="731" t="s">
        <v>1884</v>
      </c>
      <c r="F418" s="736" t="s">
        <v>1885</v>
      </c>
      <c r="G418" s="731" t="s">
        <v>223</v>
      </c>
      <c r="H418" s="731" t="s">
        <v>1886</v>
      </c>
      <c r="I418" s="736" t="s">
        <v>1887</v>
      </c>
      <c r="J418" s="744">
        <v>1</v>
      </c>
      <c r="K418" s="951"/>
      <c r="L418" s="951"/>
      <c r="M418" s="951"/>
      <c r="N418" s="744"/>
      <c r="O418" s="744"/>
      <c r="P418" s="744"/>
      <c r="Q418" s="744"/>
      <c r="R418" s="744"/>
      <c r="S418" s="744"/>
      <c r="T418" s="744"/>
      <c r="U418" s="744"/>
      <c r="V418" s="744"/>
      <c r="W418" s="744"/>
      <c r="X418" s="744"/>
      <c r="Y418" s="744"/>
      <c r="Z418" s="952"/>
      <c r="AA418" s="952"/>
      <c r="AB418" s="952"/>
      <c r="AC418" s="952"/>
      <c r="AD418" s="952"/>
      <c r="AE418" s="952"/>
      <c r="AF418" s="952"/>
      <c r="AG418" s="952"/>
      <c r="AH418" s="973"/>
      <c r="AI418" s="973"/>
      <c r="AJ418" s="973"/>
      <c r="AK418" s="973"/>
      <c r="AL418" s="951"/>
      <c r="AM418" s="746" t="s">
        <v>1191</v>
      </c>
      <c r="AN418" s="744">
        <v>2</v>
      </c>
    </row>
    <row r="419" spans="1:44" s="2" customFormat="1" ht="121.5" hidden="1" customHeight="1">
      <c r="A419" s="12"/>
      <c r="B419" s="12"/>
      <c r="C419" s="12"/>
      <c r="D419" s="5"/>
      <c r="E419" s="731" t="s">
        <v>1888</v>
      </c>
      <c r="F419" s="736" t="s">
        <v>1889</v>
      </c>
      <c r="G419" s="731" t="s">
        <v>223</v>
      </c>
      <c r="H419" s="731" t="s">
        <v>1890</v>
      </c>
      <c r="I419" s="736" t="s">
        <v>1891</v>
      </c>
      <c r="J419" s="744">
        <v>1</v>
      </c>
      <c r="K419" s="951"/>
      <c r="L419" s="951"/>
      <c r="M419" s="951"/>
      <c r="N419" s="744"/>
      <c r="O419" s="744"/>
      <c r="P419" s="744"/>
      <c r="Q419" s="744"/>
      <c r="R419" s="744"/>
      <c r="S419" s="744"/>
      <c r="T419" s="744"/>
      <c r="U419" s="744"/>
      <c r="V419" s="744"/>
      <c r="W419" s="744"/>
      <c r="X419" s="744"/>
      <c r="Y419" s="744"/>
      <c r="Z419" s="952"/>
      <c r="AA419" s="952"/>
      <c r="AB419" s="952"/>
      <c r="AC419" s="952"/>
      <c r="AD419" s="952"/>
      <c r="AE419" s="952"/>
      <c r="AF419" s="952"/>
      <c r="AG419" s="952"/>
      <c r="AH419" s="973"/>
      <c r="AI419" s="973"/>
      <c r="AJ419" s="973"/>
      <c r="AK419" s="973"/>
      <c r="AL419" s="951"/>
      <c r="AM419" s="746" t="s">
        <v>1191</v>
      </c>
      <c r="AN419" s="744">
        <v>2</v>
      </c>
    </row>
    <row r="420" spans="1:44" s="2" customFormat="1" ht="121.5" hidden="1" customHeight="1">
      <c r="A420" s="12"/>
      <c r="B420" s="12"/>
      <c r="C420" s="12"/>
      <c r="D420" s="5"/>
      <c r="E420" s="731" t="s">
        <v>1892</v>
      </c>
      <c r="F420" s="736" t="s">
        <v>1893</v>
      </c>
      <c r="G420" s="731" t="s">
        <v>223</v>
      </c>
      <c r="H420" s="731" t="s">
        <v>1894</v>
      </c>
      <c r="I420" s="736" t="s">
        <v>1895</v>
      </c>
      <c r="J420" s="744">
        <v>1</v>
      </c>
      <c r="K420" s="951"/>
      <c r="L420" s="951"/>
      <c r="M420" s="951"/>
      <c r="N420" s="744"/>
      <c r="O420" s="744"/>
      <c r="P420" s="744"/>
      <c r="Q420" s="744"/>
      <c r="R420" s="744"/>
      <c r="S420" s="744"/>
      <c r="T420" s="744"/>
      <c r="U420" s="744"/>
      <c r="V420" s="744"/>
      <c r="W420" s="744"/>
      <c r="X420" s="744"/>
      <c r="Y420" s="744"/>
      <c r="Z420" s="952"/>
      <c r="AA420" s="952"/>
      <c r="AB420" s="952"/>
      <c r="AC420" s="952"/>
      <c r="AD420" s="952"/>
      <c r="AE420" s="952"/>
      <c r="AF420" s="952"/>
      <c r="AG420" s="952"/>
      <c r="AH420" s="973"/>
      <c r="AI420" s="973"/>
      <c r="AJ420" s="973"/>
      <c r="AK420" s="973"/>
      <c r="AL420" s="951"/>
      <c r="AM420" s="746" t="s">
        <v>1191</v>
      </c>
      <c r="AN420" s="744">
        <v>2</v>
      </c>
    </row>
    <row r="421" spans="1:44" s="2" customFormat="1" ht="121.5" hidden="1" customHeight="1">
      <c r="A421" s="12"/>
      <c r="B421" s="12"/>
      <c r="C421" s="12"/>
      <c r="D421" s="5"/>
      <c r="E421" s="731" t="s">
        <v>1896</v>
      </c>
      <c r="F421" s="736" t="s">
        <v>1897</v>
      </c>
      <c r="G421" s="731" t="s">
        <v>223</v>
      </c>
      <c r="H421" s="731" t="s">
        <v>1898</v>
      </c>
      <c r="I421" s="736" t="s">
        <v>1899</v>
      </c>
      <c r="J421" s="744">
        <v>1</v>
      </c>
      <c r="K421" s="951"/>
      <c r="L421" s="951"/>
      <c r="M421" s="951"/>
      <c r="N421" s="744"/>
      <c r="O421" s="744"/>
      <c r="P421" s="744"/>
      <c r="Q421" s="744"/>
      <c r="R421" s="744"/>
      <c r="S421" s="744"/>
      <c r="T421" s="744"/>
      <c r="U421" s="744"/>
      <c r="V421" s="744"/>
      <c r="W421" s="744"/>
      <c r="X421" s="744"/>
      <c r="Y421" s="744"/>
      <c r="Z421" s="952"/>
      <c r="AA421" s="952"/>
      <c r="AB421" s="952"/>
      <c r="AC421" s="952"/>
      <c r="AD421" s="952"/>
      <c r="AE421" s="952"/>
      <c r="AF421" s="952"/>
      <c r="AG421" s="952"/>
      <c r="AH421" s="973"/>
      <c r="AI421" s="973"/>
      <c r="AJ421" s="973"/>
      <c r="AK421" s="973"/>
      <c r="AL421" s="951"/>
      <c r="AM421" s="746" t="s">
        <v>1191</v>
      </c>
      <c r="AN421" s="744">
        <v>2</v>
      </c>
    </row>
    <row r="422" spans="1:44" s="2" customFormat="1" ht="121.5" hidden="1" customHeight="1">
      <c r="A422" s="12"/>
      <c r="B422" s="12"/>
      <c r="C422" s="12"/>
      <c r="D422" s="5"/>
      <c r="E422" s="731" t="s">
        <v>1900</v>
      </c>
      <c r="F422" s="736" t="s">
        <v>1901</v>
      </c>
      <c r="G422" s="731" t="s">
        <v>223</v>
      </c>
      <c r="H422" s="731" t="s">
        <v>1902</v>
      </c>
      <c r="I422" s="736" t="s">
        <v>1903</v>
      </c>
      <c r="J422" s="744">
        <v>1</v>
      </c>
      <c r="K422" s="951"/>
      <c r="L422" s="951"/>
      <c r="M422" s="951"/>
      <c r="N422" s="744"/>
      <c r="O422" s="744"/>
      <c r="P422" s="744"/>
      <c r="Q422" s="744"/>
      <c r="R422" s="744"/>
      <c r="S422" s="744"/>
      <c r="T422" s="744"/>
      <c r="U422" s="744"/>
      <c r="V422" s="744"/>
      <c r="W422" s="744"/>
      <c r="X422" s="744"/>
      <c r="Y422" s="744"/>
      <c r="Z422" s="952"/>
      <c r="AA422" s="952"/>
      <c r="AB422" s="952"/>
      <c r="AC422" s="952"/>
      <c r="AD422" s="952"/>
      <c r="AE422" s="952"/>
      <c r="AF422" s="952"/>
      <c r="AG422" s="952"/>
      <c r="AH422" s="973"/>
      <c r="AI422" s="973"/>
      <c r="AJ422" s="973"/>
      <c r="AK422" s="973"/>
      <c r="AL422" s="951"/>
      <c r="AM422" s="746" t="s">
        <v>1191</v>
      </c>
      <c r="AN422" s="744">
        <v>2</v>
      </c>
    </row>
    <row r="423" spans="1:44" s="2" customFormat="1" ht="121.5" hidden="1" customHeight="1">
      <c r="A423" s="12"/>
      <c r="B423" s="12"/>
      <c r="C423" s="12"/>
      <c r="D423" s="5"/>
      <c r="E423" s="731" t="s">
        <v>1904</v>
      </c>
      <c r="F423" s="736" t="s">
        <v>1905</v>
      </c>
      <c r="G423" s="731" t="s">
        <v>223</v>
      </c>
      <c r="H423" s="731" t="s">
        <v>1906</v>
      </c>
      <c r="I423" s="736" t="s">
        <v>1907</v>
      </c>
      <c r="J423" s="744">
        <v>1</v>
      </c>
      <c r="K423" s="951"/>
      <c r="L423" s="951"/>
      <c r="M423" s="951"/>
      <c r="N423" s="744"/>
      <c r="O423" s="744"/>
      <c r="P423" s="744"/>
      <c r="Q423" s="744"/>
      <c r="R423" s="744"/>
      <c r="S423" s="744"/>
      <c r="T423" s="744"/>
      <c r="U423" s="744"/>
      <c r="V423" s="744"/>
      <c r="W423" s="744"/>
      <c r="X423" s="744"/>
      <c r="Y423" s="744"/>
      <c r="Z423" s="952"/>
      <c r="AA423" s="952"/>
      <c r="AB423" s="952"/>
      <c r="AC423" s="952"/>
      <c r="AD423" s="952"/>
      <c r="AE423" s="952"/>
      <c r="AF423" s="952"/>
      <c r="AG423" s="952"/>
      <c r="AH423" s="973"/>
      <c r="AI423" s="973"/>
      <c r="AJ423" s="973"/>
      <c r="AK423" s="973"/>
      <c r="AL423" s="951"/>
      <c r="AM423" s="746" t="s">
        <v>1191</v>
      </c>
      <c r="AN423" s="744">
        <v>2</v>
      </c>
    </row>
    <row r="424" spans="1:44" s="2" customFormat="1" ht="121.5" hidden="1" customHeight="1">
      <c r="A424" s="12"/>
      <c r="B424" s="12"/>
      <c r="C424" s="12"/>
      <c r="D424" s="5"/>
      <c r="E424" s="731" t="s">
        <v>1908</v>
      </c>
      <c r="F424" s="736" t="s">
        <v>1909</v>
      </c>
      <c r="G424" s="731" t="s">
        <v>223</v>
      </c>
      <c r="H424" s="731" t="s">
        <v>1910</v>
      </c>
      <c r="I424" s="736" t="s">
        <v>1911</v>
      </c>
      <c r="J424" s="744">
        <v>1</v>
      </c>
      <c r="K424" s="951"/>
      <c r="L424" s="951"/>
      <c r="M424" s="951"/>
      <c r="N424" s="744"/>
      <c r="O424" s="744"/>
      <c r="P424" s="744"/>
      <c r="Q424" s="744"/>
      <c r="R424" s="744"/>
      <c r="S424" s="744"/>
      <c r="T424" s="744"/>
      <c r="U424" s="744"/>
      <c r="V424" s="744"/>
      <c r="W424" s="744"/>
      <c r="X424" s="744"/>
      <c r="Y424" s="744"/>
      <c r="Z424" s="952"/>
      <c r="AA424" s="952"/>
      <c r="AB424" s="952"/>
      <c r="AC424" s="952"/>
      <c r="AD424" s="952"/>
      <c r="AE424" s="952"/>
      <c r="AF424" s="952"/>
      <c r="AG424" s="952"/>
      <c r="AH424" s="973"/>
      <c r="AI424" s="973"/>
      <c r="AJ424" s="973"/>
      <c r="AK424" s="973"/>
      <c r="AL424" s="951"/>
      <c r="AM424" s="746" t="s">
        <v>1191</v>
      </c>
      <c r="AN424" s="744">
        <v>2</v>
      </c>
    </row>
    <row r="425" spans="1:44" s="2" customFormat="1" ht="121.5" hidden="1" customHeight="1">
      <c r="A425" s="12"/>
      <c r="B425" s="12"/>
      <c r="C425" s="12"/>
      <c r="D425" s="5"/>
      <c r="E425" s="731" t="s">
        <v>1912</v>
      </c>
      <c r="F425" s="736" t="s">
        <v>1913</v>
      </c>
      <c r="G425" s="731" t="s">
        <v>223</v>
      </c>
      <c r="H425" s="731" t="s">
        <v>1914</v>
      </c>
      <c r="I425" s="736" t="s">
        <v>1915</v>
      </c>
      <c r="J425" s="744">
        <v>1</v>
      </c>
      <c r="K425" s="951"/>
      <c r="L425" s="951"/>
      <c r="M425" s="951"/>
      <c r="N425" s="744"/>
      <c r="O425" s="744"/>
      <c r="P425" s="744"/>
      <c r="Q425" s="744"/>
      <c r="R425" s="744"/>
      <c r="S425" s="744"/>
      <c r="T425" s="744"/>
      <c r="U425" s="744"/>
      <c r="V425" s="744"/>
      <c r="W425" s="744"/>
      <c r="X425" s="744"/>
      <c r="Y425" s="744"/>
      <c r="Z425" s="952"/>
      <c r="AA425" s="952"/>
      <c r="AB425" s="952"/>
      <c r="AC425" s="952"/>
      <c r="AD425" s="952"/>
      <c r="AE425" s="952"/>
      <c r="AF425" s="952"/>
      <c r="AG425" s="952"/>
      <c r="AH425" s="973"/>
      <c r="AI425" s="973"/>
      <c r="AJ425" s="973"/>
      <c r="AK425" s="973"/>
      <c r="AL425" s="951"/>
      <c r="AM425" s="746" t="s">
        <v>1191</v>
      </c>
      <c r="AN425" s="744">
        <v>2</v>
      </c>
    </row>
    <row r="426" spans="1:44" s="2" customFormat="1" ht="121.5" hidden="1" customHeight="1">
      <c r="A426" s="12"/>
      <c r="B426" s="12"/>
      <c r="C426" s="12"/>
      <c r="D426" s="5"/>
      <c r="E426" s="731" t="s">
        <v>1916</v>
      </c>
      <c r="F426" s="736" t="s">
        <v>1917</v>
      </c>
      <c r="G426" s="731" t="s">
        <v>223</v>
      </c>
      <c r="H426" s="731" t="s">
        <v>1918</v>
      </c>
      <c r="I426" s="736" t="s">
        <v>1919</v>
      </c>
      <c r="J426" s="744">
        <v>1</v>
      </c>
      <c r="K426" s="951"/>
      <c r="L426" s="951"/>
      <c r="M426" s="951"/>
      <c r="N426" s="744"/>
      <c r="O426" s="744"/>
      <c r="P426" s="744"/>
      <c r="Q426" s="744"/>
      <c r="R426" s="744"/>
      <c r="S426" s="744"/>
      <c r="T426" s="744"/>
      <c r="U426" s="744"/>
      <c r="V426" s="744"/>
      <c r="W426" s="744"/>
      <c r="X426" s="744"/>
      <c r="Y426" s="744"/>
      <c r="Z426" s="952"/>
      <c r="AA426" s="952"/>
      <c r="AB426" s="952"/>
      <c r="AC426" s="952"/>
      <c r="AD426" s="952"/>
      <c r="AE426" s="952"/>
      <c r="AF426" s="952"/>
      <c r="AG426" s="952"/>
      <c r="AH426" s="973"/>
      <c r="AI426" s="973"/>
      <c r="AJ426" s="973"/>
      <c r="AK426" s="973"/>
      <c r="AL426" s="951"/>
      <c r="AM426" s="746" t="s">
        <v>1191</v>
      </c>
      <c r="AN426" s="744">
        <v>2</v>
      </c>
    </row>
    <row r="427" spans="1:44" s="2" customFormat="1" ht="121.5" hidden="1" customHeight="1">
      <c r="A427" s="12"/>
      <c r="B427" s="12"/>
      <c r="C427" s="12"/>
      <c r="D427" s="5"/>
      <c r="E427" s="731" t="s">
        <v>1920</v>
      </c>
      <c r="F427" s="736" t="s">
        <v>1921</v>
      </c>
      <c r="G427" s="731" t="s">
        <v>223</v>
      </c>
      <c r="H427" s="731" t="s">
        <v>1922</v>
      </c>
      <c r="I427" s="736" t="s">
        <v>1923</v>
      </c>
      <c r="J427" s="744">
        <v>1</v>
      </c>
      <c r="K427" s="951"/>
      <c r="L427" s="951"/>
      <c r="M427" s="951"/>
      <c r="N427" s="744"/>
      <c r="O427" s="744"/>
      <c r="P427" s="744"/>
      <c r="Q427" s="744"/>
      <c r="R427" s="744"/>
      <c r="S427" s="744"/>
      <c r="T427" s="744"/>
      <c r="U427" s="744"/>
      <c r="V427" s="744"/>
      <c r="W427" s="744"/>
      <c r="X427" s="744"/>
      <c r="Y427" s="744"/>
      <c r="Z427" s="952"/>
      <c r="AA427" s="952"/>
      <c r="AB427" s="952"/>
      <c r="AC427" s="952"/>
      <c r="AD427" s="952"/>
      <c r="AE427" s="952"/>
      <c r="AF427" s="952"/>
      <c r="AG427" s="952"/>
      <c r="AH427" s="973"/>
      <c r="AI427" s="973"/>
      <c r="AJ427" s="973"/>
      <c r="AK427" s="973"/>
      <c r="AL427" s="951"/>
      <c r="AM427" s="746" t="s">
        <v>1191</v>
      </c>
      <c r="AN427" s="744">
        <v>2</v>
      </c>
    </row>
    <row r="428" spans="1:44" s="2" customFormat="1" ht="156" customHeight="1">
      <c r="A428" s="12"/>
      <c r="B428" s="12"/>
      <c r="C428" s="12"/>
      <c r="D428" s="5"/>
      <c r="E428" s="731" t="s">
        <v>1924</v>
      </c>
      <c r="F428" s="736" t="s">
        <v>1925</v>
      </c>
      <c r="G428" s="731" t="s">
        <v>500</v>
      </c>
      <c r="H428" s="731" t="s">
        <v>1926</v>
      </c>
      <c r="I428" s="736" t="s">
        <v>1927</v>
      </c>
      <c r="J428" s="744">
        <v>1</v>
      </c>
      <c r="K428" s="951"/>
      <c r="L428" s="951"/>
      <c r="M428" s="951"/>
      <c r="N428" s="744"/>
      <c r="O428" s="744"/>
      <c r="P428" s="744"/>
      <c r="Q428" s="744"/>
      <c r="R428" s="744"/>
      <c r="S428" s="744"/>
      <c r="T428" s="744"/>
      <c r="U428" s="744"/>
      <c r="V428" s="744"/>
      <c r="W428" s="744"/>
      <c r="X428" s="744"/>
      <c r="Y428" s="744"/>
      <c r="Z428" s="952"/>
      <c r="AA428" s="952"/>
      <c r="AB428" s="952"/>
      <c r="AC428" s="952"/>
      <c r="AD428" s="952"/>
      <c r="AE428" s="952"/>
      <c r="AF428" s="952"/>
      <c r="AG428" s="952"/>
      <c r="AH428" s="973"/>
      <c r="AI428" s="973"/>
      <c r="AJ428" s="973"/>
      <c r="AK428" s="973"/>
      <c r="AL428" s="951"/>
      <c r="AM428" s="746" t="s">
        <v>1928</v>
      </c>
      <c r="AN428" s="744">
        <v>2</v>
      </c>
      <c r="AR428" s="11"/>
    </row>
    <row r="429" spans="1:44" s="2" customFormat="1" ht="156" customHeight="1">
      <c r="A429" s="12"/>
      <c r="B429" s="12"/>
      <c r="C429" s="12"/>
      <c r="D429" s="5"/>
      <c r="E429" s="731" t="s">
        <v>1929</v>
      </c>
      <c r="F429" s="736" t="s">
        <v>1930</v>
      </c>
      <c r="G429" s="731" t="s">
        <v>500</v>
      </c>
      <c r="H429" s="731" t="s">
        <v>1931</v>
      </c>
      <c r="I429" s="736" t="s">
        <v>1932</v>
      </c>
      <c r="J429" s="744">
        <v>1</v>
      </c>
      <c r="K429" s="951"/>
      <c r="L429" s="951"/>
      <c r="M429" s="951"/>
      <c r="N429" s="744"/>
      <c r="O429" s="744"/>
      <c r="P429" s="744"/>
      <c r="Q429" s="744"/>
      <c r="R429" s="744"/>
      <c r="S429" s="744"/>
      <c r="T429" s="744"/>
      <c r="U429" s="744"/>
      <c r="V429" s="744"/>
      <c r="W429" s="744"/>
      <c r="X429" s="744"/>
      <c r="Y429" s="744"/>
      <c r="Z429" s="952"/>
      <c r="AA429" s="952"/>
      <c r="AB429" s="952"/>
      <c r="AC429" s="952"/>
      <c r="AD429" s="952"/>
      <c r="AE429" s="952"/>
      <c r="AF429" s="952"/>
      <c r="AG429" s="952"/>
      <c r="AH429" s="973"/>
      <c r="AI429" s="973"/>
      <c r="AJ429" s="973"/>
      <c r="AK429" s="973"/>
      <c r="AL429" s="951"/>
      <c r="AM429" s="746" t="s">
        <v>1933</v>
      </c>
      <c r="AN429" s="744">
        <v>2</v>
      </c>
      <c r="AR429" s="11"/>
    </row>
    <row r="430" spans="1:44" s="2" customFormat="1" ht="156" customHeight="1">
      <c r="A430" s="12"/>
      <c r="B430" s="12"/>
      <c r="C430" s="12"/>
      <c r="D430" s="5"/>
      <c r="E430" s="736" t="s">
        <v>1934</v>
      </c>
      <c r="F430" s="736" t="s">
        <v>1935</v>
      </c>
      <c r="G430" s="731" t="s">
        <v>500</v>
      </c>
      <c r="H430" s="731" t="s">
        <v>1936</v>
      </c>
      <c r="I430" s="736" t="s">
        <v>1937</v>
      </c>
      <c r="J430" s="744">
        <v>1</v>
      </c>
      <c r="K430" s="951"/>
      <c r="L430" s="951"/>
      <c r="M430" s="951"/>
      <c r="N430" s="744"/>
      <c r="O430" s="744"/>
      <c r="P430" s="744"/>
      <c r="Q430" s="744"/>
      <c r="R430" s="744"/>
      <c r="S430" s="744"/>
      <c r="T430" s="744"/>
      <c r="U430" s="744"/>
      <c r="V430" s="744"/>
      <c r="W430" s="744"/>
      <c r="X430" s="744"/>
      <c r="Y430" s="744"/>
      <c r="Z430" s="952"/>
      <c r="AA430" s="952"/>
      <c r="AB430" s="952"/>
      <c r="AC430" s="952"/>
      <c r="AD430" s="952"/>
      <c r="AE430" s="952"/>
      <c r="AF430" s="952"/>
      <c r="AG430" s="952"/>
      <c r="AH430" s="973"/>
      <c r="AI430" s="973"/>
      <c r="AJ430" s="973"/>
      <c r="AK430" s="973"/>
      <c r="AL430" s="951"/>
      <c r="AM430" s="746" t="s">
        <v>1938</v>
      </c>
      <c r="AN430" s="744">
        <v>2</v>
      </c>
      <c r="AR430" s="11"/>
    </row>
    <row r="431" spans="1:44" s="2" customFormat="1" ht="156" customHeight="1">
      <c r="A431" s="12"/>
      <c r="B431" s="12"/>
      <c r="C431" s="12"/>
      <c r="D431" s="5"/>
      <c r="E431" s="736" t="s">
        <v>1939</v>
      </c>
      <c r="F431" s="736" t="s">
        <v>1940</v>
      </c>
      <c r="G431" s="731" t="s">
        <v>500</v>
      </c>
      <c r="H431" s="731" t="s">
        <v>1941</v>
      </c>
      <c r="I431" s="736" t="s">
        <v>1942</v>
      </c>
      <c r="J431" s="744">
        <v>1</v>
      </c>
      <c r="K431" s="951"/>
      <c r="L431" s="951"/>
      <c r="M431" s="951"/>
      <c r="N431" s="744"/>
      <c r="O431" s="744"/>
      <c r="P431" s="744"/>
      <c r="Q431" s="744"/>
      <c r="R431" s="744"/>
      <c r="S431" s="744"/>
      <c r="T431" s="744"/>
      <c r="U431" s="744"/>
      <c r="V431" s="744"/>
      <c r="W431" s="744"/>
      <c r="X431" s="744"/>
      <c r="Y431" s="744"/>
      <c r="Z431" s="952"/>
      <c r="AA431" s="952"/>
      <c r="AB431" s="952"/>
      <c r="AC431" s="952"/>
      <c r="AD431" s="952"/>
      <c r="AE431" s="952"/>
      <c r="AF431" s="952"/>
      <c r="AG431" s="952"/>
      <c r="AH431" s="973"/>
      <c r="AI431" s="973"/>
      <c r="AJ431" s="973"/>
      <c r="AK431" s="973"/>
      <c r="AL431" s="951"/>
      <c r="AM431" s="746" t="s">
        <v>1943</v>
      </c>
      <c r="AN431" s="744">
        <v>2</v>
      </c>
      <c r="AR431" s="11"/>
    </row>
    <row r="432" spans="1:44" s="2" customFormat="1" ht="156" customHeight="1">
      <c r="A432" s="12"/>
      <c r="B432" s="12"/>
      <c r="C432" s="12"/>
      <c r="D432" s="5"/>
      <c r="E432" s="736" t="s">
        <v>1944</v>
      </c>
      <c r="F432" s="736" t="s">
        <v>1945</v>
      </c>
      <c r="G432" s="731" t="s">
        <v>500</v>
      </c>
      <c r="H432" s="731" t="s">
        <v>1946</v>
      </c>
      <c r="I432" s="736" t="s">
        <v>1947</v>
      </c>
      <c r="J432" s="744">
        <v>1</v>
      </c>
      <c r="K432" s="951"/>
      <c r="L432" s="951"/>
      <c r="M432" s="951"/>
      <c r="N432" s="744"/>
      <c r="O432" s="744"/>
      <c r="P432" s="744"/>
      <c r="Q432" s="744"/>
      <c r="R432" s="744"/>
      <c r="S432" s="744"/>
      <c r="T432" s="744"/>
      <c r="U432" s="744"/>
      <c r="V432" s="744"/>
      <c r="W432" s="744"/>
      <c r="X432" s="744"/>
      <c r="Y432" s="744"/>
      <c r="Z432" s="952"/>
      <c r="AA432" s="952"/>
      <c r="AB432" s="952"/>
      <c r="AC432" s="952"/>
      <c r="AD432" s="952"/>
      <c r="AE432" s="952"/>
      <c r="AF432" s="952"/>
      <c r="AG432" s="952"/>
      <c r="AH432" s="973"/>
      <c r="AI432" s="973"/>
      <c r="AJ432" s="973"/>
      <c r="AK432" s="973"/>
      <c r="AL432" s="951"/>
      <c r="AM432" s="746" t="s">
        <v>1948</v>
      </c>
      <c r="AN432" s="744">
        <v>2</v>
      </c>
      <c r="AR432" s="11"/>
    </row>
    <row r="433" spans="1:44" s="2" customFormat="1" ht="156" customHeight="1">
      <c r="A433" s="12"/>
      <c r="B433" s="12"/>
      <c r="C433" s="12"/>
      <c r="D433" s="5"/>
      <c r="E433" s="736" t="s">
        <v>1949</v>
      </c>
      <c r="F433" s="736" t="s">
        <v>1950</v>
      </c>
      <c r="G433" s="731" t="s">
        <v>500</v>
      </c>
      <c r="H433" s="731" t="s">
        <v>1951</v>
      </c>
      <c r="I433" s="736" t="s">
        <v>1952</v>
      </c>
      <c r="J433" s="744">
        <v>1</v>
      </c>
      <c r="K433" s="951"/>
      <c r="L433" s="951"/>
      <c r="M433" s="951"/>
      <c r="N433" s="744"/>
      <c r="O433" s="744"/>
      <c r="P433" s="744"/>
      <c r="Q433" s="744"/>
      <c r="R433" s="744"/>
      <c r="S433" s="744"/>
      <c r="T433" s="744"/>
      <c r="U433" s="744"/>
      <c r="V433" s="744"/>
      <c r="W433" s="744"/>
      <c r="X433" s="744"/>
      <c r="Y433" s="744"/>
      <c r="Z433" s="952"/>
      <c r="AA433" s="952"/>
      <c r="AB433" s="952"/>
      <c r="AC433" s="952"/>
      <c r="AD433" s="952"/>
      <c r="AE433" s="952"/>
      <c r="AF433" s="952"/>
      <c r="AG433" s="952"/>
      <c r="AH433" s="973"/>
      <c r="AI433" s="973"/>
      <c r="AJ433" s="973"/>
      <c r="AK433" s="973"/>
      <c r="AL433" s="951"/>
      <c r="AM433" s="746" t="s">
        <v>1953</v>
      </c>
      <c r="AN433" s="744">
        <v>2</v>
      </c>
      <c r="AR433" s="11"/>
    </row>
    <row r="434" spans="1:44" s="2" customFormat="1" ht="156" customHeight="1">
      <c r="A434" s="12"/>
      <c r="B434" s="12"/>
      <c r="C434" s="12"/>
      <c r="D434" s="5"/>
      <c r="E434" s="736" t="s">
        <v>1954</v>
      </c>
      <c r="F434" s="736" t="s">
        <v>1955</v>
      </c>
      <c r="G434" s="731" t="s">
        <v>500</v>
      </c>
      <c r="H434" s="731" t="s">
        <v>1956</v>
      </c>
      <c r="I434" s="736" t="s">
        <v>1957</v>
      </c>
      <c r="J434" s="744">
        <v>1</v>
      </c>
      <c r="K434" s="951"/>
      <c r="L434" s="951"/>
      <c r="M434" s="951"/>
      <c r="N434" s="744"/>
      <c r="O434" s="744"/>
      <c r="P434" s="744"/>
      <c r="Q434" s="744"/>
      <c r="R434" s="744"/>
      <c r="S434" s="744"/>
      <c r="T434" s="744"/>
      <c r="U434" s="744"/>
      <c r="V434" s="744"/>
      <c r="W434" s="744"/>
      <c r="X434" s="744"/>
      <c r="Y434" s="744"/>
      <c r="Z434" s="952"/>
      <c r="AA434" s="952"/>
      <c r="AB434" s="952"/>
      <c r="AC434" s="952"/>
      <c r="AD434" s="952"/>
      <c r="AE434" s="952"/>
      <c r="AF434" s="952"/>
      <c r="AG434" s="952"/>
      <c r="AH434" s="973"/>
      <c r="AI434" s="973"/>
      <c r="AJ434" s="973"/>
      <c r="AK434" s="973"/>
      <c r="AL434" s="951"/>
      <c r="AM434" s="746" t="s">
        <v>1958</v>
      </c>
      <c r="AN434" s="744">
        <v>2</v>
      </c>
      <c r="AR434" s="11"/>
    </row>
    <row r="435" spans="1:44" s="2" customFormat="1" ht="156" customHeight="1">
      <c r="A435" s="12"/>
      <c r="B435" s="12"/>
      <c r="C435" s="12"/>
      <c r="D435" s="5"/>
      <c r="E435" s="736" t="s">
        <v>1959</v>
      </c>
      <c r="F435" s="736" t="s">
        <v>1960</v>
      </c>
      <c r="G435" s="731" t="s">
        <v>500</v>
      </c>
      <c r="H435" s="731" t="s">
        <v>1961</v>
      </c>
      <c r="I435" s="736" t="s">
        <v>1962</v>
      </c>
      <c r="J435" s="744">
        <v>1</v>
      </c>
      <c r="K435" s="951"/>
      <c r="L435" s="951"/>
      <c r="M435" s="951"/>
      <c r="N435" s="744"/>
      <c r="O435" s="744"/>
      <c r="P435" s="744"/>
      <c r="Q435" s="744"/>
      <c r="R435" s="744"/>
      <c r="S435" s="744"/>
      <c r="T435" s="744"/>
      <c r="U435" s="744"/>
      <c r="V435" s="744"/>
      <c r="W435" s="744"/>
      <c r="X435" s="744"/>
      <c r="Y435" s="744"/>
      <c r="Z435" s="952"/>
      <c r="AA435" s="952"/>
      <c r="AB435" s="952"/>
      <c r="AC435" s="952"/>
      <c r="AD435" s="952"/>
      <c r="AE435" s="952"/>
      <c r="AF435" s="952"/>
      <c r="AG435" s="952"/>
      <c r="AH435" s="973"/>
      <c r="AI435" s="973"/>
      <c r="AJ435" s="973"/>
      <c r="AK435" s="973"/>
      <c r="AL435" s="951"/>
      <c r="AM435" s="746" t="s">
        <v>1963</v>
      </c>
      <c r="AN435" s="744">
        <v>2</v>
      </c>
      <c r="AR435" s="11"/>
    </row>
    <row r="436" spans="1:44" s="2" customFormat="1" ht="156" customHeight="1">
      <c r="A436" s="12"/>
      <c r="B436" s="12"/>
      <c r="C436" s="12"/>
      <c r="D436" s="5"/>
      <c r="E436" s="736" t="s">
        <v>1964</v>
      </c>
      <c r="F436" s="736" t="s">
        <v>1965</v>
      </c>
      <c r="G436" s="731" t="s">
        <v>500</v>
      </c>
      <c r="H436" s="731" t="s">
        <v>1966</v>
      </c>
      <c r="I436" s="736" t="s">
        <v>1967</v>
      </c>
      <c r="J436" s="744">
        <v>1</v>
      </c>
      <c r="K436" s="951"/>
      <c r="L436" s="951"/>
      <c r="M436" s="951"/>
      <c r="N436" s="744"/>
      <c r="O436" s="744"/>
      <c r="P436" s="744"/>
      <c r="Q436" s="744"/>
      <c r="R436" s="744"/>
      <c r="S436" s="744"/>
      <c r="T436" s="744"/>
      <c r="U436" s="744"/>
      <c r="V436" s="744"/>
      <c r="W436" s="744"/>
      <c r="X436" s="744"/>
      <c r="Y436" s="744"/>
      <c r="Z436" s="952"/>
      <c r="AA436" s="952"/>
      <c r="AB436" s="952"/>
      <c r="AC436" s="952"/>
      <c r="AD436" s="952"/>
      <c r="AE436" s="952"/>
      <c r="AF436" s="952"/>
      <c r="AG436" s="952"/>
      <c r="AH436" s="973"/>
      <c r="AI436" s="973"/>
      <c r="AJ436" s="973"/>
      <c r="AK436" s="973"/>
      <c r="AL436" s="951"/>
      <c r="AM436" s="746" t="s">
        <v>1968</v>
      </c>
      <c r="AN436" s="744">
        <v>2</v>
      </c>
      <c r="AR436" s="11"/>
    </row>
    <row r="437" spans="1:44" s="2" customFormat="1" ht="156" customHeight="1">
      <c r="A437" s="12"/>
      <c r="B437" s="12"/>
      <c r="C437" s="12"/>
      <c r="D437" s="5"/>
      <c r="E437" s="736" t="s">
        <v>1969</v>
      </c>
      <c r="F437" s="736" t="s">
        <v>1970</v>
      </c>
      <c r="G437" s="731" t="s">
        <v>500</v>
      </c>
      <c r="H437" s="731" t="s">
        <v>1971</v>
      </c>
      <c r="I437" s="736" t="s">
        <v>1972</v>
      </c>
      <c r="J437" s="744">
        <v>1</v>
      </c>
      <c r="K437" s="951"/>
      <c r="L437" s="951"/>
      <c r="M437" s="951"/>
      <c r="N437" s="744"/>
      <c r="O437" s="744"/>
      <c r="P437" s="744"/>
      <c r="Q437" s="744"/>
      <c r="R437" s="744"/>
      <c r="S437" s="744"/>
      <c r="T437" s="744"/>
      <c r="U437" s="744"/>
      <c r="V437" s="744"/>
      <c r="W437" s="744"/>
      <c r="X437" s="744"/>
      <c r="Y437" s="744"/>
      <c r="Z437" s="952"/>
      <c r="AA437" s="952"/>
      <c r="AB437" s="952"/>
      <c r="AC437" s="952"/>
      <c r="AD437" s="952"/>
      <c r="AE437" s="952"/>
      <c r="AF437" s="952"/>
      <c r="AG437" s="952"/>
      <c r="AH437" s="973"/>
      <c r="AI437" s="973"/>
      <c r="AJ437" s="973"/>
      <c r="AK437" s="973"/>
      <c r="AL437" s="951"/>
      <c r="AM437" s="746" t="s">
        <v>1973</v>
      </c>
      <c r="AN437" s="744">
        <v>2</v>
      </c>
      <c r="AR437" s="11"/>
    </row>
    <row r="438" spans="1:44" s="2" customFormat="1" ht="156" customHeight="1">
      <c r="A438" s="12"/>
      <c r="B438" s="12"/>
      <c r="C438" s="12"/>
      <c r="D438" s="5"/>
      <c r="E438" s="736" t="s">
        <v>1974</v>
      </c>
      <c r="F438" s="736" t="s">
        <v>1975</v>
      </c>
      <c r="G438" s="731" t="s">
        <v>500</v>
      </c>
      <c r="H438" s="731" t="s">
        <v>1976</v>
      </c>
      <c r="I438" s="736" t="s">
        <v>1977</v>
      </c>
      <c r="J438" s="744">
        <v>1</v>
      </c>
      <c r="K438" s="951"/>
      <c r="L438" s="951"/>
      <c r="M438" s="951"/>
      <c r="N438" s="744"/>
      <c r="O438" s="744"/>
      <c r="P438" s="744"/>
      <c r="Q438" s="744"/>
      <c r="R438" s="744"/>
      <c r="S438" s="744"/>
      <c r="T438" s="744"/>
      <c r="U438" s="744"/>
      <c r="V438" s="744"/>
      <c r="W438" s="744"/>
      <c r="X438" s="744"/>
      <c r="Y438" s="744"/>
      <c r="Z438" s="952"/>
      <c r="AA438" s="952"/>
      <c r="AB438" s="952"/>
      <c r="AC438" s="952"/>
      <c r="AD438" s="952"/>
      <c r="AE438" s="952"/>
      <c r="AF438" s="952"/>
      <c r="AG438" s="952"/>
      <c r="AH438" s="973"/>
      <c r="AI438" s="973"/>
      <c r="AJ438" s="973"/>
      <c r="AK438" s="973"/>
      <c r="AL438" s="951"/>
      <c r="AM438" s="746" t="s">
        <v>1978</v>
      </c>
      <c r="AN438" s="744">
        <v>2</v>
      </c>
      <c r="AR438" s="11"/>
    </row>
    <row r="439" spans="1:44" s="2" customFormat="1" ht="156" customHeight="1">
      <c r="A439" s="12"/>
      <c r="B439" s="12"/>
      <c r="C439" s="12"/>
      <c r="D439" s="5"/>
      <c r="E439" s="736" t="s">
        <v>1979</v>
      </c>
      <c r="F439" s="736" t="s">
        <v>1980</v>
      </c>
      <c r="G439" s="731" t="s">
        <v>500</v>
      </c>
      <c r="H439" s="731" t="s">
        <v>1981</v>
      </c>
      <c r="I439" s="736" t="s">
        <v>1982</v>
      </c>
      <c r="J439" s="744">
        <v>1</v>
      </c>
      <c r="K439" s="951"/>
      <c r="L439" s="951"/>
      <c r="M439" s="951"/>
      <c r="N439" s="744"/>
      <c r="O439" s="744"/>
      <c r="P439" s="744"/>
      <c r="Q439" s="744"/>
      <c r="R439" s="744"/>
      <c r="S439" s="744"/>
      <c r="T439" s="744"/>
      <c r="U439" s="744"/>
      <c r="V439" s="744"/>
      <c r="W439" s="744"/>
      <c r="X439" s="744"/>
      <c r="Y439" s="744"/>
      <c r="Z439" s="952"/>
      <c r="AA439" s="952"/>
      <c r="AB439" s="952"/>
      <c r="AC439" s="952"/>
      <c r="AD439" s="952"/>
      <c r="AE439" s="952"/>
      <c r="AF439" s="952"/>
      <c r="AG439" s="952"/>
      <c r="AH439" s="973"/>
      <c r="AI439" s="973"/>
      <c r="AJ439" s="973"/>
      <c r="AK439" s="973"/>
      <c r="AL439" s="951"/>
      <c r="AM439" s="746" t="s">
        <v>1983</v>
      </c>
      <c r="AN439" s="744">
        <v>2</v>
      </c>
      <c r="AR439" s="11"/>
    </row>
    <row r="440" spans="1:44" s="2" customFormat="1" ht="156" customHeight="1">
      <c r="A440" s="12"/>
      <c r="B440" s="12"/>
      <c r="C440" s="12"/>
      <c r="D440" s="5"/>
      <c r="E440" s="736" t="s">
        <v>1984</v>
      </c>
      <c r="F440" s="736" t="s">
        <v>1985</v>
      </c>
      <c r="G440" s="731" t="s">
        <v>500</v>
      </c>
      <c r="H440" s="731" t="s">
        <v>1986</v>
      </c>
      <c r="I440" s="736" t="s">
        <v>1987</v>
      </c>
      <c r="J440" s="744">
        <v>1</v>
      </c>
      <c r="K440" s="951"/>
      <c r="L440" s="951"/>
      <c r="M440" s="951"/>
      <c r="N440" s="744"/>
      <c r="O440" s="744"/>
      <c r="P440" s="744"/>
      <c r="Q440" s="744"/>
      <c r="R440" s="744"/>
      <c r="S440" s="744"/>
      <c r="T440" s="744"/>
      <c r="U440" s="744"/>
      <c r="V440" s="744"/>
      <c r="W440" s="744"/>
      <c r="X440" s="744"/>
      <c r="Y440" s="744"/>
      <c r="Z440" s="952"/>
      <c r="AA440" s="952"/>
      <c r="AB440" s="952"/>
      <c r="AC440" s="952"/>
      <c r="AD440" s="952"/>
      <c r="AE440" s="952"/>
      <c r="AF440" s="952"/>
      <c r="AG440" s="952"/>
      <c r="AH440" s="973"/>
      <c r="AI440" s="973"/>
      <c r="AJ440" s="973"/>
      <c r="AK440" s="973"/>
      <c r="AL440" s="951"/>
      <c r="AM440" s="746" t="s">
        <v>1988</v>
      </c>
      <c r="AN440" s="744">
        <v>2</v>
      </c>
      <c r="AR440" s="11"/>
    </row>
    <row r="441" spans="1:44" s="2" customFormat="1" ht="156" customHeight="1">
      <c r="A441" s="12"/>
      <c r="B441" s="12"/>
      <c r="C441" s="12"/>
      <c r="D441" s="5"/>
      <c r="E441" s="736" t="s">
        <v>1989</v>
      </c>
      <c r="F441" s="736" t="s">
        <v>1990</v>
      </c>
      <c r="G441" s="731" t="s">
        <v>500</v>
      </c>
      <c r="H441" s="731" t="s">
        <v>1991</v>
      </c>
      <c r="I441" s="736" t="s">
        <v>1992</v>
      </c>
      <c r="J441" s="744">
        <v>1</v>
      </c>
      <c r="K441" s="951"/>
      <c r="L441" s="951"/>
      <c r="M441" s="951"/>
      <c r="N441" s="744"/>
      <c r="O441" s="744"/>
      <c r="P441" s="744"/>
      <c r="Q441" s="744"/>
      <c r="R441" s="744"/>
      <c r="S441" s="744"/>
      <c r="T441" s="744"/>
      <c r="U441" s="744"/>
      <c r="V441" s="744"/>
      <c r="W441" s="744"/>
      <c r="X441" s="744"/>
      <c r="Y441" s="744"/>
      <c r="Z441" s="952"/>
      <c r="AA441" s="952"/>
      <c r="AB441" s="952"/>
      <c r="AC441" s="952"/>
      <c r="AD441" s="952"/>
      <c r="AE441" s="952"/>
      <c r="AF441" s="952"/>
      <c r="AG441" s="952"/>
      <c r="AH441" s="973"/>
      <c r="AI441" s="973"/>
      <c r="AJ441" s="973"/>
      <c r="AK441" s="973"/>
      <c r="AL441" s="951"/>
      <c r="AM441" s="746" t="s">
        <v>1993</v>
      </c>
      <c r="AN441" s="744">
        <v>2</v>
      </c>
      <c r="AR441" s="11"/>
    </row>
    <row r="442" spans="1:44" s="2" customFormat="1" ht="156" customHeight="1">
      <c r="A442" s="12"/>
      <c r="B442" s="12"/>
      <c r="C442" s="12"/>
      <c r="D442" s="5"/>
      <c r="E442" s="736" t="s">
        <v>1994</v>
      </c>
      <c r="F442" s="736" t="s">
        <v>1995</v>
      </c>
      <c r="G442" s="731" t="s">
        <v>500</v>
      </c>
      <c r="H442" s="731" t="s">
        <v>1996</v>
      </c>
      <c r="I442" s="736" t="s">
        <v>1997</v>
      </c>
      <c r="J442" s="744">
        <v>1</v>
      </c>
      <c r="K442" s="951"/>
      <c r="L442" s="951"/>
      <c r="M442" s="951"/>
      <c r="N442" s="744"/>
      <c r="O442" s="744"/>
      <c r="P442" s="744"/>
      <c r="Q442" s="744"/>
      <c r="R442" s="744"/>
      <c r="S442" s="744"/>
      <c r="T442" s="744"/>
      <c r="U442" s="744"/>
      <c r="V442" s="744"/>
      <c r="W442" s="744"/>
      <c r="X442" s="744"/>
      <c r="Y442" s="744"/>
      <c r="Z442" s="952"/>
      <c r="AA442" s="952"/>
      <c r="AB442" s="952"/>
      <c r="AC442" s="952"/>
      <c r="AD442" s="952"/>
      <c r="AE442" s="952"/>
      <c r="AF442" s="952"/>
      <c r="AG442" s="952"/>
      <c r="AH442" s="973"/>
      <c r="AI442" s="973"/>
      <c r="AJ442" s="973"/>
      <c r="AK442" s="973"/>
      <c r="AL442" s="951"/>
      <c r="AM442" s="746" t="s">
        <v>1998</v>
      </c>
      <c r="AN442" s="744">
        <v>2</v>
      </c>
      <c r="AR442" s="11"/>
    </row>
    <row r="443" spans="1:44" s="2" customFormat="1" ht="156" customHeight="1">
      <c r="A443" s="12"/>
      <c r="B443" s="12"/>
      <c r="C443" s="12"/>
      <c r="D443" s="5"/>
      <c r="E443" s="736" t="s">
        <v>1999</v>
      </c>
      <c r="F443" s="736" t="s">
        <v>2000</v>
      </c>
      <c r="G443" s="731" t="s">
        <v>500</v>
      </c>
      <c r="H443" s="731" t="s">
        <v>2001</v>
      </c>
      <c r="I443" s="736" t="s">
        <v>2002</v>
      </c>
      <c r="J443" s="744">
        <v>1</v>
      </c>
      <c r="K443" s="951"/>
      <c r="L443" s="951"/>
      <c r="M443" s="951"/>
      <c r="N443" s="744"/>
      <c r="O443" s="744"/>
      <c r="P443" s="744"/>
      <c r="Q443" s="744"/>
      <c r="R443" s="744"/>
      <c r="S443" s="744"/>
      <c r="T443" s="744"/>
      <c r="U443" s="744"/>
      <c r="V443" s="744"/>
      <c r="W443" s="744"/>
      <c r="X443" s="744"/>
      <c r="Y443" s="744"/>
      <c r="Z443" s="952"/>
      <c r="AA443" s="952"/>
      <c r="AB443" s="952"/>
      <c r="AC443" s="952"/>
      <c r="AD443" s="952"/>
      <c r="AE443" s="952"/>
      <c r="AF443" s="952"/>
      <c r="AG443" s="952"/>
      <c r="AH443" s="973"/>
      <c r="AI443" s="973"/>
      <c r="AJ443" s="973"/>
      <c r="AK443" s="973"/>
      <c r="AL443" s="951"/>
      <c r="AM443" s="746" t="s">
        <v>2003</v>
      </c>
      <c r="AN443" s="744">
        <v>2</v>
      </c>
      <c r="AR443" s="11"/>
    </row>
    <row r="444" spans="1:44" s="2" customFormat="1" ht="156" customHeight="1">
      <c r="A444" s="12"/>
      <c r="B444" s="12"/>
      <c r="C444" s="12"/>
      <c r="D444" s="5"/>
      <c r="E444" s="736" t="s">
        <v>2004</v>
      </c>
      <c r="F444" s="736" t="s">
        <v>2005</v>
      </c>
      <c r="G444" s="731" t="s">
        <v>500</v>
      </c>
      <c r="H444" s="731" t="s">
        <v>2006</v>
      </c>
      <c r="I444" s="736" t="s">
        <v>2007</v>
      </c>
      <c r="J444" s="744">
        <v>1</v>
      </c>
      <c r="K444" s="951"/>
      <c r="L444" s="951"/>
      <c r="M444" s="951"/>
      <c r="N444" s="744"/>
      <c r="O444" s="744"/>
      <c r="P444" s="744"/>
      <c r="Q444" s="744"/>
      <c r="R444" s="744"/>
      <c r="S444" s="744"/>
      <c r="T444" s="744"/>
      <c r="U444" s="744"/>
      <c r="V444" s="744"/>
      <c r="W444" s="744"/>
      <c r="X444" s="744"/>
      <c r="Y444" s="744"/>
      <c r="Z444" s="952"/>
      <c r="AA444" s="952"/>
      <c r="AB444" s="952"/>
      <c r="AC444" s="952"/>
      <c r="AD444" s="952"/>
      <c r="AE444" s="952"/>
      <c r="AF444" s="952"/>
      <c r="AG444" s="952"/>
      <c r="AH444" s="973"/>
      <c r="AI444" s="973"/>
      <c r="AJ444" s="973"/>
      <c r="AK444" s="973"/>
      <c r="AL444" s="951"/>
      <c r="AM444" s="746" t="s">
        <v>2008</v>
      </c>
      <c r="AN444" s="744">
        <v>2</v>
      </c>
      <c r="AR444" s="11"/>
    </row>
    <row r="445" spans="1:44" s="2" customFormat="1" ht="156" customHeight="1">
      <c r="A445" s="12"/>
      <c r="B445" s="12"/>
      <c r="C445" s="12"/>
      <c r="D445" s="5"/>
      <c r="E445" s="736" t="s">
        <v>2009</v>
      </c>
      <c r="F445" s="736" t="s">
        <v>2010</v>
      </c>
      <c r="G445" s="731" t="s">
        <v>500</v>
      </c>
      <c r="H445" s="731" t="s">
        <v>2011</v>
      </c>
      <c r="I445" s="736" t="s">
        <v>2012</v>
      </c>
      <c r="J445" s="744">
        <v>1</v>
      </c>
      <c r="K445" s="951"/>
      <c r="L445" s="951"/>
      <c r="M445" s="951"/>
      <c r="N445" s="744"/>
      <c r="O445" s="744"/>
      <c r="P445" s="744"/>
      <c r="Q445" s="744"/>
      <c r="R445" s="744"/>
      <c r="S445" s="744"/>
      <c r="T445" s="744"/>
      <c r="U445" s="744"/>
      <c r="V445" s="744"/>
      <c r="W445" s="744"/>
      <c r="X445" s="744"/>
      <c r="Y445" s="744"/>
      <c r="Z445" s="952"/>
      <c r="AA445" s="952"/>
      <c r="AB445" s="952"/>
      <c r="AC445" s="952"/>
      <c r="AD445" s="952"/>
      <c r="AE445" s="952"/>
      <c r="AF445" s="952"/>
      <c r="AG445" s="952"/>
      <c r="AH445" s="973"/>
      <c r="AI445" s="973"/>
      <c r="AJ445" s="973"/>
      <c r="AK445" s="973"/>
      <c r="AL445" s="951"/>
      <c r="AM445" s="746" t="s">
        <v>2013</v>
      </c>
      <c r="AN445" s="744">
        <v>2</v>
      </c>
      <c r="AR445" s="11"/>
    </row>
    <row r="446" spans="1:44" s="2" customFormat="1" ht="156" customHeight="1">
      <c r="A446" s="12"/>
      <c r="B446" s="12"/>
      <c r="C446" s="12"/>
      <c r="D446" s="5"/>
      <c r="E446" s="736" t="s">
        <v>2014</v>
      </c>
      <c r="F446" s="736" t="s">
        <v>2015</v>
      </c>
      <c r="G446" s="731" t="s">
        <v>500</v>
      </c>
      <c r="H446" s="731" t="s">
        <v>2016</v>
      </c>
      <c r="I446" s="736" t="s">
        <v>2017</v>
      </c>
      <c r="J446" s="744">
        <v>1</v>
      </c>
      <c r="K446" s="951"/>
      <c r="L446" s="951"/>
      <c r="M446" s="951"/>
      <c r="N446" s="744"/>
      <c r="O446" s="744"/>
      <c r="P446" s="744"/>
      <c r="Q446" s="744"/>
      <c r="R446" s="744"/>
      <c r="S446" s="744"/>
      <c r="T446" s="744"/>
      <c r="U446" s="744"/>
      <c r="V446" s="744"/>
      <c r="W446" s="744"/>
      <c r="X446" s="744"/>
      <c r="Y446" s="744"/>
      <c r="Z446" s="952"/>
      <c r="AA446" s="952"/>
      <c r="AB446" s="952"/>
      <c r="AC446" s="952"/>
      <c r="AD446" s="952"/>
      <c r="AE446" s="952"/>
      <c r="AF446" s="952"/>
      <c r="AG446" s="952"/>
      <c r="AH446" s="973"/>
      <c r="AI446" s="973"/>
      <c r="AJ446" s="973"/>
      <c r="AK446" s="973"/>
      <c r="AL446" s="951"/>
      <c r="AM446" s="746" t="s">
        <v>2018</v>
      </c>
      <c r="AN446" s="744">
        <v>2</v>
      </c>
      <c r="AR446" s="11"/>
    </row>
    <row r="447" spans="1:44" s="2" customFormat="1" ht="156" customHeight="1">
      <c r="A447" s="12"/>
      <c r="B447" s="12"/>
      <c r="C447" s="12"/>
      <c r="D447" s="5"/>
      <c r="E447" s="736" t="s">
        <v>2019</v>
      </c>
      <c r="F447" s="736" t="s">
        <v>2020</v>
      </c>
      <c r="G447" s="731" t="s">
        <v>500</v>
      </c>
      <c r="H447" s="731" t="s">
        <v>2021</v>
      </c>
      <c r="I447" s="736" t="s">
        <v>2022</v>
      </c>
      <c r="J447" s="744">
        <v>1</v>
      </c>
      <c r="K447" s="951"/>
      <c r="L447" s="951"/>
      <c r="M447" s="951"/>
      <c r="N447" s="744"/>
      <c r="O447" s="744"/>
      <c r="P447" s="744"/>
      <c r="Q447" s="744"/>
      <c r="R447" s="744"/>
      <c r="S447" s="744"/>
      <c r="T447" s="744"/>
      <c r="U447" s="744"/>
      <c r="V447" s="744"/>
      <c r="W447" s="744"/>
      <c r="X447" s="744"/>
      <c r="Y447" s="744"/>
      <c r="Z447" s="952"/>
      <c r="AA447" s="952"/>
      <c r="AB447" s="952"/>
      <c r="AC447" s="952"/>
      <c r="AD447" s="952"/>
      <c r="AE447" s="952"/>
      <c r="AF447" s="952"/>
      <c r="AG447" s="952"/>
      <c r="AH447" s="973"/>
      <c r="AI447" s="973"/>
      <c r="AJ447" s="973"/>
      <c r="AK447" s="973"/>
      <c r="AL447" s="951"/>
      <c r="AM447" s="746" t="s">
        <v>2023</v>
      </c>
      <c r="AN447" s="744">
        <v>2</v>
      </c>
      <c r="AR447" s="11"/>
    </row>
    <row r="448" spans="1:44" s="2" customFormat="1" ht="156" customHeight="1">
      <c r="A448" s="12"/>
      <c r="B448" s="12"/>
      <c r="C448" s="12"/>
      <c r="D448" s="5"/>
      <c r="E448" s="736" t="s">
        <v>2024</v>
      </c>
      <c r="F448" s="736" t="s">
        <v>2025</v>
      </c>
      <c r="G448" s="731" t="s">
        <v>500</v>
      </c>
      <c r="H448" s="731" t="s">
        <v>2026</v>
      </c>
      <c r="I448" s="736" t="s">
        <v>2027</v>
      </c>
      <c r="J448" s="744">
        <v>1</v>
      </c>
      <c r="K448" s="951"/>
      <c r="L448" s="951"/>
      <c r="M448" s="951"/>
      <c r="N448" s="744"/>
      <c r="O448" s="744"/>
      <c r="P448" s="744"/>
      <c r="Q448" s="744"/>
      <c r="R448" s="744"/>
      <c r="S448" s="744"/>
      <c r="T448" s="744"/>
      <c r="U448" s="744"/>
      <c r="V448" s="744"/>
      <c r="W448" s="744"/>
      <c r="X448" s="744"/>
      <c r="Y448" s="744"/>
      <c r="Z448" s="952"/>
      <c r="AA448" s="952"/>
      <c r="AB448" s="952"/>
      <c r="AC448" s="952"/>
      <c r="AD448" s="952"/>
      <c r="AE448" s="952"/>
      <c r="AF448" s="952"/>
      <c r="AG448" s="952"/>
      <c r="AH448" s="973"/>
      <c r="AI448" s="973"/>
      <c r="AJ448" s="973"/>
      <c r="AK448" s="973"/>
      <c r="AL448" s="951"/>
      <c r="AM448" s="746" t="s">
        <v>2028</v>
      </c>
      <c r="AN448" s="744">
        <v>2</v>
      </c>
      <c r="AR448" s="11"/>
    </row>
    <row r="449" spans="1:44" s="2" customFormat="1" ht="156" customHeight="1">
      <c r="A449" s="12"/>
      <c r="B449" s="12"/>
      <c r="C449" s="12"/>
      <c r="D449" s="5"/>
      <c r="E449" s="736" t="s">
        <v>2029</v>
      </c>
      <c r="F449" s="736" t="s">
        <v>2030</v>
      </c>
      <c r="G449" s="731" t="s">
        <v>500</v>
      </c>
      <c r="H449" s="731" t="s">
        <v>2031</v>
      </c>
      <c r="I449" s="736" t="s">
        <v>2032</v>
      </c>
      <c r="J449" s="744">
        <v>1</v>
      </c>
      <c r="K449" s="951"/>
      <c r="L449" s="951"/>
      <c r="M449" s="951"/>
      <c r="N449" s="744"/>
      <c r="O449" s="744"/>
      <c r="P449" s="744"/>
      <c r="Q449" s="744"/>
      <c r="R449" s="744"/>
      <c r="S449" s="744"/>
      <c r="T449" s="744"/>
      <c r="U449" s="744"/>
      <c r="V449" s="744"/>
      <c r="W449" s="744"/>
      <c r="X449" s="744"/>
      <c r="Y449" s="744"/>
      <c r="Z449" s="952"/>
      <c r="AA449" s="952"/>
      <c r="AB449" s="952"/>
      <c r="AC449" s="952"/>
      <c r="AD449" s="952"/>
      <c r="AE449" s="952"/>
      <c r="AF449" s="952"/>
      <c r="AG449" s="952"/>
      <c r="AH449" s="973"/>
      <c r="AI449" s="973"/>
      <c r="AJ449" s="973"/>
      <c r="AK449" s="973"/>
      <c r="AL449" s="951"/>
      <c r="AM449" s="746" t="s">
        <v>2033</v>
      </c>
      <c r="AN449" s="744">
        <v>2</v>
      </c>
      <c r="AR449" s="11"/>
    </row>
    <row r="450" spans="1:44" s="2" customFormat="1" ht="156" customHeight="1">
      <c r="A450" s="12"/>
      <c r="B450" s="12"/>
      <c r="C450" s="12"/>
      <c r="D450" s="5"/>
      <c r="E450" s="736" t="s">
        <v>2034</v>
      </c>
      <c r="F450" s="736" t="s">
        <v>2035</v>
      </c>
      <c r="G450" s="731" t="s">
        <v>500</v>
      </c>
      <c r="H450" s="731" t="s">
        <v>2036</v>
      </c>
      <c r="I450" s="736" t="s">
        <v>2037</v>
      </c>
      <c r="J450" s="744">
        <v>1</v>
      </c>
      <c r="K450" s="951"/>
      <c r="L450" s="951"/>
      <c r="M450" s="951"/>
      <c r="N450" s="744"/>
      <c r="O450" s="744"/>
      <c r="P450" s="744"/>
      <c r="Q450" s="744"/>
      <c r="R450" s="744"/>
      <c r="S450" s="744"/>
      <c r="T450" s="744"/>
      <c r="U450" s="744"/>
      <c r="V450" s="744"/>
      <c r="W450" s="744"/>
      <c r="X450" s="744"/>
      <c r="Y450" s="744"/>
      <c r="Z450" s="952"/>
      <c r="AA450" s="952"/>
      <c r="AB450" s="952"/>
      <c r="AC450" s="952"/>
      <c r="AD450" s="952"/>
      <c r="AE450" s="952"/>
      <c r="AF450" s="952"/>
      <c r="AG450" s="952"/>
      <c r="AH450" s="973"/>
      <c r="AI450" s="973"/>
      <c r="AJ450" s="973"/>
      <c r="AK450" s="973"/>
      <c r="AL450" s="951"/>
      <c r="AM450" s="746" t="s">
        <v>2038</v>
      </c>
      <c r="AN450" s="744">
        <v>2</v>
      </c>
      <c r="AR450" s="11"/>
    </row>
    <row r="451" spans="1:44" s="2" customFormat="1" ht="156" customHeight="1">
      <c r="A451" s="12"/>
      <c r="B451" s="12"/>
      <c r="C451" s="12"/>
      <c r="D451" s="5"/>
      <c r="E451" s="736" t="s">
        <v>2039</v>
      </c>
      <c r="F451" s="736" t="s">
        <v>2040</v>
      </c>
      <c r="G451" s="731" t="s">
        <v>500</v>
      </c>
      <c r="H451" s="731" t="s">
        <v>2041</v>
      </c>
      <c r="I451" s="736" t="s">
        <v>2042</v>
      </c>
      <c r="J451" s="744">
        <v>1</v>
      </c>
      <c r="K451" s="951"/>
      <c r="L451" s="951"/>
      <c r="M451" s="951"/>
      <c r="N451" s="744"/>
      <c r="O451" s="744"/>
      <c r="P451" s="744"/>
      <c r="Q451" s="744"/>
      <c r="R451" s="744"/>
      <c r="S451" s="744"/>
      <c r="T451" s="744"/>
      <c r="U451" s="744"/>
      <c r="V451" s="744"/>
      <c r="W451" s="744"/>
      <c r="X451" s="744"/>
      <c r="Y451" s="744"/>
      <c r="Z451" s="952"/>
      <c r="AA451" s="952"/>
      <c r="AB451" s="952"/>
      <c r="AC451" s="952"/>
      <c r="AD451" s="952"/>
      <c r="AE451" s="952"/>
      <c r="AF451" s="952"/>
      <c r="AG451" s="952"/>
      <c r="AH451" s="973"/>
      <c r="AI451" s="973"/>
      <c r="AJ451" s="973"/>
      <c r="AK451" s="973"/>
      <c r="AL451" s="951"/>
      <c r="AM451" s="746" t="s">
        <v>2043</v>
      </c>
      <c r="AN451" s="744">
        <v>2</v>
      </c>
      <c r="AR451" s="11"/>
    </row>
    <row r="452" spans="1:44" s="2" customFormat="1" ht="156" customHeight="1">
      <c r="A452" s="12"/>
      <c r="B452" s="12"/>
      <c r="C452" s="12"/>
      <c r="D452" s="5"/>
      <c r="E452" s="736" t="s">
        <v>2044</v>
      </c>
      <c r="F452" s="736" t="s">
        <v>2045</v>
      </c>
      <c r="G452" s="731" t="s">
        <v>500</v>
      </c>
      <c r="H452" s="731" t="s">
        <v>2046</v>
      </c>
      <c r="I452" s="736" t="s">
        <v>2047</v>
      </c>
      <c r="J452" s="744">
        <v>1</v>
      </c>
      <c r="K452" s="951"/>
      <c r="L452" s="951"/>
      <c r="M452" s="951"/>
      <c r="N452" s="744"/>
      <c r="O452" s="744"/>
      <c r="P452" s="744"/>
      <c r="Q452" s="744"/>
      <c r="R452" s="744"/>
      <c r="S452" s="744"/>
      <c r="T452" s="744"/>
      <c r="U452" s="744"/>
      <c r="V452" s="744"/>
      <c r="W452" s="744"/>
      <c r="X452" s="744"/>
      <c r="Y452" s="744"/>
      <c r="Z452" s="952"/>
      <c r="AA452" s="952"/>
      <c r="AB452" s="952"/>
      <c r="AC452" s="952"/>
      <c r="AD452" s="952"/>
      <c r="AE452" s="952"/>
      <c r="AF452" s="952"/>
      <c r="AG452" s="952"/>
      <c r="AH452" s="973"/>
      <c r="AI452" s="973"/>
      <c r="AJ452" s="973"/>
      <c r="AK452" s="973"/>
      <c r="AL452" s="951"/>
      <c r="AM452" s="746" t="s">
        <v>2048</v>
      </c>
      <c r="AN452" s="744">
        <v>2</v>
      </c>
      <c r="AR452" s="11"/>
    </row>
    <row r="453" spans="1:44" s="2" customFormat="1" ht="156" customHeight="1">
      <c r="A453" s="12"/>
      <c r="B453" s="12"/>
      <c r="C453" s="12"/>
      <c r="D453" s="5"/>
      <c r="E453" s="736" t="s">
        <v>2049</v>
      </c>
      <c r="F453" s="736" t="s">
        <v>2050</v>
      </c>
      <c r="G453" s="731" t="s">
        <v>500</v>
      </c>
      <c r="H453" s="731" t="s">
        <v>2051</v>
      </c>
      <c r="I453" s="736" t="s">
        <v>2052</v>
      </c>
      <c r="J453" s="744">
        <v>1</v>
      </c>
      <c r="K453" s="951"/>
      <c r="L453" s="951"/>
      <c r="M453" s="951"/>
      <c r="N453" s="744"/>
      <c r="O453" s="744"/>
      <c r="P453" s="744"/>
      <c r="Q453" s="744"/>
      <c r="R453" s="744"/>
      <c r="S453" s="744"/>
      <c r="T453" s="744"/>
      <c r="U453" s="744"/>
      <c r="V453" s="744"/>
      <c r="W453" s="744"/>
      <c r="X453" s="744"/>
      <c r="Y453" s="744"/>
      <c r="Z453" s="952"/>
      <c r="AA453" s="952"/>
      <c r="AB453" s="952"/>
      <c r="AC453" s="952"/>
      <c r="AD453" s="952"/>
      <c r="AE453" s="952"/>
      <c r="AF453" s="952"/>
      <c r="AG453" s="952"/>
      <c r="AH453" s="973"/>
      <c r="AI453" s="973"/>
      <c r="AJ453" s="973"/>
      <c r="AK453" s="973"/>
      <c r="AL453" s="951"/>
      <c r="AM453" s="746" t="s">
        <v>2053</v>
      </c>
      <c r="AN453" s="744">
        <v>2</v>
      </c>
      <c r="AR453" s="11"/>
    </row>
    <row r="454" spans="1:44" s="2" customFormat="1" ht="156" customHeight="1">
      <c r="A454" s="12"/>
      <c r="B454" s="12"/>
      <c r="C454" s="12"/>
      <c r="D454" s="5"/>
      <c r="E454" s="736" t="s">
        <v>2054</v>
      </c>
      <c r="F454" s="736" t="s">
        <v>2055</v>
      </c>
      <c r="G454" s="731" t="s">
        <v>500</v>
      </c>
      <c r="H454" s="731" t="s">
        <v>2056</v>
      </c>
      <c r="I454" s="736" t="s">
        <v>2057</v>
      </c>
      <c r="J454" s="744">
        <v>1</v>
      </c>
      <c r="K454" s="951"/>
      <c r="L454" s="951"/>
      <c r="M454" s="951"/>
      <c r="N454" s="744"/>
      <c r="O454" s="744"/>
      <c r="P454" s="744"/>
      <c r="Q454" s="744"/>
      <c r="R454" s="744"/>
      <c r="S454" s="744"/>
      <c r="T454" s="744"/>
      <c r="U454" s="744"/>
      <c r="V454" s="744"/>
      <c r="W454" s="744"/>
      <c r="X454" s="744"/>
      <c r="Y454" s="744"/>
      <c r="Z454" s="952"/>
      <c r="AA454" s="952"/>
      <c r="AB454" s="952"/>
      <c r="AC454" s="952"/>
      <c r="AD454" s="952"/>
      <c r="AE454" s="952"/>
      <c r="AF454" s="952"/>
      <c r="AG454" s="952"/>
      <c r="AH454" s="973"/>
      <c r="AI454" s="973"/>
      <c r="AJ454" s="973"/>
      <c r="AK454" s="973"/>
      <c r="AL454" s="951"/>
      <c r="AM454" s="746" t="s">
        <v>2058</v>
      </c>
      <c r="AN454" s="744">
        <v>2</v>
      </c>
      <c r="AR454" s="11"/>
    </row>
    <row r="455" spans="1:44" s="2" customFormat="1" ht="156" customHeight="1">
      <c r="A455" s="12"/>
      <c r="B455" s="12"/>
      <c r="C455" s="12"/>
      <c r="D455" s="5"/>
      <c r="E455" s="736" t="s">
        <v>2059</v>
      </c>
      <c r="F455" s="736" t="s">
        <v>2060</v>
      </c>
      <c r="G455" s="731" t="s">
        <v>500</v>
      </c>
      <c r="H455" s="731" t="s">
        <v>2061</v>
      </c>
      <c r="I455" s="736" t="s">
        <v>2062</v>
      </c>
      <c r="J455" s="744">
        <v>1</v>
      </c>
      <c r="K455" s="951"/>
      <c r="L455" s="951"/>
      <c r="M455" s="951"/>
      <c r="N455" s="744"/>
      <c r="O455" s="744"/>
      <c r="P455" s="744"/>
      <c r="Q455" s="744"/>
      <c r="R455" s="744"/>
      <c r="S455" s="744"/>
      <c r="T455" s="744"/>
      <c r="U455" s="744"/>
      <c r="V455" s="744"/>
      <c r="W455" s="744"/>
      <c r="X455" s="744"/>
      <c r="Y455" s="744"/>
      <c r="Z455" s="952"/>
      <c r="AA455" s="952"/>
      <c r="AB455" s="952"/>
      <c r="AC455" s="952"/>
      <c r="AD455" s="952"/>
      <c r="AE455" s="952"/>
      <c r="AF455" s="952"/>
      <c r="AG455" s="952"/>
      <c r="AH455" s="973"/>
      <c r="AI455" s="973"/>
      <c r="AJ455" s="973"/>
      <c r="AK455" s="973"/>
      <c r="AL455" s="951"/>
      <c r="AM455" s="746" t="s">
        <v>2063</v>
      </c>
      <c r="AN455" s="744">
        <v>2</v>
      </c>
      <c r="AR455" s="11"/>
    </row>
    <row r="456" spans="1:44" s="2" customFormat="1" ht="156" customHeight="1">
      <c r="A456" s="12"/>
      <c r="B456" s="12"/>
      <c r="C456" s="12"/>
      <c r="D456" s="5"/>
      <c r="E456" s="736" t="s">
        <v>2064</v>
      </c>
      <c r="F456" s="736" t="s">
        <v>2065</v>
      </c>
      <c r="G456" s="731" t="s">
        <v>500</v>
      </c>
      <c r="H456" s="731" t="s">
        <v>2066</v>
      </c>
      <c r="I456" s="736" t="s">
        <v>2067</v>
      </c>
      <c r="J456" s="744">
        <v>1</v>
      </c>
      <c r="K456" s="951"/>
      <c r="L456" s="951"/>
      <c r="M456" s="951"/>
      <c r="N456" s="744"/>
      <c r="O456" s="744"/>
      <c r="P456" s="744"/>
      <c r="Q456" s="744"/>
      <c r="R456" s="744"/>
      <c r="S456" s="744"/>
      <c r="T456" s="744"/>
      <c r="U456" s="744"/>
      <c r="V456" s="744"/>
      <c r="W456" s="744"/>
      <c r="X456" s="744"/>
      <c r="Y456" s="744"/>
      <c r="Z456" s="952"/>
      <c r="AA456" s="952"/>
      <c r="AB456" s="952"/>
      <c r="AC456" s="952"/>
      <c r="AD456" s="952"/>
      <c r="AE456" s="952"/>
      <c r="AF456" s="952"/>
      <c r="AG456" s="952"/>
      <c r="AH456" s="973"/>
      <c r="AI456" s="973"/>
      <c r="AJ456" s="973"/>
      <c r="AK456" s="973"/>
      <c r="AL456" s="951"/>
      <c r="AM456" s="746" t="s">
        <v>2068</v>
      </c>
      <c r="AN456" s="744">
        <v>2</v>
      </c>
      <c r="AR456" s="11"/>
    </row>
    <row r="457" spans="1:44" s="2" customFormat="1" ht="156" customHeight="1">
      <c r="A457" s="12"/>
      <c r="B457" s="12"/>
      <c r="C457" s="12"/>
      <c r="D457" s="5"/>
      <c r="E457" s="736" t="s">
        <v>2069</v>
      </c>
      <c r="F457" s="736" t="s">
        <v>2070</v>
      </c>
      <c r="G457" s="731" t="s">
        <v>500</v>
      </c>
      <c r="H457" s="731" t="s">
        <v>2071</v>
      </c>
      <c r="I457" s="736" t="s">
        <v>2072</v>
      </c>
      <c r="J457" s="744">
        <v>1</v>
      </c>
      <c r="K457" s="951"/>
      <c r="L457" s="951"/>
      <c r="M457" s="951"/>
      <c r="N457" s="744"/>
      <c r="O457" s="744"/>
      <c r="P457" s="744"/>
      <c r="Q457" s="744"/>
      <c r="R457" s="744"/>
      <c r="S457" s="744"/>
      <c r="T457" s="744"/>
      <c r="U457" s="744"/>
      <c r="V457" s="744"/>
      <c r="W457" s="744"/>
      <c r="X457" s="744"/>
      <c r="Y457" s="744"/>
      <c r="Z457" s="952"/>
      <c r="AA457" s="952"/>
      <c r="AB457" s="952"/>
      <c r="AC457" s="952"/>
      <c r="AD457" s="952"/>
      <c r="AE457" s="952"/>
      <c r="AF457" s="952"/>
      <c r="AG457" s="952"/>
      <c r="AH457" s="973"/>
      <c r="AI457" s="973"/>
      <c r="AJ457" s="973"/>
      <c r="AK457" s="973"/>
      <c r="AL457" s="951"/>
      <c r="AM457" s="746" t="s">
        <v>2073</v>
      </c>
      <c r="AN457" s="744">
        <v>2</v>
      </c>
      <c r="AR457" s="11"/>
    </row>
    <row r="458" spans="1:44" ht="30" hidden="1" customHeight="1">
      <c r="A458" s="1"/>
      <c r="E458" s="759" t="s">
        <v>2074</v>
      </c>
      <c r="F458" s="18"/>
      <c r="G458" s="18"/>
      <c r="H458" s="962"/>
      <c r="I458" s="963"/>
      <c r="J458" s="74"/>
      <c r="K458" s="964"/>
      <c r="L458" s="965"/>
      <c r="M458" s="964"/>
      <c r="N458" s="964"/>
      <c r="O458" s="964"/>
      <c r="P458" s="964"/>
      <c r="Q458" s="964"/>
      <c r="R458" s="964"/>
      <c r="S458" s="964"/>
      <c r="T458" s="964"/>
      <c r="U458" s="964"/>
      <c r="V458" s="964"/>
      <c r="W458" s="964"/>
      <c r="X458" s="964"/>
      <c r="Y458" s="964"/>
      <c r="Z458" s="964"/>
      <c r="AA458" s="964"/>
      <c r="AB458" s="964"/>
      <c r="AC458" s="964"/>
      <c r="AD458" s="964"/>
      <c r="AE458" s="964"/>
      <c r="AF458" s="964"/>
      <c r="AG458" s="964"/>
      <c r="AH458" s="964"/>
      <c r="AI458" s="964"/>
      <c r="AJ458" s="964"/>
      <c r="AK458" s="964"/>
      <c r="AL458" s="964"/>
      <c r="AM458" s="966"/>
      <c r="AN458" s="967"/>
    </row>
    <row r="459" spans="1:44" ht="13.35" customHeight="1">
      <c r="A459" s="1"/>
    </row>
    <row r="460" spans="1:44" ht="13.35" customHeight="1">
      <c r="E460" s="196">
        <f>COUNTA(E7:E457)</f>
        <v>451</v>
      </c>
      <c r="F460" s="196">
        <f>COUNTA(F7:F457)</f>
        <v>451</v>
      </c>
    </row>
  </sheetData>
  <autoFilter ref="E5:AN458" xr:uid="{00000000-0001-0000-0300-000000000000}">
    <filterColumn colId="0">
      <filters>
        <filter val="AIT17019"/>
        <filter val="DIT17121"/>
        <filter val="F17CALC0002"/>
        <filter val="F17CALC0003"/>
        <filter val="F17CALC0004"/>
        <filter val="F17CALC0005"/>
        <filter val="F17CALC0006"/>
        <filter val="F17XM572CALS"/>
        <filter val="F17XM572CBRS"/>
        <filter val="F17XM572CDRS"/>
        <filter val="F17XM572CLDS"/>
        <filter val="F17XM572CLHTS"/>
        <filter val="F17XM572CLRS"/>
        <filter val="F17XM572CLS"/>
        <filter val="F17XM572CSRS"/>
        <filter val="F17XM572CTS"/>
        <filter val="F17XM572CZS"/>
        <filter val="F17XM572DPS"/>
        <filter val="F17XM572DSDS"/>
        <filter val="F17XM572EPRS"/>
        <filter val="F17XM572IF35S"/>
        <filter val="F17XM572IF90S"/>
        <filter val="F17XM572LVLS"/>
        <filter val="F17XM572MDTS"/>
        <filter val="F17XM572RCSDS"/>
        <filter val="F17XM572RCTS"/>
        <filter val="F17XM572RSTS"/>
        <filter val="F17XM572RTS"/>
        <filter val="F17XM572RTSDS"/>
        <filter val="F17XM572RWS"/>
        <filter val="F17XM572SSS"/>
        <filter val="F17XM572WCSS"/>
        <filter val="F17XM572WDCS"/>
        <filter val="F17XM572WLSS"/>
        <filter val="F17XM572WRCSS"/>
        <filter val="F17XM572WRSSS"/>
        <filter val="F17XM572WTS"/>
        <filter val="FIT17105"/>
        <filter val="FIT17115"/>
        <filter val="NIT17030"/>
        <filter val="PDIT17030"/>
        <filter val="PIT17122"/>
        <filter val="PT17002"/>
        <filter val="XI16170S"/>
        <filter val="XI16171S"/>
        <filter val="XI16172S"/>
        <filter val="XI16173S"/>
        <filter val="ZIT17013"/>
      </filters>
    </filterColumn>
    <filterColumn colId="6" showButton="0"/>
    <filterColumn colId="7"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1" showButton="0"/>
    <filterColumn colId="22" showButton="0"/>
    <filterColumn colId="23" showButton="0"/>
    <filterColumn colId="24" showButton="0"/>
    <filterColumn colId="25" showButton="0"/>
    <filterColumn colId="26" showButton="0"/>
    <filterColumn colId="27" showButton="0"/>
    <filterColumn colId="29" showButton="0"/>
    <filterColumn colId="30" showButton="0"/>
    <filterColumn colId="31" showButton="0"/>
    <filterColumn colId="32" showButton="0"/>
  </autoFilter>
  <mergeCells count="10">
    <mergeCell ref="A4:AN4"/>
    <mergeCell ref="Z5:AG5"/>
    <mergeCell ref="AH5:AL5"/>
    <mergeCell ref="H5:H6"/>
    <mergeCell ref="G5:G6"/>
    <mergeCell ref="E5:E6"/>
    <mergeCell ref="N5:Y5"/>
    <mergeCell ref="K5:M5"/>
    <mergeCell ref="F5:F6"/>
    <mergeCell ref="I5:I6"/>
  </mergeCells>
  <phoneticPr fontId="0" type="noConversion"/>
  <conditionalFormatting sqref="E5:F457">
    <cfRule type="expression" dxfId="90" priority="1">
      <formula>LEN(E5)&gt;13</formula>
    </cfRule>
  </conditionalFormatting>
  <conditionalFormatting sqref="E191:F191">
    <cfRule type="duplicateValues" dxfId="89" priority="2"/>
  </conditionalFormatting>
  <conditionalFormatting sqref="E192:F457 E5:F190">
    <cfRule type="duplicateValues" dxfId="88" priority="4042"/>
  </conditionalFormatting>
  <conditionalFormatting sqref="I7:I457">
    <cfRule type="expression" dxfId="87" priority="9">
      <formula>LEN(I7)&gt;24</formula>
    </cfRule>
  </conditionalFormatting>
  <dataValidations disablePrompts="1" count="1">
    <dataValidation type="list" allowBlank="1" showInputMessage="1" showErrorMessage="1" sqref="AH8:AK457" xr:uid="{FC939C7A-38AB-410A-A5F6-A97F69C70106}">
      <formula1>#REF!</formula1>
    </dataValidation>
  </dataValidations>
  <printOptions horizontalCentered="1"/>
  <pageMargins left="0.39370078740157483" right="0.39370078740157483" top="0.59055118110236227" bottom="0.59055118110236227" header="0.59055118110236227" footer="0.39370078740157483"/>
  <pageSetup paperSize="8" scale="34" fitToHeight="0" orientation="landscape"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9165-C615-49AB-99A3-F8E8CCDB8489}">
  <sheetPr codeName="Sheet14">
    <tabColor indexed="39"/>
    <pageSetUpPr fitToPage="1"/>
  </sheetPr>
  <dimension ref="A1:O11"/>
  <sheetViews>
    <sheetView view="pageBreakPreview" topLeftCell="E1" zoomScale="85" zoomScaleNormal="85" zoomScaleSheetLayoutView="85" workbookViewId="0">
      <selection activeCell="I7" sqref="I7"/>
    </sheetView>
  </sheetViews>
  <sheetFormatPr defaultColWidth="18.6640625" defaultRowHeight="13.35" customHeight="1" outlineLevelCol="1"/>
  <cols>
    <col min="1" max="4" width="11.5" style="209" hidden="1" customWidth="1" outlineLevel="1"/>
    <col min="5" max="5" width="44.5" style="96" customWidth="1" collapsed="1"/>
    <col min="6" max="6" width="31.5" style="96" bestFit="1" customWidth="1"/>
    <col min="7" max="7" width="37" style="7" customWidth="1"/>
    <col min="8" max="8" width="99" style="97" customWidth="1" outlineLevel="1"/>
    <col min="9" max="9" width="79.1640625" style="97" bestFit="1" customWidth="1"/>
    <col min="10" max="10" width="10.5" style="102" customWidth="1"/>
    <col min="11" max="11" width="10.5" style="96" customWidth="1"/>
    <col min="12" max="12" width="10.5" style="103" customWidth="1"/>
    <col min="13" max="13" width="10.5" style="96" customWidth="1"/>
    <col min="14" max="14" width="66.6640625" style="14" customWidth="1"/>
    <col min="15" max="15" width="9" style="102" customWidth="1"/>
    <col min="16" max="16384" width="18.6640625" style="1"/>
  </cols>
  <sheetData>
    <row r="1" spans="1:15" s="725" customFormat="1" ht="21" customHeight="1">
      <c r="A1" s="99"/>
      <c r="B1" s="99"/>
      <c r="C1" s="99"/>
      <c r="D1" s="99"/>
      <c r="E1" s="20" t="str">
        <f>ProjectTitle</f>
        <v>KCGM GROWTH PROJECT</v>
      </c>
      <c r="F1" s="20"/>
      <c r="G1" s="85"/>
      <c r="H1" s="20"/>
      <c r="I1" s="20"/>
      <c r="J1" s="1016"/>
      <c r="K1" s="29"/>
      <c r="L1" s="29"/>
      <c r="M1" s="98"/>
      <c r="N1" s="1018"/>
      <c r="O1" s="99"/>
    </row>
    <row r="2" spans="1:15" s="725" customFormat="1" ht="21" customHeight="1">
      <c r="A2" s="99"/>
      <c r="B2" s="99"/>
      <c r="C2" s="99"/>
      <c r="D2" s="99"/>
      <c r="E2" s="20" t="str">
        <f>'Cover Page'!DocumentTitle</f>
        <v>PROCESS CONTROL TABLES - FLOTATION (F16, F17, F18)</v>
      </c>
      <c r="F2" s="20"/>
      <c r="G2" s="85"/>
      <c r="H2" s="20"/>
      <c r="I2" s="20"/>
      <c r="J2" s="1019"/>
      <c r="K2" s="85"/>
      <c r="L2" s="85"/>
      <c r="M2" s="85"/>
      <c r="N2" s="1018"/>
      <c r="O2" s="99"/>
    </row>
    <row r="3" spans="1:15" s="725" customFormat="1" ht="21" customHeight="1" thickBot="1">
      <c r="A3" s="99"/>
      <c r="B3" s="99"/>
      <c r="C3" s="99"/>
      <c r="D3" s="99"/>
      <c r="E3" s="86" t="str">
        <f>'Cover Page'!A29</f>
        <v>2000-F16-LST-PR-10001</v>
      </c>
      <c r="F3" s="86"/>
      <c r="G3" s="1020"/>
      <c r="H3" s="1023"/>
      <c r="I3" s="104"/>
      <c r="J3" s="1022"/>
      <c r="K3" s="104"/>
      <c r="L3" s="104"/>
      <c r="M3" s="104"/>
      <c r="N3" s="1018"/>
      <c r="O3" s="99"/>
    </row>
    <row r="4" spans="1:15" s="101" customFormat="1" ht="25.5" customHeight="1" thickBot="1">
      <c r="A4" s="207"/>
      <c r="B4" s="207"/>
      <c r="C4" s="207"/>
      <c r="D4" s="207"/>
      <c r="E4" s="1102" t="s">
        <v>2075</v>
      </c>
      <c r="F4" s="1103"/>
      <c r="G4" s="1103"/>
      <c r="H4" s="1103"/>
      <c r="I4" s="1103"/>
      <c r="J4" s="1103"/>
      <c r="K4" s="1103"/>
      <c r="L4" s="1103"/>
      <c r="M4" s="1103"/>
      <c r="N4" s="1103"/>
      <c r="O4" s="1104"/>
    </row>
    <row r="5" spans="1:15" s="105" customFormat="1" ht="18" customHeight="1">
      <c r="A5" s="208"/>
      <c r="B5" s="208"/>
      <c r="C5" s="208"/>
      <c r="D5" s="208"/>
      <c r="E5" s="1105" t="s">
        <v>100</v>
      </c>
      <c r="F5" s="1106" t="s">
        <v>101</v>
      </c>
      <c r="G5" s="1107" t="s">
        <v>102</v>
      </c>
      <c r="H5" s="1108" t="s">
        <v>103</v>
      </c>
      <c r="I5" s="1109" t="s">
        <v>104</v>
      </c>
      <c r="J5" s="620"/>
      <c r="K5" s="1099" t="s">
        <v>87</v>
      </c>
      <c r="L5" s="1100"/>
      <c r="M5" s="1101"/>
      <c r="N5" s="621"/>
      <c r="O5" s="622"/>
    </row>
    <row r="6" spans="1:15" s="101" customFormat="1" ht="48.75" customHeight="1">
      <c r="A6" s="207" t="s">
        <v>107</v>
      </c>
      <c r="B6" s="207" t="s">
        <v>108</v>
      </c>
      <c r="C6" s="207" t="s">
        <v>109</v>
      </c>
      <c r="D6" s="207" t="s">
        <v>110</v>
      </c>
      <c r="E6" s="1105"/>
      <c r="F6" s="1106"/>
      <c r="G6" s="1107"/>
      <c r="H6" s="1108"/>
      <c r="I6" s="1109"/>
      <c r="J6" s="974" t="s">
        <v>111</v>
      </c>
      <c r="K6" s="975" t="s">
        <v>112</v>
      </c>
      <c r="L6" s="976" t="s">
        <v>113</v>
      </c>
      <c r="M6" s="977" t="s">
        <v>114</v>
      </c>
      <c r="N6" s="621" t="s">
        <v>128</v>
      </c>
      <c r="O6" s="978" t="s">
        <v>129</v>
      </c>
    </row>
    <row r="7" spans="1:15" s="2" customFormat="1" ht="37.5" customHeight="1">
      <c r="A7" s="12"/>
      <c r="B7" s="12"/>
      <c r="C7" s="12"/>
      <c r="D7" s="5"/>
      <c r="E7" s="5" t="s">
        <v>2076</v>
      </c>
      <c r="F7" s="736" t="s">
        <v>2077</v>
      </c>
      <c r="G7" s="5" t="s">
        <v>132</v>
      </c>
      <c r="H7" s="718" t="s">
        <v>2078</v>
      </c>
      <c r="I7" s="293" t="s">
        <v>2079</v>
      </c>
      <c r="J7" s="13">
        <v>1</v>
      </c>
      <c r="K7" s="13">
        <v>0</v>
      </c>
      <c r="L7" s="13">
        <v>100</v>
      </c>
      <c r="M7" s="13" t="s">
        <v>41</v>
      </c>
      <c r="N7" s="8"/>
      <c r="O7" s="744">
        <v>2</v>
      </c>
    </row>
    <row r="8" spans="1:15" ht="37.5" customHeight="1">
      <c r="A8" s="5"/>
      <c r="B8" s="5"/>
      <c r="C8" s="5"/>
      <c r="D8" s="5"/>
      <c r="E8" s="5" t="s">
        <v>2080</v>
      </c>
      <c r="F8" s="736" t="s">
        <v>2081</v>
      </c>
      <c r="G8" s="5" t="s">
        <v>538</v>
      </c>
      <c r="H8" s="718" t="s">
        <v>2082</v>
      </c>
      <c r="I8" s="293" t="s">
        <v>2083</v>
      </c>
      <c r="J8" s="13">
        <v>1</v>
      </c>
      <c r="K8" s="13">
        <v>0</v>
      </c>
      <c r="L8" s="13">
        <v>100</v>
      </c>
      <c r="M8" s="13" t="s">
        <v>41</v>
      </c>
      <c r="N8" s="199"/>
      <c r="O8" s="736">
        <v>2</v>
      </c>
    </row>
    <row r="9" spans="1:15" ht="30" customHeight="1">
      <c r="E9" s="759" t="s">
        <v>2074</v>
      </c>
      <c r="F9" s="18"/>
      <c r="G9" s="18"/>
      <c r="H9" s="962"/>
      <c r="I9" s="979"/>
      <c r="J9" s="967"/>
      <c r="K9" s="964"/>
      <c r="L9" s="965"/>
      <c r="M9" s="964"/>
      <c r="N9" s="966"/>
      <c r="O9" s="967"/>
    </row>
    <row r="11" spans="1:15" s="7" customFormat="1" ht="13.35" customHeight="1">
      <c r="A11" s="209"/>
      <c r="B11" s="209"/>
      <c r="C11" s="209"/>
      <c r="D11" s="209"/>
      <c r="E11" s="196">
        <f>COUNTA(E7:E8)</f>
        <v>2</v>
      </c>
      <c r="F11" s="196">
        <f>COUNTA(F7:F8)</f>
        <v>2</v>
      </c>
      <c r="H11" s="97"/>
      <c r="I11" s="97"/>
      <c r="J11" s="102"/>
      <c r="K11" s="96"/>
      <c r="L11" s="103"/>
      <c r="M11" s="96"/>
      <c r="N11" s="14"/>
      <c r="O11" s="102"/>
    </row>
  </sheetData>
  <autoFilter ref="A6:O7" xr:uid="{00000000-0001-0000-0300-000000000000}"/>
  <mergeCells count="7">
    <mergeCell ref="K5:M5"/>
    <mergeCell ref="E4:O4"/>
    <mergeCell ref="E5:E6"/>
    <mergeCell ref="F5:F6"/>
    <mergeCell ref="G5:G6"/>
    <mergeCell ref="H5:H6"/>
    <mergeCell ref="I5:I6"/>
  </mergeCells>
  <conditionalFormatting sqref="E7:E8">
    <cfRule type="duplicateValues" dxfId="86" priority="669"/>
  </conditionalFormatting>
  <conditionalFormatting sqref="E7:F8">
    <cfRule type="expression" dxfId="85" priority="1">
      <formula>LEN(E7)&gt;16</formula>
    </cfRule>
  </conditionalFormatting>
  <conditionalFormatting sqref="F7:F8">
    <cfRule type="duplicateValues" dxfId="84" priority="667"/>
  </conditionalFormatting>
  <conditionalFormatting sqref="I7:I8">
    <cfRule type="expression" dxfId="83" priority="2">
      <formula>LEN(I7)&gt;24</formula>
    </cfRule>
  </conditionalFormatting>
  <printOptions horizontalCentered="1"/>
  <pageMargins left="0.39370078740157483" right="0.39370078740157483" top="0.59055118110236227" bottom="0.59055118110236227" header="0.59055118110236227" footer="0.39370078740157483"/>
  <pageSetup paperSize="8" scale="62" fitToHeight="0" orientation="landscape"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indexed="39"/>
    <pageSetUpPr fitToPage="1"/>
  </sheetPr>
  <dimension ref="A1:R542"/>
  <sheetViews>
    <sheetView view="pageBreakPreview" topLeftCell="E205" zoomScale="55" zoomScaleNormal="55" zoomScaleSheetLayoutView="55" workbookViewId="0">
      <selection activeCell="I228" sqref="I228"/>
    </sheetView>
  </sheetViews>
  <sheetFormatPr defaultColWidth="18.6640625" defaultRowHeight="13.35" customHeight="1" outlineLevelCol="1"/>
  <cols>
    <col min="1" max="4" width="7.6640625" style="3" hidden="1" customWidth="1" outlineLevel="1"/>
    <col min="5" max="5" width="32.6640625" style="22" customWidth="1" collapsed="1"/>
    <col min="6" max="6" width="31.1640625" style="22" customWidth="1"/>
    <col min="7" max="7" width="36.6640625" style="4" customWidth="1"/>
    <col min="8" max="8" width="161.33203125" style="4" customWidth="1" outlineLevel="1"/>
    <col min="9" max="9" width="60.6640625" style="3" customWidth="1"/>
    <col min="10" max="10" width="16.1640625" style="4" customWidth="1"/>
    <col min="11" max="11" width="15" style="3" customWidth="1"/>
    <col min="12" max="13" width="17" style="3" customWidth="1"/>
    <col min="14" max="14" width="26.1640625" style="23" customWidth="1"/>
    <col min="15" max="15" width="16.33203125" style="22" customWidth="1"/>
    <col min="16" max="16" width="30.33203125" style="22" customWidth="1"/>
    <col min="17" max="17" width="67.6640625" style="22" customWidth="1"/>
    <col min="18" max="18" width="6.6640625" style="23" customWidth="1"/>
    <col min="19" max="16384" width="18.6640625" style="2"/>
  </cols>
  <sheetData>
    <row r="1" spans="1:18" s="289" customFormat="1" ht="21" customHeight="1">
      <c r="A1" s="100"/>
      <c r="B1" s="100"/>
      <c r="C1" s="100"/>
      <c r="D1" s="100"/>
      <c r="E1" s="20" t="s">
        <v>1</v>
      </c>
      <c r="F1" s="20"/>
      <c r="G1" s="25"/>
      <c r="H1" s="195"/>
      <c r="I1" s="25"/>
      <c r="J1" s="20"/>
      <c r="K1" s="107"/>
      <c r="L1" s="107"/>
      <c r="M1" s="107"/>
      <c r="N1" s="1024"/>
      <c r="O1" s="107"/>
      <c r="P1" s="107"/>
      <c r="Q1" s="107"/>
      <c r="R1" s="100"/>
    </row>
    <row r="2" spans="1:18" s="289" customFormat="1" ht="21" customHeight="1">
      <c r="A2" s="100"/>
      <c r="B2" s="100"/>
      <c r="C2" s="100"/>
      <c r="D2" s="100"/>
      <c r="E2" s="20" t="s">
        <v>0</v>
      </c>
      <c r="F2" s="20"/>
      <c r="G2" s="25"/>
      <c r="H2" s="86"/>
      <c r="I2" s="100"/>
      <c r="J2" s="195" t="s">
        <v>2084</v>
      </c>
      <c r="K2" s="35"/>
      <c r="L2" s="35"/>
      <c r="M2" s="35"/>
      <c r="N2" s="25"/>
      <c r="O2" s="25"/>
      <c r="P2" s="25"/>
      <c r="Q2" s="107"/>
      <c r="R2" s="100"/>
    </row>
    <row r="3" spans="1:18" s="289" customFormat="1" ht="21" customHeight="1" thickBot="1">
      <c r="A3" s="100"/>
      <c r="B3" s="100"/>
      <c r="C3" s="100"/>
      <c r="D3" s="100"/>
      <c r="E3" s="86" t="s">
        <v>2</v>
      </c>
      <c r="F3" s="86"/>
      <c r="G3" s="20"/>
      <c r="H3" s="108"/>
      <c r="I3" s="1025"/>
      <c r="J3" s="108"/>
      <c r="K3" s="107"/>
      <c r="L3" s="107"/>
      <c r="M3" s="107"/>
      <c r="N3" s="1024"/>
      <c r="O3" s="107"/>
      <c r="P3" s="107"/>
      <c r="Q3" s="107"/>
      <c r="R3" s="86"/>
    </row>
    <row r="4" spans="1:18" s="105" customFormat="1" ht="12" customHeight="1">
      <c r="A4" s="208"/>
      <c r="B4" s="208"/>
      <c r="C4" s="208"/>
      <c r="D4" s="208"/>
      <c r="E4" s="1110" t="s">
        <v>2085</v>
      </c>
      <c r="F4" s="1111"/>
      <c r="G4" s="1111"/>
      <c r="H4" s="1111"/>
      <c r="I4" s="1111"/>
      <c r="J4" s="1111"/>
      <c r="K4" s="1111"/>
      <c r="L4" s="1111"/>
      <c r="M4" s="1111"/>
      <c r="N4" s="1111"/>
      <c r="O4" s="1111"/>
      <c r="P4" s="1111"/>
      <c r="Q4" s="1111"/>
      <c r="R4" s="1112"/>
    </row>
    <row r="5" spans="1:18" s="105" customFormat="1" ht="13.5" customHeight="1" thickBot="1">
      <c r="A5" s="208"/>
      <c r="B5" s="208"/>
      <c r="C5" s="208"/>
      <c r="D5" s="208"/>
      <c r="E5" s="1113"/>
      <c r="F5" s="1114"/>
      <c r="G5" s="1114"/>
      <c r="H5" s="1114"/>
      <c r="I5" s="1114"/>
      <c r="J5" s="1114"/>
      <c r="K5" s="1114"/>
      <c r="L5" s="1114"/>
      <c r="M5" s="1114"/>
      <c r="N5" s="1114"/>
      <c r="O5" s="1114"/>
      <c r="P5" s="1114"/>
      <c r="Q5" s="1114"/>
      <c r="R5" s="1115"/>
    </row>
    <row r="6" spans="1:18" s="208" customFormat="1" ht="30">
      <c r="A6" s="207" t="s">
        <v>107</v>
      </c>
      <c r="B6" s="207" t="s">
        <v>108</v>
      </c>
      <c r="C6" s="207" t="s">
        <v>109</v>
      </c>
      <c r="D6" s="207" t="s">
        <v>110</v>
      </c>
      <c r="E6" s="733" t="s">
        <v>100</v>
      </c>
      <c r="F6" s="733" t="s">
        <v>101</v>
      </c>
      <c r="G6" s="999" t="s">
        <v>102</v>
      </c>
      <c r="H6" s="999" t="s">
        <v>103</v>
      </c>
      <c r="I6" s="999" t="s">
        <v>104</v>
      </c>
      <c r="J6" s="999" t="s">
        <v>2086</v>
      </c>
      <c r="K6" s="999" t="s">
        <v>2087</v>
      </c>
      <c r="L6" s="999" t="s">
        <v>2088</v>
      </c>
      <c r="M6" s="999" t="s">
        <v>2089</v>
      </c>
      <c r="N6" s="999" t="s">
        <v>106</v>
      </c>
      <c r="O6" s="999" t="s">
        <v>2090</v>
      </c>
      <c r="P6" s="999" t="s">
        <v>127</v>
      </c>
      <c r="Q6" s="999" t="s">
        <v>128</v>
      </c>
      <c r="R6" s="999" t="s">
        <v>129</v>
      </c>
    </row>
    <row r="7" spans="1:18" ht="33.6" customHeight="1">
      <c r="A7" s="23"/>
      <c r="B7" s="23"/>
      <c r="C7" s="23"/>
      <c r="D7" s="23"/>
      <c r="E7" s="5" t="s">
        <v>2091</v>
      </c>
      <c r="F7" s="736" t="s">
        <v>2092</v>
      </c>
      <c r="G7" s="605" t="s">
        <v>566</v>
      </c>
      <c r="H7" s="5" t="s">
        <v>2093</v>
      </c>
      <c r="I7" s="13" t="s">
        <v>2094</v>
      </c>
      <c r="J7" s="13" t="s">
        <v>2095</v>
      </c>
      <c r="K7" s="13" t="s">
        <v>2096</v>
      </c>
      <c r="L7" s="13" t="s">
        <v>2095</v>
      </c>
      <c r="M7" s="13" t="s">
        <v>2097</v>
      </c>
      <c r="N7" s="13"/>
      <c r="O7" s="12">
        <v>0</v>
      </c>
      <c r="P7" s="13"/>
      <c r="Q7" s="228"/>
      <c r="R7" s="744">
        <v>2</v>
      </c>
    </row>
    <row r="8" spans="1:18" ht="33.6" customHeight="1">
      <c r="A8" s="23"/>
      <c r="B8" s="23"/>
      <c r="C8" s="23"/>
      <c r="D8" s="23"/>
      <c r="E8" s="5" t="s">
        <v>2098</v>
      </c>
      <c r="F8" s="736" t="s">
        <v>2099</v>
      </c>
      <c r="G8" s="605" t="s">
        <v>566</v>
      </c>
      <c r="H8" s="5" t="s">
        <v>2100</v>
      </c>
      <c r="I8" s="13" t="s">
        <v>2101</v>
      </c>
      <c r="J8" s="13" t="s">
        <v>2095</v>
      </c>
      <c r="K8" s="13" t="s">
        <v>2096</v>
      </c>
      <c r="L8" s="13" t="s">
        <v>2095</v>
      </c>
      <c r="M8" s="13" t="s">
        <v>2097</v>
      </c>
      <c r="N8" s="13"/>
      <c r="O8" s="12">
        <v>0</v>
      </c>
      <c r="P8" s="13"/>
      <c r="Q8" s="228"/>
      <c r="R8" s="744">
        <v>2</v>
      </c>
    </row>
    <row r="9" spans="1:18" ht="33.6" customHeight="1">
      <c r="A9" s="23"/>
      <c r="B9" s="23"/>
      <c r="C9" s="23"/>
      <c r="D9" s="23"/>
      <c r="E9" s="5" t="s">
        <v>2102</v>
      </c>
      <c r="F9" s="736" t="s">
        <v>2103</v>
      </c>
      <c r="G9" s="734" t="s">
        <v>500</v>
      </c>
      <c r="H9" s="5" t="s">
        <v>2104</v>
      </c>
      <c r="I9" s="13" t="s">
        <v>2105</v>
      </c>
      <c r="J9" s="13" t="s">
        <v>2106</v>
      </c>
      <c r="K9" s="13" t="s">
        <v>2107</v>
      </c>
      <c r="L9" s="13"/>
      <c r="M9" s="13" t="s">
        <v>2097</v>
      </c>
      <c r="N9" s="13"/>
      <c r="O9" s="12"/>
      <c r="P9" s="13"/>
      <c r="Q9" s="228"/>
      <c r="R9" s="744">
        <v>2</v>
      </c>
    </row>
    <row r="10" spans="1:18" ht="33.6" customHeight="1">
      <c r="A10" s="23"/>
      <c r="B10" s="23"/>
      <c r="C10" s="23"/>
      <c r="D10" s="23"/>
      <c r="E10" s="5" t="s">
        <v>2108</v>
      </c>
      <c r="F10" s="736" t="s">
        <v>2109</v>
      </c>
      <c r="G10" s="5" t="s">
        <v>500</v>
      </c>
      <c r="H10" s="5" t="s">
        <v>2110</v>
      </c>
      <c r="I10" s="13" t="s">
        <v>2111</v>
      </c>
      <c r="J10" s="13" t="s">
        <v>2095</v>
      </c>
      <c r="K10" s="13" t="s">
        <v>2096</v>
      </c>
      <c r="L10" s="13" t="s">
        <v>2095</v>
      </c>
      <c r="M10" s="13" t="s">
        <v>2097</v>
      </c>
      <c r="N10" s="13"/>
      <c r="O10" s="12">
        <v>0</v>
      </c>
      <c r="P10" s="13"/>
      <c r="Q10" s="228"/>
      <c r="R10" s="744">
        <v>2</v>
      </c>
    </row>
    <row r="11" spans="1:18" ht="33.6" customHeight="1">
      <c r="A11" s="23"/>
      <c r="B11" s="23"/>
      <c r="C11" s="23"/>
      <c r="D11" s="23"/>
      <c r="E11" s="5" t="s">
        <v>2112</v>
      </c>
      <c r="F11" s="736" t="s">
        <v>2113</v>
      </c>
      <c r="G11" s="5" t="s">
        <v>500</v>
      </c>
      <c r="H11" s="5" t="s">
        <v>2114</v>
      </c>
      <c r="I11" s="13" t="s">
        <v>2115</v>
      </c>
      <c r="J11" s="13" t="s">
        <v>2095</v>
      </c>
      <c r="K11" s="13" t="s">
        <v>2096</v>
      </c>
      <c r="L11" s="13" t="s">
        <v>2095</v>
      </c>
      <c r="M11" s="13" t="s">
        <v>2097</v>
      </c>
      <c r="N11" s="13"/>
      <c r="O11" s="12">
        <v>0</v>
      </c>
      <c r="P11" s="13"/>
      <c r="Q11" s="228"/>
      <c r="R11" s="744">
        <v>2</v>
      </c>
    </row>
    <row r="12" spans="1:18" ht="33.6" customHeight="1">
      <c r="A12" s="23"/>
      <c r="B12" s="23"/>
      <c r="C12" s="23"/>
      <c r="D12" s="23"/>
      <c r="E12" s="5" t="s">
        <v>2116</v>
      </c>
      <c r="F12" s="736" t="s">
        <v>2117</v>
      </c>
      <c r="G12" s="5" t="s">
        <v>132</v>
      </c>
      <c r="H12" s="5" t="s">
        <v>2118</v>
      </c>
      <c r="I12" s="13" t="s">
        <v>2119</v>
      </c>
      <c r="J12" s="13" t="s">
        <v>2095</v>
      </c>
      <c r="K12" s="13" t="s">
        <v>2096</v>
      </c>
      <c r="L12" s="13" t="s">
        <v>2095</v>
      </c>
      <c r="M12" s="13" t="s">
        <v>2097</v>
      </c>
      <c r="N12" s="13"/>
      <c r="O12" s="12">
        <v>0</v>
      </c>
      <c r="P12" s="13"/>
      <c r="Q12" s="228"/>
      <c r="R12" s="744">
        <v>2</v>
      </c>
    </row>
    <row r="13" spans="1:18" ht="33.6" customHeight="1">
      <c r="A13" s="23"/>
      <c r="B13" s="23"/>
      <c r="C13" s="23"/>
      <c r="D13" s="23"/>
      <c r="E13" s="5" t="s">
        <v>2120</v>
      </c>
      <c r="F13" s="736" t="s">
        <v>2121</v>
      </c>
      <c r="G13" s="5" t="s">
        <v>132</v>
      </c>
      <c r="H13" s="5" t="s">
        <v>2122</v>
      </c>
      <c r="I13" s="13" t="s">
        <v>2123</v>
      </c>
      <c r="J13" s="13" t="s">
        <v>2095</v>
      </c>
      <c r="K13" s="13" t="s">
        <v>2096</v>
      </c>
      <c r="L13" s="13" t="s">
        <v>2095</v>
      </c>
      <c r="M13" s="13" t="s">
        <v>2097</v>
      </c>
      <c r="N13" s="13"/>
      <c r="O13" s="12">
        <v>0</v>
      </c>
      <c r="P13" s="13"/>
      <c r="Q13" s="228"/>
      <c r="R13" s="744">
        <v>2</v>
      </c>
    </row>
    <row r="14" spans="1:18" ht="33.6" customHeight="1">
      <c r="A14" s="23"/>
      <c r="B14" s="23"/>
      <c r="C14" s="23"/>
      <c r="D14" s="23"/>
      <c r="E14" s="731" t="s">
        <v>2124</v>
      </c>
      <c r="F14" s="736" t="s">
        <v>2125</v>
      </c>
      <c r="G14" s="5" t="s">
        <v>132</v>
      </c>
      <c r="H14" s="5" t="s">
        <v>2126</v>
      </c>
      <c r="I14" s="13" t="s">
        <v>2127</v>
      </c>
      <c r="J14" s="13" t="s">
        <v>2095</v>
      </c>
      <c r="K14" s="13" t="s">
        <v>2096</v>
      </c>
      <c r="L14" s="13" t="s">
        <v>2095</v>
      </c>
      <c r="M14" s="13" t="s">
        <v>2097</v>
      </c>
      <c r="N14" s="13"/>
      <c r="O14" s="12">
        <v>0</v>
      </c>
      <c r="P14" s="13"/>
      <c r="Q14" s="228"/>
      <c r="R14" s="744">
        <v>2</v>
      </c>
    </row>
    <row r="15" spans="1:18" ht="33.6" customHeight="1">
      <c r="A15" s="23"/>
      <c r="B15" s="23"/>
      <c r="C15" s="23"/>
      <c r="D15" s="23"/>
      <c r="E15" s="5" t="s">
        <v>2128</v>
      </c>
      <c r="F15" s="736" t="s">
        <v>2129</v>
      </c>
      <c r="G15" s="5" t="s">
        <v>132</v>
      </c>
      <c r="H15" s="5" t="s">
        <v>2130</v>
      </c>
      <c r="I15" s="13" t="s">
        <v>2131</v>
      </c>
      <c r="J15" s="13" t="s">
        <v>2095</v>
      </c>
      <c r="K15" s="13" t="s">
        <v>2096</v>
      </c>
      <c r="L15" s="13"/>
      <c r="M15" s="13" t="s">
        <v>2097</v>
      </c>
      <c r="N15" s="13"/>
      <c r="O15" s="12"/>
      <c r="P15" s="13"/>
      <c r="Q15" s="228"/>
      <c r="R15" s="744">
        <v>2</v>
      </c>
    </row>
    <row r="16" spans="1:18" ht="33.6" customHeight="1">
      <c r="A16" s="23"/>
      <c r="B16" s="23"/>
      <c r="C16" s="23"/>
      <c r="D16" s="23"/>
      <c r="E16" s="5" t="s">
        <v>2132</v>
      </c>
      <c r="F16" s="736" t="s">
        <v>2133</v>
      </c>
      <c r="G16" s="5" t="s">
        <v>132</v>
      </c>
      <c r="H16" s="5" t="s">
        <v>2134</v>
      </c>
      <c r="I16" s="13" t="s">
        <v>2135</v>
      </c>
      <c r="J16" s="13" t="s">
        <v>2095</v>
      </c>
      <c r="K16" s="13" t="s">
        <v>2096</v>
      </c>
      <c r="L16" s="13" t="s">
        <v>2095</v>
      </c>
      <c r="M16" s="13" t="s">
        <v>2097</v>
      </c>
      <c r="N16" s="13"/>
      <c r="O16" s="12">
        <v>0</v>
      </c>
      <c r="P16" s="13"/>
      <c r="Q16" s="228"/>
      <c r="R16" s="744">
        <v>2</v>
      </c>
    </row>
    <row r="17" spans="1:18" ht="33.6" customHeight="1">
      <c r="A17" s="23"/>
      <c r="B17" s="23"/>
      <c r="C17" s="23"/>
      <c r="D17" s="23"/>
      <c r="E17" s="857" t="s">
        <v>2136</v>
      </c>
      <c r="F17" s="870" t="s">
        <v>2137</v>
      </c>
      <c r="G17" s="871" t="s">
        <v>745</v>
      </c>
      <c r="H17" s="857" t="s">
        <v>2138</v>
      </c>
      <c r="I17" s="858" t="s">
        <v>2139</v>
      </c>
      <c r="J17" s="858" t="s">
        <v>2095</v>
      </c>
      <c r="K17" s="858" t="s">
        <v>2096</v>
      </c>
      <c r="L17" s="858"/>
      <c r="M17" s="858" t="s">
        <v>2097</v>
      </c>
      <c r="N17" s="858"/>
      <c r="O17" s="870"/>
      <c r="P17" s="858"/>
      <c r="Q17" s="872"/>
      <c r="R17" s="858">
        <v>2</v>
      </c>
    </row>
    <row r="18" spans="1:18" ht="33.6" customHeight="1">
      <c r="A18" s="23"/>
      <c r="B18" s="23"/>
      <c r="C18" s="23"/>
      <c r="D18" s="23"/>
      <c r="E18" s="857" t="s">
        <v>2140</v>
      </c>
      <c r="F18" s="870" t="s">
        <v>2141</v>
      </c>
      <c r="G18" s="871" t="s">
        <v>745</v>
      </c>
      <c r="H18" s="857" t="s">
        <v>2142</v>
      </c>
      <c r="I18" s="858" t="s">
        <v>2143</v>
      </c>
      <c r="J18" s="858" t="s">
        <v>2095</v>
      </c>
      <c r="K18" s="858" t="s">
        <v>2096</v>
      </c>
      <c r="L18" s="858"/>
      <c r="M18" s="858" t="s">
        <v>2097</v>
      </c>
      <c r="N18" s="858"/>
      <c r="O18" s="870"/>
      <c r="P18" s="858"/>
      <c r="Q18" s="872"/>
      <c r="R18" s="858">
        <v>2</v>
      </c>
    </row>
    <row r="19" spans="1:18" ht="33.6" customHeight="1">
      <c r="A19" s="23"/>
      <c r="B19" s="23"/>
      <c r="C19" s="23"/>
      <c r="D19" s="23"/>
      <c r="E19" s="5" t="s">
        <v>2144</v>
      </c>
      <c r="F19" s="736" t="s">
        <v>2145</v>
      </c>
      <c r="G19" s="605" t="s">
        <v>745</v>
      </c>
      <c r="H19" s="5" t="s">
        <v>2146</v>
      </c>
      <c r="I19" s="13" t="s">
        <v>2147</v>
      </c>
      <c r="J19" s="13" t="s">
        <v>2095</v>
      </c>
      <c r="K19" s="13" t="s">
        <v>2096</v>
      </c>
      <c r="L19" s="13" t="s">
        <v>2095</v>
      </c>
      <c r="M19" s="13" t="s">
        <v>2097</v>
      </c>
      <c r="N19" s="13"/>
      <c r="O19" s="12">
        <v>0</v>
      </c>
      <c r="P19" s="13"/>
      <c r="Q19" s="228"/>
      <c r="R19" s="744">
        <v>2</v>
      </c>
    </row>
    <row r="20" spans="1:18" ht="33.6" customHeight="1">
      <c r="A20" s="23"/>
      <c r="B20" s="23"/>
      <c r="C20" s="23"/>
      <c r="D20" s="23"/>
      <c r="E20" s="5" t="s">
        <v>2148</v>
      </c>
      <c r="F20" s="736" t="s">
        <v>2149</v>
      </c>
      <c r="G20" s="5" t="s">
        <v>132</v>
      </c>
      <c r="H20" s="5" t="s">
        <v>2150</v>
      </c>
      <c r="I20" s="13" t="s">
        <v>2151</v>
      </c>
      <c r="J20" s="13" t="s">
        <v>2095</v>
      </c>
      <c r="K20" s="13" t="s">
        <v>2096</v>
      </c>
      <c r="L20" s="13" t="s">
        <v>2095</v>
      </c>
      <c r="M20" s="13" t="s">
        <v>2097</v>
      </c>
      <c r="N20" s="13"/>
      <c r="O20" s="12">
        <v>0</v>
      </c>
      <c r="P20" s="13"/>
      <c r="Q20" s="228"/>
      <c r="R20" s="744">
        <v>2</v>
      </c>
    </row>
    <row r="21" spans="1:18" ht="33.6" customHeight="1">
      <c r="A21" s="23"/>
      <c r="B21" s="23"/>
      <c r="C21" s="23"/>
      <c r="D21" s="23"/>
      <c r="E21" s="5" t="s">
        <v>2152</v>
      </c>
      <c r="F21" s="736" t="s">
        <v>2153</v>
      </c>
      <c r="G21" s="5" t="s">
        <v>132</v>
      </c>
      <c r="H21" s="5" t="s">
        <v>2154</v>
      </c>
      <c r="I21" s="13" t="s">
        <v>2115</v>
      </c>
      <c r="J21" s="13" t="s">
        <v>2095</v>
      </c>
      <c r="K21" s="13" t="s">
        <v>2096</v>
      </c>
      <c r="L21" s="13" t="s">
        <v>2095</v>
      </c>
      <c r="M21" s="13" t="s">
        <v>2097</v>
      </c>
      <c r="N21" s="13"/>
      <c r="O21" s="12">
        <v>0</v>
      </c>
      <c r="P21" s="13"/>
      <c r="Q21" s="228"/>
      <c r="R21" s="744">
        <v>2</v>
      </c>
    </row>
    <row r="22" spans="1:18" ht="33.6" customHeight="1">
      <c r="A22" s="23"/>
      <c r="B22" s="23"/>
      <c r="C22" s="23"/>
      <c r="D22" s="23"/>
      <c r="E22" s="5" t="s">
        <v>2155</v>
      </c>
      <c r="F22" s="736" t="s">
        <v>2156</v>
      </c>
      <c r="G22" s="5" t="s">
        <v>132</v>
      </c>
      <c r="H22" s="5" t="s">
        <v>2157</v>
      </c>
      <c r="I22" s="13" t="s">
        <v>2158</v>
      </c>
      <c r="J22" s="13" t="s">
        <v>2095</v>
      </c>
      <c r="K22" s="13" t="s">
        <v>2096</v>
      </c>
      <c r="L22" s="13"/>
      <c r="M22" s="13" t="s">
        <v>2097</v>
      </c>
      <c r="N22" s="13"/>
      <c r="O22" s="12"/>
      <c r="P22" s="13"/>
      <c r="Q22" s="228"/>
      <c r="R22" s="744">
        <v>2</v>
      </c>
    </row>
    <row r="23" spans="1:18" ht="33.6" customHeight="1">
      <c r="A23" s="23"/>
      <c r="B23" s="23"/>
      <c r="C23" s="23"/>
      <c r="D23" s="23"/>
      <c r="E23" s="5" t="s">
        <v>2159</v>
      </c>
      <c r="F23" s="736" t="s">
        <v>2160</v>
      </c>
      <c r="G23" s="5" t="s">
        <v>132</v>
      </c>
      <c r="H23" s="5" t="s">
        <v>2161</v>
      </c>
      <c r="I23" s="13" t="s">
        <v>2162</v>
      </c>
      <c r="J23" s="13" t="s">
        <v>2095</v>
      </c>
      <c r="K23" s="13" t="s">
        <v>2096</v>
      </c>
      <c r="L23" s="13" t="s">
        <v>2095</v>
      </c>
      <c r="M23" s="13" t="s">
        <v>2097</v>
      </c>
      <c r="N23" s="13"/>
      <c r="O23" s="12">
        <v>0</v>
      </c>
      <c r="P23" s="13"/>
      <c r="Q23" s="228"/>
      <c r="R23" s="744">
        <v>2</v>
      </c>
    </row>
    <row r="24" spans="1:18" ht="98.1" customHeight="1">
      <c r="A24" s="23"/>
      <c r="B24" s="23"/>
      <c r="C24" s="23"/>
      <c r="D24" s="23"/>
      <c r="E24" s="732" t="s">
        <v>2163</v>
      </c>
      <c r="F24" s="12" t="s">
        <v>2164</v>
      </c>
      <c r="G24" s="5" t="s">
        <v>331</v>
      </c>
      <c r="H24" s="5" t="s">
        <v>2165</v>
      </c>
      <c r="I24" s="12" t="s">
        <v>2166</v>
      </c>
      <c r="J24" s="13" t="s">
        <v>2167</v>
      </c>
      <c r="K24" s="13" t="s">
        <v>2168</v>
      </c>
      <c r="L24" s="13"/>
      <c r="M24" s="13" t="s">
        <v>2169</v>
      </c>
      <c r="N24" s="80"/>
      <c r="O24" s="12"/>
      <c r="P24" s="13"/>
      <c r="Q24" s="228" t="s">
        <v>2170</v>
      </c>
      <c r="R24" s="744">
        <v>2</v>
      </c>
    </row>
    <row r="25" spans="1:18" ht="98.1" customHeight="1">
      <c r="A25" s="23"/>
      <c r="B25" s="23"/>
      <c r="C25" s="23"/>
      <c r="D25" s="23"/>
      <c r="E25" s="732" t="s">
        <v>2171</v>
      </c>
      <c r="F25" s="12" t="s">
        <v>2172</v>
      </c>
      <c r="G25" s="5" t="s">
        <v>2173</v>
      </c>
      <c r="H25" s="5" t="s">
        <v>2174</v>
      </c>
      <c r="I25" s="12" t="s">
        <v>2175</v>
      </c>
      <c r="J25" s="13" t="s">
        <v>2167</v>
      </c>
      <c r="K25" s="13" t="s">
        <v>2168</v>
      </c>
      <c r="L25" s="13"/>
      <c r="M25" s="13" t="s">
        <v>2169</v>
      </c>
      <c r="N25" s="80"/>
      <c r="O25" s="12"/>
      <c r="P25" s="13"/>
      <c r="Q25" s="228" t="s">
        <v>2170</v>
      </c>
      <c r="R25" s="744">
        <v>2</v>
      </c>
    </row>
    <row r="26" spans="1:18" ht="98.1" customHeight="1">
      <c r="A26" s="23"/>
      <c r="B26" s="23"/>
      <c r="C26" s="23"/>
      <c r="D26" s="23"/>
      <c r="E26" s="732" t="s">
        <v>2176</v>
      </c>
      <c r="F26" s="12" t="s">
        <v>2177</v>
      </c>
      <c r="G26" s="5" t="s">
        <v>809</v>
      </c>
      <c r="H26" s="5" t="s">
        <v>2178</v>
      </c>
      <c r="I26" s="12" t="s">
        <v>2179</v>
      </c>
      <c r="J26" s="13" t="s">
        <v>2167</v>
      </c>
      <c r="K26" s="13" t="s">
        <v>2168</v>
      </c>
      <c r="L26" s="13"/>
      <c r="M26" s="13" t="s">
        <v>2169</v>
      </c>
      <c r="N26" s="80"/>
      <c r="O26" s="12"/>
      <c r="P26" s="13"/>
      <c r="Q26" s="228" t="s">
        <v>2170</v>
      </c>
      <c r="R26" s="744">
        <v>2</v>
      </c>
    </row>
    <row r="27" spans="1:18" ht="98.1" customHeight="1">
      <c r="A27" s="23"/>
      <c r="B27" s="23"/>
      <c r="C27" s="23"/>
      <c r="D27" s="23"/>
      <c r="E27" s="732" t="s">
        <v>2180</v>
      </c>
      <c r="F27" s="12" t="s">
        <v>2181</v>
      </c>
      <c r="G27" s="5" t="s">
        <v>809</v>
      </c>
      <c r="H27" s="5" t="s">
        <v>2182</v>
      </c>
      <c r="I27" s="12" t="s">
        <v>2183</v>
      </c>
      <c r="J27" s="13" t="s">
        <v>2167</v>
      </c>
      <c r="K27" s="13" t="s">
        <v>2168</v>
      </c>
      <c r="L27" s="13" t="s">
        <v>2168</v>
      </c>
      <c r="M27" s="13" t="s">
        <v>2169</v>
      </c>
      <c r="N27" s="80"/>
      <c r="O27" s="736">
        <v>3</v>
      </c>
      <c r="P27" s="13"/>
      <c r="Q27" s="228" t="s">
        <v>2184</v>
      </c>
      <c r="R27" s="744">
        <v>2</v>
      </c>
    </row>
    <row r="28" spans="1:18" ht="98.1" customHeight="1">
      <c r="A28" s="23"/>
      <c r="B28" s="23"/>
      <c r="C28" s="23"/>
      <c r="D28" s="23"/>
      <c r="E28" s="732" t="s">
        <v>2185</v>
      </c>
      <c r="F28" s="12" t="s">
        <v>2186</v>
      </c>
      <c r="G28" s="5" t="s">
        <v>2187</v>
      </c>
      <c r="H28" s="5" t="s">
        <v>2188</v>
      </c>
      <c r="I28" s="12" t="s">
        <v>2189</v>
      </c>
      <c r="J28" s="13" t="s">
        <v>2167</v>
      </c>
      <c r="K28" s="13" t="s">
        <v>2168</v>
      </c>
      <c r="L28" s="13"/>
      <c r="M28" s="13" t="s">
        <v>2169</v>
      </c>
      <c r="N28" s="80"/>
      <c r="O28" s="12"/>
      <c r="P28" s="13"/>
      <c r="Q28" s="228" t="s">
        <v>2170</v>
      </c>
      <c r="R28" s="744">
        <v>2</v>
      </c>
    </row>
    <row r="29" spans="1:18" ht="98.1" customHeight="1">
      <c r="A29" s="23"/>
      <c r="B29" s="23"/>
      <c r="C29" s="23"/>
      <c r="D29" s="23"/>
      <c r="E29" s="732" t="s">
        <v>2190</v>
      </c>
      <c r="F29" s="12" t="s">
        <v>2191</v>
      </c>
      <c r="G29" s="5" t="s">
        <v>2192</v>
      </c>
      <c r="H29" s="5" t="s">
        <v>2193</v>
      </c>
      <c r="I29" s="12" t="s">
        <v>2194</v>
      </c>
      <c r="J29" s="13" t="s">
        <v>2167</v>
      </c>
      <c r="K29" s="13" t="s">
        <v>2168</v>
      </c>
      <c r="L29" s="13"/>
      <c r="M29" s="13" t="s">
        <v>2169</v>
      </c>
      <c r="N29" s="80"/>
      <c r="O29" s="12"/>
      <c r="P29" s="13"/>
      <c r="Q29" s="228" t="s">
        <v>2170</v>
      </c>
      <c r="R29" s="744">
        <v>2</v>
      </c>
    </row>
    <row r="30" spans="1:18" ht="98.1" customHeight="1">
      <c r="A30" s="23"/>
      <c r="B30" s="23"/>
      <c r="C30" s="23"/>
      <c r="D30" s="23"/>
      <c r="E30" s="732" t="s">
        <v>2195</v>
      </c>
      <c r="F30" s="12" t="s">
        <v>2196</v>
      </c>
      <c r="G30" s="5" t="s">
        <v>2197</v>
      </c>
      <c r="H30" s="5" t="s">
        <v>2198</v>
      </c>
      <c r="I30" s="12" t="s">
        <v>2199</v>
      </c>
      <c r="J30" s="13" t="s">
        <v>2167</v>
      </c>
      <c r="K30" s="13" t="s">
        <v>2168</v>
      </c>
      <c r="L30" s="13" t="s">
        <v>2168</v>
      </c>
      <c r="M30" s="13" t="s">
        <v>2169</v>
      </c>
      <c r="N30" s="80"/>
      <c r="O30" s="736">
        <v>3</v>
      </c>
      <c r="P30" s="13"/>
      <c r="Q30" s="228" t="s">
        <v>2184</v>
      </c>
      <c r="R30" s="744">
        <v>2</v>
      </c>
    </row>
    <row r="31" spans="1:18" ht="98.1" customHeight="1">
      <c r="A31" s="23"/>
      <c r="B31" s="23"/>
      <c r="C31" s="23"/>
      <c r="D31" s="23"/>
      <c r="E31" s="732" t="s">
        <v>2200</v>
      </c>
      <c r="F31" s="12" t="s">
        <v>2201</v>
      </c>
      <c r="G31" s="5" t="s">
        <v>2173</v>
      </c>
      <c r="H31" s="5" t="s">
        <v>2202</v>
      </c>
      <c r="I31" s="12" t="s">
        <v>2203</v>
      </c>
      <c r="J31" s="13" t="s">
        <v>2167</v>
      </c>
      <c r="K31" s="13" t="s">
        <v>2168</v>
      </c>
      <c r="L31" s="13" t="s">
        <v>2168</v>
      </c>
      <c r="M31" s="13" t="s">
        <v>2169</v>
      </c>
      <c r="N31" s="80"/>
      <c r="O31" s="736">
        <v>3</v>
      </c>
      <c r="P31" s="13"/>
      <c r="Q31" s="228" t="s">
        <v>2184</v>
      </c>
      <c r="R31" s="744">
        <v>2</v>
      </c>
    </row>
    <row r="32" spans="1:18" ht="98.1" customHeight="1">
      <c r="A32" s="23"/>
      <c r="B32" s="23"/>
      <c r="C32" s="23"/>
      <c r="D32" s="23"/>
      <c r="E32" s="732" t="s">
        <v>2204</v>
      </c>
      <c r="F32" s="12" t="s">
        <v>2205</v>
      </c>
      <c r="G32" s="5" t="s">
        <v>2206</v>
      </c>
      <c r="H32" s="5" t="s">
        <v>2207</v>
      </c>
      <c r="I32" s="12" t="s">
        <v>2208</v>
      </c>
      <c r="J32" s="13" t="s">
        <v>2167</v>
      </c>
      <c r="K32" s="13" t="s">
        <v>2168</v>
      </c>
      <c r="L32" s="13"/>
      <c r="M32" s="13" t="s">
        <v>2169</v>
      </c>
      <c r="N32" s="80"/>
      <c r="O32" s="12"/>
      <c r="P32" s="13"/>
      <c r="Q32" s="228" t="s">
        <v>2170</v>
      </c>
      <c r="R32" s="744">
        <v>2</v>
      </c>
    </row>
    <row r="33" spans="1:18" ht="98.1" customHeight="1">
      <c r="A33" s="23"/>
      <c r="B33" s="23"/>
      <c r="C33" s="23"/>
      <c r="D33" s="23"/>
      <c r="E33" s="732" t="s">
        <v>2209</v>
      </c>
      <c r="F33" s="12" t="s">
        <v>2210</v>
      </c>
      <c r="G33" s="5" t="s">
        <v>2211</v>
      </c>
      <c r="H33" s="5" t="s">
        <v>2212</v>
      </c>
      <c r="I33" s="12" t="s">
        <v>2213</v>
      </c>
      <c r="J33" s="13" t="s">
        <v>2167</v>
      </c>
      <c r="K33" s="13" t="s">
        <v>2168</v>
      </c>
      <c r="L33" s="13"/>
      <c r="M33" s="13" t="s">
        <v>2169</v>
      </c>
      <c r="N33" s="80"/>
      <c r="O33" s="12"/>
      <c r="P33" s="13"/>
      <c r="Q33" s="228" t="s">
        <v>2170</v>
      </c>
      <c r="R33" s="744">
        <v>2</v>
      </c>
    </row>
    <row r="34" spans="1:18" ht="98.1" customHeight="1">
      <c r="A34" s="23"/>
      <c r="B34" s="23"/>
      <c r="C34" s="23"/>
      <c r="D34" s="23"/>
      <c r="E34" s="732" t="s">
        <v>2214</v>
      </c>
      <c r="F34" s="12" t="s">
        <v>2215</v>
      </c>
      <c r="G34" s="5" t="s">
        <v>2216</v>
      </c>
      <c r="H34" s="5" t="s">
        <v>2217</v>
      </c>
      <c r="I34" s="12" t="s">
        <v>2218</v>
      </c>
      <c r="J34" s="13" t="s">
        <v>2167</v>
      </c>
      <c r="K34" s="13" t="s">
        <v>2168</v>
      </c>
      <c r="L34" s="13"/>
      <c r="M34" s="13" t="s">
        <v>2169</v>
      </c>
      <c r="N34" s="80"/>
      <c r="O34" s="12"/>
      <c r="P34" s="13"/>
      <c r="Q34" s="228" t="s">
        <v>2170</v>
      </c>
      <c r="R34" s="744">
        <v>2</v>
      </c>
    </row>
    <row r="35" spans="1:18" ht="98.1" customHeight="1">
      <c r="A35" s="23"/>
      <c r="B35" s="23"/>
      <c r="C35" s="23"/>
      <c r="D35" s="23"/>
      <c r="E35" s="732" t="s">
        <v>2219</v>
      </c>
      <c r="F35" s="12" t="s">
        <v>2220</v>
      </c>
      <c r="G35" s="5" t="s">
        <v>2197</v>
      </c>
      <c r="H35" s="5" t="s">
        <v>2221</v>
      </c>
      <c r="I35" s="12" t="s">
        <v>2222</v>
      </c>
      <c r="J35" s="13" t="s">
        <v>2167</v>
      </c>
      <c r="K35" s="13" t="s">
        <v>2168</v>
      </c>
      <c r="L35" s="13"/>
      <c r="M35" s="13" t="s">
        <v>2169</v>
      </c>
      <c r="N35" s="80"/>
      <c r="O35" s="12"/>
      <c r="P35" s="13"/>
      <c r="Q35" s="228" t="s">
        <v>2170</v>
      </c>
      <c r="R35" s="744">
        <v>2</v>
      </c>
    </row>
    <row r="36" spans="1:18" ht="98.1" customHeight="1">
      <c r="A36" s="23"/>
      <c r="B36" s="23"/>
      <c r="C36" s="23"/>
      <c r="D36" s="23"/>
      <c r="E36" s="732" t="s">
        <v>2223</v>
      </c>
      <c r="F36" s="12" t="s">
        <v>2224</v>
      </c>
      <c r="G36" s="5" t="s">
        <v>2225</v>
      </c>
      <c r="H36" s="5" t="s">
        <v>2226</v>
      </c>
      <c r="I36" s="12" t="s">
        <v>2227</v>
      </c>
      <c r="J36" s="13" t="s">
        <v>2167</v>
      </c>
      <c r="K36" s="13" t="s">
        <v>2168</v>
      </c>
      <c r="L36" s="13"/>
      <c r="M36" s="13" t="s">
        <v>2169</v>
      </c>
      <c r="N36" s="80"/>
      <c r="O36" s="12"/>
      <c r="P36" s="13"/>
      <c r="Q36" s="228" t="s">
        <v>2170</v>
      </c>
      <c r="R36" s="744">
        <v>2</v>
      </c>
    </row>
    <row r="37" spans="1:18" ht="98.1" customHeight="1">
      <c r="A37" s="23"/>
      <c r="B37" s="23"/>
      <c r="C37" s="23"/>
      <c r="D37" s="23"/>
      <c r="E37" s="732" t="s">
        <v>2228</v>
      </c>
      <c r="F37" s="12" t="s">
        <v>2229</v>
      </c>
      <c r="G37" s="5" t="s">
        <v>2230</v>
      </c>
      <c r="H37" s="5" t="s">
        <v>2231</v>
      </c>
      <c r="I37" s="12" t="s">
        <v>2232</v>
      </c>
      <c r="J37" s="13" t="s">
        <v>2167</v>
      </c>
      <c r="K37" s="13" t="s">
        <v>2168</v>
      </c>
      <c r="L37" s="13"/>
      <c r="M37" s="13" t="s">
        <v>2169</v>
      </c>
      <c r="N37" s="80"/>
      <c r="O37" s="12"/>
      <c r="P37" s="13"/>
      <c r="Q37" s="228" t="s">
        <v>2170</v>
      </c>
      <c r="R37" s="744">
        <v>2</v>
      </c>
    </row>
    <row r="38" spans="1:18" ht="98.1" customHeight="1">
      <c r="A38" s="23"/>
      <c r="B38" s="23"/>
      <c r="C38" s="23"/>
      <c r="D38" s="23"/>
      <c r="E38" s="732" t="s">
        <v>2233</v>
      </c>
      <c r="F38" s="12" t="s">
        <v>2234</v>
      </c>
      <c r="G38" s="5" t="s">
        <v>2235</v>
      </c>
      <c r="H38" s="5" t="s">
        <v>2236</v>
      </c>
      <c r="I38" s="12" t="s">
        <v>2237</v>
      </c>
      <c r="J38" s="13" t="s">
        <v>2167</v>
      </c>
      <c r="K38" s="13" t="s">
        <v>2168</v>
      </c>
      <c r="L38" s="13"/>
      <c r="M38" s="13" t="s">
        <v>2169</v>
      </c>
      <c r="N38" s="80"/>
      <c r="O38" s="12"/>
      <c r="P38" s="13"/>
      <c r="Q38" s="228" t="s">
        <v>2170</v>
      </c>
      <c r="R38" s="744">
        <v>2</v>
      </c>
    </row>
    <row r="39" spans="1:18" ht="98.1" customHeight="1">
      <c r="A39" s="23"/>
      <c r="B39" s="23"/>
      <c r="C39" s="23"/>
      <c r="D39" s="23"/>
      <c r="E39" s="732" t="s">
        <v>2238</v>
      </c>
      <c r="F39" s="12" t="s">
        <v>2239</v>
      </c>
      <c r="G39" s="5" t="s">
        <v>2187</v>
      </c>
      <c r="H39" s="5" t="s">
        <v>2240</v>
      </c>
      <c r="I39" s="12" t="s">
        <v>2241</v>
      </c>
      <c r="J39" s="13" t="s">
        <v>2167</v>
      </c>
      <c r="K39" s="13" t="s">
        <v>2168</v>
      </c>
      <c r="L39" s="13" t="s">
        <v>2168</v>
      </c>
      <c r="M39" s="13" t="s">
        <v>2169</v>
      </c>
      <c r="N39" s="80"/>
      <c r="O39" s="736">
        <v>3</v>
      </c>
      <c r="P39" s="13"/>
      <c r="Q39" s="228" t="s">
        <v>2242</v>
      </c>
      <c r="R39" s="744">
        <v>2</v>
      </c>
    </row>
    <row r="40" spans="1:18" ht="98.1" customHeight="1">
      <c r="A40" s="23"/>
      <c r="B40" s="23"/>
      <c r="C40" s="23"/>
      <c r="D40" s="23"/>
      <c r="E40" s="732" t="s">
        <v>2243</v>
      </c>
      <c r="F40" s="12" t="s">
        <v>2244</v>
      </c>
      <c r="G40" s="5" t="s">
        <v>2211</v>
      </c>
      <c r="H40" s="5" t="s">
        <v>2245</v>
      </c>
      <c r="I40" s="12" t="s">
        <v>2246</v>
      </c>
      <c r="J40" s="13" t="s">
        <v>2167</v>
      </c>
      <c r="K40" s="13" t="s">
        <v>2168</v>
      </c>
      <c r="L40" s="13" t="s">
        <v>2168</v>
      </c>
      <c r="M40" s="13" t="s">
        <v>2169</v>
      </c>
      <c r="N40" s="80"/>
      <c r="O40" s="736">
        <v>3</v>
      </c>
      <c r="P40" s="13"/>
      <c r="Q40" s="228" t="s">
        <v>2242</v>
      </c>
      <c r="R40" s="744">
        <v>2</v>
      </c>
    </row>
    <row r="41" spans="1:18" ht="98.1" customHeight="1">
      <c r="A41" s="23"/>
      <c r="B41" s="23"/>
      <c r="C41" s="23"/>
      <c r="D41" s="23"/>
      <c r="E41" s="732" t="s">
        <v>2247</v>
      </c>
      <c r="F41" s="12" t="s">
        <v>2248</v>
      </c>
      <c r="G41" s="5" t="s">
        <v>2192</v>
      </c>
      <c r="H41" s="5" t="s">
        <v>2249</v>
      </c>
      <c r="I41" s="12" t="s">
        <v>2250</v>
      </c>
      <c r="J41" s="13" t="s">
        <v>2167</v>
      </c>
      <c r="K41" s="13" t="s">
        <v>2168</v>
      </c>
      <c r="L41" s="13" t="s">
        <v>2168</v>
      </c>
      <c r="M41" s="13" t="s">
        <v>2169</v>
      </c>
      <c r="N41" s="80"/>
      <c r="O41" s="736">
        <v>3</v>
      </c>
      <c r="P41" s="13"/>
      <c r="Q41" s="228" t="s">
        <v>2242</v>
      </c>
      <c r="R41" s="744">
        <v>2</v>
      </c>
    </row>
    <row r="42" spans="1:18" ht="98.1" customHeight="1">
      <c r="A42" s="23"/>
      <c r="B42" s="23"/>
      <c r="C42" s="23"/>
      <c r="D42" s="23"/>
      <c r="E42" s="732" t="s">
        <v>2251</v>
      </c>
      <c r="F42" s="12" t="s">
        <v>2252</v>
      </c>
      <c r="G42" s="5" t="s">
        <v>2206</v>
      </c>
      <c r="H42" s="5" t="s">
        <v>2253</v>
      </c>
      <c r="I42" s="12" t="s">
        <v>2254</v>
      </c>
      <c r="J42" s="13" t="s">
        <v>2167</v>
      </c>
      <c r="K42" s="13" t="s">
        <v>2168</v>
      </c>
      <c r="L42" s="13" t="s">
        <v>2168</v>
      </c>
      <c r="M42" s="13" t="s">
        <v>2169</v>
      </c>
      <c r="N42" s="80"/>
      <c r="O42" s="736">
        <v>3</v>
      </c>
      <c r="P42" s="13"/>
      <c r="Q42" s="228" t="s">
        <v>2242</v>
      </c>
      <c r="R42" s="744">
        <v>2</v>
      </c>
    </row>
    <row r="43" spans="1:18" ht="98.1" customHeight="1">
      <c r="A43" s="23"/>
      <c r="B43" s="23"/>
      <c r="C43" s="23"/>
      <c r="D43" s="23"/>
      <c r="E43" s="732" t="s">
        <v>2255</v>
      </c>
      <c r="F43" s="12" t="s">
        <v>2256</v>
      </c>
      <c r="G43" s="5" t="s">
        <v>809</v>
      </c>
      <c r="H43" s="5" t="s">
        <v>2257</v>
      </c>
      <c r="I43" s="12" t="s">
        <v>2258</v>
      </c>
      <c r="J43" s="13" t="s">
        <v>2167</v>
      </c>
      <c r="K43" s="13" t="s">
        <v>2168</v>
      </c>
      <c r="L43" s="13"/>
      <c r="M43" s="13" t="s">
        <v>2169</v>
      </c>
      <c r="N43" s="80"/>
      <c r="O43" s="12"/>
      <c r="P43" s="13"/>
      <c r="Q43" s="228" t="s">
        <v>2259</v>
      </c>
      <c r="R43" s="744">
        <v>2</v>
      </c>
    </row>
    <row r="44" spans="1:18" ht="98.1" customHeight="1">
      <c r="A44" s="23"/>
      <c r="B44" s="23"/>
      <c r="C44" s="23"/>
      <c r="D44" s="23"/>
      <c r="E44" s="732" t="s">
        <v>2260</v>
      </c>
      <c r="F44" s="12" t="s">
        <v>2261</v>
      </c>
      <c r="G44" s="5" t="s">
        <v>2230</v>
      </c>
      <c r="H44" s="5" t="s">
        <v>2262</v>
      </c>
      <c r="I44" s="12" t="s">
        <v>2263</v>
      </c>
      <c r="J44" s="13" t="s">
        <v>2167</v>
      </c>
      <c r="K44" s="13" t="s">
        <v>2168</v>
      </c>
      <c r="L44" s="13" t="s">
        <v>2168</v>
      </c>
      <c r="M44" s="13" t="s">
        <v>2169</v>
      </c>
      <c r="N44" s="80"/>
      <c r="O44" s="736">
        <v>3</v>
      </c>
      <c r="P44" s="13"/>
      <c r="Q44" s="228" t="s">
        <v>2242</v>
      </c>
      <c r="R44" s="744">
        <v>2</v>
      </c>
    </row>
    <row r="45" spans="1:18" ht="98.1" customHeight="1">
      <c r="A45" s="23"/>
      <c r="B45" s="23"/>
      <c r="C45" s="23"/>
      <c r="D45" s="23"/>
      <c r="E45" s="732" t="s">
        <v>2264</v>
      </c>
      <c r="F45" s="12" t="s">
        <v>2265</v>
      </c>
      <c r="G45" s="5" t="s">
        <v>2225</v>
      </c>
      <c r="H45" s="5" t="s">
        <v>2266</v>
      </c>
      <c r="I45" s="12" t="s">
        <v>2267</v>
      </c>
      <c r="J45" s="13" t="s">
        <v>2167</v>
      </c>
      <c r="K45" s="13" t="s">
        <v>2168</v>
      </c>
      <c r="L45" s="13" t="s">
        <v>2168</v>
      </c>
      <c r="M45" s="13" t="s">
        <v>2169</v>
      </c>
      <c r="N45" s="80"/>
      <c r="O45" s="736">
        <v>3</v>
      </c>
      <c r="P45" s="13"/>
      <c r="Q45" s="228" t="s">
        <v>2242</v>
      </c>
      <c r="R45" s="744">
        <v>2</v>
      </c>
    </row>
    <row r="46" spans="1:18" ht="98.1" customHeight="1">
      <c r="A46" s="23"/>
      <c r="B46" s="23"/>
      <c r="C46" s="23"/>
      <c r="D46" s="23"/>
      <c r="E46" s="732" t="s">
        <v>2268</v>
      </c>
      <c r="F46" s="12" t="s">
        <v>2269</v>
      </c>
      <c r="G46" s="5" t="s">
        <v>2216</v>
      </c>
      <c r="H46" s="5" t="s">
        <v>2270</v>
      </c>
      <c r="I46" s="12" t="s">
        <v>2271</v>
      </c>
      <c r="J46" s="13" t="s">
        <v>2167</v>
      </c>
      <c r="K46" s="13" t="s">
        <v>2168</v>
      </c>
      <c r="L46" s="13" t="s">
        <v>2168</v>
      </c>
      <c r="M46" s="13" t="s">
        <v>2169</v>
      </c>
      <c r="N46" s="80"/>
      <c r="O46" s="736">
        <v>3</v>
      </c>
      <c r="P46" s="13"/>
      <c r="Q46" s="228" t="s">
        <v>2242</v>
      </c>
      <c r="R46" s="744">
        <v>2</v>
      </c>
    </row>
    <row r="47" spans="1:18" ht="98.1" customHeight="1">
      <c r="A47" s="23"/>
      <c r="B47" s="23"/>
      <c r="C47" s="23"/>
      <c r="D47" s="23"/>
      <c r="E47" s="732" t="s">
        <v>2272</v>
      </c>
      <c r="F47" s="12" t="s">
        <v>2273</v>
      </c>
      <c r="G47" s="5" t="s">
        <v>2235</v>
      </c>
      <c r="H47" s="5" t="s">
        <v>2274</v>
      </c>
      <c r="I47" s="12" t="s">
        <v>2275</v>
      </c>
      <c r="J47" s="13" t="s">
        <v>2167</v>
      </c>
      <c r="K47" s="13" t="s">
        <v>2168</v>
      </c>
      <c r="L47" s="13" t="s">
        <v>2168</v>
      </c>
      <c r="M47" s="13" t="s">
        <v>2169</v>
      </c>
      <c r="N47" s="80"/>
      <c r="O47" s="736">
        <v>3</v>
      </c>
      <c r="P47" s="13"/>
      <c r="Q47" s="228" t="s">
        <v>2242</v>
      </c>
      <c r="R47" s="744">
        <v>2</v>
      </c>
    </row>
    <row r="48" spans="1:18" ht="98.1" customHeight="1">
      <c r="A48" s="23"/>
      <c r="B48" s="23"/>
      <c r="C48" s="23"/>
      <c r="D48" s="23"/>
      <c r="E48" s="732" t="s">
        <v>2276</v>
      </c>
      <c r="F48" s="12" t="s">
        <v>2277</v>
      </c>
      <c r="G48" s="5" t="s">
        <v>2192</v>
      </c>
      <c r="H48" s="5" t="s">
        <v>2278</v>
      </c>
      <c r="I48" s="12" t="s">
        <v>2279</v>
      </c>
      <c r="J48" s="13" t="s">
        <v>2167</v>
      </c>
      <c r="K48" s="13" t="s">
        <v>2168</v>
      </c>
      <c r="L48" s="13" t="s">
        <v>2168</v>
      </c>
      <c r="M48" s="13" t="s">
        <v>2169</v>
      </c>
      <c r="N48" s="80"/>
      <c r="O48" s="736">
        <v>3</v>
      </c>
      <c r="P48" s="13"/>
      <c r="Q48" s="228" t="s">
        <v>2184</v>
      </c>
      <c r="R48" s="744">
        <v>2</v>
      </c>
    </row>
    <row r="49" spans="1:18" ht="98.1" customHeight="1">
      <c r="A49" s="23"/>
      <c r="B49" s="23"/>
      <c r="C49" s="23"/>
      <c r="D49" s="23"/>
      <c r="E49" s="732" t="s">
        <v>2280</v>
      </c>
      <c r="F49" s="12" t="s">
        <v>2281</v>
      </c>
      <c r="G49" s="5" t="s">
        <v>2197</v>
      </c>
      <c r="H49" s="5" t="s">
        <v>2282</v>
      </c>
      <c r="I49" s="12" t="s">
        <v>2283</v>
      </c>
      <c r="J49" s="13" t="s">
        <v>2167</v>
      </c>
      <c r="K49" s="13" t="s">
        <v>2168</v>
      </c>
      <c r="L49" s="13" t="s">
        <v>2168</v>
      </c>
      <c r="M49" s="13" t="s">
        <v>2169</v>
      </c>
      <c r="N49" s="80"/>
      <c r="O49" s="736">
        <v>3</v>
      </c>
      <c r="P49" s="13"/>
      <c r="Q49" s="228" t="s">
        <v>2242</v>
      </c>
      <c r="R49" s="744">
        <v>2</v>
      </c>
    </row>
    <row r="50" spans="1:18" ht="98.1" customHeight="1">
      <c r="A50" s="23"/>
      <c r="B50" s="23"/>
      <c r="C50" s="23"/>
      <c r="D50" s="23"/>
      <c r="E50" s="732" t="s">
        <v>2284</v>
      </c>
      <c r="F50" s="12" t="s">
        <v>2285</v>
      </c>
      <c r="G50" s="5" t="s">
        <v>331</v>
      </c>
      <c r="H50" s="5" t="s">
        <v>2286</v>
      </c>
      <c r="I50" s="12" t="s">
        <v>2287</v>
      </c>
      <c r="J50" s="13" t="s">
        <v>2167</v>
      </c>
      <c r="K50" s="13" t="s">
        <v>2168</v>
      </c>
      <c r="L50" s="13" t="s">
        <v>2168</v>
      </c>
      <c r="M50" s="13" t="s">
        <v>2169</v>
      </c>
      <c r="N50" s="80"/>
      <c r="O50" s="736">
        <v>3</v>
      </c>
      <c r="P50" s="13"/>
      <c r="Q50" s="228" t="s">
        <v>2242</v>
      </c>
      <c r="R50" s="744">
        <v>2</v>
      </c>
    </row>
    <row r="51" spans="1:18" ht="98.1" customHeight="1">
      <c r="A51" s="23"/>
      <c r="B51" s="23"/>
      <c r="C51" s="23"/>
      <c r="D51" s="23"/>
      <c r="E51" s="732" t="s">
        <v>2288</v>
      </c>
      <c r="F51" s="12" t="s">
        <v>2289</v>
      </c>
      <c r="G51" s="5" t="s">
        <v>2173</v>
      </c>
      <c r="H51" s="5" t="s">
        <v>2290</v>
      </c>
      <c r="I51" s="12" t="s">
        <v>2291</v>
      </c>
      <c r="J51" s="13" t="s">
        <v>2167</v>
      </c>
      <c r="K51" s="13" t="s">
        <v>2168</v>
      </c>
      <c r="L51" s="13" t="s">
        <v>2168</v>
      </c>
      <c r="M51" s="13" t="s">
        <v>2169</v>
      </c>
      <c r="N51" s="80"/>
      <c r="O51" s="736">
        <v>3</v>
      </c>
      <c r="P51" s="13"/>
      <c r="Q51" s="228" t="s">
        <v>2242</v>
      </c>
      <c r="R51" s="744">
        <v>2</v>
      </c>
    </row>
    <row r="52" spans="1:18" ht="98.1" customHeight="1">
      <c r="A52" s="23"/>
      <c r="B52" s="23"/>
      <c r="C52" s="23"/>
      <c r="D52" s="23"/>
      <c r="E52" s="732" t="s">
        <v>2292</v>
      </c>
      <c r="F52" s="12" t="s">
        <v>2293</v>
      </c>
      <c r="G52" s="5" t="s">
        <v>809</v>
      </c>
      <c r="H52" s="5" t="s">
        <v>2294</v>
      </c>
      <c r="I52" s="12" t="s">
        <v>2295</v>
      </c>
      <c r="J52" s="13" t="s">
        <v>2167</v>
      </c>
      <c r="K52" s="13" t="s">
        <v>2168</v>
      </c>
      <c r="L52" s="13" t="s">
        <v>2168</v>
      </c>
      <c r="M52" s="13" t="s">
        <v>2169</v>
      </c>
      <c r="N52" s="80"/>
      <c r="O52" s="736">
        <v>3</v>
      </c>
      <c r="P52" s="13"/>
      <c r="Q52" s="228" t="s">
        <v>2242</v>
      </c>
      <c r="R52" s="744">
        <v>2</v>
      </c>
    </row>
    <row r="53" spans="1:18" ht="98.1" customHeight="1">
      <c r="A53" s="23"/>
      <c r="B53" s="23"/>
      <c r="C53" s="23"/>
      <c r="D53" s="23"/>
      <c r="E53" s="732" t="s">
        <v>2296</v>
      </c>
      <c r="F53" s="12" t="s">
        <v>2297</v>
      </c>
      <c r="G53" s="5" t="s">
        <v>2187</v>
      </c>
      <c r="H53" s="5" t="s">
        <v>2298</v>
      </c>
      <c r="I53" s="12" t="s">
        <v>2299</v>
      </c>
      <c r="J53" s="13" t="s">
        <v>2167</v>
      </c>
      <c r="K53" s="13" t="s">
        <v>2168</v>
      </c>
      <c r="L53" s="13" t="s">
        <v>2168</v>
      </c>
      <c r="M53" s="13" t="s">
        <v>2169</v>
      </c>
      <c r="N53" s="80"/>
      <c r="O53" s="736">
        <v>3</v>
      </c>
      <c r="P53" s="13"/>
      <c r="Q53" s="228" t="s">
        <v>2184</v>
      </c>
      <c r="R53" s="744">
        <v>2</v>
      </c>
    </row>
    <row r="54" spans="1:18" ht="98.1" customHeight="1">
      <c r="A54" s="23"/>
      <c r="B54" s="23"/>
      <c r="C54" s="23"/>
      <c r="D54" s="23"/>
      <c r="E54" s="732" t="s">
        <v>2300</v>
      </c>
      <c r="F54" s="12" t="s">
        <v>2301</v>
      </c>
      <c r="G54" s="5" t="s">
        <v>2211</v>
      </c>
      <c r="H54" s="5" t="s">
        <v>2302</v>
      </c>
      <c r="I54" s="12" t="s">
        <v>2303</v>
      </c>
      <c r="J54" s="13" t="s">
        <v>2167</v>
      </c>
      <c r="K54" s="13" t="s">
        <v>2168</v>
      </c>
      <c r="L54" s="13" t="s">
        <v>2168</v>
      </c>
      <c r="M54" s="13" t="s">
        <v>2169</v>
      </c>
      <c r="N54" s="80"/>
      <c r="O54" s="736">
        <v>3</v>
      </c>
      <c r="P54" s="13"/>
      <c r="Q54" s="228" t="s">
        <v>2184</v>
      </c>
      <c r="R54" s="744">
        <v>2</v>
      </c>
    </row>
    <row r="55" spans="1:18" ht="98.1" customHeight="1">
      <c r="A55" s="23"/>
      <c r="B55" s="23"/>
      <c r="C55" s="23"/>
      <c r="D55" s="23"/>
      <c r="E55" s="732" t="s">
        <v>2304</v>
      </c>
      <c r="F55" s="12" t="s">
        <v>2305</v>
      </c>
      <c r="G55" s="5" t="s">
        <v>331</v>
      </c>
      <c r="H55" s="5" t="s">
        <v>2306</v>
      </c>
      <c r="I55" s="12" t="s">
        <v>2307</v>
      </c>
      <c r="J55" s="13" t="s">
        <v>2167</v>
      </c>
      <c r="K55" s="13" t="s">
        <v>2168</v>
      </c>
      <c r="L55" s="13" t="s">
        <v>2168</v>
      </c>
      <c r="M55" s="13" t="s">
        <v>2169</v>
      </c>
      <c r="N55" s="80"/>
      <c r="O55" s="736">
        <v>3</v>
      </c>
      <c r="P55" s="13"/>
      <c r="Q55" s="228" t="s">
        <v>2308</v>
      </c>
      <c r="R55" s="744">
        <v>2</v>
      </c>
    </row>
    <row r="56" spans="1:18" ht="98.1" customHeight="1">
      <c r="A56" s="23"/>
      <c r="B56" s="23"/>
      <c r="C56" s="23"/>
      <c r="D56" s="23"/>
      <c r="E56" s="732" t="s">
        <v>2309</v>
      </c>
      <c r="F56" s="12" t="s">
        <v>2310</v>
      </c>
      <c r="G56" s="5" t="s">
        <v>2211</v>
      </c>
      <c r="H56" s="5" t="s">
        <v>2311</v>
      </c>
      <c r="I56" s="12" t="s">
        <v>2312</v>
      </c>
      <c r="J56" s="13" t="s">
        <v>2167</v>
      </c>
      <c r="K56" s="13" t="s">
        <v>2168</v>
      </c>
      <c r="L56" s="13" t="s">
        <v>2168</v>
      </c>
      <c r="M56" s="13" t="s">
        <v>2169</v>
      </c>
      <c r="N56" s="80"/>
      <c r="O56" s="736">
        <v>3</v>
      </c>
      <c r="P56" s="13"/>
      <c r="Q56" s="228" t="s">
        <v>2308</v>
      </c>
      <c r="R56" s="744">
        <v>2</v>
      </c>
    </row>
    <row r="57" spans="1:18" ht="98.1" customHeight="1">
      <c r="A57" s="23"/>
      <c r="B57" s="23"/>
      <c r="C57" s="23"/>
      <c r="D57" s="23"/>
      <c r="E57" s="732" t="s">
        <v>2313</v>
      </c>
      <c r="F57" s="12" t="s">
        <v>2314</v>
      </c>
      <c r="G57" s="5" t="s">
        <v>2235</v>
      </c>
      <c r="H57" s="5" t="s">
        <v>2315</v>
      </c>
      <c r="I57" s="12" t="s">
        <v>2316</v>
      </c>
      <c r="J57" s="13" t="s">
        <v>2167</v>
      </c>
      <c r="K57" s="13" t="s">
        <v>2168</v>
      </c>
      <c r="L57" s="13" t="s">
        <v>2168</v>
      </c>
      <c r="M57" s="13" t="s">
        <v>2169</v>
      </c>
      <c r="N57" s="80"/>
      <c r="O57" s="736">
        <v>3</v>
      </c>
      <c r="P57" s="13"/>
      <c r="Q57" s="228" t="s">
        <v>2308</v>
      </c>
      <c r="R57" s="744">
        <v>2</v>
      </c>
    </row>
    <row r="58" spans="1:18" ht="98.1" customHeight="1">
      <c r="A58" s="23"/>
      <c r="B58" s="23"/>
      <c r="C58" s="23"/>
      <c r="D58" s="23"/>
      <c r="E58" s="732" t="s">
        <v>2317</v>
      </c>
      <c r="F58" s="12" t="s">
        <v>2318</v>
      </c>
      <c r="G58" s="5" t="s">
        <v>2187</v>
      </c>
      <c r="H58" s="5" t="s">
        <v>2319</v>
      </c>
      <c r="I58" s="12" t="s">
        <v>2320</v>
      </c>
      <c r="J58" s="13" t="s">
        <v>2167</v>
      </c>
      <c r="K58" s="13" t="s">
        <v>2168</v>
      </c>
      <c r="L58" s="13" t="s">
        <v>2168</v>
      </c>
      <c r="M58" s="13" t="s">
        <v>2169</v>
      </c>
      <c r="N58" s="80"/>
      <c r="O58" s="736">
        <v>3</v>
      </c>
      <c r="P58" s="13"/>
      <c r="Q58" s="228" t="s">
        <v>2308</v>
      </c>
      <c r="R58" s="744">
        <v>2</v>
      </c>
    </row>
    <row r="59" spans="1:18" ht="98.1" customHeight="1">
      <c r="A59" s="23"/>
      <c r="B59" s="23"/>
      <c r="C59" s="23"/>
      <c r="D59" s="23"/>
      <c r="E59" s="732" t="s">
        <v>2321</v>
      </c>
      <c r="F59" s="12" t="s">
        <v>2322</v>
      </c>
      <c r="G59" s="5" t="s">
        <v>2192</v>
      </c>
      <c r="H59" s="5" t="s">
        <v>2323</v>
      </c>
      <c r="I59" s="12" t="s">
        <v>2324</v>
      </c>
      <c r="J59" s="13" t="s">
        <v>2167</v>
      </c>
      <c r="K59" s="13" t="s">
        <v>2168</v>
      </c>
      <c r="L59" s="13" t="s">
        <v>2168</v>
      </c>
      <c r="M59" s="13" t="s">
        <v>2169</v>
      </c>
      <c r="N59" s="80"/>
      <c r="O59" s="736">
        <v>3</v>
      </c>
      <c r="P59" s="13"/>
      <c r="Q59" s="228" t="s">
        <v>2308</v>
      </c>
      <c r="R59" s="744">
        <v>2</v>
      </c>
    </row>
    <row r="60" spans="1:18" ht="98.1" customHeight="1">
      <c r="A60" s="23"/>
      <c r="B60" s="23"/>
      <c r="C60" s="23"/>
      <c r="D60" s="23"/>
      <c r="E60" s="732" t="s">
        <v>2325</v>
      </c>
      <c r="F60" s="12" t="s">
        <v>2326</v>
      </c>
      <c r="G60" s="5" t="s">
        <v>2206</v>
      </c>
      <c r="H60" s="5" t="s">
        <v>2327</v>
      </c>
      <c r="I60" s="12" t="s">
        <v>2328</v>
      </c>
      <c r="J60" s="13" t="s">
        <v>2167</v>
      </c>
      <c r="K60" s="13" t="s">
        <v>2168</v>
      </c>
      <c r="L60" s="13" t="s">
        <v>2168</v>
      </c>
      <c r="M60" s="13" t="s">
        <v>2169</v>
      </c>
      <c r="N60" s="80"/>
      <c r="O60" s="736">
        <v>3</v>
      </c>
      <c r="P60" s="13"/>
      <c r="Q60" s="228" t="s">
        <v>2308</v>
      </c>
      <c r="R60" s="744">
        <v>2</v>
      </c>
    </row>
    <row r="61" spans="1:18" ht="98.1" customHeight="1">
      <c r="A61" s="23"/>
      <c r="B61" s="23"/>
      <c r="C61" s="23"/>
      <c r="D61" s="23"/>
      <c r="E61" s="732" t="s">
        <v>2329</v>
      </c>
      <c r="F61" s="12" t="s">
        <v>2330</v>
      </c>
      <c r="G61" s="5" t="s">
        <v>2230</v>
      </c>
      <c r="H61" s="5" t="s">
        <v>2331</v>
      </c>
      <c r="I61" s="12" t="s">
        <v>2332</v>
      </c>
      <c r="J61" s="13" t="s">
        <v>2167</v>
      </c>
      <c r="K61" s="13" t="s">
        <v>2168</v>
      </c>
      <c r="L61" s="13" t="s">
        <v>2168</v>
      </c>
      <c r="M61" s="13" t="s">
        <v>2169</v>
      </c>
      <c r="N61" s="80"/>
      <c r="O61" s="736">
        <v>3</v>
      </c>
      <c r="P61" s="13"/>
      <c r="Q61" s="228" t="s">
        <v>2308</v>
      </c>
      <c r="R61" s="744">
        <v>2</v>
      </c>
    </row>
    <row r="62" spans="1:18" ht="98.1" customHeight="1">
      <c r="A62" s="23"/>
      <c r="B62" s="23"/>
      <c r="C62" s="23"/>
      <c r="D62" s="23"/>
      <c r="E62" s="732" t="s">
        <v>2333</v>
      </c>
      <c r="F62" s="12" t="s">
        <v>2334</v>
      </c>
      <c r="G62" s="5" t="s">
        <v>2216</v>
      </c>
      <c r="H62" s="5" t="s">
        <v>2335</v>
      </c>
      <c r="I62" s="12" t="s">
        <v>2336</v>
      </c>
      <c r="J62" s="13" t="s">
        <v>2167</v>
      </c>
      <c r="K62" s="13" t="s">
        <v>2168</v>
      </c>
      <c r="L62" s="13" t="s">
        <v>2168</v>
      </c>
      <c r="M62" s="13" t="s">
        <v>2169</v>
      </c>
      <c r="N62" s="80"/>
      <c r="O62" s="736">
        <v>3</v>
      </c>
      <c r="P62" s="13"/>
      <c r="Q62" s="228" t="s">
        <v>2308</v>
      </c>
      <c r="R62" s="744">
        <v>2</v>
      </c>
    </row>
    <row r="63" spans="1:18" ht="98.1" customHeight="1">
      <c r="A63" s="23"/>
      <c r="B63" s="23"/>
      <c r="C63" s="23"/>
      <c r="D63" s="23"/>
      <c r="E63" s="732" t="s">
        <v>2337</v>
      </c>
      <c r="F63" s="12" t="s">
        <v>2338</v>
      </c>
      <c r="G63" s="5" t="s">
        <v>2225</v>
      </c>
      <c r="H63" s="5" t="s">
        <v>2339</v>
      </c>
      <c r="I63" s="12" t="s">
        <v>2340</v>
      </c>
      <c r="J63" s="13" t="s">
        <v>2167</v>
      </c>
      <c r="K63" s="13" t="s">
        <v>2168</v>
      </c>
      <c r="L63" s="13" t="s">
        <v>2168</v>
      </c>
      <c r="M63" s="13" t="s">
        <v>2169</v>
      </c>
      <c r="N63" s="80"/>
      <c r="O63" s="736">
        <v>3</v>
      </c>
      <c r="P63" s="13"/>
      <c r="Q63" s="228" t="s">
        <v>2308</v>
      </c>
      <c r="R63" s="744">
        <v>2</v>
      </c>
    </row>
    <row r="64" spans="1:18" ht="98.1" customHeight="1">
      <c r="A64" s="23"/>
      <c r="B64" s="23"/>
      <c r="C64" s="23"/>
      <c r="D64" s="23"/>
      <c r="E64" s="732" t="s">
        <v>2341</v>
      </c>
      <c r="F64" s="12" t="s">
        <v>2342</v>
      </c>
      <c r="G64" s="5" t="s">
        <v>2197</v>
      </c>
      <c r="H64" s="5" t="s">
        <v>2343</v>
      </c>
      <c r="I64" s="12" t="s">
        <v>2344</v>
      </c>
      <c r="J64" s="13" t="s">
        <v>2167</v>
      </c>
      <c r="K64" s="13" t="s">
        <v>2168</v>
      </c>
      <c r="L64" s="13" t="s">
        <v>2168</v>
      </c>
      <c r="M64" s="13" t="s">
        <v>2169</v>
      </c>
      <c r="N64" s="80"/>
      <c r="O64" s="736">
        <v>3</v>
      </c>
      <c r="P64" s="13"/>
      <c r="Q64" s="228" t="s">
        <v>2308</v>
      </c>
      <c r="R64" s="744">
        <v>2</v>
      </c>
    </row>
    <row r="65" spans="1:18" ht="98.1" customHeight="1">
      <c r="A65" s="23"/>
      <c r="B65" s="23"/>
      <c r="C65" s="23"/>
      <c r="D65" s="23"/>
      <c r="E65" s="732" t="s">
        <v>2345</v>
      </c>
      <c r="F65" s="12" t="s">
        <v>2346</v>
      </c>
      <c r="G65" s="5" t="s">
        <v>2173</v>
      </c>
      <c r="H65" s="5" t="s">
        <v>2347</v>
      </c>
      <c r="I65" s="12" t="s">
        <v>2348</v>
      </c>
      <c r="J65" s="13" t="s">
        <v>2167</v>
      </c>
      <c r="K65" s="13" t="s">
        <v>2168</v>
      </c>
      <c r="L65" s="13" t="s">
        <v>2168</v>
      </c>
      <c r="M65" s="13" t="s">
        <v>2169</v>
      </c>
      <c r="N65" s="80"/>
      <c r="O65" s="736">
        <v>3</v>
      </c>
      <c r="P65" s="13"/>
      <c r="Q65" s="228" t="s">
        <v>2308</v>
      </c>
      <c r="R65" s="744">
        <v>2</v>
      </c>
    </row>
    <row r="66" spans="1:18" ht="38.1" customHeight="1">
      <c r="A66" s="23"/>
      <c r="B66" s="23"/>
      <c r="C66" s="23"/>
      <c r="D66" s="23"/>
      <c r="E66" s="731" t="s">
        <v>2349</v>
      </c>
      <c r="F66" s="12" t="s">
        <v>2350</v>
      </c>
      <c r="G66" s="605" t="s">
        <v>745</v>
      </c>
      <c r="H66" s="5" t="s">
        <v>2351</v>
      </c>
      <c r="I66" s="13" t="s">
        <v>2352</v>
      </c>
      <c r="J66" s="13" t="s">
        <v>2167</v>
      </c>
      <c r="K66" s="13" t="s">
        <v>2168</v>
      </c>
      <c r="L66" s="13"/>
      <c r="M66" s="13" t="s">
        <v>2353</v>
      </c>
      <c r="N66" s="13"/>
      <c r="O66" s="12"/>
      <c r="P66" s="13"/>
      <c r="Q66" s="228" t="s">
        <v>2354</v>
      </c>
      <c r="R66" s="744">
        <v>2</v>
      </c>
    </row>
    <row r="67" spans="1:18" ht="38.1" customHeight="1">
      <c r="A67" s="23"/>
      <c r="B67" s="23"/>
      <c r="C67" s="23"/>
      <c r="D67" s="23"/>
      <c r="E67" s="731" t="s">
        <v>2355</v>
      </c>
      <c r="F67" s="12" t="s">
        <v>2356</v>
      </c>
      <c r="G67" s="605" t="s">
        <v>745</v>
      </c>
      <c r="H67" s="5" t="s">
        <v>2357</v>
      </c>
      <c r="I67" s="13" t="s">
        <v>2352</v>
      </c>
      <c r="J67" s="13" t="s">
        <v>2167</v>
      </c>
      <c r="K67" s="13" t="s">
        <v>2168</v>
      </c>
      <c r="L67" s="13"/>
      <c r="M67" s="13" t="s">
        <v>2353</v>
      </c>
      <c r="N67" s="13"/>
      <c r="O67" s="12"/>
      <c r="P67" s="13"/>
      <c r="Q67" s="228" t="s">
        <v>2354</v>
      </c>
      <c r="R67" s="744">
        <v>2</v>
      </c>
    </row>
    <row r="68" spans="1:18" ht="38.1" customHeight="1">
      <c r="A68" s="23"/>
      <c r="B68" s="23"/>
      <c r="C68" s="23"/>
      <c r="D68" s="23"/>
      <c r="E68" s="731" t="s">
        <v>2358</v>
      </c>
      <c r="F68" s="736" t="s">
        <v>2359</v>
      </c>
      <c r="G68" s="605" t="s">
        <v>745</v>
      </c>
      <c r="H68" s="5" t="s">
        <v>2360</v>
      </c>
      <c r="I68" s="13" t="s">
        <v>2361</v>
      </c>
      <c r="J68" s="13" t="s">
        <v>2167</v>
      </c>
      <c r="K68" s="13" t="s">
        <v>2168</v>
      </c>
      <c r="L68" s="13"/>
      <c r="M68" s="13" t="s">
        <v>2353</v>
      </c>
      <c r="N68" s="13"/>
      <c r="O68" s="12"/>
      <c r="P68" s="13"/>
      <c r="Q68" s="228" t="s">
        <v>2354</v>
      </c>
      <c r="R68" s="744">
        <v>2</v>
      </c>
    </row>
    <row r="69" spans="1:18" ht="38.1" customHeight="1">
      <c r="A69" s="23"/>
      <c r="B69" s="23"/>
      <c r="C69" s="23"/>
      <c r="D69" s="23"/>
      <c r="E69" s="731" t="s">
        <v>2362</v>
      </c>
      <c r="F69" s="736" t="s">
        <v>2363</v>
      </c>
      <c r="G69" s="605" t="s">
        <v>745</v>
      </c>
      <c r="H69" s="5" t="s">
        <v>2364</v>
      </c>
      <c r="I69" s="13" t="s">
        <v>2361</v>
      </c>
      <c r="J69" s="13" t="s">
        <v>2167</v>
      </c>
      <c r="K69" s="13" t="s">
        <v>2168</v>
      </c>
      <c r="L69" s="13"/>
      <c r="M69" s="13" t="s">
        <v>2353</v>
      </c>
      <c r="N69" s="13"/>
      <c r="O69" s="12"/>
      <c r="P69" s="13"/>
      <c r="Q69" s="228" t="s">
        <v>2354</v>
      </c>
      <c r="R69" s="744">
        <v>2</v>
      </c>
    </row>
    <row r="70" spans="1:18" ht="38.1" customHeight="1">
      <c r="A70" s="23"/>
      <c r="B70" s="23"/>
      <c r="C70" s="23"/>
      <c r="D70" s="23"/>
      <c r="E70" s="731" t="s">
        <v>2365</v>
      </c>
      <c r="F70" s="12" t="s">
        <v>2366</v>
      </c>
      <c r="G70" s="605" t="s">
        <v>745</v>
      </c>
      <c r="H70" s="5" t="s">
        <v>2367</v>
      </c>
      <c r="I70" s="13" t="s">
        <v>2368</v>
      </c>
      <c r="J70" s="13" t="s">
        <v>2167</v>
      </c>
      <c r="K70" s="13" t="s">
        <v>2168</v>
      </c>
      <c r="L70" s="13"/>
      <c r="M70" s="13" t="s">
        <v>2353</v>
      </c>
      <c r="N70" s="13"/>
      <c r="O70" s="12"/>
      <c r="P70" s="13"/>
      <c r="Q70" s="228" t="s">
        <v>2354</v>
      </c>
      <c r="R70" s="744">
        <v>2</v>
      </c>
    </row>
    <row r="71" spans="1:18" ht="38.1" customHeight="1">
      <c r="A71" s="23"/>
      <c r="B71" s="23"/>
      <c r="C71" s="23"/>
      <c r="D71" s="23"/>
      <c r="E71" s="857" t="s">
        <v>2369</v>
      </c>
      <c r="F71" s="870" t="s">
        <v>2370</v>
      </c>
      <c r="G71" s="871" t="s">
        <v>745</v>
      </c>
      <c r="H71" s="857" t="s">
        <v>2371</v>
      </c>
      <c r="I71" s="858" t="s">
        <v>2372</v>
      </c>
      <c r="J71" s="858" t="s">
        <v>2095</v>
      </c>
      <c r="K71" s="858" t="s">
        <v>2096</v>
      </c>
      <c r="L71" s="858" t="s">
        <v>2095</v>
      </c>
      <c r="M71" s="858" t="s">
        <v>2353</v>
      </c>
      <c r="N71" s="858"/>
      <c r="O71" s="870">
        <v>0</v>
      </c>
      <c r="P71" s="858"/>
      <c r="Q71" s="872" t="s">
        <v>2354</v>
      </c>
      <c r="R71" s="858">
        <v>2</v>
      </c>
    </row>
    <row r="72" spans="1:18" ht="38.1" customHeight="1">
      <c r="A72" s="23"/>
      <c r="B72" s="23"/>
      <c r="C72" s="23"/>
      <c r="D72" s="23"/>
      <c r="E72" s="731" t="s">
        <v>2373</v>
      </c>
      <c r="F72" s="12" t="s">
        <v>2374</v>
      </c>
      <c r="G72" s="605" t="s">
        <v>745</v>
      </c>
      <c r="H72" s="5" t="s">
        <v>2375</v>
      </c>
      <c r="I72" s="13" t="s">
        <v>2372</v>
      </c>
      <c r="J72" s="13" t="s">
        <v>2167</v>
      </c>
      <c r="K72" s="13" t="s">
        <v>2168</v>
      </c>
      <c r="L72" s="13"/>
      <c r="M72" s="13" t="s">
        <v>2353</v>
      </c>
      <c r="N72" s="13"/>
      <c r="O72" s="12"/>
      <c r="P72" s="13"/>
      <c r="Q72" s="228" t="s">
        <v>2354</v>
      </c>
      <c r="R72" s="744">
        <v>2</v>
      </c>
    </row>
    <row r="73" spans="1:18" ht="38.1" customHeight="1">
      <c r="A73" s="23"/>
      <c r="B73" s="23"/>
      <c r="C73" s="23"/>
      <c r="D73" s="23"/>
      <c r="E73" s="731" t="s">
        <v>2376</v>
      </c>
      <c r="F73" s="12" t="s">
        <v>2377</v>
      </c>
      <c r="G73" s="605" t="s">
        <v>745</v>
      </c>
      <c r="H73" s="5" t="s">
        <v>2378</v>
      </c>
      <c r="I73" s="13" t="s">
        <v>2372</v>
      </c>
      <c r="J73" s="13" t="s">
        <v>2167</v>
      </c>
      <c r="K73" s="13" t="s">
        <v>2168</v>
      </c>
      <c r="L73" s="13"/>
      <c r="M73" s="13" t="s">
        <v>2353</v>
      </c>
      <c r="N73" s="13"/>
      <c r="O73" s="12"/>
      <c r="P73" s="13"/>
      <c r="Q73" s="228" t="s">
        <v>2354</v>
      </c>
      <c r="R73" s="744">
        <v>2</v>
      </c>
    </row>
    <row r="74" spans="1:18" ht="38.1" customHeight="1">
      <c r="A74" s="23"/>
      <c r="B74" s="23"/>
      <c r="C74" s="23"/>
      <c r="D74" s="23"/>
      <c r="E74" s="731" t="s">
        <v>2379</v>
      </c>
      <c r="F74" s="736" t="s">
        <v>2380</v>
      </c>
      <c r="G74" s="605" t="s">
        <v>745</v>
      </c>
      <c r="H74" s="5" t="s">
        <v>2381</v>
      </c>
      <c r="I74" s="13" t="s">
        <v>2382</v>
      </c>
      <c r="J74" s="13" t="s">
        <v>2167</v>
      </c>
      <c r="K74" s="13" t="s">
        <v>2168</v>
      </c>
      <c r="L74" s="13"/>
      <c r="M74" s="13" t="s">
        <v>2353</v>
      </c>
      <c r="N74" s="13"/>
      <c r="O74" s="12"/>
      <c r="P74" s="13"/>
      <c r="Q74" s="228" t="s">
        <v>2354</v>
      </c>
      <c r="R74" s="744">
        <v>2</v>
      </c>
    </row>
    <row r="75" spans="1:18" ht="38.1" customHeight="1">
      <c r="A75" s="23"/>
      <c r="B75" s="23"/>
      <c r="C75" s="23"/>
      <c r="D75" s="23"/>
      <c r="E75" s="731" t="s">
        <v>2383</v>
      </c>
      <c r="F75" s="736" t="s">
        <v>2384</v>
      </c>
      <c r="G75" s="605" t="s">
        <v>745</v>
      </c>
      <c r="H75" s="5" t="s">
        <v>2385</v>
      </c>
      <c r="I75" s="13" t="s">
        <v>2382</v>
      </c>
      <c r="J75" s="13" t="s">
        <v>2167</v>
      </c>
      <c r="K75" s="13" t="s">
        <v>2168</v>
      </c>
      <c r="L75" s="13"/>
      <c r="M75" s="13" t="s">
        <v>2353</v>
      </c>
      <c r="N75" s="13"/>
      <c r="O75" s="12"/>
      <c r="P75" s="13"/>
      <c r="Q75" s="228" t="s">
        <v>2354</v>
      </c>
      <c r="R75" s="744">
        <v>2</v>
      </c>
    </row>
    <row r="76" spans="1:18" ht="38.1" customHeight="1">
      <c r="A76" s="23"/>
      <c r="B76" s="23"/>
      <c r="C76" s="23"/>
      <c r="D76" s="23"/>
      <c r="E76" s="731" t="s">
        <v>2386</v>
      </c>
      <c r="F76" s="12" t="s">
        <v>2387</v>
      </c>
      <c r="G76" s="605" t="s">
        <v>745</v>
      </c>
      <c r="H76" s="5" t="s">
        <v>2388</v>
      </c>
      <c r="I76" s="13" t="s">
        <v>2389</v>
      </c>
      <c r="J76" s="13" t="s">
        <v>2167</v>
      </c>
      <c r="K76" s="13" t="s">
        <v>2168</v>
      </c>
      <c r="L76" s="13"/>
      <c r="M76" s="13" t="s">
        <v>2353</v>
      </c>
      <c r="N76" s="13"/>
      <c r="O76" s="12"/>
      <c r="P76" s="13"/>
      <c r="Q76" s="228" t="s">
        <v>2354</v>
      </c>
      <c r="R76" s="744">
        <v>2</v>
      </c>
    </row>
    <row r="77" spans="1:18" ht="38.1" customHeight="1">
      <c r="A77" s="23"/>
      <c r="B77" s="23"/>
      <c r="C77" s="23"/>
      <c r="D77" s="23"/>
      <c r="E77" s="731" t="s">
        <v>2390</v>
      </c>
      <c r="F77" s="12" t="s">
        <v>2391</v>
      </c>
      <c r="G77" s="605" t="s">
        <v>745</v>
      </c>
      <c r="H77" s="5" t="s">
        <v>2392</v>
      </c>
      <c r="I77" s="13" t="s">
        <v>2393</v>
      </c>
      <c r="J77" s="13" t="s">
        <v>2167</v>
      </c>
      <c r="K77" s="13" t="s">
        <v>2168</v>
      </c>
      <c r="L77" s="13"/>
      <c r="M77" s="13" t="s">
        <v>2353</v>
      </c>
      <c r="N77" s="13"/>
      <c r="O77" s="12"/>
      <c r="P77" s="13"/>
      <c r="Q77" s="228" t="s">
        <v>2354</v>
      </c>
      <c r="R77" s="744">
        <v>2</v>
      </c>
    </row>
    <row r="78" spans="1:18" ht="38.1" customHeight="1">
      <c r="A78" s="23"/>
      <c r="B78" s="23"/>
      <c r="C78" s="23"/>
      <c r="D78" s="23"/>
      <c r="E78" s="731" t="s">
        <v>2394</v>
      </c>
      <c r="F78" s="12" t="s">
        <v>2395</v>
      </c>
      <c r="G78" s="605" t="s">
        <v>745</v>
      </c>
      <c r="H78" s="5" t="s">
        <v>2396</v>
      </c>
      <c r="I78" s="13" t="s">
        <v>2397</v>
      </c>
      <c r="J78" s="13" t="s">
        <v>2095</v>
      </c>
      <c r="K78" s="13" t="s">
        <v>2096</v>
      </c>
      <c r="L78" s="13" t="s">
        <v>2095</v>
      </c>
      <c r="M78" s="13" t="s">
        <v>2353</v>
      </c>
      <c r="N78" s="13"/>
      <c r="O78" s="12">
        <v>0</v>
      </c>
      <c r="P78" s="13"/>
      <c r="Q78" s="228" t="s">
        <v>2354</v>
      </c>
      <c r="R78" s="744">
        <v>2</v>
      </c>
    </row>
    <row r="79" spans="1:18" ht="38.1" customHeight="1">
      <c r="A79" s="23"/>
      <c r="B79" s="23"/>
      <c r="C79" s="23"/>
      <c r="D79" s="23"/>
      <c r="E79" s="731" t="s">
        <v>2398</v>
      </c>
      <c r="F79" s="12" t="s">
        <v>2399</v>
      </c>
      <c r="G79" s="605" t="s">
        <v>745</v>
      </c>
      <c r="H79" s="5" t="s">
        <v>2400</v>
      </c>
      <c r="I79" s="13" t="s">
        <v>2401</v>
      </c>
      <c r="J79" s="13" t="s">
        <v>2167</v>
      </c>
      <c r="K79" s="13" t="s">
        <v>2168</v>
      </c>
      <c r="L79" s="13"/>
      <c r="M79" s="13" t="s">
        <v>2353</v>
      </c>
      <c r="N79" s="13"/>
      <c r="O79" s="12"/>
      <c r="P79" s="13"/>
      <c r="Q79" s="228" t="s">
        <v>2354</v>
      </c>
      <c r="R79" s="744">
        <v>2</v>
      </c>
    </row>
    <row r="80" spans="1:18" ht="38.1" customHeight="1">
      <c r="A80" s="23"/>
      <c r="B80" s="23"/>
      <c r="C80" s="23"/>
      <c r="D80" s="23"/>
      <c r="E80" s="731" t="s">
        <v>2402</v>
      </c>
      <c r="F80" s="12" t="s">
        <v>2403</v>
      </c>
      <c r="G80" s="605" t="s">
        <v>745</v>
      </c>
      <c r="H80" s="5" t="s">
        <v>2404</v>
      </c>
      <c r="I80" s="13" t="s">
        <v>2405</v>
      </c>
      <c r="J80" s="13" t="s">
        <v>2167</v>
      </c>
      <c r="K80" s="13" t="s">
        <v>2168</v>
      </c>
      <c r="L80" s="13"/>
      <c r="M80" s="13" t="s">
        <v>2353</v>
      </c>
      <c r="N80" s="13"/>
      <c r="O80" s="12"/>
      <c r="P80" s="13"/>
      <c r="Q80" s="228" t="s">
        <v>2354</v>
      </c>
      <c r="R80" s="744">
        <v>2</v>
      </c>
    </row>
    <row r="81" spans="1:18" ht="38.1" customHeight="1">
      <c r="A81" s="23"/>
      <c r="B81" s="23"/>
      <c r="C81" s="23"/>
      <c r="D81" s="23"/>
      <c r="E81" s="731" t="s">
        <v>2406</v>
      </c>
      <c r="F81" s="12" t="s">
        <v>2407</v>
      </c>
      <c r="G81" s="605" t="s">
        <v>745</v>
      </c>
      <c r="H81" s="5" t="s">
        <v>2408</v>
      </c>
      <c r="I81" s="13" t="s">
        <v>2409</v>
      </c>
      <c r="J81" s="13" t="s">
        <v>2167</v>
      </c>
      <c r="K81" s="13" t="s">
        <v>2168</v>
      </c>
      <c r="L81" s="13"/>
      <c r="M81" s="13" t="s">
        <v>2353</v>
      </c>
      <c r="N81" s="13"/>
      <c r="O81" s="12"/>
      <c r="P81" s="13"/>
      <c r="Q81" s="228" t="s">
        <v>2354</v>
      </c>
      <c r="R81" s="744">
        <v>2</v>
      </c>
    </row>
    <row r="82" spans="1:18" ht="38.1" customHeight="1">
      <c r="A82" s="23"/>
      <c r="B82" s="23"/>
      <c r="C82" s="23"/>
      <c r="D82" s="23"/>
      <c r="E82" s="731" t="s">
        <v>2410</v>
      </c>
      <c r="F82" s="12" t="s">
        <v>2411</v>
      </c>
      <c r="G82" s="605" t="s">
        <v>745</v>
      </c>
      <c r="H82" s="5" t="s">
        <v>2412</v>
      </c>
      <c r="I82" s="13" t="s">
        <v>2413</v>
      </c>
      <c r="J82" s="13" t="s">
        <v>2167</v>
      </c>
      <c r="K82" s="13" t="s">
        <v>2168</v>
      </c>
      <c r="L82" s="13"/>
      <c r="M82" s="13" t="s">
        <v>2353</v>
      </c>
      <c r="N82" s="13"/>
      <c r="O82" s="12"/>
      <c r="P82" s="13"/>
      <c r="Q82" s="228" t="s">
        <v>2354</v>
      </c>
      <c r="R82" s="744">
        <v>2</v>
      </c>
    </row>
    <row r="83" spans="1:18" ht="38.1" customHeight="1">
      <c r="A83" s="23"/>
      <c r="B83" s="23"/>
      <c r="C83" s="23"/>
      <c r="D83" s="23"/>
      <c r="E83" s="731" t="s">
        <v>2414</v>
      </c>
      <c r="F83" s="736" t="s">
        <v>2415</v>
      </c>
      <c r="G83" s="605" t="s">
        <v>745</v>
      </c>
      <c r="H83" s="5" t="s">
        <v>2416</v>
      </c>
      <c r="I83" s="13" t="s">
        <v>2417</v>
      </c>
      <c r="J83" s="13" t="s">
        <v>2167</v>
      </c>
      <c r="K83" s="13" t="s">
        <v>2168</v>
      </c>
      <c r="L83" s="13"/>
      <c r="M83" s="13" t="s">
        <v>2353</v>
      </c>
      <c r="N83" s="13"/>
      <c r="O83" s="12"/>
      <c r="P83" s="13"/>
      <c r="Q83" s="228" t="s">
        <v>2354</v>
      </c>
      <c r="R83" s="744">
        <v>2</v>
      </c>
    </row>
    <row r="84" spans="1:18" ht="38.1" customHeight="1">
      <c r="A84" s="23"/>
      <c r="B84" s="23"/>
      <c r="C84" s="23"/>
      <c r="D84" s="23"/>
      <c r="E84" s="731" t="s">
        <v>2418</v>
      </c>
      <c r="F84" s="12" t="s">
        <v>2419</v>
      </c>
      <c r="G84" s="605" t="s">
        <v>745</v>
      </c>
      <c r="H84" s="5" t="s">
        <v>2420</v>
      </c>
      <c r="I84" s="13" t="s">
        <v>2421</v>
      </c>
      <c r="J84" s="13" t="s">
        <v>2095</v>
      </c>
      <c r="K84" s="13" t="s">
        <v>2096</v>
      </c>
      <c r="L84" s="13" t="s">
        <v>2095</v>
      </c>
      <c r="M84" s="13" t="s">
        <v>2353</v>
      </c>
      <c r="N84" s="13"/>
      <c r="O84" s="12">
        <v>0</v>
      </c>
      <c r="P84" s="13"/>
      <c r="Q84" s="228" t="s">
        <v>2354</v>
      </c>
      <c r="R84" s="744">
        <v>2</v>
      </c>
    </row>
    <row r="85" spans="1:18" ht="38.1" customHeight="1">
      <c r="A85" s="23"/>
      <c r="B85" s="23"/>
      <c r="C85" s="23"/>
      <c r="D85" s="23"/>
      <c r="E85" s="731" t="s">
        <v>2422</v>
      </c>
      <c r="F85" s="736" t="s">
        <v>2423</v>
      </c>
      <c r="G85" s="605" t="s">
        <v>745</v>
      </c>
      <c r="H85" s="5" t="s">
        <v>2424</v>
      </c>
      <c r="I85" s="13" t="s">
        <v>2425</v>
      </c>
      <c r="J85" s="13" t="s">
        <v>2167</v>
      </c>
      <c r="K85" s="13" t="s">
        <v>2168</v>
      </c>
      <c r="L85" s="13"/>
      <c r="M85" s="13" t="s">
        <v>2353</v>
      </c>
      <c r="N85" s="13"/>
      <c r="O85" s="12"/>
      <c r="P85" s="13"/>
      <c r="Q85" s="228" t="s">
        <v>2354</v>
      </c>
      <c r="R85" s="744">
        <v>2</v>
      </c>
    </row>
    <row r="86" spans="1:18" ht="38.1" customHeight="1">
      <c r="A86" s="23"/>
      <c r="B86" s="23"/>
      <c r="C86" s="23"/>
      <c r="D86" s="23"/>
      <c r="E86" s="731" t="s">
        <v>2426</v>
      </c>
      <c r="F86" s="12" t="s">
        <v>2427</v>
      </c>
      <c r="G86" s="605" t="s">
        <v>745</v>
      </c>
      <c r="H86" s="5" t="s">
        <v>2428</v>
      </c>
      <c r="I86" s="13" t="s">
        <v>2429</v>
      </c>
      <c r="J86" s="13" t="s">
        <v>2167</v>
      </c>
      <c r="K86" s="13" t="s">
        <v>2168</v>
      </c>
      <c r="L86" s="13"/>
      <c r="M86" s="13" t="s">
        <v>2353</v>
      </c>
      <c r="N86" s="13"/>
      <c r="O86" s="12"/>
      <c r="P86" s="13"/>
      <c r="Q86" s="228" t="s">
        <v>2354</v>
      </c>
      <c r="R86" s="744">
        <v>2</v>
      </c>
    </row>
    <row r="87" spans="1:18" ht="38.1" customHeight="1">
      <c r="A87" s="23"/>
      <c r="B87" s="23"/>
      <c r="C87" s="23"/>
      <c r="D87" s="23"/>
      <c r="E87" s="731" t="s">
        <v>2430</v>
      </c>
      <c r="F87" s="12" t="s">
        <v>2431</v>
      </c>
      <c r="G87" s="605" t="s">
        <v>745</v>
      </c>
      <c r="H87" s="5" t="s">
        <v>2432</v>
      </c>
      <c r="I87" s="13" t="s">
        <v>2433</v>
      </c>
      <c r="J87" s="13" t="s">
        <v>2167</v>
      </c>
      <c r="K87" s="13" t="s">
        <v>2168</v>
      </c>
      <c r="L87" s="13"/>
      <c r="M87" s="13" t="s">
        <v>2353</v>
      </c>
      <c r="N87" s="13"/>
      <c r="O87" s="12"/>
      <c r="P87" s="13"/>
      <c r="Q87" s="228" t="s">
        <v>2354</v>
      </c>
      <c r="R87" s="744">
        <v>2</v>
      </c>
    </row>
    <row r="88" spans="1:18" ht="38.1" customHeight="1">
      <c r="A88" s="23"/>
      <c r="B88" s="23"/>
      <c r="C88" s="23"/>
      <c r="D88" s="23"/>
      <c r="E88" s="731" t="s">
        <v>2434</v>
      </c>
      <c r="F88" s="12" t="s">
        <v>2435</v>
      </c>
      <c r="G88" s="605" t="s">
        <v>745</v>
      </c>
      <c r="H88" s="5" t="s">
        <v>2436</v>
      </c>
      <c r="I88" s="13" t="s">
        <v>2437</v>
      </c>
      <c r="J88" s="13" t="s">
        <v>2095</v>
      </c>
      <c r="K88" s="13" t="s">
        <v>2096</v>
      </c>
      <c r="L88" s="13" t="s">
        <v>2095</v>
      </c>
      <c r="M88" s="13" t="s">
        <v>2097</v>
      </c>
      <c r="N88" s="13"/>
      <c r="O88" s="12">
        <v>0</v>
      </c>
      <c r="P88" s="13"/>
      <c r="Q88" s="228"/>
      <c r="R88" s="744">
        <v>2</v>
      </c>
    </row>
    <row r="89" spans="1:18" ht="38.1" customHeight="1">
      <c r="A89" s="23"/>
      <c r="B89" s="23"/>
      <c r="C89" s="23"/>
      <c r="D89" s="23"/>
      <c r="E89" s="731" t="s">
        <v>2438</v>
      </c>
      <c r="F89" s="12" t="s">
        <v>2439</v>
      </c>
      <c r="G89" s="605" t="s">
        <v>745</v>
      </c>
      <c r="H89" s="5" t="s">
        <v>2440</v>
      </c>
      <c r="I89" s="13" t="s">
        <v>2441</v>
      </c>
      <c r="J89" s="13" t="s">
        <v>2167</v>
      </c>
      <c r="K89" s="13" t="s">
        <v>2168</v>
      </c>
      <c r="L89" s="13"/>
      <c r="M89" s="13" t="s">
        <v>2353</v>
      </c>
      <c r="N89" s="13"/>
      <c r="O89" s="12"/>
      <c r="P89" s="13"/>
      <c r="Q89" s="228" t="s">
        <v>2354</v>
      </c>
      <c r="R89" s="744">
        <v>2</v>
      </c>
    </row>
    <row r="90" spans="1:18" ht="38.1" customHeight="1">
      <c r="A90" s="23"/>
      <c r="B90" s="23"/>
      <c r="C90" s="23"/>
      <c r="D90" s="23"/>
      <c r="E90" s="731" t="s">
        <v>2442</v>
      </c>
      <c r="F90" s="12" t="s">
        <v>2443</v>
      </c>
      <c r="G90" s="605" t="s">
        <v>745</v>
      </c>
      <c r="H90" s="5" t="s">
        <v>2444</v>
      </c>
      <c r="I90" s="13" t="s">
        <v>2445</v>
      </c>
      <c r="J90" s="13" t="s">
        <v>2167</v>
      </c>
      <c r="K90" s="13" t="s">
        <v>2168</v>
      </c>
      <c r="L90" s="13"/>
      <c r="M90" s="13" t="s">
        <v>2353</v>
      </c>
      <c r="N90" s="13"/>
      <c r="O90" s="12"/>
      <c r="P90" s="13"/>
      <c r="Q90" s="228" t="s">
        <v>2354</v>
      </c>
      <c r="R90" s="744">
        <v>2</v>
      </c>
    </row>
    <row r="91" spans="1:18" ht="38.1" customHeight="1">
      <c r="A91" s="23"/>
      <c r="B91" s="23"/>
      <c r="C91" s="23"/>
      <c r="D91" s="23"/>
      <c r="E91" s="731" t="s">
        <v>2446</v>
      </c>
      <c r="F91" s="12" t="s">
        <v>2447</v>
      </c>
      <c r="G91" s="605" t="s">
        <v>745</v>
      </c>
      <c r="H91" s="5" t="s">
        <v>2448</v>
      </c>
      <c r="I91" s="13" t="s">
        <v>2449</v>
      </c>
      <c r="J91" s="13" t="s">
        <v>2167</v>
      </c>
      <c r="K91" s="13" t="s">
        <v>2168</v>
      </c>
      <c r="L91" s="13"/>
      <c r="M91" s="13" t="s">
        <v>2353</v>
      </c>
      <c r="N91" s="13"/>
      <c r="O91" s="12"/>
      <c r="P91" s="13"/>
      <c r="Q91" s="228" t="s">
        <v>2354</v>
      </c>
      <c r="R91" s="744">
        <v>2</v>
      </c>
    </row>
    <row r="92" spans="1:18" ht="38.1" customHeight="1">
      <c r="A92" s="23"/>
      <c r="B92" s="23"/>
      <c r="C92" s="23"/>
      <c r="D92" s="23"/>
      <c r="E92" s="731" t="s">
        <v>2450</v>
      </c>
      <c r="F92" s="12" t="s">
        <v>2451</v>
      </c>
      <c r="G92" s="605" t="s">
        <v>745</v>
      </c>
      <c r="H92" s="5" t="s">
        <v>2452</v>
      </c>
      <c r="I92" s="13" t="s">
        <v>2453</v>
      </c>
      <c r="J92" s="13" t="s">
        <v>2167</v>
      </c>
      <c r="K92" s="13" t="s">
        <v>2168</v>
      </c>
      <c r="L92" s="13"/>
      <c r="M92" s="13" t="s">
        <v>2353</v>
      </c>
      <c r="N92" s="13"/>
      <c r="O92" s="12"/>
      <c r="P92" s="13"/>
      <c r="Q92" s="228" t="s">
        <v>2354</v>
      </c>
      <c r="R92" s="744">
        <v>2</v>
      </c>
    </row>
    <row r="93" spans="1:18" ht="38.1" customHeight="1">
      <c r="A93" s="23"/>
      <c r="B93" s="23"/>
      <c r="C93" s="23"/>
      <c r="D93" s="23"/>
      <c r="E93" s="731" t="s">
        <v>2454</v>
      </c>
      <c r="F93" s="12" t="s">
        <v>2455</v>
      </c>
      <c r="G93" s="605" t="s">
        <v>745</v>
      </c>
      <c r="H93" s="5" t="s">
        <v>2456</v>
      </c>
      <c r="I93" s="13" t="s">
        <v>2457</v>
      </c>
      <c r="J93" s="13" t="s">
        <v>2095</v>
      </c>
      <c r="K93" s="13" t="s">
        <v>2096</v>
      </c>
      <c r="L93" s="13" t="s">
        <v>2095</v>
      </c>
      <c r="M93" s="13" t="s">
        <v>2353</v>
      </c>
      <c r="N93" s="13"/>
      <c r="O93" s="12">
        <v>0</v>
      </c>
      <c r="P93" s="13"/>
      <c r="Q93" s="228" t="s">
        <v>2354</v>
      </c>
      <c r="R93" s="744">
        <v>2</v>
      </c>
    </row>
    <row r="94" spans="1:18" ht="38.1" customHeight="1">
      <c r="A94" s="23"/>
      <c r="B94" s="23"/>
      <c r="C94" s="23"/>
      <c r="D94" s="23"/>
      <c r="E94" s="731" t="s">
        <v>2458</v>
      </c>
      <c r="F94" s="736" t="s">
        <v>2459</v>
      </c>
      <c r="G94" s="605" t="s">
        <v>745</v>
      </c>
      <c r="H94" s="5" t="s">
        <v>2460</v>
      </c>
      <c r="I94" s="13" t="s">
        <v>2461</v>
      </c>
      <c r="J94" s="13" t="s">
        <v>2167</v>
      </c>
      <c r="K94" s="13" t="s">
        <v>2168</v>
      </c>
      <c r="L94" s="13"/>
      <c r="M94" s="13" t="s">
        <v>2353</v>
      </c>
      <c r="N94" s="13"/>
      <c r="O94" s="12"/>
      <c r="P94" s="13"/>
      <c r="Q94" s="228" t="s">
        <v>2354</v>
      </c>
      <c r="R94" s="744">
        <v>2</v>
      </c>
    </row>
    <row r="95" spans="1:18" ht="38.1" customHeight="1">
      <c r="A95" s="23"/>
      <c r="B95" s="23"/>
      <c r="C95" s="23"/>
      <c r="D95" s="23"/>
      <c r="E95" s="731" t="s">
        <v>2462</v>
      </c>
      <c r="F95" s="12" t="s">
        <v>2463</v>
      </c>
      <c r="G95" s="605" t="s">
        <v>745</v>
      </c>
      <c r="H95" s="5" t="s">
        <v>2464</v>
      </c>
      <c r="I95" s="13" t="s">
        <v>2465</v>
      </c>
      <c r="J95" s="13" t="s">
        <v>2167</v>
      </c>
      <c r="K95" s="13" t="s">
        <v>2168</v>
      </c>
      <c r="L95" s="13"/>
      <c r="M95" s="13" t="s">
        <v>2353</v>
      </c>
      <c r="N95" s="13"/>
      <c r="O95" s="12"/>
      <c r="P95" s="13"/>
      <c r="Q95" s="228" t="s">
        <v>2354</v>
      </c>
      <c r="R95" s="744">
        <v>2</v>
      </c>
    </row>
    <row r="96" spans="1:18" ht="38.1" customHeight="1">
      <c r="A96" s="23"/>
      <c r="B96" s="23"/>
      <c r="C96" s="23"/>
      <c r="D96" s="23"/>
      <c r="E96" s="731" t="s">
        <v>2466</v>
      </c>
      <c r="F96" s="12" t="s">
        <v>2467</v>
      </c>
      <c r="G96" s="605" t="s">
        <v>745</v>
      </c>
      <c r="H96" s="5" t="s">
        <v>2468</v>
      </c>
      <c r="I96" s="13" t="s">
        <v>2469</v>
      </c>
      <c r="J96" s="13" t="s">
        <v>2167</v>
      </c>
      <c r="K96" s="13" t="s">
        <v>2168</v>
      </c>
      <c r="L96" s="13"/>
      <c r="M96" s="13" t="s">
        <v>2353</v>
      </c>
      <c r="N96" s="13"/>
      <c r="O96" s="12"/>
      <c r="P96" s="13"/>
      <c r="Q96" s="228" t="s">
        <v>2354</v>
      </c>
      <c r="R96" s="744">
        <v>2</v>
      </c>
    </row>
    <row r="97" spans="1:18" ht="38.1" customHeight="1">
      <c r="A97" s="23"/>
      <c r="B97" s="23"/>
      <c r="C97" s="23"/>
      <c r="D97" s="23"/>
      <c r="E97" s="731" t="s">
        <v>2470</v>
      </c>
      <c r="F97" s="12" t="s">
        <v>2471</v>
      </c>
      <c r="G97" s="605" t="s">
        <v>745</v>
      </c>
      <c r="H97" s="5" t="s">
        <v>2472</v>
      </c>
      <c r="I97" s="13" t="s">
        <v>2473</v>
      </c>
      <c r="J97" s="13" t="s">
        <v>2167</v>
      </c>
      <c r="K97" s="13" t="s">
        <v>2168</v>
      </c>
      <c r="L97" s="13"/>
      <c r="M97" s="13" t="s">
        <v>2353</v>
      </c>
      <c r="N97" s="13"/>
      <c r="O97" s="12"/>
      <c r="P97" s="13"/>
      <c r="Q97" s="228" t="s">
        <v>2354</v>
      </c>
      <c r="R97" s="744">
        <v>2</v>
      </c>
    </row>
    <row r="98" spans="1:18" ht="38.1" customHeight="1">
      <c r="A98" s="23"/>
      <c r="B98" s="23"/>
      <c r="C98" s="23"/>
      <c r="D98" s="23"/>
      <c r="E98" s="731" t="s">
        <v>2474</v>
      </c>
      <c r="F98" s="12" t="s">
        <v>2475</v>
      </c>
      <c r="G98" s="605" t="s">
        <v>745</v>
      </c>
      <c r="H98" s="5" t="s">
        <v>2476</v>
      </c>
      <c r="I98" s="13" t="s">
        <v>2477</v>
      </c>
      <c r="J98" s="13" t="s">
        <v>2167</v>
      </c>
      <c r="K98" s="13" t="s">
        <v>2168</v>
      </c>
      <c r="L98" s="13"/>
      <c r="M98" s="13" t="s">
        <v>2353</v>
      </c>
      <c r="N98" s="13"/>
      <c r="O98" s="12"/>
      <c r="P98" s="13"/>
      <c r="Q98" s="228" t="s">
        <v>2354</v>
      </c>
      <c r="R98" s="744">
        <v>2</v>
      </c>
    </row>
    <row r="99" spans="1:18" ht="38.1" customHeight="1">
      <c r="A99" s="23"/>
      <c r="B99" s="23"/>
      <c r="C99" s="23"/>
      <c r="D99" s="23"/>
      <c r="E99" s="857" t="s">
        <v>2478</v>
      </c>
      <c r="F99" s="870" t="s">
        <v>2479</v>
      </c>
      <c r="G99" s="871" t="s">
        <v>745</v>
      </c>
      <c r="H99" s="857" t="s">
        <v>2480</v>
      </c>
      <c r="I99" s="858" t="s">
        <v>2481</v>
      </c>
      <c r="J99" s="858" t="s">
        <v>2167</v>
      </c>
      <c r="K99" s="858" t="s">
        <v>2168</v>
      </c>
      <c r="L99" s="858"/>
      <c r="M99" s="858" t="s">
        <v>2353</v>
      </c>
      <c r="N99" s="858"/>
      <c r="O99" s="870"/>
      <c r="P99" s="858"/>
      <c r="Q99" s="872" t="s">
        <v>2354</v>
      </c>
      <c r="R99" s="858">
        <v>2</v>
      </c>
    </row>
    <row r="100" spans="1:18" ht="38.1" customHeight="1">
      <c r="A100" s="23"/>
      <c r="B100" s="23"/>
      <c r="C100" s="23"/>
      <c r="D100" s="23"/>
      <c r="E100" s="5" t="s">
        <v>2482</v>
      </c>
      <c r="F100" s="736" t="s">
        <v>2483</v>
      </c>
      <c r="G100" s="605" t="s">
        <v>132</v>
      </c>
      <c r="H100" s="5" t="s">
        <v>2484</v>
      </c>
      <c r="I100" s="13" t="s">
        <v>2485</v>
      </c>
      <c r="J100" s="13" t="s">
        <v>2095</v>
      </c>
      <c r="K100" s="13" t="s">
        <v>2096</v>
      </c>
      <c r="L100" s="13"/>
      <c r="M100" s="13" t="s">
        <v>2097</v>
      </c>
      <c r="N100" s="13"/>
      <c r="O100" s="12"/>
      <c r="P100" s="13"/>
      <c r="Q100" s="228"/>
      <c r="R100" s="744">
        <v>2</v>
      </c>
    </row>
    <row r="101" spans="1:18" ht="38.1" customHeight="1">
      <c r="A101" s="23"/>
      <c r="B101" s="23"/>
      <c r="C101" s="23"/>
      <c r="D101" s="23"/>
      <c r="E101" s="731" t="s">
        <v>2486</v>
      </c>
      <c r="F101" s="736" t="s">
        <v>2487</v>
      </c>
      <c r="G101" s="605" t="s">
        <v>745</v>
      </c>
      <c r="H101" s="5" t="s">
        <v>2488</v>
      </c>
      <c r="I101" s="13" t="s">
        <v>2489</v>
      </c>
      <c r="J101" s="13" t="s">
        <v>2167</v>
      </c>
      <c r="K101" s="13" t="s">
        <v>2168</v>
      </c>
      <c r="L101" s="13"/>
      <c r="M101" s="13" t="s">
        <v>2353</v>
      </c>
      <c r="N101" s="13"/>
      <c r="O101" s="12"/>
      <c r="P101" s="13"/>
      <c r="Q101" s="228" t="s">
        <v>2354</v>
      </c>
      <c r="R101" s="744">
        <v>2</v>
      </c>
    </row>
    <row r="102" spans="1:18" ht="38.1" customHeight="1">
      <c r="A102" s="23"/>
      <c r="B102" s="23"/>
      <c r="C102" s="23"/>
      <c r="D102" s="23"/>
      <c r="E102" s="731" t="s">
        <v>2490</v>
      </c>
      <c r="F102" s="12" t="s">
        <v>2491</v>
      </c>
      <c r="G102" s="605" t="s">
        <v>745</v>
      </c>
      <c r="H102" s="5" t="s">
        <v>2492</v>
      </c>
      <c r="I102" s="13" t="s">
        <v>2493</v>
      </c>
      <c r="J102" s="13" t="s">
        <v>2167</v>
      </c>
      <c r="K102" s="13" t="s">
        <v>2168</v>
      </c>
      <c r="L102" s="13"/>
      <c r="M102" s="13" t="s">
        <v>2353</v>
      </c>
      <c r="N102" s="13"/>
      <c r="O102" s="12"/>
      <c r="P102" s="13"/>
      <c r="Q102" s="228" t="s">
        <v>2354</v>
      </c>
      <c r="R102" s="744">
        <v>2</v>
      </c>
    </row>
    <row r="103" spans="1:18" ht="38.1" customHeight="1">
      <c r="A103" s="23"/>
      <c r="B103" s="23"/>
      <c r="C103" s="23"/>
      <c r="D103" s="23"/>
      <c r="E103" s="731" t="s">
        <v>2494</v>
      </c>
      <c r="F103" s="736" t="s">
        <v>2495</v>
      </c>
      <c r="G103" s="605" t="s">
        <v>745</v>
      </c>
      <c r="H103" s="5" t="s">
        <v>2496</v>
      </c>
      <c r="I103" s="13" t="s">
        <v>2497</v>
      </c>
      <c r="J103" s="13" t="s">
        <v>2167</v>
      </c>
      <c r="K103" s="13" t="s">
        <v>2168</v>
      </c>
      <c r="L103" s="13"/>
      <c r="M103" s="13" t="s">
        <v>2353</v>
      </c>
      <c r="N103" s="13"/>
      <c r="O103" s="12"/>
      <c r="P103" s="13"/>
      <c r="Q103" s="228" t="s">
        <v>2354</v>
      </c>
      <c r="R103" s="744">
        <v>2</v>
      </c>
    </row>
    <row r="104" spans="1:18" ht="38.1" customHeight="1">
      <c r="A104" s="23"/>
      <c r="B104" s="23"/>
      <c r="C104" s="23"/>
      <c r="D104" s="23"/>
      <c r="E104" s="731" t="s">
        <v>2498</v>
      </c>
      <c r="F104" s="736" t="s">
        <v>2499</v>
      </c>
      <c r="G104" s="605" t="s">
        <v>745</v>
      </c>
      <c r="H104" s="5" t="s">
        <v>2500</v>
      </c>
      <c r="I104" s="13" t="s">
        <v>2501</v>
      </c>
      <c r="J104" s="13" t="s">
        <v>2167</v>
      </c>
      <c r="K104" s="13" t="s">
        <v>2168</v>
      </c>
      <c r="L104" s="13"/>
      <c r="M104" s="13" t="s">
        <v>2353</v>
      </c>
      <c r="N104" s="13"/>
      <c r="O104" s="12"/>
      <c r="P104" s="13"/>
      <c r="Q104" s="228" t="s">
        <v>2354</v>
      </c>
      <c r="R104" s="744">
        <v>2</v>
      </c>
    </row>
    <row r="105" spans="1:18" ht="38.1" customHeight="1">
      <c r="A105" s="23"/>
      <c r="B105" s="23"/>
      <c r="C105" s="23"/>
      <c r="D105" s="23"/>
      <c r="E105" s="731" t="s">
        <v>2502</v>
      </c>
      <c r="F105" s="736" t="s">
        <v>2503</v>
      </c>
      <c r="G105" s="605" t="s">
        <v>745</v>
      </c>
      <c r="H105" s="5" t="s">
        <v>2504</v>
      </c>
      <c r="I105" s="13" t="s">
        <v>2505</v>
      </c>
      <c r="J105" s="13" t="s">
        <v>2167</v>
      </c>
      <c r="K105" s="13" t="s">
        <v>2168</v>
      </c>
      <c r="L105" s="13"/>
      <c r="M105" s="13" t="s">
        <v>2353</v>
      </c>
      <c r="N105" s="13"/>
      <c r="O105" s="12"/>
      <c r="P105" s="13"/>
      <c r="Q105" s="228" t="s">
        <v>2354</v>
      </c>
      <c r="R105" s="744">
        <v>2</v>
      </c>
    </row>
    <row r="106" spans="1:18" ht="38.1" customHeight="1">
      <c r="A106" s="23"/>
      <c r="B106" s="23"/>
      <c r="C106" s="23"/>
      <c r="D106" s="23"/>
      <c r="E106" s="731" t="s">
        <v>2506</v>
      </c>
      <c r="F106" s="12" t="s">
        <v>2507</v>
      </c>
      <c r="G106" s="605" t="s">
        <v>745</v>
      </c>
      <c r="H106" s="5" t="s">
        <v>2508</v>
      </c>
      <c r="I106" s="13" t="s">
        <v>2509</v>
      </c>
      <c r="J106" s="13" t="s">
        <v>2167</v>
      </c>
      <c r="K106" s="13" t="s">
        <v>2168</v>
      </c>
      <c r="L106" s="13"/>
      <c r="M106" s="13" t="s">
        <v>2353</v>
      </c>
      <c r="N106" s="13"/>
      <c r="O106" s="12"/>
      <c r="P106" s="13"/>
      <c r="Q106" s="228" t="s">
        <v>2354</v>
      </c>
      <c r="R106" s="744">
        <v>2</v>
      </c>
    </row>
    <row r="107" spans="1:18" ht="38.1" customHeight="1">
      <c r="A107" s="23"/>
      <c r="B107" s="23"/>
      <c r="C107" s="23"/>
      <c r="D107" s="23"/>
      <c r="E107" s="731" t="s">
        <v>2510</v>
      </c>
      <c r="F107" s="12" t="s">
        <v>2511</v>
      </c>
      <c r="G107" s="605" t="s">
        <v>745</v>
      </c>
      <c r="H107" s="5" t="s">
        <v>2512</v>
      </c>
      <c r="I107" s="13" t="s">
        <v>2513</v>
      </c>
      <c r="J107" s="13" t="s">
        <v>2167</v>
      </c>
      <c r="K107" s="13" t="s">
        <v>2168</v>
      </c>
      <c r="L107" s="13"/>
      <c r="M107" s="13" t="s">
        <v>2353</v>
      </c>
      <c r="N107" s="13"/>
      <c r="O107" s="12"/>
      <c r="P107" s="13"/>
      <c r="Q107" s="228" t="s">
        <v>2354</v>
      </c>
      <c r="R107" s="744">
        <v>2</v>
      </c>
    </row>
    <row r="108" spans="1:18" ht="38.1" customHeight="1">
      <c r="A108" s="23"/>
      <c r="B108" s="23"/>
      <c r="C108" s="23"/>
      <c r="D108" s="23"/>
      <c r="E108" s="731" t="s">
        <v>2514</v>
      </c>
      <c r="F108" s="12" t="s">
        <v>2515</v>
      </c>
      <c r="G108" s="605" t="s">
        <v>745</v>
      </c>
      <c r="H108" s="5" t="s">
        <v>2516</v>
      </c>
      <c r="I108" s="13" t="s">
        <v>2517</v>
      </c>
      <c r="J108" s="13" t="s">
        <v>2167</v>
      </c>
      <c r="K108" s="13" t="s">
        <v>2168</v>
      </c>
      <c r="L108" s="13"/>
      <c r="M108" s="13" t="s">
        <v>2353</v>
      </c>
      <c r="N108" s="13"/>
      <c r="O108" s="12"/>
      <c r="P108" s="13"/>
      <c r="Q108" s="228" t="s">
        <v>2354</v>
      </c>
      <c r="R108" s="744">
        <v>2</v>
      </c>
    </row>
    <row r="109" spans="1:18" ht="38.1" customHeight="1">
      <c r="A109" s="23"/>
      <c r="B109" s="23"/>
      <c r="C109" s="23"/>
      <c r="D109" s="23"/>
      <c r="E109" s="731" t="s">
        <v>2518</v>
      </c>
      <c r="F109" s="12" t="s">
        <v>2519</v>
      </c>
      <c r="G109" s="605" t="s">
        <v>745</v>
      </c>
      <c r="H109" s="5" t="s">
        <v>2520</v>
      </c>
      <c r="I109" s="13" t="s">
        <v>2521</v>
      </c>
      <c r="J109" s="13" t="s">
        <v>2167</v>
      </c>
      <c r="K109" s="13" t="s">
        <v>2168</v>
      </c>
      <c r="L109" s="13"/>
      <c r="M109" s="13" t="s">
        <v>2353</v>
      </c>
      <c r="N109" s="13"/>
      <c r="O109" s="12"/>
      <c r="P109" s="13"/>
      <c r="Q109" s="228" t="s">
        <v>2354</v>
      </c>
      <c r="R109" s="744">
        <v>2</v>
      </c>
    </row>
    <row r="110" spans="1:18" ht="38.1" customHeight="1">
      <c r="A110" s="23"/>
      <c r="B110" s="23"/>
      <c r="C110" s="23"/>
      <c r="D110" s="23"/>
      <c r="E110" s="731" t="s">
        <v>2522</v>
      </c>
      <c r="F110" s="736" t="s">
        <v>2523</v>
      </c>
      <c r="G110" s="605" t="s">
        <v>745</v>
      </c>
      <c r="H110" s="5" t="s">
        <v>2524</v>
      </c>
      <c r="I110" s="13" t="s">
        <v>2525</v>
      </c>
      <c r="J110" s="13" t="s">
        <v>2167</v>
      </c>
      <c r="K110" s="13" t="s">
        <v>2168</v>
      </c>
      <c r="L110" s="13"/>
      <c r="M110" s="13" t="s">
        <v>2353</v>
      </c>
      <c r="N110" s="13"/>
      <c r="O110" s="12"/>
      <c r="P110" s="13"/>
      <c r="Q110" s="228" t="s">
        <v>2354</v>
      </c>
      <c r="R110" s="744">
        <v>2</v>
      </c>
    </row>
    <row r="111" spans="1:18" ht="38.1" customHeight="1">
      <c r="A111" s="23"/>
      <c r="B111" s="23"/>
      <c r="C111" s="23"/>
      <c r="D111" s="23"/>
      <c r="E111" s="857" t="s">
        <v>2526</v>
      </c>
      <c r="F111" s="870" t="s">
        <v>2527</v>
      </c>
      <c r="G111" s="871" t="s">
        <v>745</v>
      </c>
      <c r="H111" s="857" t="s">
        <v>2528</v>
      </c>
      <c r="I111" s="858" t="s">
        <v>2529</v>
      </c>
      <c r="J111" s="858" t="s">
        <v>2095</v>
      </c>
      <c r="K111" s="858" t="s">
        <v>2096</v>
      </c>
      <c r="L111" s="858" t="s">
        <v>2095</v>
      </c>
      <c r="M111" s="858" t="s">
        <v>2353</v>
      </c>
      <c r="N111" s="858"/>
      <c r="O111" s="870">
        <v>0</v>
      </c>
      <c r="P111" s="858"/>
      <c r="Q111" s="872" t="s">
        <v>2354</v>
      </c>
      <c r="R111" s="858">
        <v>2</v>
      </c>
    </row>
    <row r="112" spans="1:18" ht="38.1" customHeight="1">
      <c r="A112" s="23"/>
      <c r="B112" s="23"/>
      <c r="C112" s="23"/>
      <c r="D112" s="23"/>
      <c r="E112" s="857" t="s">
        <v>2530</v>
      </c>
      <c r="F112" s="870" t="s">
        <v>2531</v>
      </c>
      <c r="G112" s="871" t="s">
        <v>132</v>
      </c>
      <c r="H112" s="857" t="s">
        <v>2532</v>
      </c>
      <c r="I112" s="858" t="s">
        <v>2533</v>
      </c>
      <c r="J112" s="858" t="s">
        <v>2095</v>
      </c>
      <c r="K112" s="858" t="s">
        <v>2096</v>
      </c>
      <c r="L112" s="858"/>
      <c r="M112" s="858" t="s">
        <v>2097</v>
      </c>
      <c r="N112" s="858"/>
      <c r="O112" s="870"/>
      <c r="P112" s="858"/>
      <c r="Q112" s="872"/>
      <c r="R112" s="858">
        <v>2</v>
      </c>
    </row>
    <row r="113" spans="1:18" ht="38.1" customHeight="1">
      <c r="A113" s="23"/>
      <c r="B113" s="23"/>
      <c r="C113" s="23"/>
      <c r="D113" s="23"/>
      <c r="E113" s="857" t="s">
        <v>2534</v>
      </c>
      <c r="F113" s="870" t="s">
        <v>2535</v>
      </c>
      <c r="G113" s="871" t="s">
        <v>745</v>
      </c>
      <c r="H113" s="857" t="s">
        <v>2536</v>
      </c>
      <c r="I113" s="858" t="s">
        <v>2537</v>
      </c>
      <c r="J113" s="858" t="s">
        <v>2095</v>
      </c>
      <c r="K113" s="858" t="s">
        <v>2096</v>
      </c>
      <c r="L113" s="858" t="s">
        <v>2095</v>
      </c>
      <c r="M113" s="858" t="s">
        <v>2353</v>
      </c>
      <c r="N113" s="858"/>
      <c r="O113" s="870">
        <v>0</v>
      </c>
      <c r="P113" s="858"/>
      <c r="Q113" s="872" t="s">
        <v>2354</v>
      </c>
      <c r="R113" s="858">
        <v>2</v>
      </c>
    </row>
    <row r="114" spans="1:18" ht="38.1" customHeight="1">
      <c r="A114" s="23"/>
      <c r="B114" s="23"/>
      <c r="C114" s="23"/>
      <c r="D114" s="23"/>
      <c r="E114" s="731" t="s">
        <v>2538</v>
      </c>
      <c r="F114" s="736" t="s">
        <v>2539</v>
      </c>
      <c r="G114" s="605" t="s">
        <v>745</v>
      </c>
      <c r="H114" s="5" t="s">
        <v>2540</v>
      </c>
      <c r="I114" s="13" t="s">
        <v>2541</v>
      </c>
      <c r="J114" s="13" t="s">
        <v>2167</v>
      </c>
      <c r="K114" s="13" t="s">
        <v>2168</v>
      </c>
      <c r="L114" s="13"/>
      <c r="M114" s="13" t="s">
        <v>2353</v>
      </c>
      <c r="N114" s="13"/>
      <c r="O114" s="12"/>
      <c r="P114" s="13"/>
      <c r="Q114" s="228" t="s">
        <v>2354</v>
      </c>
      <c r="R114" s="744">
        <v>2</v>
      </c>
    </row>
    <row r="115" spans="1:18" ht="38.1" customHeight="1">
      <c r="A115" s="23"/>
      <c r="B115" s="23"/>
      <c r="C115" s="23"/>
      <c r="D115" s="23"/>
      <c r="E115" s="731" t="s">
        <v>2542</v>
      </c>
      <c r="F115" s="12" t="s">
        <v>2543</v>
      </c>
      <c r="G115" s="605" t="s">
        <v>745</v>
      </c>
      <c r="H115" s="5" t="s">
        <v>2544</v>
      </c>
      <c r="I115" s="13" t="s">
        <v>2545</v>
      </c>
      <c r="J115" s="13" t="s">
        <v>2095</v>
      </c>
      <c r="K115" s="13" t="s">
        <v>2096</v>
      </c>
      <c r="L115" s="13" t="s">
        <v>2095</v>
      </c>
      <c r="M115" s="13" t="s">
        <v>2353</v>
      </c>
      <c r="N115" s="13"/>
      <c r="O115" s="12">
        <v>0</v>
      </c>
      <c r="P115" s="13"/>
      <c r="Q115" s="228" t="s">
        <v>2354</v>
      </c>
      <c r="R115" s="744">
        <v>2</v>
      </c>
    </row>
    <row r="116" spans="1:18" ht="38.1" customHeight="1">
      <c r="A116" s="23"/>
      <c r="B116" s="23"/>
      <c r="C116" s="23"/>
      <c r="D116" s="23"/>
      <c r="E116" s="731" t="s">
        <v>2546</v>
      </c>
      <c r="F116" s="736" t="s">
        <v>2547</v>
      </c>
      <c r="G116" s="605" t="s">
        <v>745</v>
      </c>
      <c r="H116" s="5" t="s">
        <v>2548</v>
      </c>
      <c r="I116" s="13" t="s">
        <v>2549</v>
      </c>
      <c r="J116" s="13" t="s">
        <v>2167</v>
      </c>
      <c r="K116" s="13" t="s">
        <v>2168</v>
      </c>
      <c r="L116" s="13"/>
      <c r="M116" s="13" t="s">
        <v>2353</v>
      </c>
      <c r="N116" s="13"/>
      <c r="O116" s="12"/>
      <c r="P116" s="13"/>
      <c r="Q116" s="228" t="s">
        <v>2354</v>
      </c>
      <c r="R116" s="744">
        <v>2</v>
      </c>
    </row>
    <row r="117" spans="1:18" ht="38.1" customHeight="1">
      <c r="A117" s="23"/>
      <c r="B117" s="23"/>
      <c r="C117" s="23"/>
      <c r="D117" s="23"/>
      <c r="E117" s="731" t="s">
        <v>2550</v>
      </c>
      <c r="F117" s="12" t="s">
        <v>2551</v>
      </c>
      <c r="G117" s="605" t="s">
        <v>745</v>
      </c>
      <c r="H117" s="5" t="s">
        <v>2552</v>
      </c>
      <c r="I117" s="13" t="s">
        <v>2553</v>
      </c>
      <c r="J117" s="13" t="s">
        <v>2167</v>
      </c>
      <c r="K117" s="13" t="s">
        <v>2168</v>
      </c>
      <c r="L117" s="13"/>
      <c r="M117" s="13" t="s">
        <v>2353</v>
      </c>
      <c r="N117" s="13"/>
      <c r="O117" s="12"/>
      <c r="P117" s="13"/>
      <c r="Q117" s="228" t="s">
        <v>2354</v>
      </c>
      <c r="R117" s="744">
        <v>2</v>
      </c>
    </row>
    <row r="118" spans="1:18" ht="38.1" customHeight="1">
      <c r="A118" s="23"/>
      <c r="B118" s="23"/>
      <c r="C118" s="23"/>
      <c r="D118" s="23"/>
      <c r="E118" s="731" t="s">
        <v>2554</v>
      </c>
      <c r="F118" s="12" t="s">
        <v>2555</v>
      </c>
      <c r="G118" s="605" t="s">
        <v>745</v>
      </c>
      <c r="H118" s="5" t="s">
        <v>2556</v>
      </c>
      <c r="I118" s="13" t="s">
        <v>2557</v>
      </c>
      <c r="J118" s="13" t="s">
        <v>2167</v>
      </c>
      <c r="K118" s="13" t="s">
        <v>2168</v>
      </c>
      <c r="L118" s="13"/>
      <c r="M118" s="13" t="s">
        <v>2353</v>
      </c>
      <c r="N118" s="13"/>
      <c r="O118" s="12"/>
      <c r="P118" s="13"/>
      <c r="Q118" s="228" t="s">
        <v>2354</v>
      </c>
      <c r="R118" s="744">
        <v>2</v>
      </c>
    </row>
    <row r="119" spans="1:18" ht="38.1" customHeight="1">
      <c r="A119" s="23"/>
      <c r="B119" s="23"/>
      <c r="C119" s="23"/>
      <c r="D119" s="23"/>
      <c r="E119" s="731" t="s">
        <v>2558</v>
      </c>
      <c r="F119" s="12" t="s">
        <v>2559</v>
      </c>
      <c r="G119" s="605" t="s">
        <v>745</v>
      </c>
      <c r="H119" s="5" t="s">
        <v>2560</v>
      </c>
      <c r="I119" s="13" t="s">
        <v>2561</v>
      </c>
      <c r="J119" s="13" t="s">
        <v>2167</v>
      </c>
      <c r="K119" s="13" t="s">
        <v>2168</v>
      </c>
      <c r="L119" s="13"/>
      <c r="M119" s="13" t="s">
        <v>2353</v>
      </c>
      <c r="N119" s="13"/>
      <c r="O119" s="12"/>
      <c r="P119" s="13"/>
      <c r="Q119" s="228" t="s">
        <v>2354</v>
      </c>
      <c r="R119" s="744">
        <v>2</v>
      </c>
    </row>
    <row r="120" spans="1:18" ht="38.1" customHeight="1">
      <c r="A120" s="23"/>
      <c r="B120" s="23"/>
      <c r="C120" s="23"/>
      <c r="D120" s="23"/>
      <c r="E120" s="731" t="s">
        <v>2562</v>
      </c>
      <c r="F120" s="736" t="s">
        <v>2563</v>
      </c>
      <c r="G120" s="605" t="s">
        <v>745</v>
      </c>
      <c r="H120" s="5" t="s">
        <v>2564</v>
      </c>
      <c r="I120" s="13" t="s">
        <v>2565</v>
      </c>
      <c r="J120" s="13" t="s">
        <v>2167</v>
      </c>
      <c r="K120" s="13" t="s">
        <v>2168</v>
      </c>
      <c r="L120" s="13"/>
      <c r="M120" s="13" t="s">
        <v>2353</v>
      </c>
      <c r="N120" s="13"/>
      <c r="O120" s="12"/>
      <c r="P120" s="13"/>
      <c r="Q120" s="228" t="s">
        <v>2354</v>
      </c>
      <c r="R120" s="744">
        <v>2</v>
      </c>
    </row>
    <row r="121" spans="1:18" ht="38.1" customHeight="1">
      <c r="A121" s="23"/>
      <c r="B121" s="23"/>
      <c r="C121" s="23"/>
      <c r="D121" s="23"/>
      <c r="E121" s="731" t="s">
        <v>2566</v>
      </c>
      <c r="F121" s="12" t="s">
        <v>2567</v>
      </c>
      <c r="G121" s="605" t="s">
        <v>745</v>
      </c>
      <c r="H121" s="5" t="s">
        <v>2568</v>
      </c>
      <c r="I121" s="13" t="s">
        <v>2569</v>
      </c>
      <c r="J121" s="13" t="s">
        <v>2095</v>
      </c>
      <c r="K121" s="13" t="s">
        <v>2096</v>
      </c>
      <c r="L121" s="13" t="s">
        <v>2095</v>
      </c>
      <c r="M121" s="13" t="s">
        <v>2353</v>
      </c>
      <c r="N121" s="13"/>
      <c r="O121" s="12">
        <v>0</v>
      </c>
      <c r="P121" s="13"/>
      <c r="Q121" s="228" t="s">
        <v>2354</v>
      </c>
      <c r="R121" s="744">
        <v>2</v>
      </c>
    </row>
    <row r="122" spans="1:18" ht="38.1" customHeight="1">
      <c r="A122" s="23"/>
      <c r="B122" s="23"/>
      <c r="C122" s="23"/>
      <c r="D122" s="23"/>
      <c r="E122" s="731" t="s">
        <v>2570</v>
      </c>
      <c r="F122" s="736" t="s">
        <v>2571</v>
      </c>
      <c r="G122" s="605" t="s">
        <v>745</v>
      </c>
      <c r="H122" s="5" t="s">
        <v>2572</v>
      </c>
      <c r="I122" s="13" t="s">
        <v>2573</v>
      </c>
      <c r="J122" s="13" t="s">
        <v>2167</v>
      </c>
      <c r="K122" s="13" t="s">
        <v>2168</v>
      </c>
      <c r="L122" s="13"/>
      <c r="M122" s="13" t="s">
        <v>2353</v>
      </c>
      <c r="N122" s="13"/>
      <c r="O122" s="12"/>
      <c r="P122" s="13"/>
      <c r="Q122" s="228" t="s">
        <v>2354</v>
      </c>
      <c r="R122" s="744">
        <v>2</v>
      </c>
    </row>
    <row r="123" spans="1:18" ht="38.1" customHeight="1">
      <c r="A123" s="23"/>
      <c r="B123" s="23"/>
      <c r="C123" s="23"/>
      <c r="D123" s="23"/>
      <c r="E123" s="731" t="s">
        <v>2574</v>
      </c>
      <c r="F123" s="12" t="s">
        <v>2575</v>
      </c>
      <c r="G123" s="605" t="s">
        <v>745</v>
      </c>
      <c r="H123" s="5" t="s">
        <v>2576</v>
      </c>
      <c r="I123" s="13" t="s">
        <v>2577</v>
      </c>
      <c r="J123" s="13" t="s">
        <v>2167</v>
      </c>
      <c r="K123" s="13" t="s">
        <v>2168</v>
      </c>
      <c r="L123" s="13"/>
      <c r="M123" s="13" t="s">
        <v>2353</v>
      </c>
      <c r="N123" s="13"/>
      <c r="O123" s="12"/>
      <c r="P123" s="13"/>
      <c r="Q123" s="228" t="s">
        <v>2354</v>
      </c>
      <c r="R123" s="744">
        <v>2</v>
      </c>
    </row>
    <row r="124" spans="1:18" ht="38.1" customHeight="1">
      <c r="A124" s="23"/>
      <c r="B124" s="23"/>
      <c r="C124" s="23"/>
      <c r="D124" s="23"/>
      <c r="E124" s="857" t="s">
        <v>2578</v>
      </c>
      <c r="F124" s="870" t="s">
        <v>2579</v>
      </c>
      <c r="G124" s="871" t="s">
        <v>745</v>
      </c>
      <c r="H124" s="857" t="s">
        <v>2580</v>
      </c>
      <c r="I124" s="858" t="s">
        <v>2581</v>
      </c>
      <c r="J124" s="858" t="s">
        <v>2095</v>
      </c>
      <c r="K124" s="858" t="s">
        <v>2096</v>
      </c>
      <c r="L124" s="858"/>
      <c r="M124" s="858" t="s">
        <v>2097</v>
      </c>
      <c r="N124" s="858"/>
      <c r="O124" s="870"/>
      <c r="P124" s="858"/>
      <c r="Q124" s="872"/>
      <c r="R124" s="858">
        <v>2</v>
      </c>
    </row>
    <row r="125" spans="1:18" ht="38.1" customHeight="1">
      <c r="A125" s="23"/>
      <c r="B125" s="23"/>
      <c r="C125" s="23"/>
      <c r="D125" s="23"/>
      <c r="E125" s="731" t="s">
        <v>2582</v>
      </c>
      <c r="F125" s="12" t="s">
        <v>2583</v>
      </c>
      <c r="G125" s="605" t="s">
        <v>745</v>
      </c>
      <c r="H125" s="5" t="s">
        <v>2584</v>
      </c>
      <c r="I125" s="13" t="s">
        <v>2585</v>
      </c>
      <c r="J125" s="13" t="s">
        <v>2167</v>
      </c>
      <c r="K125" s="13" t="s">
        <v>2168</v>
      </c>
      <c r="L125" s="13"/>
      <c r="M125" s="13" t="s">
        <v>2353</v>
      </c>
      <c r="N125" s="13"/>
      <c r="O125" s="12"/>
      <c r="P125" s="13"/>
      <c r="Q125" s="228" t="s">
        <v>2354</v>
      </c>
      <c r="R125" s="744">
        <v>2</v>
      </c>
    </row>
    <row r="126" spans="1:18" ht="38.1" customHeight="1">
      <c r="A126" s="23"/>
      <c r="B126" s="23"/>
      <c r="C126" s="23"/>
      <c r="D126" s="23"/>
      <c r="E126" s="731" t="s">
        <v>2586</v>
      </c>
      <c r="F126" s="12" t="s">
        <v>2587</v>
      </c>
      <c r="G126" s="605" t="s">
        <v>745</v>
      </c>
      <c r="H126" s="5" t="s">
        <v>2588</v>
      </c>
      <c r="I126" s="13" t="s">
        <v>2537</v>
      </c>
      <c r="J126" s="13" t="s">
        <v>2167</v>
      </c>
      <c r="K126" s="13" t="s">
        <v>2168</v>
      </c>
      <c r="L126" s="13"/>
      <c r="M126" s="13" t="s">
        <v>2353</v>
      </c>
      <c r="N126" s="13"/>
      <c r="O126" s="12"/>
      <c r="P126" s="13"/>
      <c r="Q126" s="228" t="s">
        <v>2354</v>
      </c>
      <c r="R126" s="744">
        <v>2</v>
      </c>
    </row>
    <row r="127" spans="1:18" ht="38.1" customHeight="1">
      <c r="A127" s="23"/>
      <c r="B127" s="23"/>
      <c r="C127" s="23"/>
      <c r="D127" s="23"/>
      <c r="E127" s="731" t="s">
        <v>2589</v>
      </c>
      <c r="F127" s="12" t="s">
        <v>2590</v>
      </c>
      <c r="G127" s="605" t="s">
        <v>745</v>
      </c>
      <c r="H127" s="5" t="s">
        <v>2591</v>
      </c>
      <c r="I127" s="13" t="s">
        <v>2592</v>
      </c>
      <c r="J127" s="13" t="s">
        <v>2167</v>
      </c>
      <c r="K127" s="13" t="s">
        <v>2168</v>
      </c>
      <c r="L127" s="13"/>
      <c r="M127" s="13" t="s">
        <v>2353</v>
      </c>
      <c r="N127" s="13"/>
      <c r="O127" s="12"/>
      <c r="P127" s="13"/>
      <c r="Q127" s="228" t="s">
        <v>2354</v>
      </c>
      <c r="R127" s="744">
        <v>2</v>
      </c>
    </row>
    <row r="128" spans="1:18" ht="38.1" customHeight="1">
      <c r="A128" s="23"/>
      <c r="B128" s="23"/>
      <c r="C128" s="23"/>
      <c r="D128" s="23"/>
      <c r="E128" s="731" t="s">
        <v>2593</v>
      </c>
      <c r="F128" s="12" t="s">
        <v>2594</v>
      </c>
      <c r="G128" s="605" t="s">
        <v>745</v>
      </c>
      <c r="H128" s="5" t="s">
        <v>2595</v>
      </c>
      <c r="I128" s="13" t="s">
        <v>2596</v>
      </c>
      <c r="J128" s="13" t="s">
        <v>2167</v>
      </c>
      <c r="K128" s="13" t="s">
        <v>2168</v>
      </c>
      <c r="L128" s="13"/>
      <c r="M128" s="13" t="s">
        <v>2353</v>
      </c>
      <c r="N128" s="13"/>
      <c r="O128" s="12"/>
      <c r="P128" s="13"/>
      <c r="Q128" s="228" t="s">
        <v>2354</v>
      </c>
      <c r="R128" s="744">
        <v>2</v>
      </c>
    </row>
    <row r="129" spans="1:18" ht="38.1" customHeight="1">
      <c r="A129" s="23"/>
      <c r="B129" s="23"/>
      <c r="C129" s="23"/>
      <c r="D129" s="23"/>
      <c r="E129" s="731" t="s">
        <v>2597</v>
      </c>
      <c r="F129" s="736" t="s">
        <v>2598</v>
      </c>
      <c r="G129" s="605" t="s">
        <v>745</v>
      </c>
      <c r="H129" s="5" t="s">
        <v>2599</v>
      </c>
      <c r="I129" s="13" t="s">
        <v>2600</v>
      </c>
      <c r="J129" s="13" t="s">
        <v>2167</v>
      </c>
      <c r="K129" s="13" t="s">
        <v>2168</v>
      </c>
      <c r="L129" s="13"/>
      <c r="M129" s="13" t="s">
        <v>2353</v>
      </c>
      <c r="N129" s="13"/>
      <c r="O129" s="12"/>
      <c r="P129" s="13"/>
      <c r="Q129" s="228" t="s">
        <v>2354</v>
      </c>
      <c r="R129" s="744">
        <v>2</v>
      </c>
    </row>
    <row r="130" spans="1:18" ht="38.1" customHeight="1">
      <c r="A130" s="23"/>
      <c r="B130" s="23"/>
      <c r="C130" s="23"/>
      <c r="D130" s="23"/>
      <c r="E130" s="857" t="s">
        <v>2601</v>
      </c>
      <c r="F130" s="870" t="s">
        <v>2602</v>
      </c>
      <c r="G130" s="871" t="s">
        <v>745</v>
      </c>
      <c r="H130" s="857" t="s">
        <v>2603</v>
      </c>
      <c r="I130" s="858" t="s">
        <v>2413</v>
      </c>
      <c r="J130" s="858" t="s">
        <v>2095</v>
      </c>
      <c r="K130" s="858" t="s">
        <v>2096</v>
      </c>
      <c r="L130" s="858" t="s">
        <v>2095</v>
      </c>
      <c r="M130" s="858" t="s">
        <v>2353</v>
      </c>
      <c r="N130" s="858"/>
      <c r="O130" s="870">
        <v>0</v>
      </c>
      <c r="P130" s="858"/>
      <c r="Q130" s="872" t="s">
        <v>2354</v>
      </c>
      <c r="R130" s="858">
        <v>2</v>
      </c>
    </row>
    <row r="131" spans="1:18" ht="38.1" customHeight="1">
      <c r="A131" s="23"/>
      <c r="B131" s="23"/>
      <c r="C131" s="23"/>
      <c r="D131" s="23"/>
      <c r="E131" s="731" t="s">
        <v>2604</v>
      </c>
      <c r="F131" s="736" t="s">
        <v>2605</v>
      </c>
      <c r="G131" s="605" t="s">
        <v>745</v>
      </c>
      <c r="H131" s="5" t="s">
        <v>2606</v>
      </c>
      <c r="I131" s="13" t="s">
        <v>2417</v>
      </c>
      <c r="J131" s="13" t="s">
        <v>2167</v>
      </c>
      <c r="K131" s="13" t="s">
        <v>2168</v>
      </c>
      <c r="L131" s="13"/>
      <c r="M131" s="13" t="s">
        <v>2353</v>
      </c>
      <c r="N131" s="13"/>
      <c r="O131" s="12"/>
      <c r="P131" s="13"/>
      <c r="Q131" s="228" t="s">
        <v>2354</v>
      </c>
      <c r="R131" s="744">
        <v>2</v>
      </c>
    </row>
    <row r="132" spans="1:18" ht="38.1" customHeight="1">
      <c r="A132" s="23"/>
      <c r="B132" s="23"/>
      <c r="C132" s="23"/>
      <c r="D132" s="23"/>
      <c r="E132" s="731" t="s">
        <v>2607</v>
      </c>
      <c r="F132" s="12" t="s">
        <v>2608</v>
      </c>
      <c r="G132" s="605" t="s">
        <v>745</v>
      </c>
      <c r="H132" s="5" t="s">
        <v>2609</v>
      </c>
      <c r="I132" s="13" t="s">
        <v>2610</v>
      </c>
      <c r="J132" s="13" t="s">
        <v>2167</v>
      </c>
      <c r="K132" s="13" t="s">
        <v>2168</v>
      </c>
      <c r="L132" s="13"/>
      <c r="M132" s="13" t="s">
        <v>2353</v>
      </c>
      <c r="N132" s="13"/>
      <c r="O132" s="12"/>
      <c r="P132" s="13"/>
      <c r="Q132" s="228" t="s">
        <v>2354</v>
      </c>
      <c r="R132" s="744">
        <v>2</v>
      </c>
    </row>
    <row r="133" spans="1:18" ht="38.1" customHeight="1">
      <c r="A133" s="23"/>
      <c r="B133" s="23"/>
      <c r="C133" s="23"/>
      <c r="D133" s="23"/>
      <c r="E133" s="731" t="s">
        <v>2611</v>
      </c>
      <c r="F133" s="12" t="s">
        <v>2612</v>
      </c>
      <c r="G133" s="605" t="s">
        <v>745</v>
      </c>
      <c r="H133" s="5" t="s">
        <v>2613</v>
      </c>
      <c r="I133" s="13" t="s">
        <v>2614</v>
      </c>
      <c r="J133" s="13" t="s">
        <v>2167</v>
      </c>
      <c r="K133" s="13" t="s">
        <v>2168</v>
      </c>
      <c r="L133" s="13"/>
      <c r="M133" s="13" t="s">
        <v>2353</v>
      </c>
      <c r="N133" s="13"/>
      <c r="O133" s="12"/>
      <c r="P133" s="13"/>
      <c r="Q133" s="228" t="s">
        <v>2354</v>
      </c>
      <c r="R133" s="744">
        <v>2</v>
      </c>
    </row>
    <row r="134" spans="1:18" ht="38.1" customHeight="1">
      <c r="A134" s="23"/>
      <c r="B134" s="23"/>
      <c r="C134" s="23"/>
      <c r="D134" s="23"/>
      <c r="E134" s="731" t="s">
        <v>2615</v>
      </c>
      <c r="F134" s="12" t="s">
        <v>2616</v>
      </c>
      <c r="G134" s="605" t="s">
        <v>745</v>
      </c>
      <c r="H134" s="5" t="s">
        <v>2617</v>
      </c>
      <c r="I134" s="13" t="s">
        <v>2618</v>
      </c>
      <c r="J134" s="13" t="s">
        <v>2167</v>
      </c>
      <c r="K134" s="13" t="s">
        <v>2168</v>
      </c>
      <c r="L134" s="13"/>
      <c r="M134" s="13" t="s">
        <v>2353</v>
      </c>
      <c r="N134" s="13"/>
      <c r="O134" s="12"/>
      <c r="P134" s="13"/>
      <c r="Q134" s="228" t="s">
        <v>2354</v>
      </c>
      <c r="R134" s="744">
        <v>2</v>
      </c>
    </row>
    <row r="135" spans="1:18" ht="38.1" customHeight="1">
      <c r="A135" s="23"/>
      <c r="B135" s="23"/>
      <c r="C135" s="23"/>
      <c r="D135" s="23"/>
      <c r="E135" s="731" t="s">
        <v>2619</v>
      </c>
      <c r="F135" s="12" t="s">
        <v>2620</v>
      </c>
      <c r="G135" s="605" t="s">
        <v>745</v>
      </c>
      <c r="H135" s="5" t="s">
        <v>2621</v>
      </c>
      <c r="I135" s="13" t="s">
        <v>2433</v>
      </c>
      <c r="J135" s="13" t="s">
        <v>2167</v>
      </c>
      <c r="K135" s="13" t="s">
        <v>2168</v>
      </c>
      <c r="L135" s="13"/>
      <c r="M135" s="13" t="s">
        <v>2353</v>
      </c>
      <c r="N135" s="13"/>
      <c r="O135" s="12"/>
      <c r="P135" s="13"/>
      <c r="Q135" s="228" t="s">
        <v>2354</v>
      </c>
      <c r="R135" s="744">
        <v>2</v>
      </c>
    </row>
    <row r="136" spans="1:18" ht="38.1" customHeight="1">
      <c r="A136" s="23"/>
      <c r="B136" s="23"/>
      <c r="C136" s="23"/>
      <c r="D136" s="23"/>
      <c r="E136" s="5" t="s">
        <v>2622</v>
      </c>
      <c r="F136" s="736" t="s">
        <v>2623</v>
      </c>
      <c r="G136" s="605" t="s">
        <v>745</v>
      </c>
      <c r="H136" s="5" t="s">
        <v>2624</v>
      </c>
      <c r="I136" s="13" t="s">
        <v>2625</v>
      </c>
      <c r="J136" s="13" t="s">
        <v>2095</v>
      </c>
      <c r="K136" s="13" t="s">
        <v>2096</v>
      </c>
      <c r="L136" s="13" t="s">
        <v>2095</v>
      </c>
      <c r="M136" s="13" t="s">
        <v>2097</v>
      </c>
      <c r="N136" s="13"/>
      <c r="O136" s="12">
        <v>0</v>
      </c>
      <c r="P136" s="13"/>
      <c r="Q136" s="228"/>
      <c r="R136" s="744">
        <v>2</v>
      </c>
    </row>
    <row r="137" spans="1:18" ht="38.1" customHeight="1">
      <c r="A137" s="23"/>
      <c r="B137" s="23"/>
      <c r="C137" s="23"/>
      <c r="D137" s="23"/>
      <c r="E137" s="731" t="s">
        <v>2626</v>
      </c>
      <c r="F137" s="12" t="s">
        <v>2627</v>
      </c>
      <c r="G137" s="605" t="s">
        <v>745</v>
      </c>
      <c r="H137" s="5" t="s">
        <v>2628</v>
      </c>
      <c r="I137" s="13" t="s">
        <v>2441</v>
      </c>
      <c r="J137" s="13" t="s">
        <v>2167</v>
      </c>
      <c r="K137" s="13" t="s">
        <v>2168</v>
      </c>
      <c r="L137" s="13"/>
      <c r="M137" s="13" t="s">
        <v>2353</v>
      </c>
      <c r="N137" s="13"/>
      <c r="O137" s="12"/>
      <c r="P137" s="13"/>
      <c r="Q137" s="228" t="s">
        <v>2354</v>
      </c>
      <c r="R137" s="744">
        <v>2</v>
      </c>
    </row>
    <row r="138" spans="1:18" ht="38.1" customHeight="1">
      <c r="A138" s="23"/>
      <c r="B138" s="23"/>
      <c r="C138" s="23"/>
      <c r="D138" s="23"/>
      <c r="E138" s="731" t="s">
        <v>2629</v>
      </c>
      <c r="F138" s="736" t="s">
        <v>2630</v>
      </c>
      <c r="G138" s="605" t="s">
        <v>745</v>
      </c>
      <c r="H138" s="5" t="s">
        <v>2631</v>
      </c>
      <c r="I138" s="13" t="s">
        <v>2632</v>
      </c>
      <c r="J138" s="13" t="s">
        <v>2167</v>
      </c>
      <c r="K138" s="13" t="s">
        <v>2168</v>
      </c>
      <c r="L138" s="13"/>
      <c r="M138" s="13" t="s">
        <v>2353</v>
      </c>
      <c r="N138" s="13"/>
      <c r="O138" s="12"/>
      <c r="P138" s="13"/>
      <c r="Q138" s="228" t="s">
        <v>2354</v>
      </c>
      <c r="R138" s="744">
        <v>2</v>
      </c>
    </row>
    <row r="139" spans="1:18" ht="38.1" customHeight="1">
      <c r="A139" s="23"/>
      <c r="B139" s="23"/>
      <c r="C139" s="23"/>
      <c r="D139" s="23"/>
      <c r="E139" s="731" t="s">
        <v>2633</v>
      </c>
      <c r="F139" s="12" t="s">
        <v>2634</v>
      </c>
      <c r="G139" s="605" t="s">
        <v>745</v>
      </c>
      <c r="H139" s="5" t="s">
        <v>2635</v>
      </c>
      <c r="I139" s="13" t="s">
        <v>2449</v>
      </c>
      <c r="J139" s="13" t="s">
        <v>2167</v>
      </c>
      <c r="K139" s="13" t="s">
        <v>2168</v>
      </c>
      <c r="L139" s="13"/>
      <c r="M139" s="13" t="s">
        <v>2353</v>
      </c>
      <c r="N139" s="13"/>
      <c r="O139" s="12"/>
      <c r="P139" s="13"/>
      <c r="Q139" s="228" t="s">
        <v>2354</v>
      </c>
      <c r="R139" s="744">
        <v>2</v>
      </c>
    </row>
    <row r="140" spans="1:18" ht="38.1" customHeight="1">
      <c r="A140" s="23"/>
      <c r="B140" s="23"/>
      <c r="C140" s="23"/>
      <c r="D140" s="23"/>
      <c r="E140" s="731" t="s">
        <v>2636</v>
      </c>
      <c r="F140" s="12" t="s">
        <v>2637</v>
      </c>
      <c r="G140" s="605" t="s">
        <v>745</v>
      </c>
      <c r="H140" s="5" t="s">
        <v>2638</v>
      </c>
      <c r="I140" s="13" t="s">
        <v>2453</v>
      </c>
      <c r="J140" s="13" t="s">
        <v>2167</v>
      </c>
      <c r="K140" s="13" t="s">
        <v>2168</v>
      </c>
      <c r="L140" s="13"/>
      <c r="M140" s="13" t="s">
        <v>2353</v>
      </c>
      <c r="N140" s="13"/>
      <c r="O140" s="12"/>
      <c r="P140" s="13"/>
      <c r="Q140" s="228" t="s">
        <v>2354</v>
      </c>
      <c r="R140" s="744">
        <v>2</v>
      </c>
    </row>
    <row r="141" spans="1:18" ht="38.1" customHeight="1">
      <c r="A141" s="23"/>
      <c r="B141" s="23"/>
      <c r="C141" s="23"/>
      <c r="D141" s="23"/>
      <c r="E141" s="731" t="s">
        <v>2639</v>
      </c>
      <c r="F141" s="12" t="s">
        <v>2640</v>
      </c>
      <c r="G141" s="605" t="s">
        <v>745</v>
      </c>
      <c r="H141" s="5" t="s">
        <v>2641</v>
      </c>
      <c r="I141" s="13" t="s">
        <v>2642</v>
      </c>
      <c r="J141" s="13" t="s">
        <v>2167</v>
      </c>
      <c r="K141" s="13" t="s">
        <v>2168</v>
      </c>
      <c r="L141" s="13"/>
      <c r="M141" s="13" t="s">
        <v>2353</v>
      </c>
      <c r="N141" s="13"/>
      <c r="O141" s="12"/>
      <c r="P141" s="13"/>
      <c r="Q141" s="228" t="s">
        <v>2354</v>
      </c>
      <c r="R141" s="744">
        <v>2</v>
      </c>
    </row>
    <row r="142" spans="1:18" ht="38.1" customHeight="1">
      <c r="A142" s="23"/>
      <c r="B142" s="23"/>
      <c r="C142" s="23"/>
      <c r="D142" s="23"/>
      <c r="E142" s="731" t="s">
        <v>2643</v>
      </c>
      <c r="F142" s="736" t="s">
        <v>2644</v>
      </c>
      <c r="G142" s="605" t="s">
        <v>745</v>
      </c>
      <c r="H142" s="5" t="s">
        <v>2645</v>
      </c>
      <c r="I142" s="13" t="s">
        <v>2461</v>
      </c>
      <c r="J142" s="13" t="s">
        <v>2167</v>
      </c>
      <c r="K142" s="13" t="s">
        <v>2168</v>
      </c>
      <c r="L142" s="13"/>
      <c r="M142" s="13" t="s">
        <v>2353</v>
      </c>
      <c r="N142" s="13"/>
      <c r="O142" s="12"/>
      <c r="P142" s="13"/>
      <c r="Q142" s="228" t="s">
        <v>2354</v>
      </c>
      <c r="R142" s="744">
        <v>2</v>
      </c>
    </row>
    <row r="143" spans="1:18" ht="38.1" customHeight="1">
      <c r="A143" s="23"/>
      <c r="B143" s="23"/>
      <c r="C143" s="23"/>
      <c r="D143" s="23"/>
      <c r="E143" s="731" t="s">
        <v>2646</v>
      </c>
      <c r="F143" s="12" t="s">
        <v>2647</v>
      </c>
      <c r="G143" s="605" t="s">
        <v>745</v>
      </c>
      <c r="H143" s="5" t="s">
        <v>2648</v>
      </c>
      <c r="I143" s="13" t="s">
        <v>2649</v>
      </c>
      <c r="J143" s="13" t="s">
        <v>2095</v>
      </c>
      <c r="K143" s="13" t="s">
        <v>2096</v>
      </c>
      <c r="L143" s="13" t="s">
        <v>2095</v>
      </c>
      <c r="M143" s="13" t="s">
        <v>2353</v>
      </c>
      <c r="N143" s="13"/>
      <c r="O143" s="12">
        <v>0</v>
      </c>
      <c r="P143" s="13"/>
      <c r="Q143" s="228" t="s">
        <v>2354</v>
      </c>
      <c r="R143" s="744">
        <v>2</v>
      </c>
    </row>
    <row r="144" spans="1:18" ht="38.1" customHeight="1">
      <c r="A144" s="23"/>
      <c r="B144" s="23"/>
      <c r="C144" s="23"/>
      <c r="D144" s="23"/>
      <c r="E144" s="731" t="s">
        <v>2650</v>
      </c>
      <c r="F144" s="736" t="s">
        <v>2651</v>
      </c>
      <c r="G144" s="605" t="s">
        <v>745</v>
      </c>
      <c r="H144" s="5" t="s">
        <v>2652</v>
      </c>
      <c r="I144" s="13" t="s">
        <v>2653</v>
      </c>
      <c r="J144" s="13" t="s">
        <v>2167</v>
      </c>
      <c r="K144" s="13" t="s">
        <v>2168</v>
      </c>
      <c r="L144" s="13"/>
      <c r="M144" s="13" t="s">
        <v>2353</v>
      </c>
      <c r="N144" s="13"/>
      <c r="O144" s="12"/>
      <c r="P144" s="13"/>
      <c r="Q144" s="228" t="s">
        <v>2354</v>
      </c>
      <c r="R144" s="744">
        <v>2</v>
      </c>
    </row>
    <row r="145" spans="1:18" ht="38.1" customHeight="1">
      <c r="A145" s="23"/>
      <c r="B145" s="23"/>
      <c r="C145" s="23"/>
      <c r="D145" s="23"/>
      <c r="E145" s="731" t="s">
        <v>2654</v>
      </c>
      <c r="F145" s="12" t="s">
        <v>2655</v>
      </c>
      <c r="G145" s="605" t="s">
        <v>745</v>
      </c>
      <c r="H145" s="5" t="s">
        <v>2656</v>
      </c>
      <c r="I145" s="13" t="s">
        <v>2657</v>
      </c>
      <c r="J145" s="13" t="s">
        <v>2167</v>
      </c>
      <c r="K145" s="13" t="s">
        <v>2168</v>
      </c>
      <c r="L145" s="13"/>
      <c r="M145" s="13" t="s">
        <v>2353</v>
      </c>
      <c r="N145" s="13"/>
      <c r="O145" s="12"/>
      <c r="P145" s="13"/>
      <c r="Q145" s="228" t="s">
        <v>2354</v>
      </c>
      <c r="R145" s="744">
        <v>2</v>
      </c>
    </row>
    <row r="146" spans="1:18" ht="38.1" customHeight="1">
      <c r="A146" s="23"/>
      <c r="B146" s="23"/>
      <c r="C146" s="23"/>
      <c r="D146" s="23"/>
      <c r="E146" s="731" t="s">
        <v>2658</v>
      </c>
      <c r="F146" s="12" t="s">
        <v>2659</v>
      </c>
      <c r="G146" s="605" t="s">
        <v>745</v>
      </c>
      <c r="H146" s="5" t="s">
        <v>2660</v>
      </c>
      <c r="I146" s="13" t="s">
        <v>2477</v>
      </c>
      <c r="J146" s="13" t="s">
        <v>2167</v>
      </c>
      <c r="K146" s="13" t="s">
        <v>2168</v>
      </c>
      <c r="L146" s="13"/>
      <c r="M146" s="13" t="s">
        <v>2353</v>
      </c>
      <c r="N146" s="13"/>
      <c r="O146" s="12"/>
      <c r="P146" s="13"/>
      <c r="Q146" s="228" t="s">
        <v>2354</v>
      </c>
      <c r="R146" s="744">
        <v>2</v>
      </c>
    </row>
    <row r="147" spans="1:18" ht="38.1" customHeight="1">
      <c r="A147" s="856"/>
      <c r="B147" s="856"/>
      <c r="C147" s="856"/>
      <c r="D147" s="856"/>
      <c r="E147" s="857" t="s">
        <v>2661</v>
      </c>
      <c r="F147" s="870" t="s">
        <v>2662</v>
      </c>
      <c r="G147" s="871" t="s">
        <v>745</v>
      </c>
      <c r="H147" s="857" t="s">
        <v>2663</v>
      </c>
      <c r="I147" s="858" t="s">
        <v>2664</v>
      </c>
      <c r="J147" s="858" t="s">
        <v>2167</v>
      </c>
      <c r="K147" s="858" t="s">
        <v>2168</v>
      </c>
      <c r="L147" s="858"/>
      <c r="M147" s="858" t="s">
        <v>2353</v>
      </c>
      <c r="N147" s="858"/>
      <c r="O147" s="870"/>
      <c r="P147" s="858"/>
      <c r="Q147" s="872" t="s">
        <v>2354</v>
      </c>
      <c r="R147" s="858">
        <v>2</v>
      </c>
    </row>
    <row r="148" spans="1:18" ht="38.1" customHeight="1">
      <c r="A148" s="23"/>
      <c r="B148" s="23"/>
      <c r="C148" s="23"/>
      <c r="D148" s="23"/>
      <c r="E148" s="5" t="s">
        <v>2665</v>
      </c>
      <c r="F148" s="736" t="s">
        <v>2666</v>
      </c>
      <c r="G148" s="605" t="s">
        <v>132</v>
      </c>
      <c r="H148" s="5" t="s">
        <v>2667</v>
      </c>
      <c r="I148" s="13" t="s">
        <v>2668</v>
      </c>
      <c r="J148" s="13" t="s">
        <v>2095</v>
      </c>
      <c r="K148" s="13" t="s">
        <v>2096</v>
      </c>
      <c r="L148" s="13" t="s">
        <v>2095</v>
      </c>
      <c r="M148" s="13" t="s">
        <v>2097</v>
      </c>
      <c r="N148" s="13"/>
      <c r="O148" s="12">
        <v>0</v>
      </c>
      <c r="P148" s="13"/>
      <c r="Q148" s="228"/>
      <c r="R148" s="744">
        <v>2</v>
      </c>
    </row>
    <row r="149" spans="1:18" ht="38.1" customHeight="1">
      <c r="A149" s="23"/>
      <c r="B149" s="23"/>
      <c r="C149" s="23"/>
      <c r="D149" s="23"/>
      <c r="E149" s="731" t="s">
        <v>2669</v>
      </c>
      <c r="F149" s="12" t="s">
        <v>2670</v>
      </c>
      <c r="G149" s="605" t="s">
        <v>745</v>
      </c>
      <c r="H149" s="5" t="s">
        <v>2671</v>
      </c>
      <c r="I149" s="13" t="s">
        <v>2672</v>
      </c>
      <c r="J149" s="13" t="s">
        <v>2167</v>
      </c>
      <c r="K149" s="13" t="s">
        <v>2168</v>
      </c>
      <c r="L149" s="13"/>
      <c r="M149" s="13" t="s">
        <v>2353</v>
      </c>
      <c r="N149" s="13"/>
      <c r="O149" s="12"/>
      <c r="P149" s="13"/>
      <c r="Q149" s="228" t="s">
        <v>2354</v>
      </c>
      <c r="R149" s="744">
        <v>2</v>
      </c>
    </row>
    <row r="150" spans="1:18" ht="38.1" customHeight="1">
      <c r="A150" s="23"/>
      <c r="B150" s="23"/>
      <c r="C150" s="23"/>
      <c r="D150" s="23"/>
      <c r="E150" s="731" t="s">
        <v>2673</v>
      </c>
      <c r="F150" s="12" t="s">
        <v>2674</v>
      </c>
      <c r="G150" s="605" t="s">
        <v>745</v>
      </c>
      <c r="H150" s="5" t="s">
        <v>2675</v>
      </c>
      <c r="I150" s="13" t="s">
        <v>2493</v>
      </c>
      <c r="J150" s="13" t="s">
        <v>2167</v>
      </c>
      <c r="K150" s="13" t="s">
        <v>2168</v>
      </c>
      <c r="L150" s="13"/>
      <c r="M150" s="13" t="s">
        <v>2353</v>
      </c>
      <c r="N150" s="13"/>
      <c r="O150" s="12"/>
      <c r="P150" s="13"/>
      <c r="Q150" s="228" t="s">
        <v>2354</v>
      </c>
      <c r="R150" s="744">
        <v>2</v>
      </c>
    </row>
    <row r="151" spans="1:18" ht="38.1" customHeight="1">
      <c r="A151" s="23"/>
      <c r="B151" s="23"/>
      <c r="C151" s="23"/>
      <c r="D151" s="23"/>
      <c r="E151" s="731" t="s">
        <v>2676</v>
      </c>
      <c r="F151" s="12" t="s">
        <v>2677</v>
      </c>
      <c r="G151" s="605" t="s">
        <v>745</v>
      </c>
      <c r="H151" s="5" t="s">
        <v>2678</v>
      </c>
      <c r="I151" s="13" t="s">
        <v>2679</v>
      </c>
      <c r="J151" s="13" t="s">
        <v>2167</v>
      </c>
      <c r="K151" s="13" t="s">
        <v>2168</v>
      </c>
      <c r="L151" s="13"/>
      <c r="M151" s="13" t="s">
        <v>2353</v>
      </c>
      <c r="N151" s="13"/>
      <c r="O151" s="12"/>
      <c r="P151" s="13"/>
      <c r="Q151" s="228" t="s">
        <v>2354</v>
      </c>
      <c r="R151" s="744">
        <v>2</v>
      </c>
    </row>
    <row r="152" spans="1:18" ht="38.1" customHeight="1">
      <c r="A152" s="23"/>
      <c r="B152" s="23"/>
      <c r="C152" s="23"/>
      <c r="D152" s="23"/>
      <c r="E152" s="731" t="s">
        <v>2680</v>
      </c>
      <c r="F152" s="736" t="s">
        <v>2681</v>
      </c>
      <c r="G152" s="605" t="s">
        <v>745</v>
      </c>
      <c r="H152" s="5" t="s">
        <v>2682</v>
      </c>
      <c r="I152" s="13" t="s">
        <v>2501</v>
      </c>
      <c r="J152" s="13" t="s">
        <v>2167</v>
      </c>
      <c r="K152" s="13" t="s">
        <v>2168</v>
      </c>
      <c r="L152" s="13"/>
      <c r="M152" s="13" t="s">
        <v>2353</v>
      </c>
      <c r="N152" s="13"/>
      <c r="O152" s="12"/>
      <c r="P152" s="13"/>
      <c r="Q152" s="228" t="s">
        <v>2354</v>
      </c>
      <c r="R152" s="744">
        <v>2</v>
      </c>
    </row>
    <row r="153" spans="1:18" ht="38.1" customHeight="1">
      <c r="A153" s="23"/>
      <c r="B153" s="23"/>
      <c r="C153" s="23"/>
      <c r="D153" s="23"/>
      <c r="E153" s="731" t="s">
        <v>2683</v>
      </c>
      <c r="F153" s="12" t="s">
        <v>2684</v>
      </c>
      <c r="G153" s="605" t="s">
        <v>745</v>
      </c>
      <c r="H153" s="5" t="s">
        <v>2685</v>
      </c>
      <c r="I153" s="13" t="s">
        <v>2642</v>
      </c>
      <c r="J153" s="13" t="s">
        <v>2167</v>
      </c>
      <c r="K153" s="13" t="s">
        <v>2168</v>
      </c>
      <c r="L153" s="13"/>
      <c r="M153" s="13" t="s">
        <v>2353</v>
      </c>
      <c r="N153" s="13"/>
      <c r="O153" s="12"/>
      <c r="P153" s="13"/>
      <c r="Q153" s="228" t="s">
        <v>2354</v>
      </c>
      <c r="R153" s="744">
        <v>2</v>
      </c>
    </row>
    <row r="154" spans="1:18" ht="38.1" customHeight="1">
      <c r="A154" s="23"/>
      <c r="B154" s="23"/>
      <c r="C154" s="23"/>
      <c r="D154" s="23"/>
      <c r="E154" s="731" t="s">
        <v>2686</v>
      </c>
      <c r="F154" s="12" t="s">
        <v>2687</v>
      </c>
      <c r="G154" s="605" t="s">
        <v>745</v>
      </c>
      <c r="H154" s="5" t="s">
        <v>2688</v>
      </c>
      <c r="I154" s="13" t="s">
        <v>2689</v>
      </c>
      <c r="J154" s="13" t="s">
        <v>2167</v>
      </c>
      <c r="K154" s="13" t="s">
        <v>2168</v>
      </c>
      <c r="L154" s="13"/>
      <c r="M154" s="13" t="s">
        <v>2353</v>
      </c>
      <c r="N154" s="13"/>
      <c r="O154" s="12"/>
      <c r="P154" s="13"/>
      <c r="Q154" s="228" t="s">
        <v>2354</v>
      </c>
      <c r="R154" s="744">
        <v>2</v>
      </c>
    </row>
    <row r="155" spans="1:18" ht="38.1" customHeight="1">
      <c r="A155" s="23"/>
      <c r="B155" s="23"/>
      <c r="C155" s="23"/>
      <c r="D155" s="23"/>
      <c r="E155" s="731" t="s">
        <v>2690</v>
      </c>
      <c r="F155" s="12" t="s">
        <v>2691</v>
      </c>
      <c r="G155" s="605" t="s">
        <v>745</v>
      </c>
      <c r="H155" s="5" t="s">
        <v>2692</v>
      </c>
      <c r="I155" s="13" t="s">
        <v>2513</v>
      </c>
      <c r="J155" s="13" t="s">
        <v>2167</v>
      </c>
      <c r="K155" s="13" t="s">
        <v>2168</v>
      </c>
      <c r="L155" s="13"/>
      <c r="M155" s="13" t="s">
        <v>2353</v>
      </c>
      <c r="N155" s="13"/>
      <c r="O155" s="12"/>
      <c r="P155" s="13"/>
      <c r="Q155" s="228" t="s">
        <v>2354</v>
      </c>
      <c r="R155" s="744">
        <v>2</v>
      </c>
    </row>
    <row r="156" spans="1:18" ht="38.1" customHeight="1">
      <c r="A156" s="23"/>
      <c r="B156" s="23"/>
      <c r="C156" s="23"/>
      <c r="D156" s="23"/>
      <c r="E156" s="731" t="s">
        <v>2693</v>
      </c>
      <c r="F156" s="736" t="s">
        <v>2694</v>
      </c>
      <c r="G156" s="605" t="s">
        <v>745</v>
      </c>
      <c r="H156" s="5" t="s">
        <v>2695</v>
      </c>
      <c r="I156" s="13" t="s">
        <v>2653</v>
      </c>
      <c r="J156" s="13" t="s">
        <v>2167</v>
      </c>
      <c r="K156" s="13" t="s">
        <v>2168</v>
      </c>
      <c r="L156" s="13"/>
      <c r="M156" s="13" t="s">
        <v>2353</v>
      </c>
      <c r="N156" s="13"/>
      <c r="O156" s="12"/>
      <c r="P156" s="13"/>
      <c r="Q156" s="228" t="s">
        <v>2354</v>
      </c>
      <c r="R156" s="744">
        <v>2</v>
      </c>
    </row>
    <row r="157" spans="1:18" ht="38.1" customHeight="1">
      <c r="A157" s="23"/>
      <c r="B157" s="23"/>
      <c r="C157" s="23"/>
      <c r="D157" s="23"/>
      <c r="E157" s="731" t="s">
        <v>2696</v>
      </c>
      <c r="F157" s="12" t="s">
        <v>2697</v>
      </c>
      <c r="G157" s="605" t="s">
        <v>745</v>
      </c>
      <c r="H157" s="5" t="s">
        <v>2698</v>
      </c>
      <c r="I157" s="13" t="s">
        <v>2699</v>
      </c>
      <c r="J157" s="13" t="s">
        <v>2095</v>
      </c>
      <c r="K157" s="13" t="s">
        <v>2096</v>
      </c>
      <c r="L157" s="13" t="s">
        <v>2095</v>
      </c>
      <c r="M157" s="13" t="s">
        <v>2353</v>
      </c>
      <c r="N157" s="13"/>
      <c r="O157" s="12">
        <v>0</v>
      </c>
      <c r="P157" s="13"/>
      <c r="Q157" s="228" t="s">
        <v>2354</v>
      </c>
      <c r="R157" s="744">
        <v>2</v>
      </c>
    </row>
    <row r="158" spans="1:18" ht="38.1" customHeight="1">
      <c r="A158" s="23"/>
      <c r="B158" s="23"/>
      <c r="C158" s="23"/>
      <c r="D158" s="23"/>
      <c r="E158" s="731" t="s">
        <v>2700</v>
      </c>
      <c r="F158" s="736" t="s">
        <v>2701</v>
      </c>
      <c r="G158" s="605" t="s">
        <v>745</v>
      </c>
      <c r="H158" s="5" t="s">
        <v>2702</v>
      </c>
      <c r="I158" s="13" t="s">
        <v>2525</v>
      </c>
      <c r="J158" s="13" t="s">
        <v>2167</v>
      </c>
      <c r="K158" s="13" t="s">
        <v>2168</v>
      </c>
      <c r="L158" s="13"/>
      <c r="M158" s="13" t="s">
        <v>2353</v>
      </c>
      <c r="N158" s="13"/>
      <c r="O158" s="12"/>
      <c r="P158" s="13"/>
      <c r="Q158" s="228" t="s">
        <v>2354</v>
      </c>
      <c r="R158" s="744">
        <v>2</v>
      </c>
    </row>
    <row r="159" spans="1:18" ht="38.1" customHeight="1">
      <c r="A159" s="23"/>
      <c r="B159" s="23"/>
      <c r="C159" s="23"/>
      <c r="D159" s="23"/>
      <c r="E159" s="857" t="s">
        <v>2703</v>
      </c>
      <c r="F159" s="870" t="s">
        <v>2704</v>
      </c>
      <c r="G159" s="871" t="s">
        <v>745</v>
      </c>
      <c r="H159" s="857" t="s">
        <v>2705</v>
      </c>
      <c r="I159" s="858" t="s">
        <v>2706</v>
      </c>
      <c r="J159" s="858" t="s">
        <v>2167</v>
      </c>
      <c r="K159" s="858" t="s">
        <v>2168</v>
      </c>
      <c r="L159" s="858"/>
      <c r="M159" s="858" t="s">
        <v>2353</v>
      </c>
      <c r="N159" s="858"/>
      <c r="O159" s="870"/>
      <c r="P159" s="858"/>
      <c r="Q159" s="872" t="s">
        <v>2354</v>
      </c>
      <c r="R159" s="858">
        <v>2</v>
      </c>
    </row>
    <row r="160" spans="1:18" ht="38.1" customHeight="1">
      <c r="A160" s="23"/>
      <c r="B160" s="23"/>
      <c r="C160" s="23"/>
      <c r="D160" s="23"/>
      <c r="E160" s="5" t="s">
        <v>2707</v>
      </c>
      <c r="F160" s="736" t="s">
        <v>2708</v>
      </c>
      <c r="G160" s="605" t="s">
        <v>132</v>
      </c>
      <c r="H160" s="5" t="s">
        <v>2709</v>
      </c>
      <c r="I160" s="13" t="s">
        <v>2710</v>
      </c>
      <c r="J160" s="13" t="s">
        <v>2095</v>
      </c>
      <c r="K160" s="13" t="s">
        <v>2096</v>
      </c>
      <c r="L160" s="13" t="s">
        <v>2095</v>
      </c>
      <c r="M160" s="13" t="s">
        <v>2097</v>
      </c>
      <c r="N160" s="13"/>
      <c r="O160" s="12">
        <v>0</v>
      </c>
      <c r="P160" s="13"/>
      <c r="Q160" s="228"/>
      <c r="R160" s="744">
        <v>2</v>
      </c>
    </row>
    <row r="161" spans="1:18" ht="38.1" customHeight="1">
      <c r="A161" s="23"/>
      <c r="B161" s="23"/>
      <c r="C161" s="23"/>
      <c r="D161" s="23"/>
      <c r="E161" s="731" t="s">
        <v>2711</v>
      </c>
      <c r="F161" s="12" t="s">
        <v>2712</v>
      </c>
      <c r="G161" s="605" t="s">
        <v>745</v>
      </c>
      <c r="H161" s="5" t="s">
        <v>2713</v>
      </c>
      <c r="I161" s="13" t="s">
        <v>2714</v>
      </c>
      <c r="J161" s="13" t="s">
        <v>2167</v>
      </c>
      <c r="K161" s="13" t="s">
        <v>2168</v>
      </c>
      <c r="L161" s="13"/>
      <c r="M161" s="13" t="s">
        <v>2353</v>
      </c>
      <c r="N161" s="13"/>
      <c r="O161" s="12"/>
      <c r="P161" s="13"/>
      <c r="Q161" s="228" t="s">
        <v>2354</v>
      </c>
      <c r="R161" s="744">
        <v>2</v>
      </c>
    </row>
    <row r="162" spans="1:18" ht="38.1" customHeight="1">
      <c r="A162" s="23"/>
      <c r="B162" s="23"/>
      <c r="C162" s="23"/>
      <c r="D162" s="23"/>
      <c r="E162" s="731" t="s">
        <v>2715</v>
      </c>
      <c r="F162" s="736" t="s">
        <v>2716</v>
      </c>
      <c r="G162" s="605" t="s">
        <v>745</v>
      </c>
      <c r="H162" s="5" t="s">
        <v>2717</v>
      </c>
      <c r="I162" s="13" t="s">
        <v>2541</v>
      </c>
      <c r="J162" s="13" t="s">
        <v>2167</v>
      </c>
      <c r="K162" s="13" t="s">
        <v>2168</v>
      </c>
      <c r="L162" s="13"/>
      <c r="M162" s="13" t="s">
        <v>2353</v>
      </c>
      <c r="N162" s="13"/>
      <c r="O162" s="12"/>
      <c r="P162" s="13"/>
      <c r="Q162" s="228" t="s">
        <v>2354</v>
      </c>
      <c r="R162" s="744">
        <v>2</v>
      </c>
    </row>
    <row r="163" spans="1:18" ht="38.1" customHeight="1">
      <c r="A163" s="23"/>
      <c r="B163" s="23"/>
      <c r="C163" s="23"/>
      <c r="D163" s="23"/>
      <c r="E163" s="731" t="s">
        <v>2718</v>
      </c>
      <c r="F163" s="12" t="s">
        <v>2719</v>
      </c>
      <c r="G163" s="605" t="s">
        <v>745</v>
      </c>
      <c r="H163" s="5" t="s">
        <v>2720</v>
      </c>
      <c r="I163" s="13" t="s">
        <v>2721</v>
      </c>
      <c r="J163" s="13" t="s">
        <v>2167</v>
      </c>
      <c r="K163" s="13" t="s">
        <v>2168</v>
      </c>
      <c r="L163" s="13"/>
      <c r="M163" s="13" t="s">
        <v>2353</v>
      </c>
      <c r="N163" s="13"/>
      <c r="O163" s="12"/>
      <c r="P163" s="13"/>
      <c r="Q163" s="228" t="s">
        <v>2354</v>
      </c>
      <c r="R163" s="744">
        <v>2</v>
      </c>
    </row>
    <row r="164" spans="1:18" ht="38.1" customHeight="1">
      <c r="A164" s="23"/>
      <c r="B164" s="23"/>
      <c r="C164" s="23"/>
      <c r="D164" s="23"/>
      <c r="E164" s="731" t="s">
        <v>2722</v>
      </c>
      <c r="F164" s="12" t="s">
        <v>2723</v>
      </c>
      <c r="G164" s="605" t="s">
        <v>745</v>
      </c>
      <c r="H164" s="5" t="s">
        <v>2724</v>
      </c>
      <c r="I164" s="13" t="s">
        <v>2725</v>
      </c>
      <c r="J164" s="13" t="s">
        <v>2167</v>
      </c>
      <c r="K164" s="13" t="s">
        <v>2168</v>
      </c>
      <c r="L164" s="13"/>
      <c r="M164" s="13" t="s">
        <v>2353</v>
      </c>
      <c r="N164" s="13"/>
      <c r="O164" s="12"/>
      <c r="P164" s="13"/>
      <c r="Q164" s="228" t="s">
        <v>2354</v>
      </c>
      <c r="R164" s="744">
        <v>2</v>
      </c>
    </row>
    <row r="165" spans="1:18" ht="38.1" customHeight="1">
      <c r="A165" s="23"/>
      <c r="B165" s="23"/>
      <c r="C165" s="23"/>
      <c r="D165" s="23"/>
      <c r="E165" s="731" t="s">
        <v>2726</v>
      </c>
      <c r="F165" s="736" t="s">
        <v>2727</v>
      </c>
      <c r="G165" s="605" t="s">
        <v>745</v>
      </c>
      <c r="H165" s="5" t="s">
        <v>2728</v>
      </c>
      <c r="I165" s="13" t="s">
        <v>2505</v>
      </c>
      <c r="J165" s="13" t="s">
        <v>2167</v>
      </c>
      <c r="K165" s="13" t="s">
        <v>2168</v>
      </c>
      <c r="L165" s="13"/>
      <c r="M165" s="13" t="s">
        <v>2353</v>
      </c>
      <c r="N165" s="13"/>
      <c r="O165" s="12"/>
      <c r="P165" s="13"/>
      <c r="Q165" s="228" t="s">
        <v>2354</v>
      </c>
      <c r="R165" s="744">
        <v>2</v>
      </c>
    </row>
    <row r="166" spans="1:18" ht="38.1" customHeight="1">
      <c r="A166" s="23"/>
      <c r="B166" s="23"/>
      <c r="C166" s="23"/>
      <c r="D166" s="23"/>
      <c r="E166" s="731" t="s">
        <v>2729</v>
      </c>
      <c r="F166" s="12" t="s">
        <v>2730</v>
      </c>
      <c r="G166" s="605" t="s">
        <v>745</v>
      </c>
      <c r="H166" s="5" t="s">
        <v>2731</v>
      </c>
      <c r="I166" s="13" t="s">
        <v>2732</v>
      </c>
      <c r="J166" s="13" t="s">
        <v>2095</v>
      </c>
      <c r="K166" s="13" t="s">
        <v>2096</v>
      </c>
      <c r="L166" s="13" t="s">
        <v>2095</v>
      </c>
      <c r="M166" s="13" t="s">
        <v>2353</v>
      </c>
      <c r="N166" s="13"/>
      <c r="O166" s="12">
        <v>0</v>
      </c>
      <c r="P166" s="13"/>
      <c r="Q166" s="228" t="s">
        <v>2354</v>
      </c>
      <c r="R166" s="744">
        <v>2</v>
      </c>
    </row>
    <row r="167" spans="1:18" ht="38.1" customHeight="1">
      <c r="A167" s="23"/>
      <c r="B167" s="23"/>
      <c r="C167" s="23"/>
      <c r="D167" s="23"/>
      <c r="E167" s="731" t="s">
        <v>2733</v>
      </c>
      <c r="F167" s="736" t="s">
        <v>2734</v>
      </c>
      <c r="G167" s="605" t="s">
        <v>745</v>
      </c>
      <c r="H167" s="5" t="s">
        <v>2735</v>
      </c>
      <c r="I167" s="13" t="s">
        <v>2565</v>
      </c>
      <c r="J167" s="13" t="s">
        <v>2167</v>
      </c>
      <c r="K167" s="13" t="s">
        <v>2168</v>
      </c>
      <c r="L167" s="13"/>
      <c r="M167" s="13" t="s">
        <v>2353</v>
      </c>
      <c r="N167" s="13"/>
      <c r="O167" s="12"/>
      <c r="P167" s="13"/>
      <c r="Q167" s="228" t="s">
        <v>2354</v>
      </c>
      <c r="R167" s="744">
        <v>2</v>
      </c>
    </row>
    <row r="168" spans="1:18" ht="38.1" customHeight="1">
      <c r="A168" s="23"/>
      <c r="B168" s="23"/>
      <c r="C168" s="23"/>
      <c r="D168" s="23"/>
      <c r="E168" s="731" t="s">
        <v>2736</v>
      </c>
      <c r="F168" s="12" t="s">
        <v>2737</v>
      </c>
      <c r="G168" s="605" t="s">
        <v>745</v>
      </c>
      <c r="H168" s="5" t="s">
        <v>2738</v>
      </c>
      <c r="I168" s="13" t="s">
        <v>2739</v>
      </c>
      <c r="J168" s="13" t="s">
        <v>2167</v>
      </c>
      <c r="K168" s="13" t="s">
        <v>2168</v>
      </c>
      <c r="L168" s="13"/>
      <c r="M168" s="13" t="s">
        <v>2353</v>
      </c>
      <c r="N168" s="13"/>
      <c r="O168" s="12"/>
      <c r="P168" s="13"/>
      <c r="Q168" s="228" t="s">
        <v>2354</v>
      </c>
      <c r="R168" s="744">
        <v>2</v>
      </c>
    </row>
    <row r="169" spans="1:18" ht="38.1" customHeight="1">
      <c r="A169" s="23"/>
      <c r="B169" s="23"/>
      <c r="C169" s="23"/>
      <c r="D169" s="23"/>
      <c r="E169" s="731" t="s">
        <v>2740</v>
      </c>
      <c r="F169" s="12" t="s">
        <v>2741</v>
      </c>
      <c r="G169" s="605" t="s">
        <v>745</v>
      </c>
      <c r="H169" s="5" t="s">
        <v>2742</v>
      </c>
      <c r="I169" s="13" t="s">
        <v>2521</v>
      </c>
      <c r="J169" s="13" t="s">
        <v>2167</v>
      </c>
      <c r="K169" s="13" t="s">
        <v>2168</v>
      </c>
      <c r="L169" s="13"/>
      <c r="M169" s="13" t="s">
        <v>2353</v>
      </c>
      <c r="N169" s="13"/>
      <c r="O169" s="12"/>
      <c r="P169" s="13"/>
      <c r="Q169" s="228" t="s">
        <v>2354</v>
      </c>
      <c r="R169" s="744">
        <v>2</v>
      </c>
    </row>
    <row r="170" spans="1:18" ht="38.1" customHeight="1">
      <c r="A170" s="23"/>
      <c r="B170" s="23"/>
      <c r="C170" s="23"/>
      <c r="D170" s="23"/>
      <c r="E170" s="731" t="s">
        <v>2743</v>
      </c>
      <c r="F170" s="12" t="s">
        <v>2744</v>
      </c>
      <c r="G170" s="605" t="s">
        <v>745</v>
      </c>
      <c r="H170" s="5" t="s">
        <v>2745</v>
      </c>
      <c r="I170" s="13" t="s">
        <v>2746</v>
      </c>
      <c r="J170" s="13" t="s">
        <v>2167</v>
      </c>
      <c r="K170" s="13" t="s">
        <v>2168</v>
      </c>
      <c r="L170" s="13"/>
      <c r="M170" s="13" t="s">
        <v>2353</v>
      </c>
      <c r="N170" s="13"/>
      <c r="O170" s="12"/>
      <c r="P170" s="13"/>
      <c r="Q170" s="228" t="s">
        <v>2354</v>
      </c>
      <c r="R170" s="744">
        <v>2</v>
      </c>
    </row>
    <row r="171" spans="1:18" ht="38.1" customHeight="1">
      <c r="A171" s="23"/>
      <c r="B171" s="23"/>
      <c r="C171" s="23"/>
      <c r="D171" s="23"/>
      <c r="E171" s="857" t="s">
        <v>2747</v>
      </c>
      <c r="F171" s="870" t="s">
        <v>2748</v>
      </c>
      <c r="G171" s="871" t="s">
        <v>132</v>
      </c>
      <c r="H171" s="857" t="s">
        <v>2749</v>
      </c>
      <c r="I171" s="858" t="s">
        <v>2750</v>
      </c>
      <c r="J171" s="858" t="s">
        <v>2095</v>
      </c>
      <c r="K171" s="858" t="s">
        <v>2096</v>
      </c>
      <c r="L171" s="858"/>
      <c r="M171" s="858" t="s">
        <v>2097</v>
      </c>
      <c r="N171" s="858"/>
      <c r="O171" s="870"/>
      <c r="P171" s="858"/>
      <c r="Q171" s="872"/>
      <c r="R171" s="858">
        <v>2</v>
      </c>
    </row>
    <row r="172" spans="1:18" ht="38.1" customHeight="1">
      <c r="A172" s="23"/>
      <c r="B172" s="23"/>
      <c r="C172" s="23"/>
      <c r="D172" s="23"/>
      <c r="E172" s="731" t="s">
        <v>2751</v>
      </c>
      <c r="F172" s="12" t="s">
        <v>2752</v>
      </c>
      <c r="G172" s="605" t="s">
        <v>745</v>
      </c>
      <c r="H172" s="5" t="s">
        <v>2753</v>
      </c>
      <c r="I172" s="13" t="s">
        <v>2537</v>
      </c>
      <c r="J172" s="13" t="s">
        <v>2167</v>
      </c>
      <c r="K172" s="13" t="s">
        <v>2168</v>
      </c>
      <c r="L172" s="13"/>
      <c r="M172" s="13" t="s">
        <v>2353</v>
      </c>
      <c r="N172" s="13"/>
      <c r="O172" s="12"/>
      <c r="P172" s="13"/>
      <c r="Q172" s="228" t="s">
        <v>2354</v>
      </c>
      <c r="R172" s="744">
        <v>2</v>
      </c>
    </row>
    <row r="173" spans="1:18" ht="38.1" customHeight="1">
      <c r="A173" s="23"/>
      <c r="B173" s="23"/>
      <c r="C173" s="23"/>
      <c r="D173" s="23"/>
      <c r="E173" s="731" t="s">
        <v>2754</v>
      </c>
      <c r="F173" s="12" t="s">
        <v>2755</v>
      </c>
      <c r="G173" s="605" t="s">
        <v>745</v>
      </c>
      <c r="H173" s="5" t="s">
        <v>2756</v>
      </c>
      <c r="I173" s="13" t="s">
        <v>2757</v>
      </c>
      <c r="J173" s="13" t="s">
        <v>2167</v>
      </c>
      <c r="K173" s="13" t="s">
        <v>2168</v>
      </c>
      <c r="L173" s="13"/>
      <c r="M173" s="13" t="s">
        <v>2353</v>
      </c>
      <c r="N173" s="13"/>
      <c r="O173" s="12"/>
      <c r="P173" s="13"/>
      <c r="Q173" s="228" t="s">
        <v>2354</v>
      </c>
      <c r="R173" s="744">
        <v>2</v>
      </c>
    </row>
    <row r="174" spans="1:18" ht="38.1" customHeight="1">
      <c r="A174" s="23"/>
      <c r="B174" s="23"/>
      <c r="C174" s="23"/>
      <c r="D174" s="23"/>
      <c r="E174" s="731" t="s">
        <v>2758</v>
      </c>
      <c r="F174" s="12" t="s">
        <v>2759</v>
      </c>
      <c r="G174" s="605" t="s">
        <v>745</v>
      </c>
      <c r="H174" s="5" t="s">
        <v>2760</v>
      </c>
      <c r="I174" s="13" t="s">
        <v>2553</v>
      </c>
      <c r="J174" s="13" t="s">
        <v>2167</v>
      </c>
      <c r="K174" s="13" t="s">
        <v>2168</v>
      </c>
      <c r="L174" s="13"/>
      <c r="M174" s="13" t="s">
        <v>2353</v>
      </c>
      <c r="N174" s="13"/>
      <c r="O174" s="12"/>
      <c r="P174" s="13"/>
      <c r="Q174" s="228" t="s">
        <v>2354</v>
      </c>
      <c r="R174" s="744">
        <v>2</v>
      </c>
    </row>
    <row r="175" spans="1:18" ht="38.1" customHeight="1">
      <c r="A175" s="23"/>
      <c r="B175" s="23"/>
      <c r="C175" s="23"/>
      <c r="D175" s="23"/>
      <c r="E175" s="731" t="s">
        <v>2761</v>
      </c>
      <c r="F175" s="12" t="s">
        <v>2762</v>
      </c>
      <c r="G175" s="605" t="s">
        <v>745</v>
      </c>
      <c r="H175" s="5" t="s">
        <v>2763</v>
      </c>
      <c r="I175" s="13" t="s">
        <v>2764</v>
      </c>
      <c r="J175" s="13" t="s">
        <v>2095</v>
      </c>
      <c r="K175" s="13" t="s">
        <v>2096</v>
      </c>
      <c r="L175" s="13" t="s">
        <v>2095</v>
      </c>
      <c r="M175" s="13" t="s">
        <v>2353</v>
      </c>
      <c r="N175" s="13"/>
      <c r="O175" s="12">
        <v>0</v>
      </c>
      <c r="P175" s="13"/>
      <c r="Q175" s="228" t="s">
        <v>2354</v>
      </c>
      <c r="R175" s="744">
        <v>2</v>
      </c>
    </row>
    <row r="176" spans="1:18" ht="38.1" customHeight="1">
      <c r="A176" s="23"/>
      <c r="B176" s="23"/>
      <c r="C176" s="23"/>
      <c r="D176" s="23"/>
      <c r="E176" s="731" t="s">
        <v>2765</v>
      </c>
      <c r="F176" s="12" t="s">
        <v>2766</v>
      </c>
      <c r="G176" s="605" t="s">
        <v>745</v>
      </c>
      <c r="H176" s="5" t="s">
        <v>2767</v>
      </c>
      <c r="I176" s="13" t="s">
        <v>2768</v>
      </c>
      <c r="J176" s="13" t="s">
        <v>2167</v>
      </c>
      <c r="K176" s="13" t="s">
        <v>2168</v>
      </c>
      <c r="L176" s="13"/>
      <c r="M176" s="13" t="s">
        <v>2353</v>
      </c>
      <c r="N176" s="13"/>
      <c r="O176" s="12"/>
      <c r="P176" s="13"/>
      <c r="Q176" s="228" t="s">
        <v>2354</v>
      </c>
      <c r="R176" s="744">
        <v>2</v>
      </c>
    </row>
    <row r="177" spans="1:18" ht="38.1" customHeight="1">
      <c r="A177" s="23"/>
      <c r="B177" s="23"/>
      <c r="C177" s="23"/>
      <c r="D177" s="23"/>
      <c r="E177" s="731" t="s">
        <v>2769</v>
      </c>
      <c r="F177" s="12" t="s">
        <v>2770</v>
      </c>
      <c r="G177" s="605" t="s">
        <v>745</v>
      </c>
      <c r="H177" s="5" t="s">
        <v>2771</v>
      </c>
      <c r="I177" s="13" t="s">
        <v>2413</v>
      </c>
      <c r="J177" s="13" t="s">
        <v>2167</v>
      </c>
      <c r="K177" s="13" t="s">
        <v>2168</v>
      </c>
      <c r="L177" s="13"/>
      <c r="M177" s="13" t="s">
        <v>2353</v>
      </c>
      <c r="N177" s="13"/>
      <c r="O177" s="12"/>
      <c r="P177" s="13"/>
      <c r="Q177" s="228" t="s">
        <v>2354</v>
      </c>
      <c r="R177" s="744">
        <v>2</v>
      </c>
    </row>
    <row r="178" spans="1:18" ht="38.1" customHeight="1">
      <c r="A178" s="23"/>
      <c r="B178" s="23"/>
      <c r="C178" s="23"/>
      <c r="D178" s="23"/>
      <c r="E178" s="731" t="s">
        <v>2772</v>
      </c>
      <c r="F178" s="12" t="s">
        <v>2773</v>
      </c>
      <c r="G178" s="605" t="s">
        <v>745</v>
      </c>
      <c r="H178" s="5" t="s">
        <v>2774</v>
      </c>
      <c r="I178" s="13" t="s">
        <v>2775</v>
      </c>
      <c r="J178" s="13" t="s">
        <v>2167</v>
      </c>
      <c r="K178" s="13" t="s">
        <v>2168</v>
      </c>
      <c r="L178" s="13"/>
      <c r="M178" s="13" t="s">
        <v>2353</v>
      </c>
      <c r="N178" s="13"/>
      <c r="O178" s="12"/>
      <c r="P178" s="13"/>
      <c r="Q178" s="228" t="s">
        <v>2354</v>
      </c>
      <c r="R178" s="744">
        <v>2</v>
      </c>
    </row>
    <row r="179" spans="1:18" ht="38.1" customHeight="1">
      <c r="A179" s="23"/>
      <c r="B179" s="23"/>
      <c r="C179" s="23"/>
      <c r="D179" s="23"/>
      <c r="E179" s="731" t="s">
        <v>2776</v>
      </c>
      <c r="F179" s="12" t="s">
        <v>2777</v>
      </c>
      <c r="G179" s="605" t="s">
        <v>745</v>
      </c>
      <c r="H179" s="5" t="s">
        <v>2778</v>
      </c>
      <c r="I179" s="13" t="s">
        <v>2469</v>
      </c>
      <c r="J179" s="13" t="s">
        <v>2167</v>
      </c>
      <c r="K179" s="13" t="s">
        <v>2168</v>
      </c>
      <c r="L179" s="13"/>
      <c r="M179" s="13" t="s">
        <v>2353</v>
      </c>
      <c r="N179" s="13"/>
      <c r="O179" s="12"/>
      <c r="P179" s="13"/>
      <c r="Q179" s="228" t="s">
        <v>2354</v>
      </c>
      <c r="R179" s="744">
        <v>2</v>
      </c>
    </row>
    <row r="180" spans="1:18" ht="38.1" customHeight="1">
      <c r="A180" s="23"/>
      <c r="B180" s="23"/>
      <c r="C180" s="23"/>
      <c r="D180" s="23"/>
      <c r="E180" s="731" t="s">
        <v>2779</v>
      </c>
      <c r="F180" s="736" t="s">
        <v>2780</v>
      </c>
      <c r="G180" s="605" t="s">
        <v>745</v>
      </c>
      <c r="H180" s="5" t="s">
        <v>2781</v>
      </c>
      <c r="I180" s="13" t="s">
        <v>2425</v>
      </c>
      <c r="J180" s="13" t="s">
        <v>2167</v>
      </c>
      <c r="K180" s="13" t="s">
        <v>2168</v>
      </c>
      <c r="L180" s="13"/>
      <c r="M180" s="13" t="s">
        <v>2353</v>
      </c>
      <c r="N180" s="13"/>
      <c r="O180" s="12"/>
      <c r="P180" s="13"/>
      <c r="Q180" s="228" t="s">
        <v>2354</v>
      </c>
      <c r="R180" s="744">
        <v>2</v>
      </c>
    </row>
    <row r="181" spans="1:18" ht="38.1" customHeight="1">
      <c r="A181" s="23"/>
      <c r="B181" s="23"/>
      <c r="C181" s="23"/>
      <c r="D181" s="23"/>
      <c r="E181" s="731" t="s">
        <v>2782</v>
      </c>
      <c r="F181" s="12" t="s">
        <v>2783</v>
      </c>
      <c r="G181" s="605" t="s">
        <v>745</v>
      </c>
      <c r="H181" s="5" t="s">
        <v>2784</v>
      </c>
      <c r="I181" s="13" t="s">
        <v>2785</v>
      </c>
      <c r="J181" s="13" t="s">
        <v>2095</v>
      </c>
      <c r="K181" s="13" t="s">
        <v>2096</v>
      </c>
      <c r="L181" s="13" t="s">
        <v>2095</v>
      </c>
      <c r="M181" s="13" t="s">
        <v>2353</v>
      </c>
      <c r="N181" s="13"/>
      <c r="O181" s="12">
        <v>0</v>
      </c>
      <c r="P181" s="13"/>
      <c r="Q181" s="228" t="s">
        <v>2354</v>
      </c>
      <c r="R181" s="744">
        <v>2</v>
      </c>
    </row>
    <row r="182" spans="1:18" ht="38.1" customHeight="1">
      <c r="A182" s="23"/>
      <c r="B182" s="23"/>
      <c r="C182" s="23"/>
      <c r="D182" s="23"/>
      <c r="E182" s="857" t="s">
        <v>2786</v>
      </c>
      <c r="F182" s="870" t="s">
        <v>2787</v>
      </c>
      <c r="G182" s="871" t="s">
        <v>745</v>
      </c>
      <c r="H182" s="857" t="s">
        <v>2788</v>
      </c>
      <c r="I182" s="858" t="s">
        <v>2481</v>
      </c>
      <c r="J182" s="858" t="s">
        <v>2167</v>
      </c>
      <c r="K182" s="858" t="s">
        <v>2168</v>
      </c>
      <c r="L182" s="858"/>
      <c r="M182" s="858" t="s">
        <v>2353</v>
      </c>
      <c r="N182" s="858"/>
      <c r="O182" s="870"/>
      <c r="P182" s="858"/>
      <c r="Q182" s="872" t="s">
        <v>2354</v>
      </c>
      <c r="R182" s="858">
        <v>2</v>
      </c>
    </row>
    <row r="183" spans="1:18" ht="38.1" customHeight="1">
      <c r="A183" s="855"/>
      <c r="B183" s="855"/>
      <c r="C183" s="855"/>
      <c r="D183" s="855"/>
      <c r="E183" s="857" t="s">
        <v>2789</v>
      </c>
      <c r="F183" s="870" t="s">
        <v>2790</v>
      </c>
      <c r="G183" s="871" t="s">
        <v>132</v>
      </c>
      <c r="H183" s="857" t="s">
        <v>2791</v>
      </c>
      <c r="I183" s="858" t="s">
        <v>2792</v>
      </c>
      <c r="J183" s="858" t="s">
        <v>2095</v>
      </c>
      <c r="K183" s="858" t="s">
        <v>2096</v>
      </c>
      <c r="L183" s="858"/>
      <c r="M183" s="858" t="s">
        <v>2097</v>
      </c>
      <c r="N183" s="858"/>
      <c r="O183" s="870"/>
      <c r="P183" s="858"/>
      <c r="Q183" s="872"/>
      <c r="R183" s="858">
        <v>2</v>
      </c>
    </row>
    <row r="184" spans="1:18" ht="38.1" customHeight="1">
      <c r="A184" s="23"/>
      <c r="B184" s="23"/>
      <c r="C184" s="23"/>
      <c r="D184" s="23"/>
      <c r="E184" s="731" t="s">
        <v>2793</v>
      </c>
      <c r="F184" s="736" t="s">
        <v>2794</v>
      </c>
      <c r="G184" s="605" t="s">
        <v>745</v>
      </c>
      <c r="H184" s="5" t="s">
        <v>2795</v>
      </c>
      <c r="I184" s="13" t="s">
        <v>2489</v>
      </c>
      <c r="J184" s="13" t="s">
        <v>2167</v>
      </c>
      <c r="K184" s="13" t="s">
        <v>2168</v>
      </c>
      <c r="L184" s="13"/>
      <c r="M184" s="13" t="s">
        <v>2353</v>
      </c>
      <c r="N184" s="13"/>
      <c r="O184" s="12"/>
      <c r="P184" s="13"/>
      <c r="Q184" s="228" t="s">
        <v>2354</v>
      </c>
      <c r="R184" s="744">
        <v>2</v>
      </c>
    </row>
    <row r="185" spans="1:18" ht="38.1" customHeight="1">
      <c r="A185" s="23"/>
      <c r="B185" s="23"/>
      <c r="C185" s="23"/>
      <c r="D185" s="23"/>
      <c r="E185" s="731" t="s">
        <v>2796</v>
      </c>
      <c r="F185" s="12" t="s">
        <v>2797</v>
      </c>
      <c r="G185" s="605" t="s">
        <v>745</v>
      </c>
      <c r="H185" s="5" t="s">
        <v>2798</v>
      </c>
      <c r="I185" s="13" t="s">
        <v>2799</v>
      </c>
      <c r="J185" s="13" t="s">
        <v>2167</v>
      </c>
      <c r="K185" s="13" t="s">
        <v>2168</v>
      </c>
      <c r="L185" s="13"/>
      <c r="M185" s="13" t="s">
        <v>2353</v>
      </c>
      <c r="N185" s="13"/>
      <c r="O185" s="12"/>
      <c r="P185" s="13"/>
      <c r="Q185" s="228" t="s">
        <v>2354</v>
      </c>
      <c r="R185" s="744">
        <v>2</v>
      </c>
    </row>
    <row r="186" spans="1:18" ht="38.1" customHeight="1">
      <c r="A186" s="23"/>
      <c r="B186" s="23"/>
      <c r="C186" s="23"/>
      <c r="D186" s="23"/>
      <c r="E186" s="731" t="s">
        <v>2800</v>
      </c>
      <c r="F186" s="736" t="s">
        <v>2801</v>
      </c>
      <c r="G186" s="605" t="s">
        <v>745</v>
      </c>
      <c r="H186" s="5" t="s">
        <v>2802</v>
      </c>
      <c r="I186" s="13" t="s">
        <v>2497</v>
      </c>
      <c r="J186" s="13" t="s">
        <v>2167</v>
      </c>
      <c r="K186" s="13" t="s">
        <v>2168</v>
      </c>
      <c r="L186" s="13"/>
      <c r="M186" s="13" t="s">
        <v>2353</v>
      </c>
      <c r="N186" s="13"/>
      <c r="O186" s="12"/>
      <c r="P186" s="13"/>
      <c r="Q186" s="228" t="s">
        <v>2354</v>
      </c>
      <c r="R186" s="744">
        <v>2</v>
      </c>
    </row>
    <row r="187" spans="1:18" ht="38.1" customHeight="1">
      <c r="A187" s="23"/>
      <c r="B187" s="23"/>
      <c r="C187" s="23"/>
      <c r="D187" s="23"/>
      <c r="E187" s="731" t="s">
        <v>2803</v>
      </c>
      <c r="F187" s="736" t="s">
        <v>2804</v>
      </c>
      <c r="G187" s="605" t="s">
        <v>745</v>
      </c>
      <c r="H187" s="5" t="s">
        <v>2805</v>
      </c>
      <c r="I187" s="13" t="s">
        <v>2549</v>
      </c>
      <c r="J187" s="13" t="s">
        <v>2167</v>
      </c>
      <c r="K187" s="13" t="s">
        <v>2168</v>
      </c>
      <c r="L187" s="13"/>
      <c r="M187" s="13" t="s">
        <v>2353</v>
      </c>
      <c r="N187" s="13"/>
      <c r="O187" s="12"/>
      <c r="P187" s="13"/>
      <c r="Q187" s="228" t="s">
        <v>2354</v>
      </c>
      <c r="R187" s="744">
        <v>2</v>
      </c>
    </row>
    <row r="188" spans="1:18" ht="38.1" customHeight="1">
      <c r="A188" s="23"/>
      <c r="B188" s="23"/>
      <c r="C188" s="23"/>
      <c r="D188" s="23"/>
      <c r="E188" s="731" t="s">
        <v>2806</v>
      </c>
      <c r="F188" s="736" t="s">
        <v>2807</v>
      </c>
      <c r="G188" s="605" t="s">
        <v>745</v>
      </c>
      <c r="H188" s="5" t="s">
        <v>2808</v>
      </c>
      <c r="I188" s="13" t="s">
        <v>2600</v>
      </c>
      <c r="J188" s="13" t="s">
        <v>2167</v>
      </c>
      <c r="K188" s="13" t="s">
        <v>2168</v>
      </c>
      <c r="L188" s="13"/>
      <c r="M188" s="13" t="s">
        <v>2353</v>
      </c>
      <c r="N188" s="13"/>
      <c r="O188" s="12"/>
      <c r="P188" s="13"/>
      <c r="Q188" s="228" t="s">
        <v>2354</v>
      </c>
      <c r="R188" s="744">
        <v>2</v>
      </c>
    </row>
    <row r="189" spans="1:18" ht="38.1" customHeight="1">
      <c r="A189" s="23"/>
      <c r="B189" s="23"/>
      <c r="C189" s="23"/>
      <c r="D189" s="23"/>
      <c r="E189" s="731" t="s">
        <v>2809</v>
      </c>
      <c r="F189" s="12" t="s">
        <v>2810</v>
      </c>
      <c r="G189" s="605" t="s">
        <v>745</v>
      </c>
      <c r="H189" s="5" t="s">
        <v>2811</v>
      </c>
      <c r="I189" s="13" t="s">
        <v>2812</v>
      </c>
      <c r="J189" s="13" t="s">
        <v>2167</v>
      </c>
      <c r="K189" s="13" t="s">
        <v>2168</v>
      </c>
      <c r="L189" s="13"/>
      <c r="M189" s="13" t="s">
        <v>2353</v>
      </c>
      <c r="N189" s="13"/>
      <c r="O189" s="12"/>
      <c r="P189" s="13"/>
      <c r="Q189" s="228" t="s">
        <v>2354</v>
      </c>
      <c r="R189" s="744">
        <v>2</v>
      </c>
    </row>
    <row r="190" spans="1:18" ht="38.1" customHeight="1">
      <c r="A190" s="23"/>
      <c r="B190" s="23"/>
      <c r="C190" s="23"/>
      <c r="D190" s="23"/>
      <c r="E190" s="731" t="s">
        <v>2813</v>
      </c>
      <c r="F190" s="12" t="s">
        <v>2814</v>
      </c>
      <c r="G190" s="605" t="s">
        <v>745</v>
      </c>
      <c r="H190" s="5" t="s">
        <v>2815</v>
      </c>
      <c r="I190" s="13" t="s">
        <v>2561</v>
      </c>
      <c r="J190" s="13" t="s">
        <v>2167</v>
      </c>
      <c r="K190" s="13" t="s">
        <v>2168</v>
      </c>
      <c r="L190" s="13"/>
      <c r="M190" s="13" t="s">
        <v>2353</v>
      </c>
      <c r="N190" s="13"/>
      <c r="O190" s="12"/>
      <c r="P190" s="13"/>
      <c r="Q190" s="228" t="s">
        <v>2354</v>
      </c>
      <c r="R190" s="744">
        <v>2</v>
      </c>
    </row>
    <row r="191" spans="1:18" ht="38.1" customHeight="1">
      <c r="A191" s="23"/>
      <c r="B191" s="23"/>
      <c r="C191" s="23"/>
      <c r="D191" s="23"/>
      <c r="E191" s="731" t="s">
        <v>2816</v>
      </c>
      <c r="F191" s="12" t="s">
        <v>2817</v>
      </c>
      <c r="G191" s="605" t="s">
        <v>745</v>
      </c>
      <c r="H191" s="5" t="s">
        <v>2818</v>
      </c>
      <c r="I191" s="13" t="s">
        <v>2819</v>
      </c>
      <c r="J191" s="13" t="s">
        <v>2167</v>
      </c>
      <c r="K191" s="13" t="s">
        <v>2168</v>
      </c>
      <c r="L191" s="13"/>
      <c r="M191" s="13" t="s">
        <v>2353</v>
      </c>
      <c r="N191" s="13"/>
      <c r="O191" s="12"/>
      <c r="P191" s="13"/>
      <c r="Q191" s="228" t="s">
        <v>2354</v>
      </c>
      <c r="R191" s="744">
        <v>2</v>
      </c>
    </row>
    <row r="192" spans="1:18" ht="38.1" customHeight="1">
      <c r="A192" s="23"/>
      <c r="B192" s="23"/>
      <c r="C192" s="23"/>
      <c r="D192" s="23"/>
      <c r="E192" s="731" t="s">
        <v>2820</v>
      </c>
      <c r="F192" s="12" t="s">
        <v>2821</v>
      </c>
      <c r="G192" s="605" t="s">
        <v>745</v>
      </c>
      <c r="H192" s="5" t="s">
        <v>2822</v>
      </c>
      <c r="I192" s="13" t="s">
        <v>2614</v>
      </c>
      <c r="J192" s="13" t="s">
        <v>2167</v>
      </c>
      <c r="K192" s="13" t="s">
        <v>2168</v>
      </c>
      <c r="L192" s="13"/>
      <c r="M192" s="13" t="s">
        <v>2353</v>
      </c>
      <c r="N192" s="13"/>
      <c r="O192" s="12"/>
      <c r="P192" s="13"/>
      <c r="Q192" s="228" t="s">
        <v>2354</v>
      </c>
      <c r="R192" s="744">
        <v>2</v>
      </c>
    </row>
    <row r="193" spans="1:18" ht="38.1" customHeight="1">
      <c r="A193" s="23"/>
      <c r="B193" s="23"/>
      <c r="C193" s="23"/>
      <c r="D193" s="23"/>
      <c r="E193" s="731" t="s">
        <v>2823</v>
      </c>
      <c r="F193" s="736" t="s">
        <v>2824</v>
      </c>
      <c r="G193" s="605" t="s">
        <v>745</v>
      </c>
      <c r="H193" s="5" t="s">
        <v>2825</v>
      </c>
      <c r="I193" s="13" t="s">
        <v>2573</v>
      </c>
      <c r="J193" s="13" t="s">
        <v>2167</v>
      </c>
      <c r="K193" s="13" t="s">
        <v>2168</v>
      </c>
      <c r="L193" s="13"/>
      <c r="M193" s="13" t="s">
        <v>2353</v>
      </c>
      <c r="N193" s="13"/>
      <c r="O193" s="12"/>
      <c r="P193" s="13"/>
      <c r="Q193" s="228" t="s">
        <v>2354</v>
      </c>
      <c r="R193" s="744">
        <v>2</v>
      </c>
    </row>
    <row r="194" spans="1:18" ht="38.1" customHeight="1">
      <c r="A194" s="23"/>
      <c r="B194" s="23"/>
      <c r="C194" s="23"/>
      <c r="D194" s="23"/>
      <c r="E194" s="731" t="s">
        <v>2826</v>
      </c>
      <c r="F194" s="12" t="s">
        <v>2827</v>
      </c>
      <c r="G194" s="605" t="s">
        <v>745</v>
      </c>
      <c r="H194" s="5" t="s">
        <v>2828</v>
      </c>
      <c r="I194" s="13" t="s">
        <v>2829</v>
      </c>
      <c r="J194" s="13" t="s">
        <v>2095</v>
      </c>
      <c r="K194" s="13" t="s">
        <v>2096</v>
      </c>
      <c r="L194" s="13" t="s">
        <v>2095</v>
      </c>
      <c r="M194" s="13" t="s">
        <v>2353</v>
      </c>
      <c r="N194" s="13"/>
      <c r="O194" s="12">
        <v>0</v>
      </c>
      <c r="P194" s="13"/>
      <c r="Q194" s="228" t="s">
        <v>2354</v>
      </c>
      <c r="R194" s="744">
        <v>2</v>
      </c>
    </row>
    <row r="195" spans="1:18" ht="38.1" customHeight="1">
      <c r="A195" s="23"/>
      <c r="B195" s="23"/>
      <c r="C195" s="23"/>
      <c r="D195" s="23"/>
      <c r="E195" s="5" t="s">
        <v>2830</v>
      </c>
      <c r="F195" s="736" t="s">
        <v>2831</v>
      </c>
      <c r="G195" s="605" t="s">
        <v>745</v>
      </c>
      <c r="H195" s="5" t="s">
        <v>2832</v>
      </c>
      <c r="I195" s="13" t="s">
        <v>2833</v>
      </c>
      <c r="J195" s="13" t="s">
        <v>2095</v>
      </c>
      <c r="K195" s="13" t="s">
        <v>2096</v>
      </c>
      <c r="L195" s="13" t="s">
        <v>2095</v>
      </c>
      <c r="M195" s="13" t="s">
        <v>2097</v>
      </c>
      <c r="N195" s="13"/>
      <c r="O195" s="12">
        <v>0</v>
      </c>
      <c r="P195" s="13"/>
      <c r="Q195" s="228"/>
      <c r="R195" s="744">
        <v>2</v>
      </c>
    </row>
    <row r="196" spans="1:18" ht="38.1" customHeight="1">
      <c r="A196" s="23"/>
      <c r="B196" s="23"/>
      <c r="C196" s="23"/>
      <c r="D196" s="23"/>
      <c r="E196" s="731" t="s">
        <v>2834</v>
      </c>
      <c r="F196" s="12" t="s">
        <v>2835</v>
      </c>
      <c r="G196" s="605" t="s">
        <v>745</v>
      </c>
      <c r="H196" s="5" t="s">
        <v>2836</v>
      </c>
      <c r="I196" s="13" t="s">
        <v>2837</v>
      </c>
      <c r="J196" s="13" t="s">
        <v>2095</v>
      </c>
      <c r="K196" s="13" t="s">
        <v>2096</v>
      </c>
      <c r="L196" s="13" t="s">
        <v>2095</v>
      </c>
      <c r="M196" s="13" t="s">
        <v>2353</v>
      </c>
      <c r="N196" s="13"/>
      <c r="O196" s="12">
        <v>0</v>
      </c>
      <c r="P196" s="13"/>
      <c r="Q196" s="228" t="s">
        <v>2354</v>
      </c>
      <c r="R196" s="744">
        <v>2</v>
      </c>
    </row>
    <row r="197" spans="1:18" ht="38.1" customHeight="1">
      <c r="A197" s="23"/>
      <c r="B197" s="23"/>
      <c r="C197" s="23"/>
      <c r="D197" s="23"/>
      <c r="E197" s="731" t="s">
        <v>2838</v>
      </c>
      <c r="F197" s="736" t="s">
        <v>2839</v>
      </c>
      <c r="G197" s="605" t="s">
        <v>745</v>
      </c>
      <c r="H197" s="5" t="s">
        <v>2840</v>
      </c>
      <c r="I197" s="13" t="s">
        <v>2632</v>
      </c>
      <c r="J197" s="13" t="s">
        <v>2167</v>
      </c>
      <c r="K197" s="13" t="s">
        <v>2168</v>
      </c>
      <c r="L197" s="13"/>
      <c r="M197" s="13" t="s">
        <v>2353</v>
      </c>
      <c r="N197" s="13"/>
      <c r="O197" s="12"/>
      <c r="P197" s="13"/>
      <c r="Q197" s="228" t="s">
        <v>2354</v>
      </c>
      <c r="R197" s="744">
        <v>2</v>
      </c>
    </row>
    <row r="198" spans="1:18" ht="38.1" customHeight="1">
      <c r="A198" s="23"/>
      <c r="B198" s="23"/>
      <c r="C198" s="23"/>
      <c r="D198" s="23"/>
      <c r="E198" s="857" t="s">
        <v>2841</v>
      </c>
      <c r="F198" s="870" t="s">
        <v>2842</v>
      </c>
      <c r="G198" s="871" t="s">
        <v>745</v>
      </c>
      <c r="H198" s="857" t="s">
        <v>2843</v>
      </c>
      <c r="I198" s="858" t="s">
        <v>2449</v>
      </c>
      <c r="J198" s="858" t="s">
        <v>2095</v>
      </c>
      <c r="K198" s="858" t="s">
        <v>2096</v>
      </c>
      <c r="L198" s="858" t="s">
        <v>2095</v>
      </c>
      <c r="M198" s="858" t="s">
        <v>2353</v>
      </c>
      <c r="N198" s="858"/>
      <c r="O198" s="870">
        <v>0</v>
      </c>
      <c r="P198" s="858"/>
      <c r="Q198" s="872" t="s">
        <v>2354</v>
      </c>
      <c r="R198" s="858">
        <v>2</v>
      </c>
    </row>
    <row r="199" spans="1:18" ht="38.1" customHeight="1">
      <c r="A199" s="23"/>
      <c r="B199" s="23"/>
      <c r="C199" s="23"/>
      <c r="D199" s="23"/>
      <c r="E199" s="731" t="s">
        <v>2844</v>
      </c>
      <c r="F199" s="12" t="s">
        <v>2845</v>
      </c>
      <c r="G199" s="605" t="s">
        <v>745</v>
      </c>
      <c r="H199" s="5" t="s">
        <v>2846</v>
      </c>
      <c r="I199" s="13" t="s">
        <v>2847</v>
      </c>
      <c r="J199" s="13" t="s">
        <v>2167</v>
      </c>
      <c r="K199" s="13" t="s">
        <v>2168</v>
      </c>
      <c r="L199" s="13"/>
      <c r="M199" s="13" t="s">
        <v>2353</v>
      </c>
      <c r="N199" s="13"/>
      <c r="O199" s="12"/>
      <c r="P199" s="13"/>
      <c r="Q199" s="228" t="s">
        <v>2354</v>
      </c>
      <c r="R199" s="744">
        <v>2</v>
      </c>
    </row>
    <row r="200" spans="1:18" ht="38.1" customHeight="1">
      <c r="A200" s="23"/>
      <c r="B200" s="23"/>
      <c r="C200" s="23"/>
      <c r="D200" s="23"/>
      <c r="E200" s="731" t="s">
        <v>2848</v>
      </c>
      <c r="F200" s="12" t="s">
        <v>2849</v>
      </c>
      <c r="G200" s="605" t="s">
        <v>745</v>
      </c>
      <c r="H200" s="5" t="s">
        <v>2850</v>
      </c>
      <c r="I200" s="13" t="s">
        <v>2847</v>
      </c>
      <c r="J200" s="13" t="s">
        <v>2167</v>
      </c>
      <c r="K200" s="13" t="s">
        <v>2168</v>
      </c>
      <c r="L200" s="13"/>
      <c r="M200" s="13" t="s">
        <v>2353</v>
      </c>
      <c r="N200" s="13"/>
      <c r="O200" s="12"/>
      <c r="P200" s="13"/>
      <c r="Q200" s="228" t="s">
        <v>2354</v>
      </c>
      <c r="R200" s="744">
        <v>2</v>
      </c>
    </row>
    <row r="201" spans="1:18" ht="38.1" customHeight="1">
      <c r="A201" s="23"/>
      <c r="B201" s="23"/>
      <c r="C201" s="23"/>
      <c r="D201" s="23"/>
      <c r="E201" s="731" t="s">
        <v>2851</v>
      </c>
      <c r="F201" s="12" t="s">
        <v>2852</v>
      </c>
      <c r="G201" s="605" t="s">
        <v>745</v>
      </c>
      <c r="H201" s="5" t="s">
        <v>2853</v>
      </c>
      <c r="I201" s="13" t="s">
        <v>2854</v>
      </c>
      <c r="J201" s="13" t="s">
        <v>2095</v>
      </c>
      <c r="K201" s="13" t="s">
        <v>2096</v>
      </c>
      <c r="L201" s="13" t="s">
        <v>2095</v>
      </c>
      <c r="M201" s="13" t="s">
        <v>2353</v>
      </c>
      <c r="N201" s="13"/>
      <c r="O201" s="12">
        <v>0</v>
      </c>
      <c r="P201" s="13"/>
      <c r="Q201" s="228" t="s">
        <v>2354</v>
      </c>
      <c r="R201" s="744">
        <v>2</v>
      </c>
    </row>
    <row r="202" spans="1:18" ht="38.1" customHeight="1">
      <c r="A202" s="23"/>
      <c r="B202" s="23"/>
      <c r="C202" s="23"/>
      <c r="D202" s="23"/>
      <c r="E202" s="731" t="s">
        <v>2855</v>
      </c>
      <c r="F202" s="12" t="s">
        <v>2856</v>
      </c>
      <c r="G202" s="605" t="s">
        <v>745</v>
      </c>
      <c r="H202" s="5" t="s">
        <v>2857</v>
      </c>
      <c r="I202" s="13" t="s">
        <v>2858</v>
      </c>
      <c r="J202" s="13" t="s">
        <v>2167</v>
      </c>
      <c r="K202" s="13" t="s">
        <v>2168</v>
      </c>
      <c r="L202" s="13"/>
      <c r="M202" s="13" t="s">
        <v>2353</v>
      </c>
      <c r="N202" s="13"/>
      <c r="O202" s="12"/>
      <c r="P202" s="13"/>
      <c r="Q202" s="228" t="s">
        <v>2354</v>
      </c>
      <c r="R202" s="744">
        <v>2</v>
      </c>
    </row>
    <row r="203" spans="1:18" ht="38.1" customHeight="1">
      <c r="A203" s="23"/>
      <c r="B203" s="23"/>
      <c r="C203" s="23"/>
      <c r="D203" s="23"/>
      <c r="E203" s="731" t="s">
        <v>2859</v>
      </c>
      <c r="F203" s="12" t="s">
        <v>2860</v>
      </c>
      <c r="G203" s="605" t="s">
        <v>745</v>
      </c>
      <c r="H203" s="5" t="s">
        <v>2861</v>
      </c>
      <c r="I203" s="13" t="s">
        <v>2862</v>
      </c>
      <c r="J203" s="13" t="s">
        <v>2167</v>
      </c>
      <c r="K203" s="13" t="s">
        <v>2168</v>
      </c>
      <c r="L203" s="13"/>
      <c r="M203" s="13" t="s">
        <v>2353</v>
      </c>
      <c r="N203" s="13"/>
      <c r="O203" s="12"/>
      <c r="P203" s="13"/>
      <c r="Q203" s="228" t="s">
        <v>2354</v>
      </c>
      <c r="R203" s="744">
        <v>2</v>
      </c>
    </row>
    <row r="204" spans="1:18" ht="38.1" customHeight="1">
      <c r="A204" s="23"/>
      <c r="B204" s="23"/>
      <c r="C204" s="23"/>
      <c r="D204" s="23"/>
      <c r="E204" s="731" t="s">
        <v>2863</v>
      </c>
      <c r="F204" s="736" t="s">
        <v>2864</v>
      </c>
      <c r="G204" s="605" t="s">
        <v>745</v>
      </c>
      <c r="H204" s="5" t="s">
        <v>2865</v>
      </c>
      <c r="I204" s="13" t="s">
        <v>2866</v>
      </c>
      <c r="J204" s="13" t="s">
        <v>2167</v>
      </c>
      <c r="K204" s="13" t="s">
        <v>2168</v>
      </c>
      <c r="L204" s="13"/>
      <c r="M204" s="13" t="s">
        <v>2353</v>
      </c>
      <c r="N204" s="13"/>
      <c r="O204" s="12"/>
      <c r="P204" s="13"/>
      <c r="Q204" s="228" t="s">
        <v>2354</v>
      </c>
      <c r="R204" s="744">
        <v>2</v>
      </c>
    </row>
    <row r="205" spans="1:18" ht="38.1" customHeight="1">
      <c r="A205" s="23"/>
      <c r="B205" s="23"/>
      <c r="C205" s="23"/>
      <c r="D205" s="23"/>
      <c r="E205" s="5" t="s">
        <v>2867</v>
      </c>
      <c r="F205" s="736" t="s">
        <v>2868</v>
      </c>
      <c r="G205" s="605" t="s">
        <v>745</v>
      </c>
      <c r="H205" s="5" t="s">
        <v>2869</v>
      </c>
      <c r="I205" s="13" t="s">
        <v>2870</v>
      </c>
      <c r="J205" s="13" t="s">
        <v>2095</v>
      </c>
      <c r="K205" s="13" t="s">
        <v>2096</v>
      </c>
      <c r="L205" s="13" t="s">
        <v>2095</v>
      </c>
      <c r="M205" s="13" t="s">
        <v>2097</v>
      </c>
      <c r="N205" s="13"/>
      <c r="O205" s="12">
        <v>0</v>
      </c>
      <c r="P205" s="13"/>
      <c r="Q205" s="228"/>
      <c r="R205" s="744">
        <v>2</v>
      </c>
    </row>
    <row r="206" spans="1:18" ht="38.1" customHeight="1">
      <c r="A206" s="23"/>
      <c r="B206" s="23"/>
      <c r="C206" s="23"/>
      <c r="D206" s="23"/>
      <c r="E206" s="5" t="s">
        <v>2871</v>
      </c>
      <c r="F206" s="736" t="s">
        <v>2872</v>
      </c>
      <c r="G206" s="605" t="s">
        <v>745</v>
      </c>
      <c r="H206" s="5" t="s">
        <v>2873</v>
      </c>
      <c r="I206" s="13" t="s">
        <v>2874</v>
      </c>
      <c r="J206" s="13" t="s">
        <v>2095</v>
      </c>
      <c r="K206" s="13" t="s">
        <v>2096</v>
      </c>
      <c r="L206" s="13" t="s">
        <v>2095</v>
      </c>
      <c r="M206" s="13" t="s">
        <v>2097</v>
      </c>
      <c r="N206" s="13"/>
      <c r="O206" s="12">
        <v>0</v>
      </c>
      <c r="P206" s="13"/>
      <c r="Q206" s="228"/>
      <c r="R206" s="744">
        <v>2</v>
      </c>
    </row>
    <row r="207" spans="1:18" ht="38.1" customHeight="1">
      <c r="A207" s="23"/>
      <c r="B207" s="23"/>
      <c r="C207" s="23"/>
      <c r="D207" s="23"/>
      <c r="E207" s="5" t="s">
        <v>2875</v>
      </c>
      <c r="F207" s="736" t="s">
        <v>2876</v>
      </c>
      <c r="G207" s="605" t="s">
        <v>745</v>
      </c>
      <c r="H207" s="5" t="s">
        <v>2877</v>
      </c>
      <c r="I207" s="13" t="s">
        <v>2878</v>
      </c>
      <c r="J207" s="13" t="s">
        <v>2095</v>
      </c>
      <c r="K207" s="13" t="s">
        <v>2096</v>
      </c>
      <c r="L207" s="13"/>
      <c r="M207" s="13" t="s">
        <v>2097</v>
      </c>
      <c r="N207" s="13"/>
      <c r="O207" s="12"/>
      <c r="P207" s="13"/>
      <c r="Q207" s="228"/>
      <c r="R207" s="744">
        <v>2</v>
      </c>
    </row>
    <row r="208" spans="1:18" ht="38.1" customHeight="1">
      <c r="A208" s="23"/>
      <c r="B208" s="23"/>
      <c r="C208" s="23"/>
      <c r="D208" s="23"/>
      <c r="E208" s="5" t="s">
        <v>2879</v>
      </c>
      <c r="F208" s="736" t="s">
        <v>2880</v>
      </c>
      <c r="G208" s="605" t="s">
        <v>745</v>
      </c>
      <c r="H208" s="5" t="s">
        <v>2881</v>
      </c>
      <c r="I208" s="13" t="s">
        <v>2882</v>
      </c>
      <c r="J208" s="13" t="s">
        <v>2095</v>
      </c>
      <c r="K208" s="13" t="s">
        <v>2096</v>
      </c>
      <c r="L208" s="13" t="s">
        <v>2095</v>
      </c>
      <c r="M208" s="13" t="s">
        <v>2097</v>
      </c>
      <c r="N208" s="13"/>
      <c r="O208" s="12">
        <v>0</v>
      </c>
      <c r="P208" s="13"/>
      <c r="Q208" s="228"/>
      <c r="R208" s="744">
        <v>2</v>
      </c>
    </row>
    <row r="209" spans="1:18" ht="38.1" customHeight="1">
      <c r="A209" s="23"/>
      <c r="B209" s="23"/>
      <c r="C209" s="23"/>
      <c r="D209" s="23"/>
      <c r="E209" s="5" t="s">
        <v>2883</v>
      </c>
      <c r="F209" s="736" t="s">
        <v>2884</v>
      </c>
      <c r="G209" s="605" t="s">
        <v>745</v>
      </c>
      <c r="H209" s="5" t="s">
        <v>2885</v>
      </c>
      <c r="I209" s="13" t="s">
        <v>2886</v>
      </c>
      <c r="J209" s="13" t="s">
        <v>2095</v>
      </c>
      <c r="K209" s="13" t="s">
        <v>2096</v>
      </c>
      <c r="L209" s="13"/>
      <c r="M209" s="13" t="s">
        <v>2097</v>
      </c>
      <c r="N209" s="13"/>
      <c r="O209" s="12"/>
      <c r="P209" s="13"/>
      <c r="Q209" s="228"/>
      <c r="R209" s="744">
        <v>2</v>
      </c>
    </row>
    <row r="210" spans="1:18" ht="38.1" customHeight="1">
      <c r="A210" s="23"/>
      <c r="B210" s="23"/>
      <c r="C210" s="23"/>
      <c r="D210" s="23"/>
      <c r="E210" s="5" t="s">
        <v>2887</v>
      </c>
      <c r="F210" s="736" t="s">
        <v>2888</v>
      </c>
      <c r="G210" s="605" t="s">
        <v>745</v>
      </c>
      <c r="H210" s="5" t="s">
        <v>2889</v>
      </c>
      <c r="I210" s="13" t="s">
        <v>2890</v>
      </c>
      <c r="J210" s="13" t="s">
        <v>2095</v>
      </c>
      <c r="K210" s="13" t="s">
        <v>2096</v>
      </c>
      <c r="L210" s="13" t="s">
        <v>2095</v>
      </c>
      <c r="M210" s="13" t="s">
        <v>2097</v>
      </c>
      <c r="N210" s="13"/>
      <c r="O210" s="12">
        <v>0</v>
      </c>
      <c r="P210" s="13"/>
      <c r="Q210" s="228"/>
      <c r="R210" s="744">
        <v>2</v>
      </c>
    </row>
    <row r="211" spans="1:18" ht="38.1" customHeight="1">
      <c r="A211" s="23"/>
      <c r="B211" s="23"/>
      <c r="C211" s="23"/>
      <c r="D211" s="23"/>
      <c r="E211" s="5" t="s">
        <v>2891</v>
      </c>
      <c r="F211" s="736" t="s">
        <v>2892</v>
      </c>
      <c r="G211" s="605" t="s">
        <v>745</v>
      </c>
      <c r="H211" s="5" t="s">
        <v>2893</v>
      </c>
      <c r="I211" s="13" t="s">
        <v>2894</v>
      </c>
      <c r="J211" s="13" t="s">
        <v>2095</v>
      </c>
      <c r="K211" s="13" t="s">
        <v>2096</v>
      </c>
      <c r="L211" s="13" t="s">
        <v>2095</v>
      </c>
      <c r="M211" s="13" t="s">
        <v>2097</v>
      </c>
      <c r="N211" s="13"/>
      <c r="O211" s="12">
        <v>0</v>
      </c>
      <c r="P211" s="13"/>
      <c r="Q211" s="228"/>
      <c r="R211" s="744">
        <v>2</v>
      </c>
    </row>
    <row r="212" spans="1:18" ht="38.1" customHeight="1">
      <c r="A212" s="23"/>
      <c r="B212" s="23"/>
      <c r="C212" s="23"/>
      <c r="D212" s="23"/>
      <c r="E212" s="5" t="s">
        <v>2895</v>
      </c>
      <c r="F212" s="736" t="s">
        <v>2896</v>
      </c>
      <c r="G212" s="605" t="s">
        <v>745</v>
      </c>
      <c r="H212" s="5" t="s">
        <v>2897</v>
      </c>
      <c r="I212" s="13" t="s">
        <v>2898</v>
      </c>
      <c r="J212" s="13" t="s">
        <v>2095</v>
      </c>
      <c r="K212" s="13" t="s">
        <v>2096</v>
      </c>
      <c r="L212" s="13" t="s">
        <v>2095</v>
      </c>
      <c r="M212" s="13" t="s">
        <v>2097</v>
      </c>
      <c r="N212" s="13"/>
      <c r="O212" s="12">
        <v>0</v>
      </c>
      <c r="P212" s="13"/>
      <c r="Q212" s="228"/>
      <c r="R212" s="744">
        <v>2</v>
      </c>
    </row>
    <row r="213" spans="1:18" ht="38.1" customHeight="1">
      <c r="A213" s="23"/>
      <c r="B213" s="23"/>
      <c r="C213" s="23"/>
      <c r="D213" s="23"/>
      <c r="E213" s="5" t="s">
        <v>2899</v>
      </c>
      <c r="F213" s="736" t="s">
        <v>2900</v>
      </c>
      <c r="G213" s="605" t="s">
        <v>745</v>
      </c>
      <c r="H213" s="5" t="s">
        <v>2901</v>
      </c>
      <c r="I213" s="13" t="s">
        <v>2902</v>
      </c>
      <c r="J213" s="13" t="s">
        <v>2095</v>
      </c>
      <c r="K213" s="13" t="s">
        <v>2096</v>
      </c>
      <c r="L213" s="13" t="s">
        <v>2095</v>
      </c>
      <c r="M213" s="13" t="s">
        <v>2097</v>
      </c>
      <c r="N213" s="13"/>
      <c r="O213" s="12">
        <v>0</v>
      </c>
      <c r="P213" s="13"/>
      <c r="Q213" s="228"/>
      <c r="R213" s="744">
        <v>2</v>
      </c>
    </row>
    <row r="214" spans="1:18" ht="38.1" customHeight="1">
      <c r="A214" s="23"/>
      <c r="B214" s="23"/>
      <c r="C214" s="23"/>
      <c r="D214" s="23"/>
      <c r="E214" s="5" t="s">
        <v>2903</v>
      </c>
      <c r="F214" s="736" t="s">
        <v>2904</v>
      </c>
      <c r="G214" s="605" t="s">
        <v>745</v>
      </c>
      <c r="H214" s="5" t="s">
        <v>2905</v>
      </c>
      <c r="I214" s="13" t="s">
        <v>2906</v>
      </c>
      <c r="J214" s="13" t="s">
        <v>2095</v>
      </c>
      <c r="K214" s="13" t="s">
        <v>2096</v>
      </c>
      <c r="L214" s="13" t="s">
        <v>2095</v>
      </c>
      <c r="M214" s="13" t="s">
        <v>2097</v>
      </c>
      <c r="N214" s="13"/>
      <c r="O214" s="12">
        <v>0</v>
      </c>
      <c r="P214" s="13"/>
      <c r="Q214" s="228"/>
      <c r="R214" s="744">
        <v>2</v>
      </c>
    </row>
    <row r="215" spans="1:18" ht="38.1" customHeight="1">
      <c r="A215" s="23"/>
      <c r="B215" s="23"/>
      <c r="C215" s="23"/>
      <c r="D215" s="23"/>
      <c r="E215" s="5" t="s">
        <v>2907</v>
      </c>
      <c r="F215" s="736" t="s">
        <v>2908</v>
      </c>
      <c r="G215" s="605" t="s">
        <v>745</v>
      </c>
      <c r="H215" s="5" t="s">
        <v>2909</v>
      </c>
      <c r="I215" s="13" t="s">
        <v>2910</v>
      </c>
      <c r="J215" s="13" t="s">
        <v>2095</v>
      </c>
      <c r="K215" s="13" t="s">
        <v>2096</v>
      </c>
      <c r="L215" s="13"/>
      <c r="M215" s="13" t="s">
        <v>2097</v>
      </c>
      <c r="N215" s="13"/>
      <c r="O215" s="12"/>
      <c r="P215" s="13"/>
      <c r="Q215" s="228"/>
      <c r="R215" s="744">
        <v>2</v>
      </c>
    </row>
    <row r="216" spans="1:18" ht="38.1" customHeight="1">
      <c r="A216" s="23"/>
      <c r="B216" s="23"/>
      <c r="C216" s="23"/>
      <c r="D216" s="23"/>
      <c r="E216" s="5" t="s">
        <v>2911</v>
      </c>
      <c r="F216" s="736" t="s">
        <v>2912</v>
      </c>
      <c r="G216" s="605" t="s">
        <v>745</v>
      </c>
      <c r="H216" s="5" t="s">
        <v>2913</v>
      </c>
      <c r="I216" s="13" t="s">
        <v>2914</v>
      </c>
      <c r="J216" s="13" t="s">
        <v>2095</v>
      </c>
      <c r="K216" s="13" t="s">
        <v>2096</v>
      </c>
      <c r="L216" s="13" t="s">
        <v>2095</v>
      </c>
      <c r="M216" s="13" t="s">
        <v>2097</v>
      </c>
      <c r="N216" s="13"/>
      <c r="O216" s="12">
        <v>0</v>
      </c>
      <c r="P216" s="13"/>
      <c r="Q216" s="228"/>
      <c r="R216" s="744">
        <v>2</v>
      </c>
    </row>
    <row r="217" spans="1:18" ht="38.1" customHeight="1">
      <c r="A217" s="23"/>
      <c r="B217" s="23"/>
      <c r="C217" s="23"/>
      <c r="D217" s="23"/>
      <c r="E217" s="5" t="s">
        <v>2915</v>
      </c>
      <c r="F217" s="736" t="s">
        <v>2916</v>
      </c>
      <c r="G217" s="605" t="s">
        <v>745</v>
      </c>
      <c r="H217" s="5" t="s">
        <v>2917</v>
      </c>
      <c r="I217" s="13" t="s">
        <v>2918</v>
      </c>
      <c r="J217" s="13" t="s">
        <v>2095</v>
      </c>
      <c r="K217" s="13" t="s">
        <v>2096</v>
      </c>
      <c r="L217" s="13"/>
      <c r="M217" s="13" t="s">
        <v>2097</v>
      </c>
      <c r="N217" s="13"/>
      <c r="O217" s="12"/>
      <c r="P217" s="13"/>
      <c r="Q217" s="228"/>
      <c r="R217" s="744">
        <v>2</v>
      </c>
    </row>
    <row r="218" spans="1:18" ht="38.1" customHeight="1">
      <c r="A218" s="23"/>
      <c r="B218" s="23"/>
      <c r="C218" s="23"/>
      <c r="D218" s="23"/>
      <c r="E218" s="5" t="s">
        <v>2919</v>
      </c>
      <c r="F218" s="736" t="s">
        <v>2920</v>
      </c>
      <c r="G218" s="605" t="s">
        <v>745</v>
      </c>
      <c r="H218" s="5" t="s">
        <v>2921</v>
      </c>
      <c r="I218" s="13" t="s">
        <v>2922</v>
      </c>
      <c r="J218" s="13" t="s">
        <v>2095</v>
      </c>
      <c r="K218" s="13" t="s">
        <v>2096</v>
      </c>
      <c r="L218" s="13" t="s">
        <v>2095</v>
      </c>
      <c r="M218" s="13" t="s">
        <v>2097</v>
      </c>
      <c r="N218" s="13"/>
      <c r="O218" s="12">
        <v>0</v>
      </c>
      <c r="P218" s="13"/>
      <c r="Q218" s="228"/>
      <c r="R218" s="744">
        <v>2</v>
      </c>
    </row>
    <row r="219" spans="1:18" ht="38.1" customHeight="1">
      <c r="A219" s="23"/>
      <c r="B219" s="23"/>
      <c r="C219" s="23"/>
      <c r="D219" s="23"/>
      <c r="E219" s="5" t="s">
        <v>2923</v>
      </c>
      <c r="F219" s="736" t="s">
        <v>2924</v>
      </c>
      <c r="G219" s="605" t="s">
        <v>745</v>
      </c>
      <c r="H219" s="5" t="s">
        <v>2925</v>
      </c>
      <c r="I219" s="13" t="s">
        <v>2926</v>
      </c>
      <c r="J219" s="13" t="s">
        <v>2095</v>
      </c>
      <c r="K219" s="13" t="s">
        <v>2096</v>
      </c>
      <c r="L219" s="13" t="s">
        <v>2095</v>
      </c>
      <c r="M219" s="13" t="s">
        <v>2097</v>
      </c>
      <c r="N219" s="13"/>
      <c r="O219" s="12">
        <v>0</v>
      </c>
      <c r="P219" s="13"/>
      <c r="Q219" s="228"/>
      <c r="R219" s="744">
        <v>2</v>
      </c>
    </row>
    <row r="220" spans="1:18" ht="38.1" customHeight="1">
      <c r="A220" s="23"/>
      <c r="B220" s="23"/>
      <c r="C220" s="23"/>
      <c r="D220" s="23"/>
      <c r="E220" s="5" t="s">
        <v>2927</v>
      </c>
      <c r="F220" s="736" t="s">
        <v>2928</v>
      </c>
      <c r="G220" s="605" t="s">
        <v>745</v>
      </c>
      <c r="H220" s="5" t="s">
        <v>2929</v>
      </c>
      <c r="I220" s="13" t="s">
        <v>2930</v>
      </c>
      <c r="J220" s="13" t="s">
        <v>2095</v>
      </c>
      <c r="K220" s="13" t="s">
        <v>2096</v>
      </c>
      <c r="L220" s="13" t="s">
        <v>2095</v>
      </c>
      <c r="M220" s="13" t="s">
        <v>2097</v>
      </c>
      <c r="N220" s="13"/>
      <c r="O220" s="12">
        <v>0</v>
      </c>
      <c r="P220" s="13"/>
      <c r="Q220" s="228"/>
      <c r="R220" s="744">
        <v>2</v>
      </c>
    </row>
    <row r="221" spans="1:18" ht="38.1" customHeight="1">
      <c r="A221" s="23"/>
      <c r="B221" s="23"/>
      <c r="C221" s="23"/>
      <c r="D221" s="23"/>
      <c r="E221" s="5" t="s">
        <v>2931</v>
      </c>
      <c r="F221" s="736" t="s">
        <v>2932</v>
      </c>
      <c r="G221" s="605" t="s">
        <v>745</v>
      </c>
      <c r="H221" s="5" t="s">
        <v>2933</v>
      </c>
      <c r="I221" s="13" t="s">
        <v>2934</v>
      </c>
      <c r="J221" s="13" t="s">
        <v>2095</v>
      </c>
      <c r="K221" s="13" t="s">
        <v>2096</v>
      </c>
      <c r="L221" s="13" t="s">
        <v>2095</v>
      </c>
      <c r="M221" s="13" t="s">
        <v>2097</v>
      </c>
      <c r="N221" s="13"/>
      <c r="O221" s="12">
        <v>0</v>
      </c>
      <c r="P221" s="13"/>
      <c r="Q221" s="228"/>
      <c r="R221" s="744">
        <v>2</v>
      </c>
    </row>
    <row r="222" spans="1:18" ht="38.1" customHeight="1">
      <c r="A222" s="23"/>
      <c r="B222" s="23"/>
      <c r="C222" s="23"/>
      <c r="D222" s="23"/>
      <c r="E222" s="5" t="s">
        <v>2935</v>
      </c>
      <c r="F222" s="736" t="s">
        <v>2936</v>
      </c>
      <c r="G222" s="605" t="s">
        <v>745</v>
      </c>
      <c r="H222" s="5" t="s">
        <v>2937</v>
      </c>
      <c r="I222" s="13" t="s">
        <v>2938</v>
      </c>
      <c r="J222" s="13" t="s">
        <v>2095</v>
      </c>
      <c r="K222" s="13" t="s">
        <v>2096</v>
      </c>
      <c r="L222" s="13" t="s">
        <v>2095</v>
      </c>
      <c r="M222" s="13" t="s">
        <v>2097</v>
      </c>
      <c r="N222" s="13"/>
      <c r="O222" s="12">
        <v>0</v>
      </c>
      <c r="P222" s="13"/>
      <c r="Q222" s="228"/>
      <c r="R222" s="744">
        <v>2</v>
      </c>
    </row>
    <row r="223" spans="1:18" ht="38.1" customHeight="1">
      <c r="A223" s="23"/>
      <c r="B223" s="23"/>
      <c r="C223" s="23"/>
      <c r="D223" s="23"/>
      <c r="E223" s="5" t="s">
        <v>2939</v>
      </c>
      <c r="F223" s="736" t="s">
        <v>2940</v>
      </c>
      <c r="G223" s="605" t="s">
        <v>745</v>
      </c>
      <c r="H223" s="5" t="s">
        <v>2941</v>
      </c>
      <c r="I223" s="12" t="s">
        <v>2942</v>
      </c>
      <c r="J223" s="13" t="s">
        <v>2095</v>
      </c>
      <c r="K223" s="13" t="s">
        <v>2096</v>
      </c>
      <c r="L223" s="13" t="s">
        <v>2095</v>
      </c>
      <c r="M223" s="13" t="s">
        <v>2097</v>
      </c>
      <c r="N223" s="13"/>
      <c r="O223" s="12">
        <v>0</v>
      </c>
      <c r="P223" s="13"/>
      <c r="Q223" s="228"/>
      <c r="R223" s="744">
        <v>2</v>
      </c>
    </row>
    <row r="224" spans="1:18" ht="38.1" customHeight="1">
      <c r="A224" s="23"/>
      <c r="B224" s="23"/>
      <c r="C224" s="23"/>
      <c r="D224" s="23"/>
      <c r="E224" s="5" t="s">
        <v>2943</v>
      </c>
      <c r="F224" s="736" t="s">
        <v>2944</v>
      </c>
      <c r="G224" s="605" t="s">
        <v>745</v>
      </c>
      <c r="H224" s="5" t="s">
        <v>2945</v>
      </c>
      <c r="I224" s="12" t="s">
        <v>2946</v>
      </c>
      <c r="J224" s="13" t="s">
        <v>2095</v>
      </c>
      <c r="K224" s="13" t="s">
        <v>2096</v>
      </c>
      <c r="L224" s="13"/>
      <c r="M224" s="13" t="s">
        <v>2097</v>
      </c>
      <c r="N224" s="13"/>
      <c r="O224" s="12"/>
      <c r="P224" s="13"/>
      <c r="Q224" s="228"/>
      <c r="R224" s="744">
        <v>2</v>
      </c>
    </row>
    <row r="225" spans="1:18" ht="38.1" customHeight="1">
      <c r="A225" s="23"/>
      <c r="B225" s="23"/>
      <c r="C225" s="23"/>
      <c r="D225" s="23"/>
      <c r="E225" s="5" t="s">
        <v>2947</v>
      </c>
      <c r="F225" s="736" t="s">
        <v>2948</v>
      </c>
      <c r="G225" s="605" t="s">
        <v>745</v>
      </c>
      <c r="H225" s="5" t="s">
        <v>2949</v>
      </c>
      <c r="I225" s="12" t="s">
        <v>2950</v>
      </c>
      <c r="J225" s="13" t="s">
        <v>2095</v>
      </c>
      <c r="K225" s="13" t="s">
        <v>2096</v>
      </c>
      <c r="L225" s="13"/>
      <c r="M225" s="13" t="s">
        <v>2097</v>
      </c>
      <c r="N225" s="13"/>
      <c r="O225" s="12"/>
      <c r="P225" s="13"/>
      <c r="Q225" s="228"/>
      <c r="R225" s="744">
        <v>2</v>
      </c>
    </row>
    <row r="226" spans="1:18" ht="38.1" customHeight="1">
      <c r="A226" s="23"/>
      <c r="B226" s="23"/>
      <c r="C226" s="23"/>
      <c r="D226" s="23"/>
      <c r="E226" s="5" t="s">
        <v>2951</v>
      </c>
      <c r="F226" s="736" t="s">
        <v>2952</v>
      </c>
      <c r="G226" s="605" t="s">
        <v>745</v>
      </c>
      <c r="H226" s="5" t="s">
        <v>2953</v>
      </c>
      <c r="I226" s="13" t="s">
        <v>2954</v>
      </c>
      <c r="J226" s="13" t="s">
        <v>2095</v>
      </c>
      <c r="K226" s="13" t="s">
        <v>2096</v>
      </c>
      <c r="L226" s="13" t="s">
        <v>2095</v>
      </c>
      <c r="M226" s="13" t="s">
        <v>2097</v>
      </c>
      <c r="N226" s="13"/>
      <c r="O226" s="12">
        <v>0</v>
      </c>
      <c r="P226" s="13"/>
      <c r="Q226" s="228"/>
      <c r="R226" s="744">
        <v>2</v>
      </c>
    </row>
    <row r="227" spans="1:18" ht="38.1" customHeight="1">
      <c r="A227" s="23"/>
      <c r="B227" s="23"/>
      <c r="C227" s="23"/>
      <c r="D227" s="23"/>
      <c r="E227" s="5" t="s">
        <v>2955</v>
      </c>
      <c r="F227" s="736" t="s">
        <v>2956</v>
      </c>
      <c r="G227" s="605" t="s">
        <v>745</v>
      </c>
      <c r="H227" s="5" t="s">
        <v>2957</v>
      </c>
      <c r="I227" s="13" t="s">
        <v>2958</v>
      </c>
      <c r="J227" s="13" t="s">
        <v>2095</v>
      </c>
      <c r="K227" s="13" t="s">
        <v>2096</v>
      </c>
      <c r="L227" s="13" t="s">
        <v>2095</v>
      </c>
      <c r="M227" s="13" t="s">
        <v>2097</v>
      </c>
      <c r="N227" s="80"/>
      <c r="O227" s="12">
        <v>0</v>
      </c>
      <c r="P227" s="13"/>
      <c r="Q227" s="228"/>
      <c r="R227" s="744">
        <v>2</v>
      </c>
    </row>
    <row r="228" spans="1:18" ht="84.95" customHeight="1">
      <c r="A228" s="23"/>
      <c r="B228" s="23"/>
      <c r="C228" s="23"/>
      <c r="D228" s="23"/>
      <c r="E228" s="857" t="s">
        <v>2959</v>
      </c>
      <c r="F228" s="870" t="s">
        <v>2960</v>
      </c>
      <c r="G228" s="857" t="s">
        <v>132</v>
      </c>
      <c r="H228" s="857" t="s">
        <v>2961</v>
      </c>
      <c r="I228" s="870" t="s">
        <v>2962</v>
      </c>
      <c r="J228" s="858" t="s">
        <v>857</v>
      </c>
      <c r="K228" s="858"/>
      <c r="L228" s="858"/>
      <c r="M228" s="858" t="s">
        <v>2169</v>
      </c>
      <c r="N228" s="859"/>
      <c r="O228" s="859"/>
      <c r="P228" s="858"/>
      <c r="Q228" s="872" t="s">
        <v>2963</v>
      </c>
      <c r="R228" s="858">
        <v>2</v>
      </c>
    </row>
    <row r="229" spans="1:18" ht="59.1" customHeight="1">
      <c r="A229" s="23"/>
      <c r="B229" s="23"/>
      <c r="C229" s="23"/>
      <c r="D229" s="23"/>
      <c r="E229" s="5" t="s">
        <v>2964</v>
      </c>
      <c r="F229" s="12" t="s">
        <v>2965</v>
      </c>
      <c r="G229" s="5" t="s">
        <v>132</v>
      </c>
      <c r="H229" s="5" t="s">
        <v>2966</v>
      </c>
      <c r="I229" s="12" t="s">
        <v>2967</v>
      </c>
      <c r="J229" s="13" t="s">
        <v>2096</v>
      </c>
      <c r="K229" s="13" t="s">
        <v>2095</v>
      </c>
      <c r="L229" s="13" t="s">
        <v>2095</v>
      </c>
      <c r="M229" s="13" t="s">
        <v>2169</v>
      </c>
      <c r="N229" s="80"/>
      <c r="O229" s="736">
        <v>3</v>
      </c>
      <c r="P229" s="13"/>
      <c r="Q229" s="228" t="s">
        <v>2968</v>
      </c>
      <c r="R229" s="744">
        <v>2</v>
      </c>
    </row>
    <row r="230" spans="1:18" ht="94.5" customHeight="1">
      <c r="A230" s="23"/>
      <c r="B230" s="23"/>
      <c r="C230" s="23"/>
      <c r="D230" s="23"/>
      <c r="E230" s="732" t="s">
        <v>2969</v>
      </c>
      <c r="F230" s="12" t="s">
        <v>2970</v>
      </c>
      <c r="G230" s="5" t="s">
        <v>2216</v>
      </c>
      <c r="H230" s="5" t="s">
        <v>2971</v>
      </c>
      <c r="I230" s="12" t="s">
        <v>2972</v>
      </c>
      <c r="J230" s="13" t="s">
        <v>2167</v>
      </c>
      <c r="K230" s="13" t="s">
        <v>2168</v>
      </c>
      <c r="L230" s="13" t="s">
        <v>2168</v>
      </c>
      <c r="M230" s="13" t="s">
        <v>2169</v>
      </c>
      <c r="N230" s="80"/>
      <c r="O230" s="736">
        <v>3</v>
      </c>
      <c r="P230" s="13"/>
      <c r="Q230" s="228" t="s">
        <v>2973</v>
      </c>
      <c r="R230" s="744">
        <v>2</v>
      </c>
    </row>
    <row r="231" spans="1:18" ht="94.5" customHeight="1">
      <c r="A231" s="23"/>
      <c r="B231" s="23"/>
      <c r="C231" s="23"/>
      <c r="D231" s="23"/>
      <c r="E231" s="732" t="s">
        <v>2974</v>
      </c>
      <c r="F231" s="12" t="s">
        <v>2975</v>
      </c>
      <c r="G231" s="5" t="s">
        <v>2230</v>
      </c>
      <c r="H231" s="5" t="s">
        <v>2976</v>
      </c>
      <c r="I231" s="12" t="s">
        <v>2977</v>
      </c>
      <c r="J231" s="13" t="s">
        <v>2167</v>
      </c>
      <c r="K231" s="13" t="s">
        <v>2168</v>
      </c>
      <c r="L231" s="13" t="s">
        <v>2168</v>
      </c>
      <c r="M231" s="13" t="s">
        <v>2169</v>
      </c>
      <c r="N231" s="80"/>
      <c r="O231" s="736">
        <v>3</v>
      </c>
      <c r="P231" s="13"/>
      <c r="Q231" s="228" t="s">
        <v>2973</v>
      </c>
      <c r="R231" s="744">
        <v>2</v>
      </c>
    </row>
    <row r="232" spans="1:18" ht="94.5" customHeight="1">
      <c r="A232" s="23"/>
      <c r="B232" s="23"/>
      <c r="C232" s="23"/>
      <c r="D232" s="23"/>
      <c r="E232" s="732" t="s">
        <v>2978</v>
      </c>
      <c r="F232" s="12" t="s">
        <v>2979</v>
      </c>
      <c r="G232" s="5" t="s">
        <v>2197</v>
      </c>
      <c r="H232" s="5" t="s">
        <v>2980</v>
      </c>
      <c r="I232" s="12" t="s">
        <v>2981</v>
      </c>
      <c r="J232" s="13" t="s">
        <v>2167</v>
      </c>
      <c r="K232" s="13" t="s">
        <v>2168</v>
      </c>
      <c r="L232" s="13" t="s">
        <v>2168</v>
      </c>
      <c r="M232" s="13" t="s">
        <v>2169</v>
      </c>
      <c r="N232" s="80"/>
      <c r="O232" s="736">
        <v>3</v>
      </c>
      <c r="P232" s="13"/>
      <c r="Q232" s="228" t="s">
        <v>2973</v>
      </c>
      <c r="R232" s="744">
        <v>2</v>
      </c>
    </row>
    <row r="233" spans="1:18" ht="94.5" customHeight="1">
      <c r="A233" s="23"/>
      <c r="B233" s="23"/>
      <c r="C233" s="23"/>
      <c r="D233" s="23"/>
      <c r="E233" s="732" t="s">
        <v>2982</v>
      </c>
      <c r="F233" s="12" t="s">
        <v>2983</v>
      </c>
      <c r="G233" s="5" t="s">
        <v>331</v>
      </c>
      <c r="H233" s="5" t="s">
        <v>2984</v>
      </c>
      <c r="I233" s="12" t="s">
        <v>2985</v>
      </c>
      <c r="J233" s="13" t="s">
        <v>2167</v>
      </c>
      <c r="K233" s="13" t="s">
        <v>2168</v>
      </c>
      <c r="L233" s="13" t="s">
        <v>2168</v>
      </c>
      <c r="M233" s="13" t="s">
        <v>2169</v>
      </c>
      <c r="N233" s="80"/>
      <c r="O233" s="736">
        <v>3</v>
      </c>
      <c r="P233" s="13"/>
      <c r="Q233" s="228" t="s">
        <v>2973</v>
      </c>
      <c r="R233" s="744">
        <v>2</v>
      </c>
    </row>
    <row r="234" spans="1:18" ht="94.5" customHeight="1">
      <c r="A234" s="23"/>
      <c r="B234" s="23"/>
      <c r="C234" s="23"/>
      <c r="D234" s="23"/>
      <c r="E234" s="732" t="s">
        <v>2986</v>
      </c>
      <c r="F234" s="12" t="s">
        <v>2987</v>
      </c>
      <c r="G234" s="5" t="s">
        <v>2235</v>
      </c>
      <c r="H234" s="5" t="s">
        <v>2988</v>
      </c>
      <c r="I234" s="12" t="s">
        <v>2989</v>
      </c>
      <c r="J234" s="13" t="s">
        <v>2167</v>
      </c>
      <c r="K234" s="13" t="s">
        <v>2168</v>
      </c>
      <c r="L234" s="13" t="s">
        <v>2168</v>
      </c>
      <c r="M234" s="13" t="s">
        <v>2169</v>
      </c>
      <c r="N234" s="80"/>
      <c r="O234" s="736">
        <v>3</v>
      </c>
      <c r="P234" s="13"/>
      <c r="Q234" s="228" t="s">
        <v>2973</v>
      </c>
      <c r="R234" s="744">
        <v>2</v>
      </c>
    </row>
    <row r="235" spans="1:18" ht="87" customHeight="1">
      <c r="A235" s="855"/>
      <c r="B235" s="855"/>
      <c r="C235" s="855"/>
      <c r="D235" s="855"/>
      <c r="E235" s="857" t="s">
        <v>2990</v>
      </c>
      <c r="F235" s="870" t="s">
        <v>2991</v>
      </c>
      <c r="G235" s="857" t="s">
        <v>172</v>
      </c>
      <c r="H235" s="857" t="s">
        <v>2992</v>
      </c>
      <c r="I235" s="870" t="s">
        <v>2993</v>
      </c>
      <c r="J235" s="858" t="s">
        <v>857</v>
      </c>
      <c r="K235" s="858"/>
      <c r="L235" s="858"/>
      <c r="M235" s="858" t="s">
        <v>2169</v>
      </c>
      <c r="N235" s="858"/>
      <c r="O235" s="859"/>
      <c r="P235" s="858"/>
      <c r="Q235" s="872" t="s">
        <v>2963</v>
      </c>
      <c r="R235" s="858">
        <v>2</v>
      </c>
    </row>
    <row r="236" spans="1:18" ht="87" customHeight="1">
      <c r="A236" s="855"/>
      <c r="B236" s="855"/>
      <c r="C236" s="855"/>
      <c r="D236" s="855"/>
      <c r="E236" s="857" t="s">
        <v>2994</v>
      </c>
      <c r="F236" s="870" t="s">
        <v>2995</v>
      </c>
      <c r="G236" s="857" t="s">
        <v>172</v>
      </c>
      <c r="H236" s="857" t="s">
        <v>2996</v>
      </c>
      <c r="I236" s="870" t="s">
        <v>2997</v>
      </c>
      <c r="J236" s="858" t="s">
        <v>857</v>
      </c>
      <c r="K236" s="858"/>
      <c r="L236" s="858"/>
      <c r="M236" s="858" t="s">
        <v>2169</v>
      </c>
      <c r="N236" s="858"/>
      <c r="O236" s="859"/>
      <c r="P236" s="858"/>
      <c r="Q236" s="872" t="s">
        <v>2963</v>
      </c>
      <c r="R236" s="858">
        <v>2</v>
      </c>
    </row>
    <row r="237" spans="1:18" ht="87" customHeight="1">
      <c r="A237" s="855"/>
      <c r="B237" s="855"/>
      <c r="C237" s="855"/>
      <c r="D237" s="855"/>
      <c r="E237" s="857" t="s">
        <v>2998</v>
      </c>
      <c r="F237" s="870" t="s">
        <v>2999</v>
      </c>
      <c r="G237" s="857" t="s">
        <v>223</v>
      </c>
      <c r="H237" s="857" t="s">
        <v>3000</v>
      </c>
      <c r="I237" s="870" t="s">
        <v>3001</v>
      </c>
      <c r="J237" s="858" t="s">
        <v>857</v>
      </c>
      <c r="K237" s="858"/>
      <c r="L237" s="858"/>
      <c r="M237" s="858" t="s">
        <v>2169</v>
      </c>
      <c r="N237" s="858"/>
      <c r="O237" s="859"/>
      <c r="P237" s="858"/>
      <c r="Q237" s="872" t="s">
        <v>2963</v>
      </c>
      <c r="R237" s="858">
        <v>2</v>
      </c>
    </row>
    <row r="238" spans="1:18" ht="87" customHeight="1">
      <c r="A238" s="855"/>
      <c r="B238" s="855"/>
      <c r="C238" s="855"/>
      <c r="D238" s="855"/>
      <c r="E238" s="857" t="s">
        <v>3002</v>
      </c>
      <c r="F238" s="870" t="s">
        <v>3003</v>
      </c>
      <c r="G238" s="857" t="s">
        <v>223</v>
      </c>
      <c r="H238" s="857" t="s">
        <v>3004</v>
      </c>
      <c r="I238" s="870" t="s">
        <v>3005</v>
      </c>
      <c r="J238" s="858" t="s">
        <v>857</v>
      </c>
      <c r="K238" s="858"/>
      <c r="L238" s="858"/>
      <c r="M238" s="858" t="s">
        <v>2169</v>
      </c>
      <c r="N238" s="858"/>
      <c r="O238" s="859"/>
      <c r="P238" s="858"/>
      <c r="Q238" s="872" t="s">
        <v>2963</v>
      </c>
      <c r="R238" s="858">
        <v>2</v>
      </c>
    </row>
    <row r="239" spans="1:18" ht="35.1" customHeight="1">
      <c r="A239" s="23"/>
      <c r="B239" s="23"/>
      <c r="C239" s="23"/>
      <c r="D239" s="23"/>
      <c r="E239" s="5" t="s">
        <v>3006</v>
      </c>
      <c r="F239" s="736" t="s">
        <v>3007</v>
      </c>
      <c r="G239" s="605" t="s">
        <v>745</v>
      </c>
      <c r="H239" s="5" t="s">
        <v>3008</v>
      </c>
      <c r="I239" s="13" t="s">
        <v>3009</v>
      </c>
      <c r="J239" s="13" t="s">
        <v>2095</v>
      </c>
      <c r="K239" s="13" t="s">
        <v>2096</v>
      </c>
      <c r="L239" s="13" t="s">
        <v>2095</v>
      </c>
      <c r="M239" s="13" t="s">
        <v>2097</v>
      </c>
      <c r="N239" s="13"/>
      <c r="O239" s="12">
        <v>0</v>
      </c>
      <c r="P239" s="13"/>
      <c r="Q239" s="228"/>
      <c r="R239" s="744">
        <v>2</v>
      </c>
    </row>
    <row r="240" spans="1:18" ht="90" customHeight="1">
      <c r="A240" s="23"/>
      <c r="B240" s="23"/>
      <c r="C240" s="23"/>
      <c r="D240" s="23"/>
      <c r="E240" s="732" t="s">
        <v>3010</v>
      </c>
      <c r="F240" s="12" t="s">
        <v>3011</v>
      </c>
      <c r="G240" s="5" t="s">
        <v>2225</v>
      </c>
      <c r="H240" s="5" t="s">
        <v>3012</v>
      </c>
      <c r="I240" s="12" t="s">
        <v>3013</v>
      </c>
      <c r="J240" s="13" t="s">
        <v>2167</v>
      </c>
      <c r="K240" s="13" t="s">
        <v>2168</v>
      </c>
      <c r="L240" s="13" t="s">
        <v>2168</v>
      </c>
      <c r="M240" s="13" t="s">
        <v>2169</v>
      </c>
      <c r="N240" s="80"/>
      <c r="O240" s="736">
        <v>3</v>
      </c>
      <c r="P240" s="13"/>
      <c r="Q240" s="228" t="s">
        <v>2184</v>
      </c>
      <c r="R240" s="744">
        <v>2</v>
      </c>
    </row>
    <row r="241" spans="1:18" ht="90" customHeight="1">
      <c r="A241" s="23"/>
      <c r="B241" s="23"/>
      <c r="C241" s="23"/>
      <c r="D241" s="23"/>
      <c r="E241" s="732" t="s">
        <v>3014</v>
      </c>
      <c r="F241" s="12" t="s">
        <v>3015</v>
      </c>
      <c r="G241" s="5" t="s">
        <v>2206</v>
      </c>
      <c r="H241" s="5" t="s">
        <v>3016</v>
      </c>
      <c r="I241" s="12" t="s">
        <v>3017</v>
      </c>
      <c r="J241" s="13" t="s">
        <v>2167</v>
      </c>
      <c r="K241" s="13" t="s">
        <v>2168</v>
      </c>
      <c r="L241" s="13" t="s">
        <v>2168</v>
      </c>
      <c r="M241" s="13" t="s">
        <v>2169</v>
      </c>
      <c r="N241" s="80"/>
      <c r="O241" s="736">
        <v>3</v>
      </c>
      <c r="P241" s="13"/>
      <c r="Q241" s="228" t="s">
        <v>2184</v>
      </c>
      <c r="R241" s="744">
        <v>2</v>
      </c>
    </row>
    <row r="242" spans="1:18" ht="90" customHeight="1">
      <c r="A242" s="23"/>
      <c r="B242" s="23"/>
      <c r="C242" s="23"/>
      <c r="D242" s="23"/>
      <c r="E242" s="732" t="s">
        <v>3018</v>
      </c>
      <c r="F242" s="12" t="s">
        <v>3019</v>
      </c>
      <c r="G242" s="5" t="s">
        <v>2235</v>
      </c>
      <c r="H242" s="5" t="s">
        <v>3020</v>
      </c>
      <c r="I242" s="12" t="s">
        <v>3021</v>
      </c>
      <c r="J242" s="13" t="s">
        <v>2167</v>
      </c>
      <c r="K242" s="13" t="s">
        <v>2168</v>
      </c>
      <c r="L242" s="13" t="s">
        <v>2168</v>
      </c>
      <c r="M242" s="13" t="s">
        <v>2169</v>
      </c>
      <c r="N242" s="80"/>
      <c r="O242" s="736">
        <v>3</v>
      </c>
      <c r="P242" s="13"/>
      <c r="Q242" s="228" t="s">
        <v>2184</v>
      </c>
      <c r="R242" s="744">
        <v>2</v>
      </c>
    </row>
    <row r="243" spans="1:18" ht="35.1" customHeight="1">
      <c r="A243" s="23"/>
      <c r="B243" s="23"/>
      <c r="C243" s="23"/>
      <c r="D243" s="23"/>
      <c r="E243" s="5" t="s">
        <v>3022</v>
      </c>
      <c r="F243" s="12" t="s">
        <v>3023</v>
      </c>
      <c r="G243" s="5" t="s">
        <v>132</v>
      </c>
      <c r="H243" s="5" t="s">
        <v>3024</v>
      </c>
      <c r="I243" s="13" t="s">
        <v>3025</v>
      </c>
      <c r="J243" s="13" t="s">
        <v>2095</v>
      </c>
      <c r="K243" s="13" t="s">
        <v>2096</v>
      </c>
      <c r="L243" s="13" t="s">
        <v>2095</v>
      </c>
      <c r="M243" s="13" t="s">
        <v>2097</v>
      </c>
      <c r="N243" s="13"/>
      <c r="O243" s="736">
        <v>3</v>
      </c>
      <c r="P243" s="13"/>
      <c r="Q243" s="228"/>
      <c r="R243" s="744">
        <v>2</v>
      </c>
    </row>
    <row r="244" spans="1:18" ht="84.6" customHeight="1">
      <c r="A244" s="23"/>
      <c r="B244" s="23"/>
      <c r="C244" s="23"/>
      <c r="D244" s="23"/>
      <c r="E244" s="732" t="s">
        <v>3026</v>
      </c>
      <c r="F244" s="12" t="s">
        <v>3027</v>
      </c>
      <c r="G244" s="5" t="s">
        <v>809</v>
      </c>
      <c r="H244" s="5" t="s">
        <v>3028</v>
      </c>
      <c r="I244" s="12" t="s">
        <v>3029</v>
      </c>
      <c r="J244" s="13" t="s">
        <v>2167</v>
      </c>
      <c r="K244" s="13" t="s">
        <v>2168</v>
      </c>
      <c r="L244" s="13"/>
      <c r="M244" s="13" t="s">
        <v>2169</v>
      </c>
      <c r="N244" s="80"/>
      <c r="O244" s="12"/>
      <c r="P244" s="13"/>
      <c r="Q244" s="228" t="s">
        <v>3030</v>
      </c>
      <c r="R244" s="744">
        <v>2</v>
      </c>
    </row>
    <row r="245" spans="1:18" ht="84.6" customHeight="1">
      <c r="A245" s="23"/>
      <c r="B245" s="23"/>
      <c r="C245" s="23"/>
      <c r="D245" s="23"/>
      <c r="E245" s="732" t="s">
        <v>3031</v>
      </c>
      <c r="F245" s="12" t="s">
        <v>3032</v>
      </c>
      <c r="G245" s="5" t="s">
        <v>809</v>
      </c>
      <c r="H245" s="5" t="s">
        <v>3033</v>
      </c>
      <c r="I245" s="12" t="s">
        <v>3034</v>
      </c>
      <c r="J245" s="13" t="s">
        <v>2167</v>
      </c>
      <c r="K245" s="13" t="s">
        <v>2168</v>
      </c>
      <c r="L245" s="13" t="s">
        <v>2168</v>
      </c>
      <c r="M245" s="13" t="s">
        <v>2169</v>
      </c>
      <c r="N245" s="80"/>
      <c r="O245" s="736">
        <v>3</v>
      </c>
      <c r="P245" s="13"/>
      <c r="Q245" s="228" t="s">
        <v>3035</v>
      </c>
      <c r="R245" s="744">
        <v>2</v>
      </c>
    </row>
    <row r="246" spans="1:18" ht="84.6" customHeight="1">
      <c r="A246" s="23"/>
      <c r="B246" s="23"/>
      <c r="C246" s="23"/>
      <c r="D246" s="23"/>
      <c r="E246" s="732" t="s">
        <v>3036</v>
      </c>
      <c r="F246" s="12" t="s">
        <v>3037</v>
      </c>
      <c r="G246" s="5" t="s">
        <v>809</v>
      </c>
      <c r="H246" s="5" t="s">
        <v>3038</v>
      </c>
      <c r="I246" s="12" t="s">
        <v>3039</v>
      </c>
      <c r="J246" s="13" t="s">
        <v>2167</v>
      </c>
      <c r="K246" s="13" t="s">
        <v>2168</v>
      </c>
      <c r="L246" s="13" t="s">
        <v>2168</v>
      </c>
      <c r="M246" s="13" t="s">
        <v>2169</v>
      </c>
      <c r="N246" s="80"/>
      <c r="O246" s="736">
        <v>3</v>
      </c>
      <c r="P246" s="13"/>
      <c r="Q246" s="228" t="s">
        <v>3040</v>
      </c>
      <c r="R246" s="744">
        <v>2</v>
      </c>
    </row>
    <row r="247" spans="1:18" ht="84.6" customHeight="1">
      <c r="A247" s="23"/>
      <c r="B247" s="23"/>
      <c r="C247" s="23"/>
      <c r="D247" s="23"/>
      <c r="E247" s="732" t="s">
        <v>3041</v>
      </c>
      <c r="F247" s="12" t="s">
        <v>3042</v>
      </c>
      <c r="G247" s="5" t="s">
        <v>809</v>
      </c>
      <c r="H247" s="5" t="s">
        <v>3043</v>
      </c>
      <c r="I247" s="12" t="s">
        <v>3044</v>
      </c>
      <c r="J247" s="13" t="s">
        <v>2167</v>
      </c>
      <c r="K247" s="13" t="s">
        <v>2168</v>
      </c>
      <c r="L247" s="13"/>
      <c r="M247" s="13" t="s">
        <v>2169</v>
      </c>
      <c r="N247" s="80"/>
      <c r="O247" s="12"/>
      <c r="P247" s="13"/>
      <c r="Q247" s="228" t="s">
        <v>3045</v>
      </c>
      <c r="R247" s="744">
        <v>2</v>
      </c>
    </row>
    <row r="248" spans="1:18" ht="35.1" customHeight="1">
      <c r="A248" s="23"/>
      <c r="B248" s="23"/>
      <c r="C248" s="23"/>
      <c r="D248" s="23"/>
      <c r="E248" s="5" t="s">
        <v>3046</v>
      </c>
      <c r="F248" s="736" t="s">
        <v>3047</v>
      </c>
      <c r="G248" s="5" t="s">
        <v>132</v>
      </c>
      <c r="H248" s="5" t="s">
        <v>3048</v>
      </c>
      <c r="I248" s="13" t="s">
        <v>3049</v>
      </c>
      <c r="J248" s="13" t="s">
        <v>2095</v>
      </c>
      <c r="K248" s="13" t="s">
        <v>2096</v>
      </c>
      <c r="L248" s="13" t="s">
        <v>2095</v>
      </c>
      <c r="M248" s="13" t="s">
        <v>2097</v>
      </c>
      <c r="N248" s="13"/>
      <c r="O248" s="12">
        <v>0</v>
      </c>
      <c r="P248" s="13"/>
      <c r="Q248" s="228"/>
      <c r="R248" s="744">
        <v>2</v>
      </c>
    </row>
    <row r="249" spans="1:18" ht="35.1" customHeight="1">
      <c r="A249" s="23"/>
      <c r="B249" s="23"/>
      <c r="C249" s="23"/>
      <c r="D249" s="23"/>
      <c r="E249" s="5" t="s">
        <v>3050</v>
      </c>
      <c r="F249" s="736" t="s">
        <v>3051</v>
      </c>
      <c r="G249" s="5" t="s">
        <v>132</v>
      </c>
      <c r="H249" s="5" t="s">
        <v>3052</v>
      </c>
      <c r="I249" s="13" t="s">
        <v>3053</v>
      </c>
      <c r="J249" s="13" t="s">
        <v>2095</v>
      </c>
      <c r="K249" s="13" t="s">
        <v>2096</v>
      </c>
      <c r="L249" s="13" t="s">
        <v>2095</v>
      </c>
      <c r="M249" s="13" t="s">
        <v>2097</v>
      </c>
      <c r="N249" s="13"/>
      <c r="O249" s="12">
        <v>0</v>
      </c>
      <c r="P249" s="13"/>
      <c r="Q249" s="228"/>
      <c r="R249" s="744">
        <v>2</v>
      </c>
    </row>
    <row r="250" spans="1:18" ht="35.1" customHeight="1">
      <c r="A250" s="23"/>
      <c r="B250" s="23"/>
      <c r="C250" s="23"/>
      <c r="D250" s="23"/>
      <c r="E250" s="5" t="s">
        <v>3054</v>
      </c>
      <c r="F250" s="736" t="s">
        <v>3055</v>
      </c>
      <c r="G250" s="605" t="s">
        <v>745</v>
      </c>
      <c r="H250" s="5" t="s">
        <v>3056</v>
      </c>
      <c r="I250" s="13" t="s">
        <v>3057</v>
      </c>
      <c r="J250" s="13" t="s">
        <v>2095</v>
      </c>
      <c r="K250" s="13" t="s">
        <v>2096</v>
      </c>
      <c r="L250" s="13" t="s">
        <v>2095</v>
      </c>
      <c r="M250" s="13" t="s">
        <v>2097</v>
      </c>
      <c r="N250" s="13"/>
      <c r="O250" s="12">
        <v>0</v>
      </c>
      <c r="P250" s="13"/>
      <c r="Q250" s="228"/>
      <c r="R250" s="744">
        <v>2</v>
      </c>
    </row>
    <row r="251" spans="1:18" ht="35.1" customHeight="1">
      <c r="A251" s="23"/>
      <c r="B251" s="23"/>
      <c r="C251" s="23"/>
      <c r="D251" s="23"/>
      <c r="E251" s="5" t="s">
        <v>3058</v>
      </c>
      <c r="F251" s="12" t="s">
        <v>3059</v>
      </c>
      <c r="G251" s="5" t="s">
        <v>132</v>
      </c>
      <c r="H251" s="5" t="s">
        <v>3060</v>
      </c>
      <c r="I251" s="13" t="s">
        <v>3025</v>
      </c>
      <c r="J251" s="13" t="s">
        <v>2096</v>
      </c>
      <c r="K251" s="13" t="s">
        <v>2095</v>
      </c>
      <c r="L251" s="13" t="s">
        <v>2095</v>
      </c>
      <c r="M251" s="13" t="s">
        <v>2097</v>
      </c>
      <c r="N251" s="13"/>
      <c r="O251" s="736">
        <v>3</v>
      </c>
      <c r="P251" s="13"/>
      <c r="Q251" s="228"/>
      <c r="R251" s="13">
        <v>1</v>
      </c>
    </row>
    <row r="252" spans="1:18" ht="35.1" customHeight="1">
      <c r="A252" s="23"/>
      <c r="B252" s="23"/>
      <c r="C252" s="23"/>
      <c r="D252" s="23"/>
      <c r="E252" s="5" t="s">
        <v>3061</v>
      </c>
      <c r="F252" s="12" t="s">
        <v>3062</v>
      </c>
      <c r="G252" s="5" t="s">
        <v>132</v>
      </c>
      <c r="H252" s="5" t="s">
        <v>3063</v>
      </c>
      <c r="I252" s="13" t="s">
        <v>3025</v>
      </c>
      <c r="J252" s="13" t="s">
        <v>2096</v>
      </c>
      <c r="K252" s="13" t="s">
        <v>2095</v>
      </c>
      <c r="L252" s="13" t="s">
        <v>2095</v>
      </c>
      <c r="M252" s="13" t="s">
        <v>2097</v>
      </c>
      <c r="N252" s="13"/>
      <c r="O252" s="736">
        <v>3</v>
      </c>
      <c r="P252" s="13"/>
      <c r="Q252" s="228"/>
      <c r="R252" s="13">
        <v>1</v>
      </c>
    </row>
    <row r="253" spans="1:18" ht="35.1" customHeight="1">
      <c r="A253" s="23"/>
      <c r="B253" s="23"/>
      <c r="C253" s="23"/>
      <c r="D253" s="23"/>
      <c r="E253" s="5" t="s">
        <v>3064</v>
      </c>
      <c r="F253" s="736" t="s">
        <v>3065</v>
      </c>
      <c r="G253" s="5" t="s">
        <v>132</v>
      </c>
      <c r="H253" s="718" t="s">
        <v>3066</v>
      </c>
      <c r="I253" s="13" t="s">
        <v>3067</v>
      </c>
      <c r="J253" s="13" t="s">
        <v>2095</v>
      </c>
      <c r="K253" s="13" t="s">
        <v>2096</v>
      </c>
      <c r="L253" s="13" t="s">
        <v>2095</v>
      </c>
      <c r="M253" s="13" t="s">
        <v>2097</v>
      </c>
      <c r="N253" s="13"/>
      <c r="O253" s="12">
        <v>0</v>
      </c>
      <c r="P253" s="13"/>
      <c r="Q253" s="228"/>
      <c r="R253" s="744">
        <v>2</v>
      </c>
    </row>
    <row r="254" spans="1:18" ht="35.1" customHeight="1">
      <c r="A254" s="23"/>
      <c r="B254" s="23"/>
      <c r="C254" s="23"/>
      <c r="D254" s="23"/>
      <c r="E254" s="5" t="s">
        <v>3068</v>
      </c>
      <c r="F254" s="736" t="s">
        <v>3069</v>
      </c>
      <c r="G254" s="5" t="s">
        <v>132</v>
      </c>
      <c r="H254" s="5" t="s">
        <v>3070</v>
      </c>
      <c r="I254" s="13" t="s">
        <v>3071</v>
      </c>
      <c r="J254" s="13" t="s">
        <v>2095</v>
      </c>
      <c r="K254" s="13" t="s">
        <v>2096</v>
      </c>
      <c r="L254" s="13" t="s">
        <v>2095</v>
      </c>
      <c r="M254" s="13" t="s">
        <v>2097</v>
      </c>
      <c r="N254" s="13"/>
      <c r="O254" s="12">
        <v>0</v>
      </c>
      <c r="P254" s="13"/>
      <c r="Q254" s="228"/>
      <c r="R254" s="744">
        <v>2</v>
      </c>
    </row>
    <row r="255" spans="1:18" ht="35.1" customHeight="1">
      <c r="A255" s="23"/>
      <c r="B255" s="23"/>
      <c r="C255" s="23"/>
      <c r="D255" s="23"/>
      <c r="E255" s="5" t="s">
        <v>3072</v>
      </c>
      <c r="F255" s="736" t="s">
        <v>3073</v>
      </c>
      <c r="G255" s="5" t="s">
        <v>132</v>
      </c>
      <c r="H255" s="5" t="s">
        <v>3074</v>
      </c>
      <c r="I255" s="13" t="s">
        <v>3075</v>
      </c>
      <c r="J255" s="13" t="s">
        <v>2095</v>
      </c>
      <c r="K255" s="13" t="s">
        <v>2096</v>
      </c>
      <c r="L255" s="13" t="s">
        <v>2095</v>
      </c>
      <c r="M255" s="13" t="s">
        <v>2097</v>
      </c>
      <c r="N255" s="13"/>
      <c r="O255" s="12">
        <v>0</v>
      </c>
      <c r="P255" s="13"/>
      <c r="Q255" s="228"/>
      <c r="R255" s="744">
        <v>2</v>
      </c>
    </row>
    <row r="256" spans="1:18" ht="35.1" customHeight="1">
      <c r="A256" s="23"/>
      <c r="B256" s="23"/>
      <c r="C256" s="23"/>
      <c r="D256" s="23"/>
      <c r="E256" s="731" t="s">
        <v>3076</v>
      </c>
      <c r="F256" s="736" t="s">
        <v>3077</v>
      </c>
      <c r="G256" s="5" t="s">
        <v>132</v>
      </c>
      <c r="H256" s="5" t="s">
        <v>3078</v>
      </c>
      <c r="I256" s="13" t="s">
        <v>3079</v>
      </c>
      <c r="J256" s="13" t="s">
        <v>2095</v>
      </c>
      <c r="K256" s="13" t="s">
        <v>2096</v>
      </c>
      <c r="L256" s="13" t="s">
        <v>2095</v>
      </c>
      <c r="M256" s="13" t="s">
        <v>2097</v>
      </c>
      <c r="N256" s="13"/>
      <c r="O256" s="12">
        <v>0</v>
      </c>
      <c r="P256" s="13"/>
      <c r="Q256" s="228"/>
      <c r="R256" s="744">
        <v>2</v>
      </c>
    </row>
    <row r="257" spans="1:18" ht="35.1" customHeight="1">
      <c r="A257" s="23"/>
      <c r="B257" s="23"/>
      <c r="C257" s="23"/>
      <c r="D257" s="23"/>
      <c r="E257" s="857" t="s">
        <v>3080</v>
      </c>
      <c r="F257" s="870" t="s">
        <v>3081</v>
      </c>
      <c r="G257" s="871" t="s">
        <v>745</v>
      </c>
      <c r="H257" s="857" t="s">
        <v>3082</v>
      </c>
      <c r="I257" s="858" t="s">
        <v>3083</v>
      </c>
      <c r="J257" s="858" t="s">
        <v>2095</v>
      </c>
      <c r="K257" s="858" t="s">
        <v>2096</v>
      </c>
      <c r="L257" s="858" t="s">
        <v>2095</v>
      </c>
      <c r="M257" s="858" t="s">
        <v>2097</v>
      </c>
      <c r="N257" s="858"/>
      <c r="O257" s="870">
        <v>0</v>
      </c>
      <c r="P257" s="858"/>
      <c r="Q257" s="872"/>
      <c r="R257" s="858">
        <v>2</v>
      </c>
    </row>
    <row r="258" spans="1:18" ht="35.1" customHeight="1">
      <c r="A258" s="23"/>
      <c r="B258" s="23"/>
      <c r="C258" s="23"/>
      <c r="D258" s="23"/>
      <c r="E258" s="857" t="s">
        <v>3084</v>
      </c>
      <c r="F258" s="870" t="s">
        <v>3085</v>
      </c>
      <c r="G258" s="871" t="s">
        <v>745</v>
      </c>
      <c r="H258" s="857" t="s">
        <v>2580</v>
      </c>
      <c r="I258" s="858" t="s">
        <v>3086</v>
      </c>
      <c r="J258" s="858" t="s">
        <v>2095</v>
      </c>
      <c r="K258" s="858" t="s">
        <v>2096</v>
      </c>
      <c r="L258" s="858" t="s">
        <v>2095</v>
      </c>
      <c r="M258" s="858" t="s">
        <v>2353</v>
      </c>
      <c r="N258" s="858"/>
      <c r="O258" s="870"/>
      <c r="P258" s="858"/>
      <c r="Q258" s="872"/>
      <c r="R258" s="858">
        <v>2</v>
      </c>
    </row>
    <row r="259" spans="1:18" ht="35.1" customHeight="1">
      <c r="A259" s="23"/>
      <c r="B259" s="23"/>
      <c r="C259" s="23"/>
      <c r="D259" s="23"/>
      <c r="E259" s="857" t="s">
        <v>3087</v>
      </c>
      <c r="F259" s="870" t="s">
        <v>3088</v>
      </c>
      <c r="G259" s="871" t="s">
        <v>745</v>
      </c>
      <c r="H259" s="857" t="s">
        <v>2532</v>
      </c>
      <c r="I259" s="858" t="s">
        <v>3089</v>
      </c>
      <c r="J259" s="858" t="s">
        <v>2095</v>
      </c>
      <c r="K259" s="858" t="s">
        <v>2096</v>
      </c>
      <c r="L259" s="858"/>
      <c r="M259" s="858" t="s">
        <v>2353</v>
      </c>
      <c r="N259" s="858"/>
      <c r="O259" s="870"/>
      <c r="P259" s="858"/>
      <c r="Q259" s="872"/>
      <c r="R259" s="858">
        <v>2</v>
      </c>
    </row>
    <row r="260" spans="1:18" ht="35.1" customHeight="1">
      <c r="A260" s="23"/>
      <c r="B260" s="23"/>
      <c r="C260" s="23"/>
      <c r="D260" s="23"/>
      <c r="E260" s="857" t="s">
        <v>3090</v>
      </c>
      <c r="F260" s="870" t="s">
        <v>3091</v>
      </c>
      <c r="G260" s="871" t="s">
        <v>745</v>
      </c>
      <c r="H260" s="857" t="s">
        <v>2749</v>
      </c>
      <c r="I260" s="858" t="s">
        <v>3092</v>
      </c>
      <c r="J260" s="858" t="s">
        <v>2095</v>
      </c>
      <c r="K260" s="858" t="s">
        <v>2096</v>
      </c>
      <c r="L260" s="858"/>
      <c r="M260" s="858" t="s">
        <v>2353</v>
      </c>
      <c r="N260" s="858"/>
      <c r="O260" s="870"/>
      <c r="P260" s="858"/>
      <c r="Q260" s="872"/>
      <c r="R260" s="858">
        <v>2</v>
      </c>
    </row>
    <row r="261" spans="1:18" ht="102" customHeight="1">
      <c r="A261" s="23"/>
      <c r="B261" s="23"/>
      <c r="C261" s="23"/>
      <c r="D261" s="23"/>
      <c r="E261" s="732" t="s">
        <v>3093</v>
      </c>
      <c r="F261" s="736" t="s">
        <v>3094</v>
      </c>
      <c r="G261" s="5" t="s">
        <v>2230</v>
      </c>
      <c r="H261" s="5" t="s">
        <v>3095</v>
      </c>
      <c r="I261" s="12" t="s">
        <v>3096</v>
      </c>
      <c r="J261" s="13" t="s">
        <v>2167</v>
      </c>
      <c r="K261" s="13" t="s">
        <v>2168</v>
      </c>
      <c r="L261" s="13" t="s">
        <v>2168</v>
      </c>
      <c r="M261" s="13" t="s">
        <v>2169</v>
      </c>
      <c r="N261" s="80"/>
      <c r="O261" s="736">
        <v>3</v>
      </c>
      <c r="P261" s="13"/>
      <c r="Q261" s="228" t="s">
        <v>2184</v>
      </c>
      <c r="R261" s="744">
        <v>2</v>
      </c>
    </row>
    <row r="262" spans="1:18" ht="102" customHeight="1">
      <c r="A262" s="23"/>
      <c r="B262" s="23"/>
      <c r="C262" s="23"/>
      <c r="D262" s="23"/>
      <c r="E262" s="732" t="s">
        <v>3097</v>
      </c>
      <c r="F262" s="736" t="s">
        <v>3098</v>
      </c>
      <c r="G262" s="5" t="s">
        <v>2216</v>
      </c>
      <c r="H262" s="5" t="s">
        <v>3099</v>
      </c>
      <c r="I262" s="12" t="s">
        <v>3100</v>
      </c>
      <c r="J262" s="13" t="s">
        <v>2167</v>
      </c>
      <c r="K262" s="13" t="s">
        <v>2168</v>
      </c>
      <c r="L262" s="13" t="s">
        <v>2168</v>
      </c>
      <c r="M262" s="13" t="s">
        <v>2169</v>
      </c>
      <c r="N262" s="80"/>
      <c r="O262" s="736">
        <v>3</v>
      </c>
      <c r="P262" s="13"/>
      <c r="Q262" s="228" t="s">
        <v>2184</v>
      </c>
      <c r="R262" s="744">
        <v>2</v>
      </c>
    </row>
    <row r="263" spans="1:18" ht="102" customHeight="1">
      <c r="A263" s="23"/>
      <c r="B263" s="23"/>
      <c r="C263" s="23"/>
      <c r="D263" s="23"/>
      <c r="E263" s="732" t="s">
        <v>3101</v>
      </c>
      <c r="F263" s="736" t="s">
        <v>3102</v>
      </c>
      <c r="G263" s="5" t="s">
        <v>331</v>
      </c>
      <c r="H263" s="5" t="s">
        <v>3103</v>
      </c>
      <c r="I263" s="12" t="s">
        <v>3104</v>
      </c>
      <c r="J263" s="13" t="s">
        <v>2167</v>
      </c>
      <c r="K263" s="13" t="s">
        <v>2168</v>
      </c>
      <c r="L263" s="13" t="s">
        <v>2168</v>
      </c>
      <c r="M263" s="13" t="s">
        <v>2169</v>
      </c>
      <c r="N263" s="80"/>
      <c r="O263" s="736">
        <v>3</v>
      </c>
      <c r="P263" s="13"/>
      <c r="Q263" s="228" t="s">
        <v>2184</v>
      </c>
      <c r="R263" s="744">
        <v>2</v>
      </c>
    </row>
    <row r="264" spans="1:18" ht="102" customHeight="1">
      <c r="A264" s="23"/>
      <c r="B264" s="23"/>
      <c r="C264" s="23"/>
      <c r="D264" s="23"/>
      <c r="E264" s="732" t="s">
        <v>3105</v>
      </c>
      <c r="F264" s="736" t="s">
        <v>3106</v>
      </c>
      <c r="G264" s="5" t="s">
        <v>809</v>
      </c>
      <c r="H264" s="5" t="s">
        <v>3107</v>
      </c>
      <c r="I264" s="12" t="s">
        <v>3108</v>
      </c>
      <c r="J264" s="13" t="s">
        <v>2167</v>
      </c>
      <c r="K264" s="13" t="s">
        <v>2168</v>
      </c>
      <c r="L264" s="13" t="s">
        <v>2168</v>
      </c>
      <c r="M264" s="13" t="s">
        <v>2169</v>
      </c>
      <c r="N264" s="80"/>
      <c r="O264" s="736">
        <v>3</v>
      </c>
      <c r="P264" s="13"/>
      <c r="Q264" s="228" t="s">
        <v>2308</v>
      </c>
      <c r="R264" s="744">
        <v>2</v>
      </c>
    </row>
    <row r="265" spans="1:18" ht="102" customHeight="1">
      <c r="A265" s="23"/>
      <c r="B265" s="23"/>
      <c r="C265" s="23"/>
      <c r="D265" s="23"/>
      <c r="E265" s="732" t="s">
        <v>3109</v>
      </c>
      <c r="F265" s="736" t="s">
        <v>3110</v>
      </c>
      <c r="G265" s="5" t="s">
        <v>2187</v>
      </c>
      <c r="H265" s="5" t="s">
        <v>3111</v>
      </c>
      <c r="I265" s="12" t="s">
        <v>3112</v>
      </c>
      <c r="J265" s="13" t="s">
        <v>2167</v>
      </c>
      <c r="K265" s="13" t="s">
        <v>2168</v>
      </c>
      <c r="L265" s="13" t="s">
        <v>2168</v>
      </c>
      <c r="M265" s="13" t="s">
        <v>2169</v>
      </c>
      <c r="N265" s="80"/>
      <c r="O265" s="736">
        <v>3</v>
      </c>
      <c r="P265" s="13"/>
      <c r="Q265" s="228" t="s">
        <v>2973</v>
      </c>
      <c r="R265" s="744">
        <v>2</v>
      </c>
    </row>
    <row r="266" spans="1:18" ht="102" customHeight="1">
      <c r="A266" s="23"/>
      <c r="B266" s="23"/>
      <c r="C266" s="23"/>
      <c r="D266" s="23"/>
      <c r="E266" s="732" t="s">
        <v>3113</v>
      </c>
      <c r="F266" s="736" t="s">
        <v>3114</v>
      </c>
      <c r="G266" s="5" t="s">
        <v>2192</v>
      </c>
      <c r="H266" s="5" t="s">
        <v>3115</v>
      </c>
      <c r="I266" s="12" t="s">
        <v>3116</v>
      </c>
      <c r="J266" s="13" t="s">
        <v>2167</v>
      </c>
      <c r="K266" s="13" t="s">
        <v>2168</v>
      </c>
      <c r="L266" s="13" t="s">
        <v>2168</v>
      </c>
      <c r="M266" s="13" t="s">
        <v>2169</v>
      </c>
      <c r="N266" s="80"/>
      <c r="O266" s="736">
        <v>3</v>
      </c>
      <c r="P266" s="13"/>
      <c r="Q266" s="228" t="s">
        <v>2973</v>
      </c>
      <c r="R266" s="744">
        <v>2</v>
      </c>
    </row>
    <row r="267" spans="1:18" ht="102" customHeight="1">
      <c r="A267" s="23"/>
      <c r="B267" s="23"/>
      <c r="C267" s="23"/>
      <c r="D267" s="23"/>
      <c r="E267" s="732" t="s">
        <v>3117</v>
      </c>
      <c r="F267" s="736" t="s">
        <v>3118</v>
      </c>
      <c r="G267" s="5" t="s">
        <v>2211</v>
      </c>
      <c r="H267" s="5" t="s">
        <v>3119</v>
      </c>
      <c r="I267" s="12" t="s">
        <v>3120</v>
      </c>
      <c r="J267" s="13" t="s">
        <v>2167</v>
      </c>
      <c r="K267" s="13" t="s">
        <v>2168</v>
      </c>
      <c r="L267" s="13" t="s">
        <v>2168</v>
      </c>
      <c r="M267" s="13" t="s">
        <v>2169</v>
      </c>
      <c r="N267" s="80"/>
      <c r="O267" s="736">
        <v>3</v>
      </c>
      <c r="P267" s="13"/>
      <c r="Q267" s="228" t="s">
        <v>2973</v>
      </c>
      <c r="R267" s="744">
        <v>2</v>
      </c>
    </row>
    <row r="268" spans="1:18" ht="35.1" customHeight="1">
      <c r="A268" s="23"/>
      <c r="B268" s="23"/>
      <c r="C268" s="23"/>
      <c r="D268" s="23"/>
      <c r="E268" s="857" t="s">
        <v>3121</v>
      </c>
      <c r="F268" s="870" t="s">
        <v>3122</v>
      </c>
      <c r="G268" s="871" t="s">
        <v>745</v>
      </c>
      <c r="H268" s="857" t="s">
        <v>3123</v>
      </c>
      <c r="I268" s="858" t="s">
        <v>3124</v>
      </c>
      <c r="J268" s="858" t="s">
        <v>2095</v>
      </c>
      <c r="K268" s="858" t="s">
        <v>2096</v>
      </c>
      <c r="L268" s="858"/>
      <c r="M268" s="858" t="s">
        <v>2353</v>
      </c>
      <c r="N268" s="858"/>
      <c r="O268" s="870"/>
      <c r="P268" s="858"/>
      <c r="Q268" s="872"/>
      <c r="R268" s="858">
        <v>2</v>
      </c>
    </row>
    <row r="269" spans="1:18" ht="35.1" customHeight="1">
      <c r="A269" s="23"/>
      <c r="B269" s="23"/>
      <c r="C269" s="23"/>
      <c r="D269" s="23"/>
      <c r="E269" s="857" t="s">
        <v>3125</v>
      </c>
      <c r="F269" s="870" t="s">
        <v>3126</v>
      </c>
      <c r="G269" s="871" t="s">
        <v>745</v>
      </c>
      <c r="H269" s="857" t="s">
        <v>3127</v>
      </c>
      <c r="I269" s="858" t="s">
        <v>3128</v>
      </c>
      <c r="J269" s="858" t="s">
        <v>2095</v>
      </c>
      <c r="K269" s="858" t="s">
        <v>2096</v>
      </c>
      <c r="L269" s="858"/>
      <c r="M269" s="858" t="s">
        <v>2353</v>
      </c>
      <c r="N269" s="858"/>
      <c r="O269" s="870"/>
      <c r="P269" s="858"/>
      <c r="Q269" s="872"/>
      <c r="R269" s="858">
        <v>2</v>
      </c>
    </row>
    <row r="270" spans="1:18" ht="102" customHeight="1">
      <c r="A270" s="23"/>
      <c r="B270" s="23"/>
      <c r="C270" s="23"/>
      <c r="D270" s="23"/>
      <c r="E270" s="732" t="s">
        <v>3129</v>
      </c>
      <c r="F270" s="736" t="s">
        <v>3130</v>
      </c>
      <c r="G270" s="5" t="s">
        <v>2225</v>
      </c>
      <c r="H270" s="5" t="s">
        <v>3131</v>
      </c>
      <c r="I270" s="12" t="s">
        <v>3132</v>
      </c>
      <c r="J270" s="13" t="s">
        <v>2167</v>
      </c>
      <c r="K270" s="13" t="s">
        <v>2168</v>
      </c>
      <c r="L270" s="13" t="s">
        <v>2168</v>
      </c>
      <c r="M270" s="13" t="s">
        <v>2169</v>
      </c>
      <c r="N270" s="80"/>
      <c r="O270" s="736">
        <v>3</v>
      </c>
      <c r="P270" s="13"/>
      <c r="Q270" s="228" t="s">
        <v>2973</v>
      </c>
      <c r="R270" s="744">
        <v>2</v>
      </c>
    </row>
    <row r="271" spans="1:18" ht="102" customHeight="1">
      <c r="A271" s="23"/>
      <c r="B271" s="23"/>
      <c r="C271" s="23"/>
      <c r="D271" s="23"/>
      <c r="E271" s="732" t="s">
        <v>3133</v>
      </c>
      <c r="F271" s="736" t="s">
        <v>3134</v>
      </c>
      <c r="G271" s="5" t="s">
        <v>2173</v>
      </c>
      <c r="H271" s="5" t="s">
        <v>3135</v>
      </c>
      <c r="I271" s="12" t="s">
        <v>3136</v>
      </c>
      <c r="J271" s="13" t="s">
        <v>2167</v>
      </c>
      <c r="K271" s="13" t="s">
        <v>2168</v>
      </c>
      <c r="L271" s="13" t="s">
        <v>2168</v>
      </c>
      <c r="M271" s="13" t="s">
        <v>2169</v>
      </c>
      <c r="N271" s="80"/>
      <c r="O271" s="736">
        <v>3</v>
      </c>
      <c r="P271" s="13"/>
      <c r="Q271" s="228" t="s">
        <v>2973</v>
      </c>
      <c r="R271" s="744">
        <v>2</v>
      </c>
    </row>
    <row r="272" spans="1:18" ht="35.1" customHeight="1">
      <c r="A272" s="23"/>
      <c r="B272" s="23"/>
      <c r="C272" s="23"/>
      <c r="D272" s="23"/>
      <c r="E272" s="5" t="s">
        <v>3137</v>
      </c>
      <c r="F272" s="736" t="s">
        <v>3138</v>
      </c>
      <c r="G272" s="605" t="s">
        <v>566</v>
      </c>
      <c r="H272" s="5" t="s">
        <v>3139</v>
      </c>
      <c r="I272" s="13" t="s">
        <v>3140</v>
      </c>
      <c r="J272" s="13" t="s">
        <v>2095</v>
      </c>
      <c r="K272" s="13" t="s">
        <v>2096</v>
      </c>
      <c r="L272" s="13" t="s">
        <v>2095</v>
      </c>
      <c r="M272" s="13" t="s">
        <v>2097</v>
      </c>
      <c r="N272" s="13"/>
      <c r="O272" s="12">
        <v>0</v>
      </c>
      <c r="P272" s="13"/>
      <c r="Q272" s="228"/>
      <c r="R272" s="744">
        <v>2</v>
      </c>
    </row>
    <row r="273" spans="1:18" ht="35.1" customHeight="1">
      <c r="A273" s="23"/>
      <c r="B273" s="23"/>
      <c r="C273" s="23"/>
      <c r="D273" s="23"/>
      <c r="E273" s="5" t="s">
        <v>3141</v>
      </c>
      <c r="F273" s="736" t="s">
        <v>3142</v>
      </c>
      <c r="G273" s="605" t="s">
        <v>132</v>
      </c>
      <c r="H273" s="5" t="s">
        <v>3143</v>
      </c>
      <c r="I273" s="13" t="s">
        <v>3144</v>
      </c>
      <c r="J273" s="13" t="s">
        <v>2095</v>
      </c>
      <c r="K273" s="13" t="s">
        <v>2096</v>
      </c>
      <c r="L273" s="13" t="s">
        <v>2095</v>
      </c>
      <c r="M273" s="13" t="s">
        <v>2097</v>
      </c>
      <c r="N273" s="13"/>
      <c r="O273" s="12">
        <v>0</v>
      </c>
      <c r="P273" s="13"/>
      <c r="Q273" s="228"/>
      <c r="R273" s="744">
        <v>2</v>
      </c>
    </row>
    <row r="274" spans="1:18" ht="35.1" customHeight="1">
      <c r="A274" s="23"/>
      <c r="B274" s="23"/>
      <c r="C274" s="23"/>
      <c r="D274" s="23"/>
      <c r="E274" s="5" t="s">
        <v>3145</v>
      </c>
      <c r="F274" s="736" t="s">
        <v>3146</v>
      </c>
      <c r="G274" s="605" t="s">
        <v>132</v>
      </c>
      <c r="H274" s="5" t="s">
        <v>3147</v>
      </c>
      <c r="I274" s="13" t="s">
        <v>3148</v>
      </c>
      <c r="J274" s="13" t="s">
        <v>2095</v>
      </c>
      <c r="K274" s="13" t="s">
        <v>2096</v>
      </c>
      <c r="L274" s="13" t="s">
        <v>2095</v>
      </c>
      <c r="M274" s="13" t="s">
        <v>2097</v>
      </c>
      <c r="N274" s="13"/>
      <c r="O274" s="12">
        <v>0</v>
      </c>
      <c r="P274" s="13"/>
      <c r="Q274" s="228"/>
      <c r="R274" s="744">
        <v>2</v>
      </c>
    </row>
    <row r="275" spans="1:18" ht="35.1" customHeight="1">
      <c r="A275" s="23"/>
      <c r="B275" s="23"/>
      <c r="C275" s="23"/>
      <c r="D275" s="23"/>
      <c r="E275" s="5" t="s">
        <v>3149</v>
      </c>
      <c r="F275" s="736" t="s">
        <v>3150</v>
      </c>
      <c r="G275" s="605" t="s">
        <v>566</v>
      </c>
      <c r="H275" s="5" t="s">
        <v>3151</v>
      </c>
      <c r="I275" s="13" t="s">
        <v>3152</v>
      </c>
      <c r="J275" s="13" t="s">
        <v>2095</v>
      </c>
      <c r="K275" s="13" t="s">
        <v>2096</v>
      </c>
      <c r="L275" s="13" t="s">
        <v>2095</v>
      </c>
      <c r="M275" s="13" t="s">
        <v>2097</v>
      </c>
      <c r="N275" s="13"/>
      <c r="O275" s="12">
        <v>0</v>
      </c>
      <c r="P275" s="13"/>
      <c r="Q275" s="228"/>
      <c r="R275" s="744">
        <v>2</v>
      </c>
    </row>
    <row r="276" spans="1:18" ht="35.1" customHeight="1">
      <c r="A276" s="23"/>
      <c r="B276" s="23"/>
      <c r="C276" s="23"/>
      <c r="D276" s="23"/>
      <c r="E276" s="5" t="s">
        <v>3153</v>
      </c>
      <c r="F276" s="12" t="s">
        <v>3154</v>
      </c>
      <c r="G276" s="5" t="s">
        <v>132</v>
      </c>
      <c r="H276" s="5" t="s">
        <v>3155</v>
      </c>
      <c r="I276" s="13" t="s">
        <v>3156</v>
      </c>
      <c r="J276" s="13" t="s">
        <v>2096</v>
      </c>
      <c r="K276" s="13" t="s">
        <v>2095</v>
      </c>
      <c r="L276" s="13" t="s">
        <v>2095</v>
      </c>
      <c r="M276" s="13" t="s">
        <v>2097</v>
      </c>
      <c r="N276" s="13"/>
      <c r="O276" s="736">
        <v>3</v>
      </c>
      <c r="P276" s="13"/>
      <c r="Q276" s="228"/>
      <c r="R276" s="744">
        <v>2</v>
      </c>
    </row>
    <row r="277" spans="1:18" ht="35.1" customHeight="1">
      <c r="A277" s="23"/>
      <c r="B277" s="23"/>
      <c r="C277" s="23"/>
      <c r="D277" s="23"/>
      <c r="E277" s="5" t="s">
        <v>3157</v>
      </c>
      <c r="F277" s="12" t="s">
        <v>3158</v>
      </c>
      <c r="G277" s="5" t="s">
        <v>132</v>
      </c>
      <c r="H277" s="5" t="s">
        <v>3159</v>
      </c>
      <c r="I277" s="13" t="s">
        <v>3156</v>
      </c>
      <c r="J277" s="13" t="s">
        <v>2096</v>
      </c>
      <c r="K277" s="13" t="s">
        <v>2095</v>
      </c>
      <c r="L277" s="13" t="s">
        <v>2095</v>
      </c>
      <c r="M277" s="13" t="s">
        <v>2097</v>
      </c>
      <c r="N277" s="13"/>
      <c r="O277" s="736">
        <v>3</v>
      </c>
      <c r="P277" s="13"/>
      <c r="Q277" s="228"/>
      <c r="R277" s="744">
        <v>2</v>
      </c>
    </row>
    <row r="278" spans="1:18" ht="35.1" customHeight="1">
      <c r="A278" s="23"/>
      <c r="B278" s="23"/>
      <c r="C278" s="23"/>
      <c r="D278" s="23"/>
      <c r="E278" s="5" t="s">
        <v>3160</v>
      </c>
      <c r="F278" s="12" t="s">
        <v>3161</v>
      </c>
      <c r="G278" s="5" t="s">
        <v>132</v>
      </c>
      <c r="H278" s="5" t="s">
        <v>3162</v>
      </c>
      <c r="I278" s="13" t="s">
        <v>3156</v>
      </c>
      <c r="J278" s="13" t="s">
        <v>2095</v>
      </c>
      <c r="K278" s="13" t="s">
        <v>2096</v>
      </c>
      <c r="L278" s="13" t="s">
        <v>2095</v>
      </c>
      <c r="M278" s="13" t="s">
        <v>2097</v>
      </c>
      <c r="N278" s="13"/>
      <c r="O278" s="736">
        <v>3</v>
      </c>
      <c r="P278" s="13"/>
      <c r="Q278" s="228"/>
      <c r="R278" s="744">
        <v>2</v>
      </c>
    </row>
    <row r="279" spans="1:18" ht="95.1" customHeight="1">
      <c r="A279" s="23"/>
      <c r="B279" s="23"/>
      <c r="C279" s="23"/>
      <c r="D279" s="23"/>
      <c r="E279" s="732" t="s">
        <v>3163</v>
      </c>
      <c r="F279" s="736" t="s">
        <v>3164</v>
      </c>
      <c r="G279" s="5" t="s">
        <v>2206</v>
      </c>
      <c r="H279" s="5" t="s">
        <v>3165</v>
      </c>
      <c r="I279" s="12" t="s">
        <v>3166</v>
      </c>
      <c r="J279" s="13" t="s">
        <v>2167</v>
      </c>
      <c r="K279" s="13" t="s">
        <v>2168</v>
      </c>
      <c r="L279" s="13" t="s">
        <v>2168</v>
      </c>
      <c r="M279" s="13" t="s">
        <v>2169</v>
      </c>
      <c r="N279" s="80"/>
      <c r="O279" s="736">
        <v>3</v>
      </c>
      <c r="P279" s="13"/>
      <c r="Q279" s="228" t="s">
        <v>2973</v>
      </c>
      <c r="R279" s="744">
        <v>2</v>
      </c>
    </row>
    <row r="280" spans="1:18" ht="42.75" customHeight="1">
      <c r="A280" s="23"/>
      <c r="B280" s="23"/>
      <c r="C280" s="23"/>
      <c r="D280" s="23"/>
      <c r="E280" s="731" t="s">
        <v>3167</v>
      </c>
      <c r="F280" s="736" t="s">
        <v>3168</v>
      </c>
      <c r="G280" s="605" t="s">
        <v>745</v>
      </c>
      <c r="H280" s="5" t="s">
        <v>3169</v>
      </c>
      <c r="I280" s="13" t="s">
        <v>2866</v>
      </c>
      <c r="J280" s="13" t="s">
        <v>2167</v>
      </c>
      <c r="K280" s="13" t="s">
        <v>2168</v>
      </c>
      <c r="L280" s="13"/>
      <c r="M280" s="13" t="s">
        <v>2353</v>
      </c>
      <c r="N280" s="13"/>
      <c r="O280" s="12"/>
      <c r="P280" s="13"/>
      <c r="Q280" s="228" t="s">
        <v>2354</v>
      </c>
      <c r="R280" s="744">
        <v>2</v>
      </c>
    </row>
    <row r="281" spans="1:18" ht="95.1" customHeight="1">
      <c r="A281" s="23"/>
      <c r="B281" s="23"/>
      <c r="C281" s="23"/>
      <c r="D281" s="23"/>
      <c r="E281" s="732" t="s">
        <v>3170</v>
      </c>
      <c r="F281" s="736" t="s">
        <v>3171</v>
      </c>
      <c r="G281" s="5" t="s">
        <v>2192</v>
      </c>
      <c r="H281" s="5" t="s">
        <v>3172</v>
      </c>
      <c r="I281" s="12" t="s">
        <v>3173</v>
      </c>
      <c r="J281" s="13" t="s">
        <v>2167</v>
      </c>
      <c r="K281" s="13" t="s">
        <v>2168</v>
      </c>
      <c r="L281" s="13"/>
      <c r="M281" s="13" t="s">
        <v>2169</v>
      </c>
      <c r="N281" s="80"/>
      <c r="O281" s="12"/>
      <c r="P281" s="13"/>
      <c r="Q281" s="228" t="s">
        <v>3174</v>
      </c>
      <c r="R281" s="744">
        <v>2</v>
      </c>
    </row>
    <row r="282" spans="1:18" ht="95.1" customHeight="1">
      <c r="A282" s="23"/>
      <c r="B282" s="23"/>
      <c r="C282" s="23"/>
      <c r="D282" s="23"/>
      <c r="E282" s="732" t="s">
        <v>3175</v>
      </c>
      <c r="F282" s="736" t="s">
        <v>3176</v>
      </c>
      <c r="G282" s="5" t="s">
        <v>2211</v>
      </c>
      <c r="H282" s="5" t="s">
        <v>3177</v>
      </c>
      <c r="I282" s="12" t="s">
        <v>3178</v>
      </c>
      <c r="J282" s="13" t="s">
        <v>2167</v>
      </c>
      <c r="K282" s="13" t="s">
        <v>2168</v>
      </c>
      <c r="L282" s="13"/>
      <c r="M282" s="13" t="s">
        <v>2169</v>
      </c>
      <c r="N282" s="80"/>
      <c r="O282" s="12"/>
      <c r="P282" s="13"/>
      <c r="Q282" s="228" t="s">
        <v>3174</v>
      </c>
      <c r="R282" s="744">
        <v>2</v>
      </c>
    </row>
    <row r="283" spans="1:18" ht="95.1" customHeight="1">
      <c r="A283" s="23"/>
      <c r="B283" s="23"/>
      <c r="C283" s="23"/>
      <c r="D283" s="23"/>
      <c r="E283" s="732" t="s">
        <v>3179</v>
      </c>
      <c r="F283" s="736" t="s">
        <v>3180</v>
      </c>
      <c r="G283" s="5" t="s">
        <v>2206</v>
      </c>
      <c r="H283" s="5" t="s">
        <v>3181</v>
      </c>
      <c r="I283" s="12" t="s">
        <v>3182</v>
      </c>
      <c r="J283" s="13" t="s">
        <v>2167</v>
      </c>
      <c r="K283" s="13" t="s">
        <v>2168</v>
      </c>
      <c r="L283" s="13"/>
      <c r="M283" s="13" t="s">
        <v>2169</v>
      </c>
      <c r="N283" s="80"/>
      <c r="O283" s="12"/>
      <c r="P283" s="13"/>
      <c r="Q283" s="228" t="s">
        <v>3174</v>
      </c>
      <c r="R283" s="744">
        <v>2</v>
      </c>
    </row>
    <row r="284" spans="1:18" ht="95.1" customHeight="1">
      <c r="A284" s="23"/>
      <c r="B284" s="23"/>
      <c r="C284" s="23"/>
      <c r="D284" s="23"/>
      <c r="E284" s="732" t="s">
        <v>3183</v>
      </c>
      <c r="F284" s="736" t="s">
        <v>3184</v>
      </c>
      <c r="G284" s="5" t="s">
        <v>2187</v>
      </c>
      <c r="H284" s="5" t="s">
        <v>3185</v>
      </c>
      <c r="I284" s="12" t="s">
        <v>3186</v>
      </c>
      <c r="J284" s="13" t="s">
        <v>2167</v>
      </c>
      <c r="K284" s="13" t="s">
        <v>2168</v>
      </c>
      <c r="L284" s="13"/>
      <c r="M284" s="13" t="s">
        <v>2169</v>
      </c>
      <c r="N284" s="80"/>
      <c r="O284" s="12"/>
      <c r="P284" s="13"/>
      <c r="Q284" s="228" t="s">
        <v>3174</v>
      </c>
      <c r="R284" s="744">
        <v>2</v>
      </c>
    </row>
    <row r="285" spans="1:18" ht="95.1" customHeight="1">
      <c r="A285" s="23"/>
      <c r="B285" s="23"/>
      <c r="C285" s="23"/>
      <c r="D285" s="23"/>
      <c r="E285" s="732" t="s">
        <v>3187</v>
      </c>
      <c r="F285" s="736" t="s">
        <v>3188</v>
      </c>
      <c r="G285" s="5" t="s">
        <v>809</v>
      </c>
      <c r="H285" s="5" t="s">
        <v>3189</v>
      </c>
      <c r="I285" s="12" t="s">
        <v>3190</v>
      </c>
      <c r="J285" s="13" t="s">
        <v>2167</v>
      </c>
      <c r="K285" s="13" t="s">
        <v>2168</v>
      </c>
      <c r="L285" s="13" t="s">
        <v>2168</v>
      </c>
      <c r="M285" s="13" t="s">
        <v>2169</v>
      </c>
      <c r="N285" s="80"/>
      <c r="O285" s="736">
        <v>3</v>
      </c>
      <c r="P285" s="13"/>
      <c r="Q285" s="228" t="s">
        <v>2973</v>
      </c>
      <c r="R285" s="744">
        <v>2</v>
      </c>
    </row>
    <row r="286" spans="1:18" ht="95.1" customHeight="1">
      <c r="A286" s="23"/>
      <c r="B286" s="23"/>
      <c r="C286" s="23"/>
      <c r="D286" s="23"/>
      <c r="E286" s="732" t="s">
        <v>3191</v>
      </c>
      <c r="F286" s="736" t="s">
        <v>3192</v>
      </c>
      <c r="G286" s="5" t="s">
        <v>2230</v>
      </c>
      <c r="H286" s="5" t="s">
        <v>3193</v>
      </c>
      <c r="I286" s="12" t="s">
        <v>3194</v>
      </c>
      <c r="J286" s="13" t="s">
        <v>2167</v>
      </c>
      <c r="K286" s="13" t="s">
        <v>2168</v>
      </c>
      <c r="L286" s="13"/>
      <c r="M286" s="13" t="s">
        <v>2169</v>
      </c>
      <c r="N286" s="80"/>
      <c r="O286" s="12"/>
      <c r="P286" s="13"/>
      <c r="Q286" s="228" t="s">
        <v>3174</v>
      </c>
      <c r="R286" s="744">
        <v>2</v>
      </c>
    </row>
    <row r="287" spans="1:18" ht="95.1" customHeight="1">
      <c r="A287" s="23"/>
      <c r="B287" s="23"/>
      <c r="C287" s="23"/>
      <c r="D287" s="23"/>
      <c r="E287" s="732" t="s">
        <v>3195</v>
      </c>
      <c r="F287" s="736" t="s">
        <v>3196</v>
      </c>
      <c r="G287" s="5" t="s">
        <v>2235</v>
      </c>
      <c r="H287" s="5" t="s">
        <v>3197</v>
      </c>
      <c r="I287" s="12" t="s">
        <v>3198</v>
      </c>
      <c r="J287" s="13" t="s">
        <v>2167</v>
      </c>
      <c r="K287" s="13" t="s">
        <v>2168</v>
      </c>
      <c r="L287" s="13"/>
      <c r="M287" s="13" t="s">
        <v>2169</v>
      </c>
      <c r="N287" s="80"/>
      <c r="O287" s="12"/>
      <c r="P287" s="13"/>
      <c r="Q287" s="228" t="s">
        <v>3174</v>
      </c>
      <c r="R287" s="744">
        <v>2</v>
      </c>
    </row>
    <row r="288" spans="1:18" ht="95.1" customHeight="1">
      <c r="A288" s="23"/>
      <c r="B288" s="23"/>
      <c r="C288" s="23"/>
      <c r="D288" s="23"/>
      <c r="E288" s="732" t="s">
        <v>3199</v>
      </c>
      <c r="F288" s="736" t="s">
        <v>3200</v>
      </c>
      <c r="G288" s="5" t="s">
        <v>2197</v>
      </c>
      <c r="H288" s="5" t="s">
        <v>3201</v>
      </c>
      <c r="I288" s="12" t="s">
        <v>3202</v>
      </c>
      <c r="J288" s="13" t="s">
        <v>2167</v>
      </c>
      <c r="K288" s="13" t="s">
        <v>2168</v>
      </c>
      <c r="L288" s="13"/>
      <c r="M288" s="13" t="s">
        <v>2169</v>
      </c>
      <c r="N288" s="80"/>
      <c r="O288" s="12"/>
      <c r="P288" s="13"/>
      <c r="Q288" s="228" t="s">
        <v>3174</v>
      </c>
      <c r="R288" s="744">
        <v>2</v>
      </c>
    </row>
    <row r="289" spans="1:18" ht="95.1" customHeight="1">
      <c r="A289" s="23"/>
      <c r="B289" s="23"/>
      <c r="C289" s="23"/>
      <c r="D289" s="23"/>
      <c r="E289" s="732" t="s">
        <v>3203</v>
      </c>
      <c r="F289" s="736" t="s">
        <v>3204</v>
      </c>
      <c r="G289" s="5" t="s">
        <v>2173</v>
      </c>
      <c r="H289" s="5" t="s">
        <v>3205</v>
      </c>
      <c r="I289" s="12" t="s">
        <v>3206</v>
      </c>
      <c r="J289" s="13" t="s">
        <v>2167</v>
      </c>
      <c r="K289" s="13" t="s">
        <v>2168</v>
      </c>
      <c r="L289" s="13"/>
      <c r="M289" s="13" t="s">
        <v>2169</v>
      </c>
      <c r="N289" s="80"/>
      <c r="O289" s="12"/>
      <c r="P289" s="13"/>
      <c r="Q289" s="228" t="s">
        <v>3174</v>
      </c>
      <c r="R289" s="744">
        <v>2</v>
      </c>
    </row>
    <row r="290" spans="1:18" ht="95.1" customHeight="1">
      <c r="A290" s="23"/>
      <c r="B290" s="23"/>
      <c r="C290" s="23"/>
      <c r="D290" s="23"/>
      <c r="E290" s="732" t="s">
        <v>3207</v>
      </c>
      <c r="F290" s="736" t="s">
        <v>3208</v>
      </c>
      <c r="G290" s="5" t="s">
        <v>331</v>
      </c>
      <c r="H290" s="5" t="s">
        <v>3209</v>
      </c>
      <c r="I290" s="12" t="s">
        <v>3210</v>
      </c>
      <c r="J290" s="13" t="s">
        <v>2167</v>
      </c>
      <c r="K290" s="13" t="s">
        <v>2168</v>
      </c>
      <c r="L290" s="13"/>
      <c r="M290" s="13" t="s">
        <v>2169</v>
      </c>
      <c r="N290" s="80"/>
      <c r="O290" s="12"/>
      <c r="P290" s="13"/>
      <c r="Q290" s="228" t="s">
        <v>3174</v>
      </c>
      <c r="R290" s="744">
        <v>2</v>
      </c>
    </row>
    <row r="291" spans="1:18" ht="95.1" customHeight="1">
      <c r="A291" s="23"/>
      <c r="B291" s="23"/>
      <c r="C291" s="23"/>
      <c r="D291" s="23"/>
      <c r="E291" s="732" t="s">
        <v>3211</v>
      </c>
      <c r="F291" s="736" t="s">
        <v>3212</v>
      </c>
      <c r="G291" s="5" t="s">
        <v>2225</v>
      </c>
      <c r="H291" s="5" t="s">
        <v>3213</v>
      </c>
      <c r="I291" s="12" t="s">
        <v>3214</v>
      </c>
      <c r="J291" s="13" t="s">
        <v>2167</v>
      </c>
      <c r="K291" s="13" t="s">
        <v>2168</v>
      </c>
      <c r="L291" s="13"/>
      <c r="M291" s="13" t="s">
        <v>2169</v>
      </c>
      <c r="N291" s="80"/>
      <c r="O291" s="12"/>
      <c r="P291" s="13"/>
      <c r="Q291" s="228" t="s">
        <v>3174</v>
      </c>
      <c r="R291" s="744">
        <v>2</v>
      </c>
    </row>
    <row r="292" spans="1:18" ht="95.1" customHeight="1">
      <c r="A292" s="23"/>
      <c r="B292" s="23"/>
      <c r="C292" s="23"/>
      <c r="D292" s="23"/>
      <c r="E292" s="732" t="s">
        <v>3215</v>
      </c>
      <c r="F292" s="736" t="s">
        <v>3216</v>
      </c>
      <c r="G292" s="5" t="s">
        <v>2216</v>
      </c>
      <c r="H292" s="5" t="s">
        <v>3217</v>
      </c>
      <c r="I292" s="12" t="s">
        <v>3218</v>
      </c>
      <c r="J292" s="13" t="s">
        <v>2167</v>
      </c>
      <c r="K292" s="13" t="s">
        <v>2168</v>
      </c>
      <c r="L292" s="13"/>
      <c r="M292" s="13" t="s">
        <v>2169</v>
      </c>
      <c r="N292" s="80"/>
      <c r="O292" s="12"/>
      <c r="P292" s="13"/>
      <c r="Q292" s="228" t="s">
        <v>3174</v>
      </c>
      <c r="R292" s="744">
        <v>2</v>
      </c>
    </row>
    <row r="293" spans="1:18" ht="95.1" customHeight="1">
      <c r="A293" s="23"/>
      <c r="B293" s="23"/>
      <c r="C293" s="23"/>
      <c r="D293" s="23"/>
      <c r="E293" s="732" t="s">
        <v>3219</v>
      </c>
      <c r="F293" s="736" t="s">
        <v>3220</v>
      </c>
      <c r="G293" s="5" t="s">
        <v>2187</v>
      </c>
      <c r="H293" s="5" t="s">
        <v>3221</v>
      </c>
      <c r="I293" s="12" t="s">
        <v>3222</v>
      </c>
      <c r="J293" s="13" t="s">
        <v>2167</v>
      </c>
      <c r="K293" s="13" t="s">
        <v>2168</v>
      </c>
      <c r="L293" s="13" t="s">
        <v>2168</v>
      </c>
      <c r="M293" s="13" t="s">
        <v>2169</v>
      </c>
      <c r="N293" s="80"/>
      <c r="O293" s="736">
        <v>3</v>
      </c>
      <c r="P293" s="13"/>
      <c r="Q293" s="228" t="s">
        <v>3223</v>
      </c>
      <c r="R293" s="744">
        <v>2</v>
      </c>
    </row>
    <row r="294" spans="1:18" ht="95.1" customHeight="1">
      <c r="A294" s="23"/>
      <c r="B294" s="23"/>
      <c r="C294" s="23"/>
      <c r="D294" s="23"/>
      <c r="E294" s="732" t="s">
        <v>3224</v>
      </c>
      <c r="F294" s="736" t="s">
        <v>3225</v>
      </c>
      <c r="G294" s="5" t="s">
        <v>809</v>
      </c>
      <c r="H294" s="5" t="s">
        <v>3226</v>
      </c>
      <c r="I294" s="12" t="s">
        <v>3227</v>
      </c>
      <c r="J294" s="13" t="s">
        <v>2167</v>
      </c>
      <c r="K294" s="13" t="s">
        <v>2168</v>
      </c>
      <c r="L294" s="13"/>
      <c r="M294" s="13" t="s">
        <v>2169</v>
      </c>
      <c r="N294" s="80"/>
      <c r="O294" s="12"/>
      <c r="P294" s="13"/>
      <c r="Q294" s="228" t="s">
        <v>3174</v>
      </c>
      <c r="R294" s="744">
        <v>2</v>
      </c>
    </row>
    <row r="295" spans="1:18" ht="95.1" customHeight="1">
      <c r="A295" s="23"/>
      <c r="B295" s="23"/>
      <c r="C295" s="23"/>
      <c r="D295" s="23"/>
      <c r="E295" s="732" t="s">
        <v>3228</v>
      </c>
      <c r="F295" s="736" t="s">
        <v>3229</v>
      </c>
      <c r="G295" s="5" t="s">
        <v>2206</v>
      </c>
      <c r="H295" s="5" t="s">
        <v>3230</v>
      </c>
      <c r="I295" s="12" t="s">
        <v>3231</v>
      </c>
      <c r="J295" s="13" t="s">
        <v>2167</v>
      </c>
      <c r="K295" s="13" t="s">
        <v>2168</v>
      </c>
      <c r="L295" s="13" t="s">
        <v>2168</v>
      </c>
      <c r="M295" s="13" t="s">
        <v>2169</v>
      </c>
      <c r="N295" s="80"/>
      <c r="O295" s="736">
        <v>3</v>
      </c>
      <c r="P295" s="13"/>
      <c r="Q295" s="228" t="s">
        <v>3223</v>
      </c>
      <c r="R295" s="744">
        <v>2</v>
      </c>
    </row>
    <row r="296" spans="1:18" ht="95.1" customHeight="1">
      <c r="A296" s="23"/>
      <c r="B296" s="23"/>
      <c r="C296" s="23"/>
      <c r="D296" s="23"/>
      <c r="E296" s="732" t="s">
        <v>3232</v>
      </c>
      <c r="F296" s="736" t="s">
        <v>3233</v>
      </c>
      <c r="G296" s="5" t="s">
        <v>2235</v>
      </c>
      <c r="H296" s="5" t="s">
        <v>3234</v>
      </c>
      <c r="I296" s="12" t="s">
        <v>3235</v>
      </c>
      <c r="J296" s="13" t="s">
        <v>2167</v>
      </c>
      <c r="K296" s="13" t="s">
        <v>2168</v>
      </c>
      <c r="L296" s="13" t="s">
        <v>2168</v>
      </c>
      <c r="M296" s="13" t="s">
        <v>2169</v>
      </c>
      <c r="N296" s="80"/>
      <c r="O296" s="736">
        <v>3</v>
      </c>
      <c r="P296" s="13"/>
      <c r="Q296" s="228" t="s">
        <v>3223</v>
      </c>
      <c r="R296" s="744">
        <v>2</v>
      </c>
    </row>
    <row r="297" spans="1:18" ht="95.1" customHeight="1">
      <c r="A297" s="23"/>
      <c r="B297" s="23"/>
      <c r="C297" s="23"/>
      <c r="D297" s="23"/>
      <c r="E297" s="732" t="s">
        <v>3236</v>
      </c>
      <c r="F297" s="736" t="s">
        <v>3237</v>
      </c>
      <c r="G297" s="5" t="s">
        <v>2230</v>
      </c>
      <c r="H297" s="5" t="s">
        <v>3238</v>
      </c>
      <c r="I297" s="12" t="s">
        <v>3239</v>
      </c>
      <c r="J297" s="13" t="s">
        <v>2167</v>
      </c>
      <c r="K297" s="13" t="s">
        <v>2168</v>
      </c>
      <c r="L297" s="13" t="s">
        <v>2168</v>
      </c>
      <c r="M297" s="13" t="s">
        <v>2169</v>
      </c>
      <c r="N297" s="80"/>
      <c r="O297" s="736">
        <v>3</v>
      </c>
      <c r="P297" s="13"/>
      <c r="Q297" s="228" t="s">
        <v>3223</v>
      </c>
      <c r="R297" s="744">
        <v>2</v>
      </c>
    </row>
    <row r="298" spans="1:18" ht="95.1" customHeight="1">
      <c r="A298" s="23"/>
      <c r="B298" s="23"/>
      <c r="C298" s="23"/>
      <c r="D298" s="23"/>
      <c r="E298" s="732" t="s">
        <v>3240</v>
      </c>
      <c r="F298" s="736" t="s">
        <v>3241</v>
      </c>
      <c r="G298" s="5" t="s">
        <v>2211</v>
      </c>
      <c r="H298" s="5" t="s">
        <v>3242</v>
      </c>
      <c r="I298" s="12" t="s">
        <v>3243</v>
      </c>
      <c r="J298" s="13" t="s">
        <v>2167</v>
      </c>
      <c r="K298" s="13" t="s">
        <v>2168</v>
      </c>
      <c r="L298" s="13" t="s">
        <v>2168</v>
      </c>
      <c r="M298" s="13" t="s">
        <v>2169</v>
      </c>
      <c r="N298" s="80"/>
      <c r="O298" s="736">
        <v>3</v>
      </c>
      <c r="P298" s="13"/>
      <c r="Q298" s="228" t="s">
        <v>3223</v>
      </c>
      <c r="R298" s="744">
        <v>2</v>
      </c>
    </row>
    <row r="299" spans="1:18" ht="95.1" customHeight="1">
      <c r="A299" s="23"/>
      <c r="B299" s="23"/>
      <c r="C299" s="23"/>
      <c r="D299" s="23"/>
      <c r="E299" s="732" t="s">
        <v>3244</v>
      </c>
      <c r="F299" s="736" t="s">
        <v>3245</v>
      </c>
      <c r="G299" s="5" t="s">
        <v>2192</v>
      </c>
      <c r="H299" s="5" t="s">
        <v>3246</v>
      </c>
      <c r="I299" s="12" t="s">
        <v>3247</v>
      </c>
      <c r="J299" s="13" t="s">
        <v>2167</v>
      </c>
      <c r="K299" s="13" t="s">
        <v>2168</v>
      </c>
      <c r="L299" s="13" t="s">
        <v>2168</v>
      </c>
      <c r="M299" s="13" t="s">
        <v>2169</v>
      </c>
      <c r="N299" s="80"/>
      <c r="O299" s="736">
        <v>3</v>
      </c>
      <c r="P299" s="13"/>
      <c r="Q299" s="228" t="s">
        <v>3223</v>
      </c>
      <c r="R299" s="744">
        <v>2</v>
      </c>
    </row>
    <row r="300" spans="1:18" ht="95.1" customHeight="1">
      <c r="A300" s="23"/>
      <c r="B300" s="23"/>
      <c r="C300" s="23"/>
      <c r="D300" s="23"/>
      <c r="E300" s="732" t="s">
        <v>3248</v>
      </c>
      <c r="F300" s="736" t="s">
        <v>3249</v>
      </c>
      <c r="G300" s="5" t="s">
        <v>2225</v>
      </c>
      <c r="H300" s="5" t="s">
        <v>3250</v>
      </c>
      <c r="I300" s="12" t="s">
        <v>3251</v>
      </c>
      <c r="J300" s="13" t="s">
        <v>2167</v>
      </c>
      <c r="K300" s="13" t="s">
        <v>2168</v>
      </c>
      <c r="L300" s="13" t="s">
        <v>2168</v>
      </c>
      <c r="M300" s="13" t="s">
        <v>2169</v>
      </c>
      <c r="N300" s="80"/>
      <c r="O300" s="736">
        <v>3</v>
      </c>
      <c r="P300" s="13"/>
      <c r="Q300" s="228" t="s">
        <v>3223</v>
      </c>
      <c r="R300" s="744">
        <v>2</v>
      </c>
    </row>
    <row r="301" spans="1:18" ht="95.1" customHeight="1">
      <c r="A301" s="23"/>
      <c r="B301" s="23"/>
      <c r="C301" s="23"/>
      <c r="D301" s="23"/>
      <c r="E301" s="732" t="s">
        <v>3252</v>
      </c>
      <c r="F301" s="736" t="s">
        <v>3253</v>
      </c>
      <c r="G301" s="5" t="s">
        <v>2216</v>
      </c>
      <c r="H301" s="5" t="s">
        <v>3254</v>
      </c>
      <c r="I301" s="12" t="s">
        <v>3255</v>
      </c>
      <c r="J301" s="13" t="s">
        <v>2167</v>
      </c>
      <c r="K301" s="13" t="s">
        <v>2168</v>
      </c>
      <c r="L301" s="13" t="s">
        <v>2168</v>
      </c>
      <c r="M301" s="13" t="s">
        <v>2169</v>
      </c>
      <c r="N301" s="80"/>
      <c r="O301" s="736">
        <v>3</v>
      </c>
      <c r="P301" s="13"/>
      <c r="Q301" s="228" t="s">
        <v>3223</v>
      </c>
      <c r="R301" s="744">
        <v>2</v>
      </c>
    </row>
    <row r="302" spans="1:18" ht="95.1" customHeight="1">
      <c r="A302" s="23"/>
      <c r="B302" s="23"/>
      <c r="C302" s="23"/>
      <c r="D302" s="23"/>
      <c r="E302" s="732" t="s">
        <v>3256</v>
      </c>
      <c r="F302" s="736" t="s">
        <v>3257</v>
      </c>
      <c r="G302" s="5" t="s">
        <v>331</v>
      </c>
      <c r="H302" s="5" t="s">
        <v>3258</v>
      </c>
      <c r="I302" s="12" t="s">
        <v>3259</v>
      </c>
      <c r="J302" s="13" t="s">
        <v>2167</v>
      </c>
      <c r="K302" s="13" t="s">
        <v>2168</v>
      </c>
      <c r="L302" s="13" t="s">
        <v>2168</v>
      </c>
      <c r="M302" s="13" t="s">
        <v>2169</v>
      </c>
      <c r="N302" s="80"/>
      <c r="O302" s="736">
        <v>3</v>
      </c>
      <c r="P302" s="13"/>
      <c r="Q302" s="228" t="s">
        <v>3223</v>
      </c>
      <c r="R302" s="744">
        <v>2</v>
      </c>
    </row>
    <row r="303" spans="1:18" ht="95.1" customHeight="1">
      <c r="A303" s="23"/>
      <c r="B303" s="23"/>
      <c r="C303" s="23"/>
      <c r="D303" s="23"/>
      <c r="E303" s="732" t="s">
        <v>3260</v>
      </c>
      <c r="F303" s="736" t="s">
        <v>3261</v>
      </c>
      <c r="G303" s="5" t="s">
        <v>809</v>
      </c>
      <c r="H303" s="5" t="s">
        <v>3262</v>
      </c>
      <c r="I303" s="12" t="s">
        <v>3263</v>
      </c>
      <c r="J303" s="13" t="s">
        <v>2167</v>
      </c>
      <c r="K303" s="13" t="s">
        <v>2168</v>
      </c>
      <c r="L303" s="13" t="s">
        <v>2168</v>
      </c>
      <c r="M303" s="13" t="s">
        <v>2169</v>
      </c>
      <c r="N303" s="80"/>
      <c r="O303" s="736">
        <v>3</v>
      </c>
      <c r="P303" s="13"/>
      <c r="Q303" s="228" t="s">
        <v>3223</v>
      </c>
      <c r="R303" s="744">
        <v>2</v>
      </c>
    </row>
    <row r="304" spans="1:18" ht="95.1" customHeight="1">
      <c r="A304" s="23"/>
      <c r="B304" s="23"/>
      <c r="C304" s="23"/>
      <c r="D304" s="23"/>
      <c r="E304" s="732" t="s">
        <v>975</v>
      </c>
      <c r="F304" s="736" t="s">
        <v>976</v>
      </c>
      <c r="G304" s="5" t="s">
        <v>2187</v>
      </c>
      <c r="H304" s="5" t="s">
        <v>3264</v>
      </c>
      <c r="I304" s="12" t="s">
        <v>3265</v>
      </c>
      <c r="J304" s="13" t="s">
        <v>2167</v>
      </c>
      <c r="K304" s="13" t="s">
        <v>2168</v>
      </c>
      <c r="L304" s="13" t="s">
        <v>2168</v>
      </c>
      <c r="M304" s="13" t="s">
        <v>2169</v>
      </c>
      <c r="N304" s="80"/>
      <c r="O304" s="736">
        <v>3</v>
      </c>
      <c r="P304" s="13"/>
      <c r="Q304" s="228" t="s">
        <v>3266</v>
      </c>
      <c r="R304" s="744">
        <v>2</v>
      </c>
    </row>
    <row r="305" spans="1:18" ht="95.1" customHeight="1">
      <c r="A305" s="23"/>
      <c r="B305" s="23"/>
      <c r="C305" s="23"/>
      <c r="D305" s="23"/>
      <c r="E305" s="732" t="s">
        <v>3267</v>
      </c>
      <c r="F305" s="736" t="s">
        <v>3268</v>
      </c>
      <c r="G305" s="5" t="s">
        <v>2173</v>
      </c>
      <c r="H305" s="5" t="s">
        <v>3269</v>
      </c>
      <c r="I305" s="12" t="s">
        <v>3270</v>
      </c>
      <c r="J305" s="13" t="s">
        <v>2167</v>
      </c>
      <c r="K305" s="13" t="s">
        <v>2168</v>
      </c>
      <c r="L305" s="13" t="s">
        <v>2168</v>
      </c>
      <c r="M305" s="13" t="s">
        <v>2169</v>
      </c>
      <c r="N305" s="80"/>
      <c r="O305" s="736">
        <v>3</v>
      </c>
      <c r="P305" s="13"/>
      <c r="Q305" s="228" t="s">
        <v>3223</v>
      </c>
      <c r="R305" s="744">
        <v>2</v>
      </c>
    </row>
    <row r="306" spans="1:18" ht="95.1" customHeight="1">
      <c r="A306" s="23"/>
      <c r="B306" s="23"/>
      <c r="C306" s="23"/>
      <c r="D306" s="23"/>
      <c r="E306" s="732" t="s">
        <v>3271</v>
      </c>
      <c r="F306" s="736" t="s">
        <v>3272</v>
      </c>
      <c r="G306" s="5" t="s">
        <v>2197</v>
      </c>
      <c r="H306" s="5" t="s">
        <v>3273</v>
      </c>
      <c r="I306" s="12" t="s">
        <v>3274</v>
      </c>
      <c r="J306" s="13" t="s">
        <v>2167</v>
      </c>
      <c r="K306" s="13" t="s">
        <v>2168</v>
      </c>
      <c r="L306" s="13" t="s">
        <v>2168</v>
      </c>
      <c r="M306" s="13" t="s">
        <v>2169</v>
      </c>
      <c r="N306" s="80"/>
      <c r="O306" s="736">
        <v>3</v>
      </c>
      <c r="P306" s="13"/>
      <c r="Q306" s="228" t="s">
        <v>3223</v>
      </c>
      <c r="R306" s="744">
        <v>2</v>
      </c>
    </row>
    <row r="307" spans="1:18" ht="95.1" customHeight="1">
      <c r="A307" s="23"/>
      <c r="B307" s="23"/>
      <c r="C307" s="23"/>
      <c r="D307" s="23"/>
      <c r="E307" s="732" t="s">
        <v>967</v>
      </c>
      <c r="F307" s="736" t="s">
        <v>968</v>
      </c>
      <c r="G307" s="5" t="s">
        <v>2211</v>
      </c>
      <c r="H307" s="5" t="s">
        <v>3275</v>
      </c>
      <c r="I307" s="12" t="s">
        <v>3276</v>
      </c>
      <c r="J307" s="13" t="s">
        <v>2167</v>
      </c>
      <c r="K307" s="13" t="s">
        <v>2168</v>
      </c>
      <c r="L307" s="13" t="s">
        <v>2168</v>
      </c>
      <c r="M307" s="13" t="s">
        <v>2169</v>
      </c>
      <c r="N307" s="80"/>
      <c r="O307" s="736">
        <v>3</v>
      </c>
      <c r="P307" s="13"/>
      <c r="Q307" s="228" t="s">
        <v>3266</v>
      </c>
      <c r="R307" s="744">
        <v>2</v>
      </c>
    </row>
    <row r="308" spans="1:18" ht="95.1" customHeight="1">
      <c r="A308" s="23"/>
      <c r="B308" s="23"/>
      <c r="C308" s="23"/>
      <c r="D308" s="23"/>
      <c r="E308" s="732" t="s">
        <v>971</v>
      </c>
      <c r="F308" s="736" t="s">
        <v>972</v>
      </c>
      <c r="G308" s="5" t="s">
        <v>2192</v>
      </c>
      <c r="H308" s="5" t="s">
        <v>3277</v>
      </c>
      <c r="I308" s="12" t="s">
        <v>3278</v>
      </c>
      <c r="J308" s="13" t="s">
        <v>2167</v>
      </c>
      <c r="K308" s="13" t="s">
        <v>2168</v>
      </c>
      <c r="L308" s="13" t="s">
        <v>2168</v>
      </c>
      <c r="M308" s="13" t="s">
        <v>2169</v>
      </c>
      <c r="N308" s="80"/>
      <c r="O308" s="736">
        <v>3</v>
      </c>
      <c r="P308" s="13"/>
      <c r="Q308" s="228" t="s">
        <v>3266</v>
      </c>
      <c r="R308" s="744">
        <v>2</v>
      </c>
    </row>
    <row r="309" spans="1:18" ht="95.1" customHeight="1">
      <c r="A309" s="23"/>
      <c r="B309" s="23"/>
      <c r="C309" s="23"/>
      <c r="D309" s="23"/>
      <c r="E309" s="732" t="s">
        <v>955</v>
      </c>
      <c r="F309" s="736" t="s">
        <v>956</v>
      </c>
      <c r="G309" s="5" t="s">
        <v>2230</v>
      </c>
      <c r="H309" s="5" t="s">
        <v>3279</v>
      </c>
      <c r="I309" s="12" t="s">
        <v>3280</v>
      </c>
      <c r="J309" s="13" t="s">
        <v>2167</v>
      </c>
      <c r="K309" s="13" t="s">
        <v>2168</v>
      </c>
      <c r="L309" s="13" t="s">
        <v>2168</v>
      </c>
      <c r="M309" s="13" t="s">
        <v>2169</v>
      </c>
      <c r="N309" s="80"/>
      <c r="O309" s="736">
        <v>3</v>
      </c>
      <c r="P309" s="13"/>
      <c r="Q309" s="228" t="s">
        <v>3266</v>
      </c>
      <c r="R309" s="744">
        <v>2</v>
      </c>
    </row>
    <row r="310" spans="1:18" ht="95.1" customHeight="1">
      <c r="A310" s="23"/>
      <c r="B310" s="23"/>
      <c r="C310" s="23"/>
      <c r="D310" s="23"/>
      <c r="E310" s="732" t="s">
        <v>951</v>
      </c>
      <c r="F310" s="736" t="s">
        <v>952</v>
      </c>
      <c r="G310" s="5" t="s">
        <v>2216</v>
      </c>
      <c r="H310" s="5" t="s">
        <v>3281</v>
      </c>
      <c r="I310" s="12" t="s">
        <v>3282</v>
      </c>
      <c r="J310" s="13" t="s">
        <v>2167</v>
      </c>
      <c r="K310" s="13" t="s">
        <v>2168</v>
      </c>
      <c r="L310" s="13" t="s">
        <v>2168</v>
      </c>
      <c r="M310" s="13" t="s">
        <v>2169</v>
      </c>
      <c r="N310" s="80"/>
      <c r="O310" s="736">
        <v>3</v>
      </c>
      <c r="P310" s="13"/>
      <c r="Q310" s="228" t="s">
        <v>3266</v>
      </c>
      <c r="R310" s="744">
        <v>2</v>
      </c>
    </row>
    <row r="311" spans="1:18" ht="95.1" customHeight="1">
      <c r="A311" s="23"/>
      <c r="B311" s="23"/>
      <c r="C311" s="23"/>
      <c r="D311" s="23"/>
      <c r="E311" s="732" t="s">
        <v>947</v>
      </c>
      <c r="F311" s="736" t="s">
        <v>948</v>
      </c>
      <c r="G311" s="5" t="s">
        <v>2225</v>
      </c>
      <c r="H311" s="5" t="s">
        <v>3283</v>
      </c>
      <c r="I311" s="12" t="s">
        <v>3284</v>
      </c>
      <c r="J311" s="13" t="s">
        <v>2167</v>
      </c>
      <c r="K311" s="13" t="s">
        <v>2168</v>
      </c>
      <c r="L311" s="13" t="s">
        <v>2168</v>
      </c>
      <c r="M311" s="13" t="s">
        <v>2169</v>
      </c>
      <c r="N311" s="80"/>
      <c r="O311" s="736">
        <v>3</v>
      </c>
      <c r="P311" s="13"/>
      <c r="Q311" s="228" t="s">
        <v>3266</v>
      </c>
      <c r="R311" s="744">
        <v>2</v>
      </c>
    </row>
    <row r="312" spans="1:18" ht="95.1" customHeight="1">
      <c r="A312" s="23"/>
      <c r="B312" s="23"/>
      <c r="C312" s="23"/>
      <c r="D312" s="23"/>
      <c r="E312" s="732" t="s">
        <v>959</v>
      </c>
      <c r="F312" s="736" t="s">
        <v>960</v>
      </c>
      <c r="G312" s="5" t="s">
        <v>2235</v>
      </c>
      <c r="H312" s="5" t="s">
        <v>3285</v>
      </c>
      <c r="I312" s="12" t="s">
        <v>3286</v>
      </c>
      <c r="J312" s="13" t="s">
        <v>2167</v>
      </c>
      <c r="K312" s="13" t="s">
        <v>2168</v>
      </c>
      <c r="L312" s="13" t="s">
        <v>2168</v>
      </c>
      <c r="M312" s="13" t="s">
        <v>2169</v>
      </c>
      <c r="N312" s="80"/>
      <c r="O312" s="736">
        <v>3</v>
      </c>
      <c r="P312" s="13"/>
      <c r="Q312" s="228" t="s">
        <v>3266</v>
      </c>
      <c r="R312" s="744">
        <v>2</v>
      </c>
    </row>
    <row r="313" spans="1:18" ht="95.1" customHeight="1">
      <c r="A313" s="23"/>
      <c r="B313" s="23"/>
      <c r="C313" s="23"/>
      <c r="D313" s="23"/>
      <c r="E313" s="732" t="s">
        <v>963</v>
      </c>
      <c r="F313" s="736" t="s">
        <v>964</v>
      </c>
      <c r="G313" s="5" t="s">
        <v>2206</v>
      </c>
      <c r="H313" s="5" t="s">
        <v>3287</v>
      </c>
      <c r="I313" s="12" t="s">
        <v>3288</v>
      </c>
      <c r="J313" s="13" t="s">
        <v>2167</v>
      </c>
      <c r="K313" s="13" t="s">
        <v>2168</v>
      </c>
      <c r="L313" s="13" t="s">
        <v>2168</v>
      </c>
      <c r="M313" s="13" t="s">
        <v>2169</v>
      </c>
      <c r="N313" s="80"/>
      <c r="O313" s="736">
        <v>3</v>
      </c>
      <c r="P313" s="13"/>
      <c r="Q313" s="228" t="s">
        <v>3266</v>
      </c>
      <c r="R313" s="744">
        <v>2</v>
      </c>
    </row>
    <row r="314" spans="1:18" ht="95.1" customHeight="1">
      <c r="A314" s="23"/>
      <c r="B314" s="23"/>
      <c r="C314" s="23"/>
      <c r="D314" s="23"/>
      <c r="E314" s="732" t="s">
        <v>939</v>
      </c>
      <c r="F314" s="736" t="s">
        <v>940</v>
      </c>
      <c r="G314" s="5" t="s">
        <v>2173</v>
      </c>
      <c r="H314" s="5" t="s">
        <v>3289</v>
      </c>
      <c r="I314" s="12" t="s">
        <v>3290</v>
      </c>
      <c r="J314" s="13" t="s">
        <v>2167</v>
      </c>
      <c r="K314" s="13" t="s">
        <v>2168</v>
      </c>
      <c r="L314" s="13" t="s">
        <v>2168</v>
      </c>
      <c r="M314" s="13" t="s">
        <v>2169</v>
      </c>
      <c r="N314" s="80"/>
      <c r="O314" s="736">
        <v>3</v>
      </c>
      <c r="P314" s="13"/>
      <c r="Q314" s="228" t="s">
        <v>3266</v>
      </c>
      <c r="R314" s="744">
        <v>2</v>
      </c>
    </row>
    <row r="315" spans="1:18" ht="95.1" customHeight="1">
      <c r="A315" s="23"/>
      <c r="B315" s="23"/>
      <c r="C315" s="23"/>
      <c r="D315" s="23"/>
      <c r="E315" s="732" t="s">
        <v>943</v>
      </c>
      <c r="F315" s="736" t="s">
        <v>944</v>
      </c>
      <c r="G315" s="5" t="s">
        <v>2197</v>
      </c>
      <c r="H315" s="5" t="s">
        <v>3291</v>
      </c>
      <c r="I315" s="12" t="s">
        <v>3292</v>
      </c>
      <c r="J315" s="13" t="s">
        <v>2167</v>
      </c>
      <c r="K315" s="13" t="s">
        <v>2168</v>
      </c>
      <c r="L315" s="13" t="s">
        <v>2168</v>
      </c>
      <c r="M315" s="13" t="s">
        <v>2169</v>
      </c>
      <c r="N315" s="80"/>
      <c r="O315" s="736">
        <v>3</v>
      </c>
      <c r="P315" s="13"/>
      <c r="Q315" s="228" t="s">
        <v>3266</v>
      </c>
      <c r="R315" s="744">
        <v>2</v>
      </c>
    </row>
    <row r="316" spans="1:18" ht="95.1" customHeight="1">
      <c r="A316" s="23"/>
      <c r="B316" s="23"/>
      <c r="C316" s="23"/>
      <c r="D316" s="23"/>
      <c r="E316" s="732" t="s">
        <v>3293</v>
      </c>
      <c r="F316" s="736" t="s">
        <v>3294</v>
      </c>
      <c r="G316" s="5" t="s">
        <v>809</v>
      </c>
      <c r="H316" s="5" t="s">
        <v>3295</v>
      </c>
      <c r="I316" s="12" t="s">
        <v>3296</v>
      </c>
      <c r="J316" s="13" t="s">
        <v>2167</v>
      </c>
      <c r="K316" s="13" t="s">
        <v>2168</v>
      </c>
      <c r="L316" s="13"/>
      <c r="M316" s="13" t="s">
        <v>2169</v>
      </c>
      <c r="N316" s="80"/>
      <c r="O316" s="12"/>
      <c r="P316" s="13"/>
      <c r="Q316" s="228" t="s">
        <v>3297</v>
      </c>
      <c r="R316" s="744">
        <v>2</v>
      </c>
    </row>
    <row r="317" spans="1:18" ht="95.1" customHeight="1">
      <c r="A317" s="23"/>
      <c r="B317" s="23"/>
      <c r="C317" s="23"/>
      <c r="D317" s="23"/>
      <c r="E317" s="732" t="s">
        <v>3298</v>
      </c>
      <c r="F317" s="736" t="s">
        <v>3299</v>
      </c>
      <c r="G317" s="5" t="s">
        <v>809</v>
      </c>
      <c r="H317" s="5" t="s">
        <v>3300</v>
      </c>
      <c r="I317" s="12" t="s">
        <v>3301</v>
      </c>
      <c r="J317" s="13" t="s">
        <v>2167</v>
      </c>
      <c r="K317" s="13" t="s">
        <v>2168</v>
      </c>
      <c r="L317" s="13"/>
      <c r="M317" s="13" t="s">
        <v>2169</v>
      </c>
      <c r="N317" s="80"/>
      <c r="O317" s="12"/>
      <c r="P317" s="13"/>
      <c r="Q317" s="228" t="s">
        <v>3297</v>
      </c>
      <c r="R317" s="744">
        <v>2</v>
      </c>
    </row>
    <row r="318" spans="1:18" ht="95.1" customHeight="1">
      <c r="A318" s="23"/>
      <c r="B318" s="23"/>
      <c r="C318" s="23"/>
      <c r="D318" s="23"/>
      <c r="E318" s="732" t="s">
        <v>3302</v>
      </c>
      <c r="F318" s="736" t="s">
        <v>3303</v>
      </c>
      <c r="G318" s="5" t="s">
        <v>809</v>
      </c>
      <c r="H318" s="5" t="s">
        <v>3304</v>
      </c>
      <c r="I318" s="12" t="s">
        <v>3305</v>
      </c>
      <c r="J318" s="13" t="s">
        <v>2167</v>
      </c>
      <c r="K318" s="13" t="s">
        <v>2168</v>
      </c>
      <c r="L318" s="13"/>
      <c r="M318" s="13" t="s">
        <v>2169</v>
      </c>
      <c r="N318" s="80"/>
      <c r="O318" s="12"/>
      <c r="P318" s="13"/>
      <c r="Q318" s="228" t="s">
        <v>3297</v>
      </c>
      <c r="R318" s="744">
        <v>2</v>
      </c>
    </row>
    <row r="319" spans="1:18" ht="95.1" customHeight="1">
      <c r="A319" s="23"/>
      <c r="B319" s="23"/>
      <c r="C319" s="23"/>
      <c r="D319" s="23"/>
      <c r="E319" s="732" t="s">
        <v>930</v>
      </c>
      <c r="F319" s="736" t="s">
        <v>931</v>
      </c>
      <c r="G319" s="5" t="s">
        <v>809</v>
      </c>
      <c r="H319" s="5" t="s">
        <v>3306</v>
      </c>
      <c r="I319" s="12" t="s">
        <v>3307</v>
      </c>
      <c r="J319" s="13" t="s">
        <v>2167</v>
      </c>
      <c r="K319" s="13" t="s">
        <v>2168</v>
      </c>
      <c r="L319" s="13" t="s">
        <v>2168</v>
      </c>
      <c r="M319" s="13" t="s">
        <v>2169</v>
      </c>
      <c r="N319" s="80"/>
      <c r="O319" s="736">
        <v>3</v>
      </c>
      <c r="P319" s="13"/>
      <c r="Q319" s="228" t="s">
        <v>3266</v>
      </c>
      <c r="R319" s="744">
        <v>2</v>
      </c>
    </row>
    <row r="320" spans="1:18" ht="95.1" customHeight="1">
      <c r="A320" s="23"/>
      <c r="B320" s="23"/>
      <c r="C320" s="23"/>
      <c r="D320" s="23"/>
      <c r="E320" s="732" t="s">
        <v>935</v>
      </c>
      <c r="F320" s="736" t="s">
        <v>936</v>
      </c>
      <c r="G320" s="5" t="s">
        <v>331</v>
      </c>
      <c r="H320" s="5" t="s">
        <v>3308</v>
      </c>
      <c r="I320" s="12" t="s">
        <v>3309</v>
      </c>
      <c r="J320" s="13" t="s">
        <v>2167</v>
      </c>
      <c r="K320" s="13" t="s">
        <v>2168</v>
      </c>
      <c r="L320" s="13" t="s">
        <v>2168</v>
      </c>
      <c r="M320" s="13" t="s">
        <v>2169</v>
      </c>
      <c r="N320" s="80"/>
      <c r="O320" s="736">
        <v>3</v>
      </c>
      <c r="P320" s="13"/>
      <c r="Q320" s="228" t="s">
        <v>3266</v>
      </c>
      <c r="R320" s="744">
        <v>2</v>
      </c>
    </row>
    <row r="321" spans="1:18" ht="95.1" customHeight="1">
      <c r="A321" s="23"/>
      <c r="B321" s="23"/>
      <c r="C321" s="23"/>
      <c r="D321" s="23"/>
      <c r="E321" s="732" t="s">
        <v>3310</v>
      </c>
      <c r="F321" s="736" t="s">
        <v>3311</v>
      </c>
      <c r="G321" s="5" t="s">
        <v>809</v>
      </c>
      <c r="H321" s="5" t="s">
        <v>3312</v>
      </c>
      <c r="I321" s="12" t="s">
        <v>3313</v>
      </c>
      <c r="J321" s="13" t="s">
        <v>2167</v>
      </c>
      <c r="K321" s="13" t="s">
        <v>2168</v>
      </c>
      <c r="L321" s="13"/>
      <c r="M321" s="13" t="s">
        <v>2169</v>
      </c>
      <c r="N321" s="80"/>
      <c r="O321" s="12"/>
      <c r="P321" s="13"/>
      <c r="Q321" s="228" t="s">
        <v>3297</v>
      </c>
      <c r="R321" s="744">
        <v>2</v>
      </c>
    </row>
    <row r="322" spans="1:18" ht="95.1" customHeight="1">
      <c r="A322" s="23"/>
      <c r="B322" s="23"/>
      <c r="C322" s="23"/>
      <c r="D322" s="23"/>
      <c r="E322" s="732" t="s">
        <v>3314</v>
      </c>
      <c r="F322" s="736" t="s">
        <v>3315</v>
      </c>
      <c r="G322" s="5" t="s">
        <v>809</v>
      </c>
      <c r="H322" s="5" t="s">
        <v>3316</v>
      </c>
      <c r="I322" s="12" t="s">
        <v>3317</v>
      </c>
      <c r="J322" s="13" t="s">
        <v>2167</v>
      </c>
      <c r="K322" s="13" t="s">
        <v>2168</v>
      </c>
      <c r="L322" s="13"/>
      <c r="M322" s="13" t="s">
        <v>2169</v>
      </c>
      <c r="N322" s="80"/>
      <c r="O322" s="12"/>
      <c r="P322" s="13"/>
      <c r="Q322" s="228" t="s">
        <v>3297</v>
      </c>
      <c r="R322" s="744">
        <v>2</v>
      </c>
    </row>
    <row r="323" spans="1:18" ht="95.1" customHeight="1">
      <c r="A323" s="23"/>
      <c r="B323" s="23"/>
      <c r="C323" s="23"/>
      <c r="D323" s="23"/>
      <c r="E323" s="732" t="s">
        <v>3318</v>
      </c>
      <c r="F323" s="736" t="s">
        <v>3319</v>
      </c>
      <c r="G323" s="5" t="s">
        <v>809</v>
      </c>
      <c r="H323" s="5" t="s">
        <v>3320</v>
      </c>
      <c r="I323" s="12" t="s">
        <v>3321</v>
      </c>
      <c r="J323" s="13" t="s">
        <v>2167</v>
      </c>
      <c r="K323" s="13" t="s">
        <v>2168</v>
      </c>
      <c r="L323" s="13"/>
      <c r="M323" s="13" t="s">
        <v>2169</v>
      </c>
      <c r="N323" s="80"/>
      <c r="O323" s="12"/>
      <c r="P323" s="13"/>
      <c r="Q323" s="228" t="s">
        <v>3297</v>
      </c>
      <c r="R323" s="744">
        <v>2</v>
      </c>
    </row>
    <row r="324" spans="1:18" ht="95.1" customHeight="1">
      <c r="A324" s="23"/>
      <c r="B324" s="23"/>
      <c r="C324" s="23"/>
      <c r="D324" s="23"/>
      <c r="E324" s="732" t="s">
        <v>3322</v>
      </c>
      <c r="F324" s="736" t="s">
        <v>3323</v>
      </c>
      <c r="G324" s="5" t="s">
        <v>809</v>
      </c>
      <c r="H324" s="5" t="s">
        <v>3324</v>
      </c>
      <c r="I324" s="12" t="s">
        <v>3325</v>
      </c>
      <c r="J324" s="13" t="s">
        <v>2167</v>
      </c>
      <c r="K324" s="13" t="s">
        <v>2168</v>
      </c>
      <c r="L324" s="13"/>
      <c r="M324" s="13" t="s">
        <v>2169</v>
      </c>
      <c r="N324" s="80"/>
      <c r="O324" s="12"/>
      <c r="P324" s="13"/>
      <c r="Q324" s="228" t="s">
        <v>3297</v>
      </c>
      <c r="R324" s="744">
        <v>2</v>
      </c>
    </row>
    <row r="325" spans="1:18" ht="95.1" customHeight="1">
      <c r="A325" s="23"/>
      <c r="B325" s="23"/>
      <c r="C325" s="23"/>
      <c r="D325" s="23"/>
      <c r="E325" s="732" t="s">
        <v>3326</v>
      </c>
      <c r="F325" s="736" t="s">
        <v>3327</v>
      </c>
      <c r="G325" s="5" t="s">
        <v>809</v>
      </c>
      <c r="H325" s="5" t="s">
        <v>3328</v>
      </c>
      <c r="I325" s="12" t="s">
        <v>3329</v>
      </c>
      <c r="J325" s="13" t="s">
        <v>2167</v>
      </c>
      <c r="K325" s="13" t="s">
        <v>2168</v>
      </c>
      <c r="L325" s="13"/>
      <c r="M325" s="13" t="s">
        <v>2169</v>
      </c>
      <c r="N325" s="80"/>
      <c r="O325" s="12"/>
      <c r="P325" s="13"/>
      <c r="Q325" s="228" t="s">
        <v>3297</v>
      </c>
      <c r="R325" s="744">
        <v>2</v>
      </c>
    </row>
    <row r="326" spans="1:18" ht="95.1" customHeight="1">
      <c r="A326" s="23"/>
      <c r="B326" s="23"/>
      <c r="C326" s="23"/>
      <c r="D326" s="23"/>
      <c r="E326" s="732" t="s">
        <v>3330</v>
      </c>
      <c r="F326" s="736" t="s">
        <v>3331</v>
      </c>
      <c r="G326" s="5" t="s">
        <v>809</v>
      </c>
      <c r="H326" s="5" t="s">
        <v>3332</v>
      </c>
      <c r="I326" s="12" t="s">
        <v>3333</v>
      </c>
      <c r="J326" s="13" t="s">
        <v>2167</v>
      </c>
      <c r="K326" s="13" t="s">
        <v>2168</v>
      </c>
      <c r="L326" s="13"/>
      <c r="M326" s="13" t="s">
        <v>2169</v>
      </c>
      <c r="N326" s="80"/>
      <c r="O326" s="12"/>
      <c r="P326" s="13"/>
      <c r="Q326" s="228" t="s">
        <v>3297</v>
      </c>
      <c r="R326" s="744">
        <v>2</v>
      </c>
    </row>
    <row r="327" spans="1:18" ht="95.1" customHeight="1">
      <c r="A327" s="23"/>
      <c r="B327" s="23"/>
      <c r="C327" s="23"/>
      <c r="D327" s="23"/>
      <c r="E327" s="732" t="s">
        <v>3334</v>
      </c>
      <c r="F327" s="736" t="s">
        <v>3335</v>
      </c>
      <c r="G327" s="5" t="s">
        <v>809</v>
      </c>
      <c r="H327" s="5" t="s">
        <v>3336</v>
      </c>
      <c r="I327" s="12" t="s">
        <v>3337</v>
      </c>
      <c r="J327" s="13" t="s">
        <v>2167</v>
      </c>
      <c r="K327" s="13" t="s">
        <v>2168</v>
      </c>
      <c r="L327" s="13"/>
      <c r="M327" s="13" t="s">
        <v>2169</v>
      </c>
      <c r="N327" s="80"/>
      <c r="O327" s="12"/>
      <c r="P327" s="13"/>
      <c r="Q327" s="228" t="s">
        <v>3297</v>
      </c>
      <c r="R327" s="744">
        <v>2</v>
      </c>
    </row>
    <row r="328" spans="1:18" ht="95.1" customHeight="1">
      <c r="A328" s="23"/>
      <c r="B328" s="23"/>
      <c r="C328" s="23"/>
      <c r="D328" s="23"/>
      <c r="E328" s="732" t="s">
        <v>3338</v>
      </c>
      <c r="F328" s="736" t="s">
        <v>3339</v>
      </c>
      <c r="G328" s="5" t="s">
        <v>809</v>
      </c>
      <c r="H328" s="5" t="s">
        <v>3340</v>
      </c>
      <c r="I328" s="12" t="s">
        <v>3341</v>
      </c>
      <c r="J328" s="13" t="s">
        <v>2167</v>
      </c>
      <c r="K328" s="13" t="s">
        <v>2168</v>
      </c>
      <c r="L328" s="13"/>
      <c r="M328" s="13" t="s">
        <v>2169</v>
      </c>
      <c r="N328" s="80"/>
      <c r="O328" s="12"/>
      <c r="P328" s="13"/>
      <c r="Q328" s="228" t="s">
        <v>3297</v>
      </c>
      <c r="R328" s="744">
        <v>2</v>
      </c>
    </row>
    <row r="329" spans="1:18" ht="95.1" customHeight="1">
      <c r="A329" s="23"/>
      <c r="B329" s="23"/>
      <c r="C329" s="23"/>
      <c r="D329" s="23"/>
      <c r="E329" s="732" t="s">
        <v>3342</v>
      </c>
      <c r="F329" s="736" t="s">
        <v>3343</v>
      </c>
      <c r="G329" s="5" t="s">
        <v>809</v>
      </c>
      <c r="H329" s="5" t="s">
        <v>3344</v>
      </c>
      <c r="I329" s="12" t="s">
        <v>3345</v>
      </c>
      <c r="J329" s="13" t="s">
        <v>2167</v>
      </c>
      <c r="K329" s="13" t="s">
        <v>2168</v>
      </c>
      <c r="L329" s="13"/>
      <c r="M329" s="13" t="s">
        <v>2169</v>
      </c>
      <c r="N329" s="80"/>
      <c r="O329" s="12"/>
      <c r="P329" s="13"/>
      <c r="Q329" s="228" t="s">
        <v>3297</v>
      </c>
      <c r="R329" s="744">
        <v>2</v>
      </c>
    </row>
    <row r="330" spans="1:18" ht="95.1" customHeight="1">
      <c r="A330" s="23"/>
      <c r="B330" s="23"/>
      <c r="C330" s="23"/>
      <c r="D330" s="23"/>
      <c r="E330" s="732" t="s">
        <v>3346</v>
      </c>
      <c r="F330" s="736" t="s">
        <v>3347</v>
      </c>
      <c r="G330" s="5" t="s">
        <v>809</v>
      </c>
      <c r="H330" s="5" t="s">
        <v>3348</v>
      </c>
      <c r="I330" s="12" t="s">
        <v>3349</v>
      </c>
      <c r="J330" s="13" t="s">
        <v>2167</v>
      </c>
      <c r="K330" s="13" t="s">
        <v>2168</v>
      </c>
      <c r="L330" s="13"/>
      <c r="M330" s="13" t="s">
        <v>2169</v>
      </c>
      <c r="N330" s="80"/>
      <c r="O330" s="12"/>
      <c r="P330" s="13"/>
      <c r="Q330" s="228" t="s">
        <v>3350</v>
      </c>
      <c r="R330" s="744">
        <v>2</v>
      </c>
    </row>
    <row r="331" spans="1:18" ht="95.1" customHeight="1">
      <c r="A331" s="23"/>
      <c r="B331" s="23"/>
      <c r="C331" s="23"/>
      <c r="D331" s="23"/>
      <c r="E331" s="732" t="s">
        <v>3351</v>
      </c>
      <c r="F331" s="736" t="s">
        <v>3352</v>
      </c>
      <c r="G331" s="5" t="s">
        <v>809</v>
      </c>
      <c r="H331" s="5" t="s">
        <v>3353</v>
      </c>
      <c r="I331" s="12" t="s">
        <v>3354</v>
      </c>
      <c r="J331" s="13" t="s">
        <v>2167</v>
      </c>
      <c r="K331" s="13" t="s">
        <v>2168</v>
      </c>
      <c r="L331" s="13"/>
      <c r="M331" s="13" t="s">
        <v>2169</v>
      </c>
      <c r="N331" s="80"/>
      <c r="O331" s="12"/>
      <c r="P331" s="13"/>
      <c r="Q331" s="228" t="s">
        <v>3350</v>
      </c>
      <c r="R331" s="744">
        <v>2</v>
      </c>
    </row>
    <row r="332" spans="1:18" ht="95.1" customHeight="1">
      <c r="A332" s="23"/>
      <c r="B332" s="23"/>
      <c r="C332" s="23"/>
      <c r="D332" s="23"/>
      <c r="E332" s="732" t="s">
        <v>3355</v>
      </c>
      <c r="F332" s="736" t="s">
        <v>3356</v>
      </c>
      <c r="G332" s="5" t="s">
        <v>809</v>
      </c>
      <c r="H332" s="5" t="s">
        <v>3357</v>
      </c>
      <c r="I332" s="12" t="s">
        <v>3358</v>
      </c>
      <c r="J332" s="13" t="s">
        <v>2167</v>
      </c>
      <c r="K332" s="13" t="s">
        <v>2168</v>
      </c>
      <c r="L332" s="13"/>
      <c r="M332" s="13" t="s">
        <v>2169</v>
      </c>
      <c r="N332" s="80"/>
      <c r="O332" s="12"/>
      <c r="P332" s="13"/>
      <c r="Q332" s="228" t="s">
        <v>3350</v>
      </c>
      <c r="R332" s="744">
        <v>2</v>
      </c>
    </row>
    <row r="333" spans="1:18" ht="95.1" customHeight="1">
      <c r="A333" s="23"/>
      <c r="B333" s="23"/>
      <c r="C333" s="23"/>
      <c r="D333" s="23"/>
      <c r="E333" s="732" t="s">
        <v>3359</v>
      </c>
      <c r="F333" s="736" t="s">
        <v>3360</v>
      </c>
      <c r="G333" s="5" t="s">
        <v>809</v>
      </c>
      <c r="H333" s="5" t="s">
        <v>3361</v>
      </c>
      <c r="I333" s="12" t="s">
        <v>3362</v>
      </c>
      <c r="J333" s="13" t="s">
        <v>2167</v>
      </c>
      <c r="K333" s="13" t="s">
        <v>2168</v>
      </c>
      <c r="L333" s="13"/>
      <c r="M333" s="13" t="s">
        <v>2169</v>
      </c>
      <c r="N333" s="80"/>
      <c r="O333" s="12"/>
      <c r="P333" s="13"/>
      <c r="Q333" s="228" t="s">
        <v>3350</v>
      </c>
      <c r="R333" s="744">
        <v>2</v>
      </c>
    </row>
    <row r="334" spans="1:18" ht="95.1" customHeight="1">
      <c r="A334" s="23"/>
      <c r="B334" s="23"/>
      <c r="C334" s="23"/>
      <c r="D334" s="23"/>
      <c r="E334" s="732" t="s">
        <v>3363</v>
      </c>
      <c r="F334" s="736" t="s">
        <v>3364</v>
      </c>
      <c r="G334" s="5" t="s">
        <v>809</v>
      </c>
      <c r="H334" s="5" t="s">
        <v>3365</v>
      </c>
      <c r="I334" s="12" t="s">
        <v>3366</v>
      </c>
      <c r="J334" s="13" t="s">
        <v>2167</v>
      </c>
      <c r="K334" s="13" t="s">
        <v>2168</v>
      </c>
      <c r="L334" s="13"/>
      <c r="M334" s="13" t="s">
        <v>2169</v>
      </c>
      <c r="N334" s="80"/>
      <c r="O334" s="12"/>
      <c r="P334" s="13"/>
      <c r="Q334" s="228" t="s">
        <v>3350</v>
      </c>
      <c r="R334" s="744">
        <v>2</v>
      </c>
    </row>
    <row r="335" spans="1:18" ht="95.1" customHeight="1">
      <c r="A335" s="23"/>
      <c r="B335" s="23"/>
      <c r="C335" s="23"/>
      <c r="D335" s="23"/>
      <c r="E335" s="732" t="s">
        <v>3367</v>
      </c>
      <c r="F335" s="736" t="s">
        <v>3368</v>
      </c>
      <c r="G335" s="5" t="s">
        <v>809</v>
      </c>
      <c r="H335" s="5" t="s">
        <v>3369</v>
      </c>
      <c r="I335" s="12" t="s">
        <v>3370</v>
      </c>
      <c r="J335" s="13" t="s">
        <v>2167</v>
      </c>
      <c r="K335" s="13" t="s">
        <v>2168</v>
      </c>
      <c r="L335" s="13"/>
      <c r="M335" s="13" t="s">
        <v>2169</v>
      </c>
      <c r="N335" s="80"/>
      <c r="O335" s="12"/>
      <c r="P335" s="13"/>
      <c r="Q335" s="228" t="s">
        <v>3350</v>
      </c>
      <c r="R335" s="744">
        <v>2</v>
      </c>
    </row>
    <row r="336" spans="1:18" ht="95.1" customHeight="1">
      <c r="A336" s="23"/>
      <c r="B336" s="23"/>
      <c r="C336" s="23"/>
      <c r="D336" s="23"/>
      <c r="E336" s="732" t="s">
        <v>3371</v>
      </c>
      <c r="F336" s="736" t="s">
        <v>3372</v>
      </c>
      <c r="G336" s="5" t="s">
        <v>809</v>
      </c>
      <c r="H336" s="5" t="s">
        <v>3373</v>
      </c>
      <c r="I336" s="12" t="s">
        <v>3374</v>
      </c>
      <c r="J336" s="13" t="s">
        <v>2167</v>
      </c>
      <c r="K336" s="13" t="s">
        <v>2168</v>
      </c>
      <c r="L336" s="13"/>
      <c r="M336" s="13" t="s">
        <v>2169</v>
      </c>
      <c r="N336" s="80"/>
      <c r="O336" s="12"/>
      <c r="P336" s="13"/>
      <c r="Q336" s="228" t="s">
        <v>3350</v>
      </c>
      <c r="R336" s="744">
        <v>2</v>
      </c>
    </row>
    <row r="337" spans="1:18" ht="95.1" customHeight="1">
      <c r="A337" s="23"/>
      <c r="B337" s="23"/>
      <c r="C337" s="23"/>
      <c r="D337" s="23"/>
      <c r="E337" s="732" t="s">
        <v>3375</v>
      </c>
      <c r="F337" s="736" t="s">
        <v>3376</v>
      </c>
      <c r="G337" s="5" t="s">
        <v>809</v>
      </c>
      <c r="H337" s="5" t="s">
        <v>3377</v>
      </c>
      <c r="I337" s="12" t="s">
        <v>3378</v>
      </c>
      <c r="J337" s="13" t="s">
        <v>2167</v>
      </c>
      <c r="K337" s="13" t="s">
        <v>2168</v>
      </c>
      <c r="L337" s="13"/>
      <c r="M337" s="13" t="s">
        <v>2169</v>
      </c>
      <c r="N337" s="80"/>
      <c r="O337" s="12"/>
      <c r="P337" s="13"/>
      <c r="Q337" s="228" t="s">
        <v>3350</v>
      </c>
      <c r="R337" s="744">
        <v>2</v>
      </c>
    </row>
    <row r="338" spans="1:18" ht="95.1" customHeight="1">
      <c r="A338" s="23"/>
      <c r="B338" s="23"/>
      <c r="C338" s="23"/>
      <c r="D338" s="23"/>
      <c r="E338" s="732" t="s">
        <v>3379</v>
      </c>
      <c r="F338" s="736" t="s">
        <v>3380</v>
      </c>
      <c r="G338" s="5" t="s">
        <v>809</v>
      </c>
      <c r="H338" s="5" t="s">
        <v>3381</v>
      </c>
      <c r="I338" s="12" t="s">
        <v>3382</v>
      </c>
      <c r="J338" s="13" t="s">
        <v>2167</v>
      </c>
      <c r="K338" s="13" t="s">
        <v>2168</v>
      </c>
      <c r="L338" s="13"/>
      <c r="M338" s="13" t="s">
        <v>2169</v>
      </c>
      <c r="N338" s="80"/>
      <c r="O338" s="12"/>
      <c r="P338" s="13"/>
      <c r="Q338" s="228" t="s">
        <v>3350</v>
      </c>
      <c r="R338" s="744">
        <v>2</v>
      </c>
    </row>
    <row r="339" spans="1:18" ht="95.1" customHeight="1">
      <c r="A339" s="23"/>
      <c r="B339" s="23"/>
      <c r="C339" s="23"/>
      <c r="D339" s="23"/>
      <c r="E339" s="732" t="s">
        <v>3383</v>
      </c>
      <c r="F339" s="736" t="s">
        <v>3384</v>
      </c>
      <c r="G339" s="5" t="s">
        <v>809</v>
      </c>
      <c r="H339" s="5" t="s">
        <v>3385</v>
      </c>
      <c r="I339" s="12" t="s">
        <v>3386</v>
      </c>
      <c r="J339" s="13" t="s">
        <v>2167</v>
      </c>
      <c r="K339" s="13" t="s">
        <v>2168</v>
      </c>
      <c r="L339" s="13"/>
      <c r="M339" s="13" t="s">
        <v>2169</v>
      </c>
      <c r="N339" s="80"/>
      <c r="O339" s="12"/>
      <c r="P339" s="13"/>
      <c r="Q339" s="228" t="s">
        <v>3350</v>
      </c>
      <c r="R339" s="744">
        <v>2</v>
      </c>
    </row>
    <row r="340" spans="1:18" ht="95.1" customHeight="1">
      <c r="A340" s="23"/>
      <c r="B340" s="23"/>
      <c r="C340" s="23"/>
      <c r="D340" s="23"/>
      <c r="E340" s="732" t="s">
        <v>3387</v>
      </c>
      <c r="F340" s="736" t="s">
        <v>3388</v>
      </c>
      <c r="G340" s="5" t="s">
        <v>809</v>
      </c>
      <c r="H340" s="5" t="s">
        <v>3389</v>
      </c>
      <c r="I340" s="12" t="s">
        <v>3390</v>
      </c>
      <c r="J340" s="13" t="s">
        <v>2167</v>
      </c>
      <c r="K340" s="13" t="s">
        <v>2168</v>
      </c>
      <c r="L340" s="13"/>
      <c r="M340" s="13" t="s">
        <v>2169</v>
      </c>
      <c r="N340" s="80"/>
      <c r="O340" s="12"/>
      <c r="P340" s="13"/>
      <c r="Q340" s="228" t="s">
        <v>3350</v>
      </c>
      <c r="R340" s="744">
        <v>2</v>
      </c>
    </row>
    <row r="341" spans="1:18" ht="95.1" customHeight="1">
      <c r="A341" s="23"/>
      <c r="B341" s="23"/>
      <c r="C341" s="23"/>
      <c r="D341" s="23"/>
      <c r="E341" s="732" t="s">
        <v>3391</v>
      </c>
      <c r="F341" s="736" t="s">
        <v>3392</v>
      </c>
      <c r="G341" s="5" t="s">
        <v>809</v>
      </c>
      <c r="H341" s="5" t="s">
        <v>3393</v>
      </c>
      <c r="I341" s="12" t="s">
        <v>3394</v>
      </c>
      <c r="J341" s="13" t="s">
        <v>2167</v>
      </c>
      <c r="K341" s="13" t="s">
        <v>2168</v>
      </c>
      <c r="L341" s="13"/>
      <c r="M341" s="13" t="s">
        <v>2169</v>
      </c>
      <c r="N341" s="80"/>
      <c r="O341" s="12"/>
      <c r="P341" s="13"/>
      <c r="Q341" s="228" t="s">
        <v>3350</v>
      </c>
      <c r="R341" s="744">
        <v>2</v>
      </c>
    </row>
    <row r="342" spans="1:18" ht="35.1" customHeight="1">
      <c r="A342" s="23"/>
      <c r="B342" s="23"/>
      <c r="C342" s="23"/>
      <c r="D342" s="23"/>
      <c r="E342" s="718" t="s">
        <v>3395</v>
      </c>
      <c r="F342" s="736" t="s">
        <v>3396</v>
      </c>
      <c r="G342" s="5" t="s">
        <v>809</v>
      </c>
      <c r="H342" s="5" t="s">
        <v>3397</v>
      </c>
      <c r="I342" s="12" t="s">
        <v>3398</v>
      </c>
      <c r="J342" s="13" t="s">
        <v>2096</v>
      </c>
      <c r="K342" s="13" t="s">
        <v>2095</v>
      </c>
      <c r="L342" s="13" t="s">
        <v>2095</v>
      </c>
      <c r="M342" s="13" t="s">
        <v>2169</v>
      </c>
      <c r="N342" s="80"/>
      <c r="O342" s="736">
        <v>3</v>
      </c>
      <c r="P342" s="13"/>
      <c r="Q342" s="228" t="s">
        <v>3399</v>
      </c>
      <c r="R342" s="744">
        <v>2</v>
      </c>
    </row>
    <row r="343" spans="1:18" ht="35.1" customHeight="1">
      <c r="A343" s="23"/>
      <c r="B343" s="23"/>
      <c r="C343" s="23"/>
      <c r="D343" s="23"/>
      <c r="E343" s="718" t="s">
        <v>3400</v>
      </c>
      <c r="F343" s="736" t="s">
        <v>3401</v>
      </c>
      <c r="G343" s="5" t="s">
        <v>809</v>
      </c>
      <c r="H343" s="5" t="s">
        <v>3402</v>
      </c>
      <c r="I343" s="12" t="s">
        <v>3403</v>
      </c>
      <c r="J343" s="13" t="s">
        <v>2096</v>
      </c>
      <c r="K343" s="13" t="s">
        <v>2095</v>
      </c>
      <c r="L343" s="13" t="s">
        <v>2095</v>
      </c>
      <c r="M343" s="13" t="s">
        <v>2169</v>
      </c>
      <c r="N343" s="80"/>
      <c r="O343" s="736">
        <v>3</v>
      </c>
      <c r="P343" s="13"/>
      <c r="Q343" s="228" t="s">
        <v>3399</v>
      </c>
      <c r="R343" s="744">
        <v>2</v>
      </c>
    </row>
    <row r="344" spans="1:18" ht="35.1" customHeight="1">
      <c r="A344" s="23"/>
      <c r="B344" s="23"/>
      <c r="C344" s="23"/>
      <c r="D344" s="23"/>
      <c r="E344" s="718" t="s">
        <v>3404</v>
      </c>
      <c r="F344" s="736" t="s">
        <v>3405</v>
      </c>
      <c r="G344" s="5" t="s">
        <v>809</v>
      </c>
      <c r="H344" s="5" t="s">
        <v>3406</v>
      </c>
      <c r="I344" s="12" t="s">
        <v>3407</v>
      </c>
      <c r="J344" s="13" t="s">
        <v>2096</v>
      </c>
      <c r="K344" s="13" t="s">
        <v>2095</v>
      </c>
      <c r="L344" s="13" t="s">
        <v>2095</v>
      </c>
      <c r="M344" s="13" t="s">
        <v>2169</v>
      </c>
      <c r="N344" s="80"/>
      <c r="O344" s="736">
        <v>3</v>
      </c>
      <c r="P344" s="13"/>
      <c r="Q344" s="228" t="s">
        <v>3399</v>
      </c>
      <c r="R344" s="744">
        <v>2</v>
      </c>
    </row>
    <row r="345" spans="1:18" ht="35.1" customHeight="1">
      <c r="A345" s="23"/>
      <c r="B345" s="23"/>
      <c r="C345" s="23"/>
      <c r="D345" s="23"/>
      <c r="E345" s="718" t="s">
        <v>3408</v>
      </c>
      <c r="F345" s="736" t="s">
        <v>3409</v>
      </c>
      <c r="G345" s="5" t="s">
        <v>809</v>
      </c>
      <c r="H345" s="5" t="s">
        <v>3410</v>
      </c>
      <c r="I345" s="12" t="s">
        <v>3411</v>
      </c>
      <c r="J345" s="13" t="s">
        <v>2096</v>
      </c>
      <c r="K345" s="13" t="s">
        <v>2095</v>
      </c>
      <c r="L345" s="13" t="s">
        <v>2095</v>
      </c>
      <c r="M345" s="13" t="s">
        <v>2169</v>
      </c>
      <c r="N345" s="80"/>
      <c r="O345" s="736">
        <v>3</v>
      </c>
      <c r="P345" s="13"/>
      <c r="Q345" s="228" t="s">
        <v>3399</v>
      </c>
      <c r="R345" s="744">
        <v>2</v>
      </c>
    </row>
    <row r="346" spans="1:18" ht="35.1" customHeight="1">
      <c r="A346" s="23"/>
      <c r="B346" s="23"/>
      <c r="C346" s="23"/>
      <c r="D346" s="23"/>
      <c r="E346" s="718" t="s">
        <v>3412</v>
      </c>
      <c r="F346" s="736" t="s">
        <v>3413</v>
      </c>
      <c r="G346" s="5" t="s">
        <v>809</v>
      </c>
      <c r="H346" s="5" t="s">
        <v>3414</v>
      </c>
      <c r="I346" s="12" t="s">
        <v>3415</v>
      </c>
      <c r="J346" s="13" t="s">
        <v>2096</v>
      </c>
      <c r="K346" s="13" t="s">
        <v>2095</v>
      </c>
      <c r="L346" s="13" t="s">
        <v>2095</v>
      </c>
      <c r="M346" s="13" t="s">
        <v>2169</v>
      </c>
      <c r="N346" s="80"/>
      <c r="O346" s="736">
        <v>3</v>
      </c>
      <c r="P346" s="13"/>
      <c r="Q346" s="228" t="s">
        <v>3399</v>
      </c>
      <c r="R346" s="744">
        <v>2</v>
      </c>
    </row>
    <row r="347" spans="1:18" ht="35.1" customHeight="1">
      <c r="A347" s="23"/>
      <c r="B347" s="23"/>
      <c r="C347" s="23"/>
      <c r="D347" s="23"/>
      <c r="E347" s="718" t="s">
        <v>3416</v>
      </c>
      <c r="F347" s="736" t="s">
        <v>3417</v>
      </c>
      <c r="G347" s="5" t="s">
        <v>809</v>
      </c>
      <c r="H347" s="5" t="s">
        <v>3418</v>
      </c>
      <c r="I347" s="12" t="s">
        <v>3419</v>
      </c>
      <c r="J347" s="13" t="s">
        <v>2096</v>
      </c>
      <c r="K347" s="13" t="s">
        <v>2095</v>
      </c>
      <c r="L347" s="13" t="s">
        <v>2095</v>
      </c>
      <c r="M347" s="13" t="s">
        <v>2169</v>
      </c>
      <c r="N347" s="80"/>
      <c r="O347" s="736">
        <v>3</v>
      </c>
      <c r="P347" s="13"/>
      <c r="Q347" s="228" t="s">
        <v>3399</v>
      </c>
      <c r="R347" s="744">
        <v>2</v>
      </c>
    </row>
    <row r="348" spans="1:18" ht="35.1" customHeight="1">
      <c r="A348" s="23"/>
      <c r="B348" s="23"/>
      <c r="C348" s="23"/>
      <c r="D348" s="23"/>
      <c r="E348" s="718" t="s">
        <v>3420</v>
      </c>
      <c r="F348" s="736" t="s">
        <v>3421</v>
      </c>
      <c r="G348" s="5" t="s">
        <v>809</v>
      </c>
      <c r="H348" s="5" t="s">
        <v>3422</v>
      </c>
      <c r="I348" s="12" t="s">
        <v>3423</v>
      </c>
      <c r="J348" s="13" t="s">
        <v>2096</v>
      </c>
      <c r="K348" s="13" t="s">
        <v>2095</v>
      </c>
      <c r="L348" s="13" t="s">
        <v>2095</v>
      </c>
      <c r="M348" s="13" t="s">
        <v>2169</v>
      </c>
      <c r="N348" s="80"/>
      <c r="O348" s="736">
        <v>3</v>
      </c>
      <c r="P348" s="13"/>
      <c r="Q348" s="228" t="s">
        <v>3399</v>
      </c>
      <c r="R348" s="744">
        <v>2</v>
      </c>
    </row>
    <row r="349" spans="1:18" ht="35.1" customHeight="1">
      <c r="A349" s="23"/>
      <c r="B349" s="23"/>
      <c r="C349" s="23"/>
      <c r="D349" s="23"/>
      <c r="E349" s="718" t="s">
        <v>3424</v>
      </c>
      <c r="F349" s="736" t="s">
        <v>3425</v>
      </c>
      <c r="G349" s="5" t="s">
        <v>809</v>
      </c>
      <c r="H349" s="5" t="s">
        <v>3426</v>
      </c>
      <c r="I349" s="12" t="s">
        <v>3427</v>
      </c>
      <c r="J349" s="13" t="s">
        <v>2096</v>
      </c>
      <c r="K349" s="13" t="s">
        <v>2095</v>
      </c>
      <c r="L349" s="13" t="s">
        <v>2095</v>
      </c>
      <c r="M349" s="13" t="s">
        <v>2169</v>
      </c>
      <c r="N349" s="80"/>
      <c r="O349" s="736">
        <v>3</v>
      </c>
      <c r="P349" s="13"/>
      <c r="Q349" s="228" t="s">
        <v>3399</v>
      </c>
      <c r="R349" s="744">
        <v>2</v>
      </c>
    </row>
    <row r="350" spans="1:18" ht="35.1" customHeight="1">
      <c r="A350" s="23"/>
      <c r="B350" s="23"/>
      <c r="C350" s="23"/>
      <c r="D350" s="23"/>
      <c r="E350" s="718" t="s">
        <v>3428</v>
      </c>
      <c r="F350" s="736" t="s">
        <v>3429</v>
      </c>
      <c r="G350" s="5" t="s">
        <v>809</v>
      </c>
      <c r="H350" s="5" t="s">
        <v>3430</v>
      </c>
      <c r="I350" s="12" t="s">
        <v>3431</v>
      </c>
      <c r="J350" s="13" t="s">
        <v>2096</v>
      </c>
      <c r="K350" s="13" t="s">
        <v>2095</v>
      </c>
      <c r="L350" s="13" t="s">
        <v>2095</v>
      </c>
      <c r="M350" s="13" t="s">
        <v>2169</v>
      </c>
      <c r="N350" s="80"/>
      <c r="O350" s="736">
        <v>3</v>
      </c>
      <c r="P350" s="13"/>
      <c r="Q350" s="228" t="s">
        <v>3399</v>
      </c>
      <c r="R350" s="744">
        <v>2</v>
      </c>
    </row>
    <row r="351" spans="1:18" ht="35.1" customHeight="1">
      <c r="A351" s="23"/>
      <c r="B351" s="23"/>
      <c r="C351" s="23"/>
      <c r="D351" s="23"/>
      <c r="E351" s="732" t="s">
        <v>3432</v>
      </c>
      <c r="F351" s="12" t="s">
        <v>3433</v>
      </c>
      <c r="G351" s="5" t="s">
        <v>809</v>
      </c>
      <c r="H351" s="5" t="s">
        <v>3434</v>
      </c>
      <c r="I351" s="12" t="s">
        <v>3435</v>
      </c>
      <c r="J351" s="13" t="s">
        <v>3436</v>
      </c>
      <c r="K351" s="13" t="s">
        <v>3437</v>
      </c>
      <c r="L351" s="13"/>
      <c r="M351" s="13" t="s">
        <v>2169</v>
      </c>
      <c r="N351" s="80"/>
      <c r="O351" s="12"/>
      <c r="P351" s="13"/>
      <c r="Q351" s="228" t="s">
        <v>3399</v>
      </c>
      <c r="R351" s="744">
        <v>2</v>
      </c>
    </row>
    <row r="352" spans="1:18" ht="35.1" customHeight="1">
      <c r="A352" s="23"/>
      <c r="B352" s="23"/>
      <c r="C352" s="23"/>
      <c r="D352" s="23"/>
      <c r="E352" s="718" t="s">
        <v>3438</v>
      </c>
      <c r="F352" s="736" t="s">
        <v>3439</v>
      </c>
      <c r="G352" s="5" t="s">
        <v>809</v>
      </c>
      <c r="H352" s="5" t="s">
        <v>3440</v>
      </c>
      <c r="I352" s="12" t="s">
        <v>3441</v>
      </c>
      <c r="J352" s="13" t="s">
        <v>3436</v>
      </c>
      <c r="K352" s="13" t="s">
        <v>3437</v>
      </c>
      <c r="L352" s="13"/>
      <c r="M352" s="13" t="s">
        <v>2169</v>
      </c>
      <c r="N352" s="80"/>
      <c r="O352" s="12"/>
      <c r="P352" s="13"/>
      <c r="Q352" s="228" t="s">
        <v>3399</v>
      </c>
      <c r="R352" s="744">
        <v>2</v>
      </c>
    </row>
    <row r="353" spans="1:18" ht="35.1" customHeight="1">
      <c r="A353" s="23"/>
      <c r="B353" s="23"/>
      <c r="C353" s="23"/>
      <c r="D353" s="23"/>
      <c r="E353" s="732" t="s">
        <v>3442</v>
      </c>
      <c r="F353" s="12" t="s">
        <v>3443</v>
      </c>
      <c r="G353" s="5" t="s">
        <v>809</v>
      </c>
      <c r="H353" s="5" t="s">
        <v>3444</v>
      </c>
      <c r="I353" s="12" t="s">
        <v>3445</v>
      </c>
      <c r="J353" s="13" t="s">
        <v>2096</v>
      </c>
      <c r="K353" s="13" t="s">
        <v>2095</v>
      </c>
      <c r="L353" s="13" t="s">
        <v>2095</v>
      </c>
      <c r="M353" s="13" t="s">
        <v>2169</v>
      </c>
      <c r="N353" s="80"/>
      <c r="O353" s="736">
        <v>3</v>
      </c>
      <c r="P353" s="13"/>
      <c r="Q353" s="228" t="s">
        <v>3399</v>
      </c>
      <c r="R353" s="744">
        <v>2</v>
      </c>
    </row>
    <row r="354" spans="1:18" ht="35.1" customHeight="1">
      <c r="A354" s="23"/>
      <c r="B354" s="23"/>
      <c r="C354" s="23"/>
      <c r="D354" s="23"/>
      <c r="E354" s="718" t="s">
        <v>3446</v>
      </c>
      <c r="F354" s="736" t="s">
        <v>3447</v>
      </c>
      <c r="G354" s="5" t="s">
        <v>809</v>
      </c>
      <c r="H354" s="5" t="s">
        <v>3448</v>
      </c>
      <c r="I354" s="12" t="s">
        <v>3449</v>
      </c>
      <c r="J354" s="13" t="s">
        <v>3436</v>
      </c>
      <c r="K354" s="13" t="s">
        <v>3437</v>
      </c>
      <c r="L354" s="13"/>
      <c r="M354" s="13" t="s">
        <v>2169</v>
      </c>
      <c r="N354" s="80"/>
      <c r="O354" s="12"/>
      <c r="P354" s="13"/>
      <c r="Q354" s="228" t="s">
        <v>3399</v>
      </c>
      <c r="R354" s="744">
        <v>2</v>
      </c>
    </row>
    <row r="355" spans="1:18" ht="35.1" customHeight="1">
      <c r="A355" s="23"/>
      <c r="B355" s="23"/>
      <c r="C355" s="23"/>
      <c r="D355" s="23"/>
      <c r="E355" s="718" t="s">
        <v>3450</v>
      </c>
      <c r="F355" s="736" t="s">
        <v>3451</v>
      </c>
      <c r="G355" s="5" t="s">
        <v>809</v>
      </c>
      <c r="H355" s="5" t="s">
        <v>3452</v>
      </c>
      <c r="I355" s="12" t="s">
        <v>3453</v>
      </c>
      <c r="J355" s="13" t="s">
        <v>2096</v>
      </c>
      <c r="K355" s="13" t="s">
        <v>2095</v>
      </c>
      <c r="L355" s="13" t="s">
        <v>2095</v>
      </c>
      <c r="M355" s="13" t="s">
        <v>2169</v>
      </c>
      <c r="N355" s="80"/>
      <c r="O355" s="736">
        <v>3</v>
      </c>
      <c r="P355" s="13"/>
      <c r="Q355" s="228" t="s">
        <v>3399</v>
      </c>
      <c r="R355" s="744">
        <v>2</v>
      </c>
    </row>
    <row r="356" spans="1:18" ht="42.95" customHeight="1">
      <c r="A356" s="23"/>
      <c r="B356" s="23"/>
      <c r="C356" s="23"/>
      <c r="D356" s="23"/>
      <c r="E356" s="5" t="s">
        <v>3454</v>
      </c>
      <c r="F356" s="12" t="s">
        <v>3455</v>
      </c>
      <c r="G356" s="5" t="s">
        <v>525</v>
      </c>
      <c r="H356" s="5" t="s">
        <v>3456</v>
      </c>
      <c r="I356" s="12" t="s">
        <v>3457</v>
      </c>
      <c r="J356" s="13" t="s">
        <v>2095</v>
      </c>
      <c r="K356" s="13" t="s">
        <v>2096</v>
      </c>
      <c r="L356" s="13" t="s">
        <v>2095</v>
      </c>
      <c r="M356" s="13" t="s">
        <v>3458</v>
      </c>
      <c r="N356" s="80"/>
      <c r="O356" s="736">
        <v>3</v>
      </c>
      <c r="P356" s="13"/>
      <c r="Q356" s="228" t="s">
        <v>3459</v>
      </c>
      <c r="R356" s="744">
        <v>2</v>
      </c>
    </row>
    <row r="357" spans="1:18" ht="42.95" customHeight="1">
      <c r="A357" s="23"/>
      <c r="B357" s="23"/>
      <c r="C357" s="23"/>
      <c r="D357" s="23"/>
      <c r="E357" s="5" t="s">
        <v>3460</v>
      </c>
      <c r="F357" s="12" t="s">
        <v>3461</v>
      </c>
      <c r="G357" s="5" t="s">
        <v>525</v>
      </c>
      <c r="H357" s="5" t="s">
        <v>3462</v>
      </c>
      <c r="I357" s="12" t="s">
        <v>3463</v>
      </c>
      <c r="J357" s="13" t="s">
        <v>2095</v>
      </c>
      <c r="K357" s="13" t="s">
        <v>2096</v>
      </c>
      <c r="L357" s="13" t="s">
        <v>2095</v>
      </c>
      <c r="M357" s="13" t="s">
        <v>3458</v>
      </c>
      <c r="N357" s="80"/>
      <c r="O357" s="736">
        <v>3</v>
      </c>
      <c r="P357" s="13"/>
      <c r="Q357" s="228" t="s">
        <v>3459</v>
      </c>
      <c r="R357" s="744">
        <v>2</v>
      </c>
    </row>
    <row r="358" spans="1:18" ht="42.95" customHeight="1">
      <c r="A358" s="23"/>
      <c r="B358" s="23"/>
      <c r="C358" s="23"/>
      <c r="D358" s="23"/>
      <c r="E358" s="5" t="s">
        <v>3464</v>
      </c>
      <c r="F358" s="12" t="s">
        <v>3465</v>
      </c>
      <c r="G358" s="5" t="s">
        <v>525</v>
      </c>
      <c r="H358" s="5" t="s">
        <v>3466</v>
      </c>
      <c r="I358" s="12" t="s">
        <v>3467</v>
      </c>
      <c r="J358" s="13" t="s">
        <v>2095</v>
      </c>
      <c r="K358" s="13" t="s">
        <v>2096</v>
      </c>
      <c r="L358" s="13" t="s">
        <v>2095</v>
      </c>
      <c r="M358" s="13" t="s">
        <v>3458</v>
      </c>
      <c r="N358" s="80"/>
      <c r="O358" s="736">
        <v>3</v>
      </c>
      <c r="P358" s="13"/>
      <c r="Q358" s="228" t="s">
        <v>3459</v>
      </c>
      <c r="R358" s="744">
        <v>2</v>
      </c>
    </row>
    <row r="359" spans="1:18" ht="42.95" customHeight="1">
      <c r="A359" s="23"/>
      <c r="B359" s="23"/>
      <c r="C359" s="23"/>
      <c r="D359" s="23"/>
      <c r="E359" s="5" t="s">
        <v>3468</v>
      </c>
      <c r="F359" s="12" t="s">
        <v>3469</v>
      </c>
      <c r="G359" s="5" t="s">
        <v>525</v>
      </c>
      <c r="H359" s="5" t="s">
        <v>3470</v>
      </c>
      <c r="I359" s="13" t="s">
        <v>3471</v>
      </c>
      <c r="J359" s="13" t="s">
        <v>2095</v>
      </c>
      <c r="K359" s="13" t="s">
        <v>2096</v>
      </c>
      <c r="L359" s="13" t="s">
        <v>2095</v>
      </c>
      <c r="M359" s="13" t="s">
        <v>3458</v>
      </c>
      <c r="N359" s="80"/>
      <c r="O359" s="736">
        <v>3</v>
      </c>
      <c r="P359" s="13"/>
      <c r="Q359" s="228" t="s">
        <v>3459</v>
      </c>
      <c r="R359" s="744">
        <v>2</v>
      </c>
    </row>
    <row r="360" spans="1:18" ht="42.95" customHeight="1">
      <c r="A360" s="23"/>
      <c r="B360" s="23"/>
      <c r="C360" s="23"/>
      <c r="D360" s="23"/>
      <c r="E360" s="5" t="s">
        <v>3472</v>
      </c>
      <c r="F360" s="12" t="s">
        <v>3473</v>
      </c>
      <c r="G360" s="5" t="s">
        <v>525</v>
      </c>
      <c r="H360" s="5" t="s">
        <v>3474</v>
      </c>
      <c r="I360" s="13" t="s">
        <v>3475</v>
      </c>
      <c r="J360" s="13" t="s">
        <v>2095</v>
      </c>
      <c r="K360" s="13" t="s">
        <v>2096</v>
      </c>
      <c r="L360" s="13" t="s">
        <v>2095</v>
      </c>
      <c r="M360" s="13" t="s">
        <v>3458</v>
      </c>
      <c r="N360" s="80"/>
      <c r="O360" s="736">
        <v>3</v>
      </c>
      <c r="P360" s="13"/>
      <c r="Q360" s="228" t="s">
        <v>3459</v>
      </c>
      <c r="R360" s="744">
        <v>2</v>
      </c>
    </row>
    <row r="361" spans="1:18" ht="42.95" customHeight="1">
      <c r="A361" s="23"/>
      <c r="B361" s="23"/>
      <c r="C361" s="23"/>
      <c r="D361" s="23"/>
      <c r="E361" s="5" t="s">
        <v>3476</v>
      </c>
      <c r="F361" s="12" t="s">
        <v>3477</v>
      </c>
      <c r="G361" s="5" t="s">
        <v>525</v>
      </c>
      <c r="H361" s="5" t="s">
        <v>3478</v>
      </c>
      <c r="I361" s="13" t="s">
        <v>3479</v>
      </c>
      <c r="J361" s="13" t="s">
        <v>2095</v>
      </c>
      <c r="K361" s="13" t="s">
        <v>2096</v>
      </c>
      <c r="L361" s="13" t="s">
        <v>2095</v>
      </c>
      <c r="M361" s="13" t="s">
        <v>3458</v>
      </c>
      <c r="N361" s="80"/>
      <c r="O361" s="736">
        <v>3</v>
      </c>
      <c r="P361" s="13"/>
      <c r="Q361" s="228" t="s">
        <v>3459</v>
      </c>
      <c r="R361" s="744">
        <v>2</v>
      </c>
    </row>
    <row r="362" spans="1:18" ht="42.95" customHeight="1">
      <c r="A362" s="23"/>
      <c r="B362" s="23"/>
      <c r="C362" s="23"/>
      <c r="D362" s="23"/>
      <c r="E362" s="5" t="s">
        <v>3480</v>
      </c>
      <c r="F362" s="12" t="s">
        <v>3481</v>
      </c>
      <c r="G362" s="5" t="s">
        <v>525</v>
      </c>
      <c r="H362" s="5" t="s">
        <v>3482</v>
      </c>
      <c r="I362" s="13" t="s">
        <v>3483</v>
      </c>
      <c r="J362" s="13" t="s">
        <v>2095</v>
      </c>
      <c r="K362" s="13" t="s">
        <v>2096</v>
      </c>
      <c r="L362" s="13" t="s">
        <v>2095</v>
      </c>
      <c r="M362" s="13" t="s">
        <v>3458</v>
      </c>
      <c r="N362" s="80"/>
      <c r="O362" s="736">
        <v>3</v>
      </c>
      <c r="P362" s="13"/>
      <c r="Q362" s="228" t="s">
        <v>3459</v>
      </c>
      <c r="R362" s="744">
        <v>2</v>
      </c>
    </row>
    <row r="363" spans="1:18" ht="35.1" customHeight="1">
      <c r="A363" s="23"/>
      <c r="B363" s="23"/>
      <c r="C363" s="23"/>
      <c r="D363" s="23"/>
      <c r="E363" s="857" t="s">
        <v>3484</v>
      </c>
      <c r="F363" s="870" t="s">
        <v>3485</v>
      </c>
      <c r="G363" s="857" t="s">
        <v>613</v>
      </c>
      <c r="H363" s="857" t="s">
        <v>3486</v>
      </c>
      <c r="I363" s="858" t="s">
        <v>3487</v>
      </c>
      <c r="J363" s="858" t="s">
        <v>857</v>
      </c>
      <c r="K363" s="858" t="s">
        <v>857</v>
      </c>
      <c r="L363" s="858"/>
      <c r="M363" s="858" t="s">
        <v>2169</v>
      </c>
      <c r="N363" s="859"/>
      <c r="O363" s="870"/>
      <c r="P363" s="858"/>
      <c r="Q363" s="872"/>
      <c r="R363" s="858">
        <v>2</v>
      </c>
    </row>
    <row r="364" spans="1:18" ht="42.95" customHeight="1">
      <c r="A364" s="23"/>
      <c r="B364" s="23"/>
      <c r="C364" s="735" t="s">
        <v>3488</v>
      </c>
      <c r="D364" s="735"/>
      <c r="E364" s="5" t="s">
        <v>3489</v>
      </c>
      <c r="F364" s="12" t="s">
        <v>3490</v>
      </c>
      <c r="G364" s="5" t="s">
        <v>525</v>
      </c>
      <c r="H364" s="5" t="s">
        <v>3491</v>
      </c>
      <c r="I364" s="13" t="s">
        <v>3492</v>
      </c>
      <c r="J364" s="13" t="s">
        <v>2095</v>
      </c>
      <c r="K364" s="13" t="s">
        <v>2096</v>
      </c>
      <c r="L364" s="13" t="s">
        <v>2095</v>
      </c>
      <c r="M364" s="13" t="s">
        <v>3458</v>
      </c>
      <c r="N364" s="80"/>
      <c r="O364" s="736">
        <v>3</v>
      </c>
      <c r="P364" s="13"/>
      <c r="Q364" s="228" t="s">
        <v>3459</v>
      </c>
      <c r="R364" s="744">
        <v>2</v>
      </c>
    </row>
    <row r="365" spans="1:18" ht="57" customHeight="1">
      <c r="A365" s="23"/>
      <c r="B365" s="23"/>
      <c r="C365" s="23"/>
      <c r="D365" s="23"/>
      <c r="E365" s="5" t="s">
        <v>3493</v>
      </c>
      <c r="F365" s="12" t="s">
        <v>3494</v>
      </c>
      <c r="G365" s="5" t="s">
        <v>500</v>
      </c>
      <c r="H365" s="5" t="s">
        <v>3495</v>
      </c>
      <c r="I365" s="13" t="s">
        <v>3496</v>
      </c>
      <c r="J365" s="13" t="s">
        <v>2096</v>
      </c>
      <c r="K365" s="13" t="s">
        <v>2095</v>
      </c>
      <c r="L365" s="13" t="s">
        <v>2095</v>
      </c>
      <c r="M365" s="13" t="s">
        <v>2169</v>
      </c>
      <c r="N365" s="80"/>
      <c r="O365" s="736">
        <v>3</v>
      </c>
      <c r="P365" s="13"/>
      <c r="Q365" s="228" t="s">
        <v>2968</v>
      </c>
      <c r="R365" s="744">
        <v>2</v>
      </c>
    </row>
    <row r="366" spans="1:18" ht="34.5" customHeight="1">
      <c r="A366" s="23"/>
      <c r="B366" s="23"/>
      <c r="C366" s="23"/>
      <c r="D366" s="23"/>
      <c r="E366" s="5" t="s">
        <v>3497</v>
      </c>
      <c r="F366" s="12" t="s">
        <v>3498</v>
      </c>
      <c r="G366" s="5" t="s">
        <v>500</v>
      </c>
      <c r="H366" s="5" t="s">
        <v>3499</v>
      </c>
      <c r="I366" s="12" t="s">
        <v>3500</v>
      </c>
      <c r="J366" s="13" t="s">
        <v>2096</v>
      </c>
      <c r="K366" s="13" t="s">
        <v>2095</v>
      </c>
      <c r="L366" s="13" t="s">
        <v>2095</v>
      </c>
      <c r="M366" s="13" t="s">
        <v>3458</v>
      </c>
      <c r="N366" s="80"/>
      <c r="O366" s="736">
        <v>3</v>
      </c>
      <c r="P366" s="13"/>
      <c r="Q366" s="228" t="s">
        <v>3501</v>
      </c>
      <c r="R366" s="744">
        <v>2</v>
      </c>
    </row>
    <row r="367" spans="1:18" ht="59.45" customHeight="1">
      <c r="A367" s="23"/>
      <c r="B367" s="23"/>
      <c r="C367" s="23"/>
      <c r="D367" s="23"/>
      <c r="E367" s="5" t="s">
        <v>3502</v>
      </c>
      <c r="F367" s="12" t="s">
        <v>3503</v>
      </c>
      <c r="G367" s="5" t="s">
        <v>566</v>
      </c>
      <c r="H367" s="5" t="s">
        <v>3504</v>
      </c>
      <c r="I367" s="13" t="s">
        <v>3505</v>
      </c>
      <c r="J367" s="13" t="s">
        <v>2096</v>
      </c>
      <c r="K367" s="13" t="s">
        <v>2095</v>
      </c>
      <c r="L367" s="13" t="s">
        <v>2095</v>
      </c>
      <c r="M367" s="13" t="s">
        <v>2169</v>
      </c>
      <c r="N367" s="80"/>
      <c r="O367" s="736">
        <v>3</v>
      </c>
      <c r="P367" s="13"/>
      <c r="Q367" s="228" t="s">
        <v>2968</v>
      </c>
      <c r="R367" s="744">
        <v>2</v>
      </c>
    </row>
    <row r="368" spans="1:18" ht="35.1" customHeight="1">
      <c r="A368" s="23"/>
      <c r="B368" s="23"/>
      <c r="C368" s="23"/>
      <c r="D368" s="23"/>
      <c r="E368" s="857" t="s">
        <v>3506</v>
      </c>
      <c r="F368" s="870" t="s">
        <v>3507</v>
      </c>
      <c r="G368" s="857" t="s">
        <v>584</v>
      </c>
      <c r="H368" s="857" t="s">
        <v>3508</v>
      </c>
      <c r="I368" s="858" t="s">
        <v>3509</v>
      </c>
      <c r="J368" s="858" t="s">
        <v>857</v>
      </c>
      <c r="K368" s="858" t="s">
        <v>857</v>
      </c>
      <c r="L368" s="858"/>
      <c r="M368" s="858" t="s">
        <v>2169</v>
      </c>
      <c r="N368" s="859"/>
      <c r="O368" s="870"/>
      <c r="P368" s="858"/>
      <c r="Q368" s="872"/>
      <c r="R368" s="858">
        <v>2</v>
      </c>
    </row>
    <row r="369" spans="1:18" ht="35.1" customHeight="1">
      <c r="A369" s="23"/>
      <c r="B369" s="23"/>
      <c r="C369" s="23"/>
      <c r="D369" s="23"/>
      <c r="E369" s="5" t="s">
        <v>3510</v>
      </c>
      <c r="F369" s="12" t="s">
        <v>3511</v>
      </c>
      <c r="G369" s="5" t="s">
        <v>500</v>
      </c>
      <c r="H369" s="5" t="s">
        <v>3512</v>
      </c>
      <c r="I369" s="12" t="s">
        <v>3513</v>
      </c>
      <c r="J369" s="13" t="s">
        <v>2095</v>
      </c>
      <c r="K369" s="13" t="s">
        <v>2096</v>
      </c>
      <c r="L369" s="13" t="s">
        <v>2095</v>
      </c>
      <c r="M369" s="13" t="s">
        <v>3458</v>
      </c>
      <c r="N369" s="80"/>
      <c r="O369" s="736">
        <v>3</v>
      </c>
      <c r="P369" s="13"/>
      <c r="Q369" s="228" t="s">
        <v>3501</v>
      </c>
      <c r="R369" s="744">
        <v>2</v>
      </c>
    </row>
    <row r="370" spans="1:18" ht="35.1" customHeight="1">
      <c r="A370" s="23"/>
      <c r="B370" s="23"/>
      <c r="C370" s="23"/>
      <c r="D370" s="23"/>
      <c r="E370" s="5" t="s">
        <v>3514</v>
      </c>
      <c r="F370" s="12" t="s">
        <v>3515</v>
      </c>
      <c r="G370" s="5" t="s">
        <v>500</v>
      </c>
      <c r="H370" s="5" t="s">
        <v>3516</v>
      </c>
      <c r="I370" s="12" t="s">
        <v>3513</v>
      </c>
      <c r="J370" s="13" t="s">
        <v>2095</v>
      </c>
      <c r="K370" s="13" t="s">
        <v>2096</v>
      </c>
      <c r="L370" s="13" t="s">
        <v>2095</v>
      </c>
      <c r="M370" s="13" t="s">
        <v>3458</v>
      </c>
      <c r="N370" s="80"/>
      <c r="O370" s="736">
        <v>3</v>
      </c>
      <c r="P370" s="13"/>
      <c r="Q370" s="228" t="s">
        <v>3501</v>
      </c>
      <c r="R370" s="744">
        <v>2</v>
      </c>
    </row>
    <row r="371" spans="1:18" ht="35.1" customHeight="1">
      <c r="A371" s="23"/>
      <c r="B371" s="23"/>
      <c r="C371" s="23"/>
      <c r="D371" s="23"/>
      <c r="E371" s="5" t="s">
        <v>3517</v>
      </c>
      <c r="F371" s="12" t="s">
        <v>3518</v>
      </c>
      <c r="G371" s="5" t="s">
        <v>500</v>
      </c>
      <c r="H371" s="5" t="s">
        <v>3519</v>
      </c>
      <c r="I371" s="12" t="s">
        <v>3513</v>
      </c>
      <c r="J371" s="13" t="s">
        <v>2095</v>
      </c>
      <c r="K371" s="13" t="s">
        <v>2096</v>
      </c>
      <c r="L371" s="13" t="s">
        <v>2095</v>
      </c>
      <c r="M371" s="13" t="s">
        <v>3458</v>
      </c>
      <c r="N371" s="80"/>
      <c r="O371" s="736">
        <v>3</v>
      </c>
      <c r="P371" s="13"/>
      <c r="Q371" s="228" t="s">
        <v>3501</v>
      </c>
      <c r="R371" s="744">
        <v>2</v>
      </c>
    </row>
    <row r="372" spans="1:18" ht="35.1" customHeight="1">
      <c r="A372" s="23"/>
      <c r="B372" s="23"/>
      <c r="C372" s="23"/>
      <c r="D372" s="23"/>
      <c r="E372" s="5" t="s">
        <v>3520</v>
      </c>
      <c r="F372" s="12" t="s">
        <v>3521</v>
      </c>
      <c r="G372" s="5" t="s">
        <v>500</v>
      </c>
      <c r="H372" s="5" t="s">
        <v>3522</v>
      </c>
      <c r="I372" s="12" t="s">
        <v>3523</v>
      </c>
      <c r="J372" s="13" t="s">
        <v>2096</v>
      </c>
      <c r="K372" s="13" t="s">
        <v>2095</v>
      </c>
      <c r="L372" s="13" t="s">
        <v>2095</v>
      </c>
      <c r="M372" s="13" t="s">
        <v>3458</v>
      </c>
      <c r="N372" s="80"/>
      <c r="O372" s="736">
        <v>3</v>
      </c>
      <c r="P372" s="13"/>
      <c r="Q372" s="228" t="s">
        <v>3501</v>
      </c>
      <c r="R372" s="744">
        <v>2</v>
      </c>
    </row>
    <row r="373" spans="1:18" ht="35.1" customHeight="1">
      <c r="A373" s="23"/>
      <c r="B373" s="23"/>
      <c r="C373" s="23"/>
      <c r="D373" s="23"/>
      <c r="E373" s="5" t="s">
        <v>3524</v>
      </c>
      <c r="F373" s="12" t="s">
        <v>3525</v>
      </c>
      <c r="G373" s="5" t="s">
        <v>500</v>
      </c>
      <c r="H373" s="5" t="s">
        <v>3526</v>
      </c>
      <c r="I373" s="12" t="s">
        <v>3527</v>
      </c>
      <c r="J373" s="13" t="s">
        <v>2096</v>
      </c>
      <c r="K373" s="13" t="s">
        <v>2095</v>
      </c>
      <c r="L373" s="13" t="s">
        <v>2095</v>
      </c>
      <c r="M373" s="13" t="s">
        <v>3458</v>
      </c>
      <c r="N373" s="80"/>
      <c r="O373" s="736">
        <v>3</v>
      </c>
      <c r="P373" s="13"/>
      <c r="Q373" s="228" t="s">
        <v>3501</v>
      </c>
      <c r="R373" s="744">
        <v>2</v>
      </c>
    </row>
    <row r="374" spans="1:18" ht="92.45" customHeight="1">
      <c r="A374" s="23"/>
      <c r="B374" s="23"/>
      <c r="C374" s="23"/>
      <c r="D374" s="23"/>
      <c r="E374" s="5" t="s">
        <v>3528</v>
      </c>
      <c r="F374" s="12" t="s">
        <v>3529</v>
      </c>
      <c r="G374" s="5" t="s">
        <v>500</v>
      </c>
      <c r="H374" s="5" t="s">
        <v>3530</v>
      </c>
      <c r="I374" s="12" t="s">
        <v>3531</v>
      </c>
      <c r="J374" s="13" t="s">
        <v>3532</v>
      </c>
      <c r="K374" s="13" t="s">
        <v>3533</v>
      </c>
      <c r="L374" s="13" t="s">
        <v>3533</v>
      </c>
      <c r="M374" s="13" t="s">
        <v>3458</v>
      </c>
      <c r="N374" s="80"/>
      <c r="O374" s="736">
        <v>3</v>
      </c>
      <c r="P374" s="13" t="s">
        <v>3534</v>
      </c>
      <c r="Q374" s="228" t="s">
        <v>3535</v>
      </c>
      <c r="R374" s="744">
        <v>2</v>
      </c>
    </row>
    <row r="375" spans="1:18" ht="35.1" customHeight="1">
      <c r="A375" s="23"/>
      <c r="B375" s="23"/>
      <c r="C375" s="23"/>
      <c r="D375" s="23"/>
      <c r="E375" s="5" t="s">
        <v>3536</v>
      </c>
      <c r="F375" s="12" t="s">
        <v>3537</v>
      </c>
      <c r="G375" s="5" t="s">
        <v>500</v>
      </c>
      <c r="H375" s="5" t="s">
        <v>3538</v>
      </c>
      <c r="I375" s="12" t="s">
        <v>3513</v>
      </c>
      <c r="J375" s="13" t="s">
        <v>2095</v>
      </c>
      <c r="K375" s="13" t="s">
        <v>2096</v>
      </c>
      <c r="L375" s="13" t="s">
        <v>2095</v>
      </c>
      <c r="M375" s="13" t="s">
        <v>3458</v>
      </c>
      <c r="N375" s="80"/>
      <c r="O375" s="736">
        <v>3</v>
      </c>
      <c r="P375" s="13"/>
      <c r="Q375" s="228" t="s">
        <v>3501</v>
      </c>
      <c r="R375" s="744">
        <v>2</v>
      </c>
    </row>
    <row r="376" spans="1:18" ht="35.1" customHeight="1">
      <c r="A376" s="23"/>
      <c r="B376" s="23"/>
      <c r="C376" s="23"/>
      <c r="D376" s="23"/>
      <c r="E376" s="5" t="s">
        <v>3539</v>
      </c>
      <c r="F376" s="12" t="s">
        <v>3540</v>
      </c>
      <c r="G376" s="5" t="s">
        <v>500</v>
      </c>
      <c r="H376" s="5" t="s">
        <v>3541</v>
      </c>
      <c r="I376" s="12" t="s">
        <v>3542</v>
      </c>
      <c r="J376" s="13" t="s">
        <v>2096</v>
      </c>
      <c r="K376" s="13" t="s">
        <v>2095</v>
      </c>
      <c r="L376" s="13" t="s">
        <v>2095</v>
      </c>
      <c r="M376" s="13" t="s">
        <v>3458</v>
      </c>
      <c r="N376" s="80"/>
      <c r="O376" s="736">
        <v>3</v>
      </c>
      <c r="P376" s="13"/>
      <c r="Q376" s="228" t="s">
        <v>3501</v>
      </c>
      <c r="R376" s="744">
        <v>2</v>
      </c>
    </row>
    <row r="377" spans="1:18" ht="35.1" customHeight="1">
      <c r="A377" s="23"/>
      <c r="B377" s="23"/>
      <c r="C377" s="23"/>
      <c r="D377" s="23"/>
      <c r="E377" s="5" t="s">
        <v>3543</v>
      </c>
      <c r="F377" s="12" t="s">
        <v>3544</v>
      </c>
      <c r="G377" s="5" t="s">
        <v>500</v>
      </c>
      <c r="H377" s="5" t="s">
        <v>3545</v>
      </c>
      <c r="I377" s="12" t="s">
        <v>3527</v>
      </c>
      <c r="J377" s="13" t="s">
        <v>2096</v>
      </c>
      <c r="K377" s="13" t="s">
        <v>2095</v>
      </c>
      <c r="L377" s="13" t="s">
        <v>2095</v>
      </c>
      <c r="M377" s="13" t="s">
        <v>3458</v>
      </c>
      <c r="N377" s="80"/>
      <c r="O377" s="736">
        <v>3</v>
      </c>
      <c r="P377" s="13"/>
      <c r="Q377" s="228" t="s">
        <v>3501</v>
      </c>
      <c r="R377" s="744">
        <v>2</v>
      </c>
    </row>
    <row r="378" spans="1:18" ht="35.1" customHeight="1">
      <c r="A378" s="23"/>
      <c r="B378" s="23"/>
      <c r="C378" s="23"/>
      <c r="D378" s="23"/>
      <c r="E378" s="5" t="s">
        <v>3546</v>
      </c>
      <c r="F378" s="12" t="s">
        <v>3547</v>
      </c>
      <c r="G378" s="5" t="s">
        <v>500</v>
      </c>
      <c r="H378" s="5" t="s">
        <v>3548</v>
      </c>
      <c r="I378" s="12" t="s">
        <v>3549</v>
      </c>
      <c r="J378" s="13" t="s">
        <v>2095</v>
      </c>
      <c r="K378" s="13" t="s">
        <v>2096</v>
      </c>
      <c r="L378" s="13" t="s">
        <v>2095</v>
      </c>
      <c r="M378" s="13" t="s">
        <v>3458</v>
      </c>
      <c r="N378" s="80"/>
      <c r="O378" s="736">
        <v>3</v>
      </c>
      <c r="P378" s="13"/>
      <c r="Q378" s="228" t="s">
        <v>3550</v>
      </c>
      <c r="R378" s="744">
        <v>2</v>
      </c>
    </row>
    <row r="379" spans="1:18" ht="35.1" customHeight="1">
      <c r="A379" s="23"/>
      <c r="B379" s="23"/>
      <c r="C379" s="23"/>
      <c r="D379" s="23"/>
      <c r="E379" s="5" t="s">
        <v>3551</v>
      </c>
      <c r="F379" s="12" t="s">
        <v>3552</v>
      </c>
      <c r="G379" s="5" t="s">
        <v>500</v>
      </c>
      <c r="H379" s="5" t="s">
        <v>3553</v>
      </c>
      <c r="I379" s="12" t="s">
        <v>3549</v>
      </c>
      <c r="J379" s="13" t="s">
        <v>2095</v>
      </c>
      <c r="K379" s="13" t="s">
        <v>2096</v>
      </c>
      <c r="L379" s="13" t="s">
        <v>2095</v>
      </c>
      <c r="M379" s="13" t="s">
        <v>3458</v>
      </c>
      <c r="N379" s="80"/>
      <c r="O379" s="736">
        <v>3</v>
      </c>
      <c r="P379" s="13"/>
      <c r="Q379" s="228" t="s">
        <v>3501</v>
      </c>
      <c r="R379" s="744">
        <v>2</v>
      </c>
    </row>
    <row r="380" spans="1:18" ht="35.1" customHeight="1">
      <c r="A380" s="23"/>
      <c r="B380" s="23"/>
      <c r="C380" s="23"/>
      <c r="D380" s="23"/>
      <c r="E380" s="5" t="s">
        <v>3554</v>
      </c>
      <c r="F380" s="12" t="s">
        <v>3555</v>
      </c>
      <c r="G380" s="5" t="s">
        <v>500</v>
      </c>
      <c r="H380" s="5" t="s">
        <v>3556</v>
      </c>
      <c r="I380" s="12" t="s">
        <v>3549</v>
      </c>
      <c r="J380" s="13" t="s">
        <v>2095</v>
      </c>
      <c r="K380" s="13" t="s">
        <v>2096</v>
      </c>
      <c r="L380" s="13" t="s">
        <v>2095</v>
      </c>
      <c r="M380" s="13" t="s">
        <v>3458</v>
      </c>
      <c r="N380" s="80"/>
      <c r="O380" s="736">
        <v>3</v>
      </c>
      <c r="P380" s="13"/>
      <c r="Q380" s="228" t="s">
        <v>3501</v>
      </c>
      <c r="R380" s="744">
        <v>2</v>
      </c>
    </row>
    <row r="381" spans="1:18" ht="35.1" customHeight="1">
      <c r="A381" s="23"/>
      <c r="B381" s="23"/>
      <c r="C381" s="23"/>
      <c r="D381" s="23"/>
      <c r="E381" s="5" t="s">
        <v>3557</v>
      </c>
      <c r="F381" s="12" t="s">
        <v>3558</v>
      </c>
      <c r="G381" s="5" t="s">
        <v>500</v>
      </c>
      <c r="H381" s="5" t="s">
        <v>3559</v>
      </c>
      <c r="I381" s="12" t="s">
        <v>3549</v>
      </c>
      <c r="J381" s="13" t="s">
        <v>2095</v>
      </c>
      <c r="K381" s="13" t="s">
        <v>2096</v>
      </c>
      <c r="L381" s="13" t="s">
        <v>2095</v>
      </c>
      <c r="M381" s="13" t="s">
        <v>3458</v>
      </c>
      <c r="N381" s="80"/>
      <c r="O381" s="736">
        <v>3</v>
      </c>
      <c r="P381" s="13"/>
      <c r="Q381" s="228" t="s">
        <v>3501</v>
      </c>
      <c r="R381" s="744">
        <v>2</v>
      </c>
    </row>
    <row r="382" spans="1:18" ht="129.94999999999999" customHeight="1">
      <c r="A382" s="23"/>
      <c r="B382" s="23"/>
      <c r="C382" s="23"/>
      <c r="D382" s="23"/>
      <c r="E382" s="5" t="s">
        <v>3560</v>
      </c>
      <c r="F382" s="12" t="s">
        <v>3561</v>
      </c>
      <c r="G382" s="5" t="s">
        <v>500</v>
      </c>
      <c r="H382" s="5" t="s">
        <v>3562</v>
      </c>
      <c r="I382" s="12" t="s">
        <v>3563</v>
      </c>
      <c r="J382" s="13" t="s">
        <v>2095</v>
      </c>
      <c r="K382" s="13" t="s">
        <v>2096</v>
      </c>
      <c r="L382" s="13" t="s">
        <v>2095</v>
      </c>
      <c r="M382" s="13" t="s">
        <v>3458</v>
      </c>
      <c r="N382" s="80"/>
      <c r="O382" s="12">
        <v>330</v>
      </c>
      <c r="P382" s="13"/>
      <c r="Q382" s="228" t="s">
        <v>3564</v>
      </c>
      <c r="R382" s="13">
        <v>0</v>
      </c>
    </row>
    <row r="383" spans="1:18" ht="180.6" customHeight="1">
      <c r="A383" s="23"/>
      <c r="B383" s="23"/>
      <c r="C383" s="23"/>
      <c r="D383" s="23"/>
      <c r="E383" s="5" t="s">
        <v>3565</v>
      </c>
      <c r="F383" s="736" t="s">
        <v>3566</v>
      </c>
      <c r="G383" s="5" t="s">
        <v>500</v>
      </c>
      <c r="H383" s="5" t="s">
        <v>3567</v>
      </c>
      <c r="I383" s="12" t="s">
        <v>3568</v>
      </c>
      <c r="J383" s="13" t="s">
        <v>3569</v>
      </c>
      <c r="K383" s="13" t="s">
        <v>2096</v>
      </c>
      <c r="L383" s="13"/>
      <c r="M383" s="13" t="s">
        <v>3458</v>
      </c>
      <c r="N383" s="80"/>
      <c r="O383" s="12"/>
      <c r="P383" s="13"/>
      <c r="Q383" s="228" t="s">
        <v>3570</v>
      </c>
      <c r="R383" s="744">
        <v>2</v>
      </c>
    </row>
    <row r="384" spans="1:18" ht="180.6" customHeight="1">
      <c r="A384" s="23"/>
      <c r="B384" s="23"/>
      <c r="C384" s="23"/>
      <c r="D384" s="23"/>
      <c r="E384" s="5" t="s">
        <v>3571</v>
      </c>
      <c r="F384" s="736" t="s">
        <v>3572</v>
      </c>
      <c r="G384" s="5" t="s">
        <v>500</v>
      </c>
      <c r="H384" s="5" t="s">
        <v>3573</v>
      </c>
      <c r="I384" s="12" t="s">
        <v>3574</v>
      </c>
      <c r="J384" s="13" t="s">
        <v>3569</v>
      </c>
      <c r="K384" s="13" t="s">
        <v>2096</v>
      </c>
      <c r="L384" s="13"/>
      <c r="M384" s="13" t="s">
        <v>3458</v>
      </c>
      <c r="N384" s="80"/>
      <c r="O384" s="12"/>
      <c r="P384" s="13"/>
      <c r="Q384" s="228" t="s">
        <v>3575</v>
      </c>
      <c r="R384" s="744">
        <v>2</v>
      </c>
    </row>
    <row r="385" spans="1:18" ht="287.10000000000002" customHeight="1">
      <c r="A385" s="23"/>
      <c r="B385" s="23"/>
      <c r="C385" s="23"/>
      <c r="D385" s="23"/>
      <c r="E385" s="5" t="s">
        <v>3576</v>
      </c>
      <c r="F385" s="736" t="s">
        <v>3577</v>
      </c>
      <c r="G385" s="5" t="s">
        <v>500</v>
      </c>
      <c r="H385" s="5" t="s">
        <v>3578</v>
      </c>
      <c r="I385" s="12" t="s">
        <v>3579</v>
      </c>
      <c r="J385" s="13" t="s">
        <v>2096</v>
      </c>
      <c r="K385" s="13" t="s">
        <v>3569</v>
      </c>
      <c r="L385" s="13"/>
      <c r="M385" s="13" t="s">
        <v>3458</v>
      </c>
      <c r="N385" s="80"/>
      <c r="O385" s="12"/>
      <c r="P385" s="13"/>
      <c r="Q385" s="228" t="s">
        <v>3580</v>
      </c>
      <c r="R385" s="744">
        <v>2</v>
      </c>
    </row>
    <row r="386" spans="1:18" ht="60" customHeight="1">
      <c r="A386" s="23"/>
      <c r="B386" s="23"/>
      <c r="C386" s="23"/>
      <c r="D386" s="23"/>
      <c r="E386" s="5" t="s">
        <v>3581</v>
      </c>
      <c r="F386" s="12" t="s">
        <v>3582</v>
      </c>
      <c r="G386" s="5" t="s">
        <v>500</v>
      </c>
      <c r="H386" s="5" t="s">
        <v>3583</v>
      </c>
      <c r="I386" s="12" t="s">
        <v>3584</v>
      </c>
      <c r="J386" s="13" t="s">
        <v>2095</v>
      </c>
      <c r="K386" s="13" t="s">
        <v>2096</v>
      </c>
      <c r="L386" s="13" t="s">
        <v>2095</v>
      </c>
      <c r="M386" s="13" t="s">
        <v>3458</v>
      </c>
      <c r="N386" s="80"/>
      <c r="O386" s="12">
        <v>0</v>
      </c>
      <c r="P386" s="13"/>
      <c r="Q386" s="228" t="s">
        <v>3585</v>
      </c>
      <c r="R386" s="13">
        <v>1</v>
      </c>
    </row>
    <row r="387" spans="1:18" ht="208.5" customHeight="1">
      <c r="A387" s="23"/>
      <c r="B387" s="23"/>
      <c r="C387" s="23"/>
      <c r="D387" s="23"/>
      <c r="E387" s="5" t="s">
        <v>3586</v>
      </c>
      <c r="F387" s="736" t="s">
        <v>3587</v>
      </c>
      <c r="G387" s="5" t="s">
        <v>500</v>
      </c>
      <c r="H387" s="5" t="s">
        <v>3588</v>
      </c>
      <c r="I387" s="12" t="s">
        <v>3589</v>
      </c>
      <c r="J387" s="13" t="s">
        <v>2096</v>
      </c>
      <c r="K387" s="13" t="s">
        <v>2095</v>
      </c>
      <c r="L387" s="13" t="s">
        <v>2095</v>
      </c>
      <c r="M387" s="13" t="s">
        <v>3458</v>
      </c>
      <c r="N387" s="80"/>
      <c r="O387" s="736">
        <v>3</v>
      </c>
      <c r="P387" s="13"/>
      <c r="Q387" s="228" t="s">
        <v>3590</v>
      </c>
      <c r="R387" s="744">
        <v>2</v>
      </c>
    </row>
    <row r="388" spans="1:18" ht="139.5" customHeight="1">
      <c r="A388" s="23"/>
      <c r="B388" s="23"/>
      <c r="C388" s="23"/>
      <c r="D388" s="23"/>
      <c r="E388" s="5" t="s">
        <v>3591</v>
      </c>
      <c r="F388" s="736" t="s">
        <v>3592</v>
      </c>
      <c r="G388" s="5" t="s">
        <v>500</v>
      </c>
      <c r="H388" s="5" t="s">
        <v>3593</v>
      </c>
      <c r="I388" s="12" t="s">
        <v>3594</v>
      </c>
      <c r="J388" s="13" t="s">
        <v>2095</v>
      </c>
      <c r="K388" s="13" t="s">
        <v>2096</v>
      </c>
      <c r="L388" s="13" t="s">
        <v>2095</v>
      </c>
      <c r="M388" s="13" t="s">
        <v>3458</v>
      </c>
      <c r="N388" s="80"/>
      <c r="O388" s="736">
        <v>3</v>
      </c>
      <c r="P388" s="13"/>
      <c r="Q388" s="228" t="s">
        <v>3595</v>
      </c>
      <c r="R388" s="744">
        <v>2</v>
      </c>
    </row>
    <row r="389" spans="1:18" ht="35.1" customHeight="1">
      <c r="A389" s="23"/>
      <c r="B389" s="23"/>
      <c r="C389" s="23"/>
      <c r="D389" s="23"/>
      <c r="E389" s="5" t="s">
        <v>3596</v>
      </c>
      <c r="F389" s="12" t="s">
        <v>3597</v>
      </c>
      <c r="G389" s="5" t="s">
        <v>500</v>
      </c>
      <c r="H389" s="5" t="s">
        <v>3598</v>
      </c>
      <c r="I389" s="12" t="s">
        <v>3599</v>
      </c>
      <c r="J389" s="13" t="s">
        <v>2095</v>
      </c>
      <c r="K389" s="13" t="s">
        <v>2096</v>
      </c>
      <c r="L389" s="13" t="s">
        <v>2095</v>
      </c>
      <c r="M389" s="13" t="s">
        <v>3458</v>
      </c>
      <c r="N389" s="80"/>
      <c r="O389" s="736">
        <v>3</v>
      </c>
      <c r="P389" s="13"/>
      <c r="Q389" s="228" t="s">
        <v>3600</v>
      </c>
      <c r="R389" s="744">
        <v>2</v>
      </c>
    </row>
    <row r="390" spans="1:18" ht="35.1" customHeight="1">
      <c r="A390" s="23"/>
      <c r="B390" s="23"/>
      <c r="C390" s="23"/>
      <c r="D390" s="23"/>
      <c r="E390" s="5" t="s">
        <v>3601</v>
      </c>
      <c r="F390" s="12" t="s">
        <v>3602</v>
      </c>
      <c r="G390" s="5" t="s">
        <v>500</v>
      </c>
      <c r="H390" s="5" t="s">
        <v>3603</v>
      </c>
      <c r="I390" s="12" t="s">
        <v>3604</v>
      </c>
      <c r="J390" s="13" t="s">
        <v>2095</v>
      </c>
      <c r="K390" s="13" t="s">
        <v>2096</v>
      </c>
      <c r="L390" s="13" t="s">
        <v>2095</v>
      </c>
      <c r="M390" s="13" t="s">
        <v>3458</v>
      </c>
      <c r="N390" s="80"/>
      <c r="O390" s="736">
        <v>3</v>
      </c>
      <c r="P390" s="13"/>
      <c r="Q390" s="228" t="s">
        <v>3600</v>
      </c>
      <c r="R390" s="744">
        <v>2</v>
      </c>
    </row>
    <row r="391" spans="1:18" ht="114.6" customHeight="1">
      <c r="A391" s="23"/>
      <c r="B391" s="23"/>
      <c r="C391" s="23"/>
      <c r="D391" s="23"/>
      <c r="E391" s="5" t="s">
        <v>3605</v>
      </c>
      <c r="F391" s="12" t="s">
        <v>3606</v>
      </c>
      <c r="G391" s="5" t="s">
        <v>500</v>
      </c>
      <c r="H391" s="5" t="s">
        <v>3607</v>
      </c>
      <c r="I391" s="12" t="s">
        <v>3608</v>
      </c>
      <c r="J391" s="13" t="s">
        <v>2095</v>
      </c>
      <c r="K391" s="13" t="s">
        <v>2096</v>
      </c>
      <c r="L391" s="13" t="s">
        <v>2095</v>
      </c>
      <c r="M391" s="13" t="s">
        <v>3458</v>
      </c>
      <c r="N391" s="80"/>
      <c r="O391" s="736">
        <v>3</v>
      </c>
      <c r="P391" s="13"/>
      <c r="Q391" s="228" t="s">
        <v>3609</v>
      </c>
      <c r="R391" s="744">
        <v>2</v>
      </c>
    </row>
    <row r="392" spans="1:18" ht="78.95" customHeight="1">
      <c r="A392" s="23"/>
      <c r="B392" s="23"/>
      <c r="C392" s="23"/>
      <c r="D392" s="23"/>
      <c r="E392" s="857" t="s">
        <v>3610</v>
      </c>
      <c r="F392" s="870" t="s">
        <v>3611</v>
      </c>
      <c r="G392" s="857" t="s">
        <v>500</v>
      </c>
      <c r="H392" s="857" t="s">
        <v>3612</v>
      </c>
      <c r="I392" s="870" t="s">
        <v>3613</v>
      </c>
      <c r="J392" s="858" t="s">
        <v>2096</v>
      </c>
      <c r="K392" s="858" t="s">
        <v>2095</v>
      </c>
      <c r="L392" s="858" t="s">
        <v>2095</v>
      </c>
      <c r="M392" s="858" t="s">
        <v>2169</v>
      </c>
      <c r="N392" s="859"/>
      <c r="O392" s="870">
        <v>3</v>
      </c>
      <c r="P392" s="858"/>
      <c r="Q392" s="872" t="s">
        <v>3614</v>
      </c>
      <c r="R392" s="858">
        <v>2</v>
      </c>
    </row>
    <row r="393" spans="1:18" ht="78.95" customHeight="1">
      <c r="A393" s="23"/>
      <c r="B393" s="23"/>
      <c r="C393" s="23"/>
      <c r="D393" s="23"/>
      <c r="E393" s="857" t="s">
        <v>3615</v>
      </c>
      <c r="F393" s="870" t="s">
        <v>3616</v>
      </c>
      <c r="G393" s="857" t="s">
        <v>500</v>
      </c>
      <c r="H393" s="857" t="s">
        <v>3617</v>
      </c>
      <c r="I393" s="870" t="s">
        <v>3618</v>
      </c>
      <c r="J393" s="858" t="s">
        <v>2096</v>
      </c>
      <c r="K393" s="858" t="s">
        <v>2095</v>
      </c>
      <c r="L393" s="858" t="s">
        <v>2095</v>
      </c>
      <c r="M393" s="858" t="s">
        <v>2169</v>
      </c>
      <c r="N393" s="859"/>
      <c r="O393" s="870">
        <v>3</v>
      </c>
      <c r="P393" s="858"/>
      <c r="Q393" s="872" t="s">
        <v>3619</v>
      </c>
      <c r="R393" s="858">
        <v>2</v>
      </c>
    </row>
    <row r="394" spans="1:18" ht="116.1" customHeight="1">
      <c r="A394" s="23"/>
      <c r="B394" s="23"/>
      <c r="C394" s="23"/>
      <c r="D394" s="23"/>
      <c r="E394" s="5" t="s">
        <v>3620</v>
      </c>
      <c r="F394" s="12" t="s">
        <v>3621</v>
      </c>
      <c r="G394" s="5" t="s">
        <v>500</v>
      </c>
      <c r="H394" s="5" t="s">
        <v>3622</v>
      </c>
      <c r="I394" s="12" t="s">
        <v>3623</v>
      </c>
      <c r="J394" s="13" t="s">
        <v>2095</v>
      </c>
      <c r="K394" s="13" t="s">
        <v>2096</v>
      </c>
      <c r="L394" s="13" t="s">
        <v>2095</v>
      </c>
      <c r="M394" s="13" t="s">
        <v>3458</v>
      </c>
      <c r="N394" s="80"/>
      <c r="O394" s="736">
        <v>3</v>
      </c>
      <c r="P394" s="13"/>
      <c r="Q394" s="228" t="s">
        <v>3624</v>
      </c>
      <c r="R394" s="744">
        <v>2</v>
      </c>
    </row>
    <row r="395" spans="1:18" ht="116.1" customHeight="1">
      <c r="A395" s="23"/>
      <c r="B395" s="23"/>
      <c r="C395" s="23"/>
      <c r="D395" s="23"/>
      <c r="E395" s="5" t="s">
        <v>3625</v>
      </c>
      <c r="F395" s="12" t="s">
        <v>3626</v>
      </c>
      <c r="G395" s="5" t="s">
        <v>500</v>
      </c>
      <c r="H395" s="5" t="s">
        <v>3627</v>
      </c>
      <c r="I395" s="12" t="s">
        <v>3628</v>
      </c>
      <c r="J395" s="13" t="s">
        <v>2095</v>
      </c>
      <c r="K395" s="13" t="s">
        <v>2096</v>
      </c>
      <c r="L395" s="13" t="s">
        <v>2095</v>
      </c>
      <c r="M395" s="13" t="s">
        <v>3458</v>
      </c>
      <c r="N395" s="80"/>
      <c r="O395" s="736">
        <v>3</v>
      </c>
      <c r="P395" s="13" t="s">
        <v>3534</v>
      </c>
      <c r="Q395" s="228" t="s">
        <v>3629</v>
      </c>
      <c r="R395" s="744">
        <v>2</v>
      </c>
    </row>
    <row r="396" spans="1:18" ht="62.45" customHeight="1">
      <c r="A396" s="23"/>
      <c r="B396" s="23"/>
      <c r="C396" s="23"/>
      <c r="D396" s="23"/>
      <c r="E396" s="5" t="s">
        <v>3630</v>
      </c>
      <c r="F396" s="12" t="s">
        <v>3631</v>
      </c>
      <c r="G396" s="5" t="s">
        <v>500</v>
      </c>
      <c r="H396" s="5" t="s">
        <v>3632</v>
      </c>
      <c r="I396" s="12" t="s">
        <v>3633</v>
      </c>
      <c r="J396" s="13" t="s">
        <v>2095</v>
      </c>
      <c r="K396" s="13" t="s">
        <v>2096</v>
      </c>
      <c r="L396" s="13" t="s">
        <v>2095</v>
      </c>
      <c r="M396" s="13" t="s">
        <v>3458</v>
      </c>
      <c r="N396" s="80"/>
      <c r="O396" s="736">
        <v>3</v>
      </c>
      <c r="P396" s="13"/>
      <c r="Q396" s="228" t="s">
        <v>3634</v>
      </c>
      <c r="R396" s="744">
        <v>2</v>
      </c>
    </row>
    <row r="397" spans="1:18" ht="62.45" customHeight="1">
      <c r="A397" s="23"/>
      <c r="B397" s="23"/>
      <c r="C397" s="23"/>
      <c r="D397" s="23"/>
      <c r="E397" s="857" t="s">
        <v>3635</v>
      </c>
      <c r="F397" s="870" t="s">
        <v>3636</v>
      </c>
      <c r="G397" s="857" t="s">
        <v>500</v>
      </c>
      <c r="H397" s="857" t="s">
        <v>3637</v>
      </c>
      <c r="I397" s="870" t="s">
        <v>3638</v>
      </c>
      <c r="J397" s="858" t="s">
        <v>2096</v>
      </c>
      <c r="K397" s="858" t="s">
        <v>3569</v>
      </c>
      <c r="L397" s="858"/>
      <c r="M397" s="858" t="s">
        <v>2169</v>
      </c>
      <c r="N397" s="859"/>
      <c r="O397" s="870"/>
      <c r="P397" s="858"/>
      <c r="Q397" s="872" t="s">
        <v>3619</v>
      </c>
      <c r="R397" s="858">
        <v>2</v>
      </c>
    </row>
    <row r="398" spans="1:18" ht="55.5" customHeight="1">
      <c r="A398" s="855"/>
      <c r="B398" s="855"/>
      <c r="C398" s="855"/>
      <c r="D398" s="855"/>
      <c r="E398" s="731" t="s">
        <v>3639</v>
      </c>
      <c r="F398" s="736" t="s">
        <v>3640</v>
      </c>
      <c r="G398" s="731" t="s">
        <v>500</v>
      </c>
      <c r="H398" s="731" t="s">
        <v>3641</v>
      </c>
      <c r="I398" s="736" t="s">
        <v>3642</v>
      </c>
      <c r="J398" s="744" t="s">
        <v>2095</v>
      </c>
      <c r="K398" s="744" t="s">
        <v>2096</v>
      </c>
      <c r="L398" s="744" t="s">
        <v>2095</v>
      </c>
      <c r="M398" s="744" t="s">
        <v>3458</v>
      </c>
      <c r="N398" s="743"/>
      <c r="O398" s="736">
        <v>0</v>
      </c>
      <c r="P398" s="744"/>
      <c r="Q398" s="746" t="s">
        <v>3643</v>
      </c>
      <c r="R398" s="744">
        <v>2</v>
      </c>
    </row>
    <row r="399" spans="1:18" ht="50.1" customHeight="1">
      <c r="A399" s="23"/>
      <c r="B399" s="23"/>
      <c r="C399" s="23"/>
      <c r="D399" s="23"/>
      <c r="E399" s="5" t="s">
        <v>3644</v>
      </c>
      <c r="F399" s="12" t="s">
        <v>3645</v>
      </c>
      <c r="G399" s="5" t="s">
        <v>525</v>
      </c>
      <c r="H399" s="5" t="s">
        <v>3646</v>
      </c>
      <c r="I399" s="12" t="s">
        <v>3647</v>
      </c>
      <c r="J399" s="13" t="s">
        <v>2095</v>
      </c>
      <c r="K399" s="13" t="s">
        <v>2096</v>
      </c>
      <c r="L399" s="13" t="s">
        <v>2095</v>
      </c>
      <c r="M399" s="13" t="s">
        <v>3458</v>
      </c>
      <c r="N399" s="80"/>
      <c r="O399" s="736">
        <v>3</v>
      </c>
      <c r="P399" s="13"/>
      <c r="Q399" s="228" t="s">
        <v>3459</v>
      </c>
      <c r="R399" s="744">
        <v>2</v>
      </c>
    </row>
    <row r="400" spans="1:18" ht="50.1" customHeight="1">
      <c r="A400" s="23"/>
      <c r="B400" s="23"/>
      <c r="C400" s="23"/>
      <c r="D400" s="23"/>
      <c r="E400" s="5" t="s">
        <v>3648</v>
      </c>
      <c r="F400" s="12" t="s">
        <v>3649</v>
      </c>
      <c r="G400" s="5" t="s">
        <v>3650</v>
      </c>
      <c r="H400" s="5" t="s">
        <v>3651</v>
      </c>
      <c r="I400" s="12" t="s">
        <v>3652</v>
      </c>
      <c r="J400" s="13" t="s">
        <v>2095</v>
      </c>
      <c r="K400" s="13" t="s">
        <v>2096</v>
      </c>
      <c r="L400" s="13" t="s">
        <v>2095</v>
      </c>
      <c r="M400" s="13" t="s">
        <v>3458</v>
      </c>
      <c r="N400" s="80"/>
      <c r="O400" s="736">
        <v>3</v>
      </c>
      <c r="P400" s="13"/>
      <c r="Q400" s="228" t="s">
        <v>3634</v>
      </c>
      <c r="R400" s="744">
        <v>2</v>
      </c>
    </row>
    <row r="401" spans="1:18" ht="50.1" customHeight="1">
      <c r="A401" s="23"/>
      <c r="B401" s="23"/>
      <c r="C401" s="23"/>
      <c r="D401" s="23"/>
      <c r="E401" s="5" t="s">
        <v>3653</v>
      </c>
      <c r="F401" s="12" t="s">
        <v>3654</v>
      </c>
      <c r="G401" s="5" t="s">
        <v>3650</v>
      </c>
      <c r="H401" s="5" t="s">
        <v>3655</v>
      </c>
      <c r="I401" s="12" t="s">
        <v>3656</v>
      </c>
      <c r="J401" s="13" t="s">
        <v>2095</v>
      </c>
      <c r="K401" s="13" t="s">
        <v>2096</v>
      </c>
      <c r="L401" s="13" t="s">
        <v>2095</v>
      </c>
      <c r="M401" s="13" t="s">
        <v>3458</v>
      </c>
      <c r="N401" s="80"/>
      <c r="O401" s="736">
        <v>3</v>
      </c>
      <c r="P401" s="13"/>
      <c r="Q401" s="228" t="s">
        <v>3634</v>
      </c>
      <c r="R401" s="744">
        <v>2</v>
      </c>
    </row>
    <row r="402" spans="1:18" ht="50.1" customHeight="1">
      <c r="A402" s="23"/>
      <c r="B402" s="23"/>
      <c r="C402" s="23"/>
      <c r="D402" s="23"/>
      <c r="E402" s="5" t="s">
        <v>3657</v>
      </c>
      <c r="F402" s="12" t="s">
        <v>3658</v>
      </c>
      <c r="G402" s="5" t="s">
        <v>525</v>
      </c>
      <c r="H402" s="5" t="s">
        <v>3659</v>
      </c>
      <c r="I402" s="12" t="s">
        <v>3660</v>
      </c>
      <c r="J402" s="13" t="s">
        <v>2095</v>
      </c>
      <c r="K402" s="13" t="s">
        <v>2096</v>
      </c>
      <c r="L402" s="13" t="s">
        <v>2095</v>
      </c>
      <c r="M402" s="13" t="s">
        <v>3458</v>
      </c>
      <c r="N402" s="80"/>
      <c r="O402" s="736">
        <v>3</v>
      </c>
      <c r="P402" s="13"/>
      <c r="Q402" s="228" t="s">
        <v>3459</v>
      </c>
      <c r="R402" s="744">
        <v>2</v>
      </c>
    </row>
    <row r="403" spans="1:18" ht="50.1" customHeight="1">
      <c r="A403" s="23"/>
      <c r="B403" s="23"/>
      <c r="C403" s="735" t="s">
        <v>3488</v>
      </c>
      <c r="D403" s="735"/>
      <c r="E403" s="5" t="s">
        <v>3661</v>
      </c>
      <c r="F403" s="12" t="s">
        <v>3662</v>
      </c>
      <c r="G403" s="5" t="s">
        <v>525</v>
      </c>
      <c r="H403" s="5" t="s">
        <v>3663</v>
      </c>
      <c r="I403" s="13" t="s">
        <v>3664</v>
      </c>
      <c r="J403" s="13" t="s">
        <v>2095</v>
      </c>
      <c r="K403" s="13" t="s">
        <v>2096</v>
      </c>
      <c r="L403" s="13" t="s">
        <v>2095</v>
      </c>
      <c r="M403" s="13" t="s">
        <v>3458</v>
      </c>
      <c r="N403" s="80"/>
      <c r="O403" s="736">
        <v>3</v>
      </c>
      <c r="P403" s="13"/>
      <c r="Q403" s="228" t="s">
        <v>3459</v>
      </c>
      <c r="R403" s="744">
        <v>2</v>
      </c>
    </row>
    <row r="404" spans="1:18" ht="50.1" customHeight="1">
      <c r="A404" s="23"/>
      <c r="B404" s="23"/>
      <c r="C404" s="23"/>
      <c r="D404" s="23"/>
      <c r="E404" s="5" t="s">
        <v>3665</v>
      </c>
      <c r="F404" s="12" t="s">
        <v>3666</v>
      </c>
      <c r="G404" s="5" t="s">
        <v>223</v>
      </c>
      <c r="H404" s="5" t="s">
        <v>3667</v>
      </c>
      <c r="I404" s="12" t="s">
        <v>3668</v>
      </c>
      <c r="J404" s="13" t="s">
        <v>2096</v>
      </c>
      <c r="K404" s="13" t="s">
        <v>2095</v>
      </c>
      <c r="L404" s="13" t="s">
        <v>2095</v>
      </c>
      <c r="M404" s="13" t="s">
        <v>2169</v>
      </c>
      <c r="N404" s="80"/>
      <c r="O404" s="736">
        <v>3</v>
      </c>
      <c r="P404" s="13"/>
      <c r="Q404" s="228" t="s">
        <v>2968</v>
      </c>
      <c r="R404" s="744">
        <v>2</v>
      </c>
    </row>
    <row r="405" spans="1:18" ht="50.1" customHeight="1">
      <c r="A405" s="23"/>
      <c r="B405" s="23"/>
      <c r="C405" s="23"/>
      <c r="D405" s="23"/>
      <c r="E405" s="5" t="s">
        <v>3669</v>
      </c>
      <c r="F405" s="12" t="s">
        <v>3670</v>
      </c>
      <c r="G405" s="5" t="s">
        <v>3650</v>
      </c>
      <c r="H405" s="5" t="s">
        <v>3671</v>
      </c>
      <c r="I405" s="12" t="s">
        <v>3672</v>
      </c>
      <c r="J405" s="13" t="s">
        <v>2096</v>
      </c>
      <c r="K405" s="13" t="s">
        <v>2095</v>
      </c>
      <c r="L405" s="13" t="s">
        <v>2095</v>
      </c>
      <c r="M405" s="13" t="s">
        <v>2169</v>
      </c>
      <c r="N405" s="80"/>
      <c r="O405" s="736">
        <v>3</v>
      </c>
      <c r="P405" s="13"/>
      <c r="Q405" s="228" t="s">
        <v>2968</v>
      </c>
      <c r="R405" s="744">
        <v>2</v>
      </c>
    </row>
    <row r="406" spans="1:18" ht="50.1" customHeight="1">
      <c r="A406" s="23"/>
      <c r="B406" s="23"/>
      <c r="C406" s="23"/>
      <c r="D406" s="23"/>
      <c r="E406" s="5" t="s">
        <v>3673</v>
      </c>
      <c r="F406" s="12" t="s">
        <v>3674</v>
      </c>
      <c r="G406" s="5" t="s">
        <v>172</v>
      </c>
      <c r="H406" s="5" t="s">
        <v>3675</v>
      </c>
      <c r="I406" s="12" t="s">
        <v>3676</v>
      </c>
      <c r="J406" s="13" t="s">
        <v>2095</v>
      </c>
      <c r="K406" s="13" t="s">
        <v>2096</v>
      </c>
      <c r="L406" s="13" t="s">
        <v>2095</v>
      </c>
      <c r="M406" s="13" t="s">
        <v>3458</v>
      </c>
      <c r="N406" s="80"/>
      <c r="O406" s="736">
        <v>3</v>
      </c>
      <c r="P406" s="13"/>
      <c r="Q406" s="228" t="s">
        <v>3634</v>
      </c>
      <c r="R406" s="744">
        <v>2</v>
      </c>
    </row>
    <row r="407" spans="1:18" ht="83.45" customHeight="1">
      <c r="A407" s="23"/>
      <c r="B407" s="23"/>
      <c r="C407" s="23"/>
      <c r="D407" s="23"/>
      <c r="E407" s="857" t="s">
        <v>3677</v>
      </c>
      <c r="F407" s="870" t="s">
        <v>3678</v>
      </c>
      <c r="G407" s="857" t="s">
        <v>223</v>
      </c>
      <c r="H407" s="857" t="s">
        <v>3679</v>
      </c>
      <c r="I407" s="870" t="s">
        <v>3680</v>
      </c>
      <c r="J407" s="858" t="s">
        <v>857</v>
      </c>
      <c r="K407" s="858"/>
      <c r="L407" s="858"/>
      <c r="M407" s="858" t="s">
        <v>2169</v>
      </c>
      <c r="N407" s="858"/>
      <c r="O407" s="859"/>
      <c r="P407" s="858"/>
      <c r="Q407" s="872" t="s">
        <v>2963</v>
      </c>
      <c r="R407" s="858">
        <v>2</v>
      </c>
    </row>
    <row r="408" spans="1:18" ht="87" customHeight="1">
      <c r="A408" s="23"/>
      <c r="B408" s="23"/>
      <c r="C408" s="23"/>
      <c r="D408" s="23"/>
      <c r="E408" s="857" t="s">
        <v>3681</v>
      </c>
      <c r="F408" s="870" t="s">
        <v>3682</v>
      </c>
      <c r="G408" s="857" t="s">
        <v>223</v>
      </c>
      <c r="H408" s="857" t="s">
        <v>3683</v>
      </c>
      <c r="I408" s="870" t="s">
        <v>3684</v>
      </c>
      <c r="J408" s="858" t="s">
        <v>857</v>
      </c>
      <c r="K408" s="858"/>
      <c r="L408" s="858"/>
      <c r="M408" s="858" t="s">
        <v>2169</v>
      </c>
      <c r="N408" s="858"/>
      <c r="O408" s="859"/>
      <c r="P408" s="858"/>
      <c r="Q408" s="872" t="s">
        <v>2963</v>
      </c>
      <c r="R408" s="858">
        <v>2</v>
      </c>
    </row>
    <row r="409" spans="1:18" ht="35.1" customHeight="1">
      <c r="A409" s="23"/>
      <c r="B409" s="23"/>
      <c r="C409" s="23"/>
      <c r="D409" s="23"/>
      <c r="E409" s="5" t="s">
        <v>3685</v>
      </c>
      <c r="F409" s="12" t="s">
        <v>3686</v>
      </c>
      <c r="G409" s="5" t="s">
        <v>132</v>
      </c>
      <c r="H409" s="5" t="s">
        <v>3687</v>
      </c>
      <c r="I409" s="12" t="s">
        <v>3688</v>
      </c>
      <c r="J409" s="13" t="s">
        <v>2095</v>
      </c>
      <c r="K409" s="13" t="s">
        <v>2096</v>
      </c>
      <c r="L409" s="13" t="s">
        <v>2095</v>
      </c>
      <c r="M409" s="13" t="s">
        <v>3458</v>
      </c>
      <c r="N409" s="80"/>
      <c r="O409" s="736">
        <v>3</v>
      </c>
      <c r="P409" s="13"/>
      <c r="Q409" s="228" t="s">
        <v>3634</v>
      </c>
      <c r="R409" s="744">
        <v>2</v>
      </c>
    </row>
    <row r="410" spans="1:18" ht="35.1" customHeight="1">
      <c r="A410" s="23"/>
      <c r="B410" s="23"/>
      <c r="C410" s="23"/>
      <c r="D410" s="23"/>
      <c r="E410" s="5" t="s">
        <v>3689</v>
      </c>
      <c r="F410" s="12" t="s">
        <v>3690</v>
      </c>
      <c r="G410" s="5" t="s">
        <v>132</v>
      </c>
      <c r="H410" s="5" t="s">
        <v>3691</v>
      </c>
      <c r="I410" s="12" t="s">
        <v>3692</v>
      </c>
      <c r="J410" s="13" t="s">
        <v>2095</v>
      </c>
      <c r="K410" s="13" t="s">
        <v>2096</v>
      </c>
      <c r="L410" s="13" t="s">
        <v>2095</v>
      </c>
      <c r="M410" s="13" t="s">
        <v>3458</v>
      </c>
      <c r="N410" s="80"/>
      <c r="O410" s="736">
        <v>3</v>
      </c>
      <c r="P410" s="13"/>
      <c r="Q410" s="228" t="s">
        <v>3634</v>
      </c>
      <c r="R410" s="744">
        <v>2</v>
      </c>
    </row>
    <row r="411" spans="1:18" ht="35.1" customHeight="1">
      <c r="A411" s="23"/>
      <c r="B411" s="23"/>
      <c r="C411" s="23"/>
      <c r="D411" s="23"/>
      <c r="E411" s="731" t="s">
        <v>3693</v>
      </c>
      <c r="F411" s="736" t="s">
        <v>3694</v>
      </c>
      <c r="G411" s="731" t="s">
        <v>745</v>
      </c>
      <c r="H411" s="731" t="s">
        <v>3695</v>
      </c>
      <c r="I411" s="736" t="s">
        <v>3696</v>
      </c>
      <c r="J411" s="744" t="s">
        <v>2095</v>
      </c>
      <c r="K411" s="744" t="s">
        <v>2096</v>
      </c>
      <c r="L411" s="744" t="s">
        <v>2095</v>
      </c>
      <c r="M411" s="744" t="s">
        <v>3458</v>
      </c>
      <c r="N411" s="743"/>
      <c r="O411" s="736">
        <v>0</v>
      </c>
      <c r="P411" s="744"/>
      <c r="Q411" s="746"/>
      <c r="R411" s="744">
        <v>2</v>
      </c>
    </row>
    <row r="412" spans="1:18" ht="35.1" customHeight="1">
      <c r="A412" s="23"/>
      <c r="B412" s="23"/>
      <c r="C412" s="23"/>
      <c r="D412" s="23"/>
      <c r="E412" s="731" t="s">
        <v>3697</v>
      </c>
      <c r="F412" s="736" t="s">
        <v>3698</v>
      </c>
      <c r="G412" s="731" t="s">
        <v>745</v>
      </c>
      <c r="H412" s="731" t="s">
        <v>3699</v>
      </c>
      <c r="I412" s="736" t="s">
        <v>3700</v>
      </c>
      <c r="J412" s="744" t="s">
        <v>3701</v>
      </c>
      <c r="K412" s="744" t="s">
        <v>3569</v>
      </c>
      <c r="L412" s="743"/>
      <c r="M412" s="744" t="s">
        <v>3458</v>
      </c>
      <c r="N412" s="743"/>
      <c r="O412" s="736"/>
      <c r="P412" s="744"/>
      <c r="Q412" s="746"/>
      <c r="R412" s="744">
        <v>2</v>
      </c>
    </row>
    <row r="413" spans="1:18" ht="35.1" customHeight="1">
      <c r="A413" s="23"/>
      <c r="B413" s="23"/>
      <c r="C413" s="23"/>
      <c r="D413" s="23"/>
      <c r="E413" s="731" t="s">
        <v>3702</v>
      </c>
      <c r="F413" s="736" t="s">
        <v>3703</v>
      </c>
      <c r="G413" s="731" t="s">
        <v>745</v>
      </c>
      <c r="H413" s="731" t="s">
        <v>3704</v>
      </c>
      <c r="I413" s="736" t="s">
        <v>3705</v>
      </c>
      <c r="J413" s="744" t="s">
        <v>3701</v>
      </c>
      <c r="K413" s="744" t="s">
        <v>3569</v>
      </c>
      <c r="L413" s="743"/>
      <c r="M413" s="744" t="s">
        <v>3458</v>
      </c>
      <c r="N413" s="743"/>
      <c r="O413" s="736"/>
      <c r="P413" s="744"/>
      <c r="Q413" s="746"/>
      <c r="R413" s="744">
        <v>2</v>
      </c>
    </row>
    <row r="414" spans="1:18" ht="35.1" customHeight="1">
      <c r="A414" s="23"/>
      <c r="B414" s="23"/>
      <c r="C414" s="23"/>
      <c r="D414" s="23"/>
      <c r="E414" s="731" t="s">
        <v>3706</v>
      </c>
      <c r="F414" s="736" t="s">
        <v>3707</v>
      </c>
      <c r="G414" s="731" t="s">
        <v>745</v>
      </c>
      <c r="H414" s="731" t="s">
        <v>3708</v>
      </c>
      <c r="I414" s="736" t="s">
        <v>3709</v>
      </c>
      <c r="J414" s="744" t="s">
        <v>2095</v>
      </c>
      <c r="K414" s="744" t="s">
        <v>2096</v>
      </c>
      <c r="L414" s="744" t="s">
        <v>2095</v>
      </c>
      <c r="M414" s="744" t="s">
        <v>3458</v>
      </c>
      <c r="N414" s="743"/>
      <c r="O414" s="736">
        <v>0</v>
      </c>
      <c r="P414" s="744"/>
      <c r="Q414" s="746"/>
      <c r="R414" s="744">
        <v>2</v>
      </c>
    </row>
    <row r="415" spans="1:18" ht="35.1" customHeight="1">
      <c r="A415" s="23"/>
      <c r="B415" s="23"/>
      <c r="C415" s="23"/>
      <c r="D415" s="23"/>
      <c r="E415" s="731" t="s">
        <v>3710</v>
      </c>
      <c r="F415" s="736" t="s">
        <v>3711</v>
      </c>
      <c r="G415" s="731" t="s">
        <v>745</v>
      </c>
      <c r="H415" s="731" t="s">
        <v>3712</v>
      </c>
      <c r="I415" s="736" t="s">
        <v>3713</v>
      </c>
      <c r="J415" s="744" t="s">
        <v>2095</v>
      </c>
      <c r="K415" s="744" t="s">
        <v>2096</v>
      </c>
      <c r="L415" s="743"/>
      <c r="M415" s="744" t="s">
        <v>3458</v>
      </c>
      <c r="N415" s="743"/>
      <c r="O415" s="736"/>
      <c r="P415" s="744"/>
      <c r="Q415" s="746"/>
      <c r="R415" s="744">
        <v>2</v>
      </c>
    </row>
    <row r="416" spans="1:18" ht="35.1" customHeight="1">
      <c r="A416" s="23"/>
      <c r="B416" s="23"/>
      <c r="C416" s="23"/>
      <c r="D416" s="23"/>
      <c r="E416" s="731" t="s">
        <v>3714</v>
      </c>
      <c r="F416" s="736" t="s">
        <v>3715</v>
      </c>
      <c r="G416" s="731" t="s">
        <v>745</v>
      </c>
      <c r="H416" s="731" t="s">
        <v>3716</v>
      </c>
      <c r="I416" s="736" t="s">
        <v>3717</v>
      </c>
      <c r="J416" s="744" t="s">
        <v>2095</v>
      </c>
      <c r="K416" s="744" t="s">
        <v>2096</v>
      </c>
      <c r="L416" s="744" t="s">
        <v>2095</v>
      </c>
      <c r="M416" s="744" t="s">
        <v>3458</v>
      </c>
      <c r="N416" s="743"/>
      <c r="O416" s="736">
        <v>0</v>
      </c>
      <c r="P416" s="744"/>
      <c r="Q416" s="746"/>
      <c r="R416" s="744">
        <v>2</v>
      </c>
    </row>
    <row r="417" spans="1:18" ht="41.45" customHeight="1">
      <c r="A417" s="855"/>
      <c r="B417" s="855"/>
      <c r="C417" s="855"/>
      <c r="D417" s="855"/>
      <c r="E417" s="731" t="s">
        <v>3718</v>
      </c>
      <c r="F417" s="736" t="s">
        <v>3719</v>
      </c>
      <c r="G417" s="731" t="s">
        <v>132</v>
      </c>
      <c r="H417" s="731" t="s">
        <v>3720</v>
      </c>
      <c r="I417" s="736" t="s">
        <v>3721</v>
      </c>
      <c r="J417" s="744" t="s">
        <v>2095</v>
      </c>
      <c r="K417" s="744" t="s">
        <v>2096</v>
      </c>
      <c r="L417" s="744" t="s">
        <v>2095</v>
      </c>
      <c r="M417" s="744" t="s">
        <v>3722</v>
      </c>
      <c r="N417" s="743"/>
      <c r="O417" s="736">
        <v>3</v>
      </c>
      <c r="P417" s="744"/>
      <c r="Q417" s="746" t="s">
        <v>3723</v>
      </c>
      <c r="R417" s="744">
        <v>2</v>
      </c>
    </row>
    <row r="418" spans="1:18" ht="41.45" customHeight="1">
      <c r="A418" s="855"/>
      <c r="B418" s="855"/>
      <c r="C418" s="855"/>
      <c r="D418" s="855"/>
      <c r="E418" s="731" t="s">
        <v>3724</v>
      </c>
      <c r="F418" s="736" t="s">
        <v>3725</v>
      </c>
      <c r="G418" s="731" t="s">
        <v>132</v>
      </c>
      <c r="H418" s="731" t="s">
        <v>3726</v>
      </c>
      <c r="I418" s="736" t="s">
        <v>3727</v>
      </c>
      <c r="J418" s="744" t="s">
        <v>2095</v>
      </c>
      <c r="K418" s="744" t="s">
        <v>2096</v>
      </c>
      <c r="L418" s="744" t="s">
        <v>2095</v>
      </c>
      <c r="M418" s="744" t="s">
        <v>3722</v>
      </c>
      <c r="N418" s="743"/>
      <c r="O418" s="736">
        <v>3</v>
      </c>
      <c r="P418" s="744"/>
      <c r="Q418" s="746" t="s">
        <v>3723</v>
      </c>
      <c r="R418" s="744">
        <v>2</v>
      </c>
    </row>
    <row r="419" spans="1:18" ht="41.45" customHeight="1">
      <c r="A419" s="855"/>
      <c r="B419" s="855"/>
      <c r="C419" s="855"/>
      <c r="D419" s="855"/>
      <c r="E419" s="731" t="s">
        <v>3728</v>
      </c>
      <c r="F419" s="736" t="s">
        <v>3729</v>
      </c>
      <c r="G419" s="731" t="s">
        <v>132</v>
      </c>
      <c r="H419" s="731" t="s">
        <v>3730</v>
      </c>
      <c r="I419" s="736" t="s">
        <v>3731</v>
      </c>
      <c r="J419" s="744" t="s">
        <v>2095</v>
      </c>
      <c r="K419" s="744" t="s">
        <v>2096</v>
      </c>
      <c r="L419" s="744" t="s">
        <v>2095</v>
      </c>
      <c r="M419" s="744" t="s">
        <v>3722</v>
      </c>
      <c r="N419" s="743"/>
      <c r="O419" s="736">
        <v>3</v>
      </c>
      <c r="P419" s="744"/>
      <c r="Q419" s="746" t="s">
        <v>3723</v>
      </c>
      <c r="R419" s="744">
        <v>2</v>
      </c>
    </row>
    <row r="420" spans="1:18" ht="41.45" customHeight="1">
      <c r="A420" s="855"/>
      <c r="B420" s="855"/>
      <c r="C420" s="855"/>
      <c r="D420" s="855"/>
      <c r="E420" s="731" t="s">
        <v>3732</v>
      </c>
      <c r="F420" s="736" t="s">
        <v>3733</v>
      </c>
      <c r="G420" s="731" t="s">
        <v>132</v>
      </c>
      <c r="H420" s="731" t="s">
        <v>3734</v>
      </c>
      <c r="I420" s="736" t="s">
        <v>3735</v>
      </c>
      <c r="J420" s="744" t="s">
        <v>2095</v>
      </c>
      <c r="K420" s="744" t="s">
        <v>2096</v>
      </c>
      <c r="L420" s="744" t="s">
        <v>2095</v>
      </c>
      <c r="M420" s="744" t="s">
        <v>3722</v>
      </c>
      <c r="N420" s="743"/>
      <c r="O420" s="736">
        <v>3</v>
      </c>
      <c r="P420" s="744"/>
      <c r="Q420" s="746" t="s">
        <v>3723</v>
      </c>
      <c r="R420" s="744">
        <v>2</v>
      </c>
    </row>
    <row r="421" spans="1:18" ht="41.45" customHeight="1">
      <c r="A421" s="855"/>
      <c r="B421" s="855"/>
      <c r="C421" s="855"/>
      <c r="D421" s="855"/>
      <c r="E421" s="731" t="s">
        <v>3736</v>
      </c>
      <c r="F421" s="736" t="s">
        <v>3737</v>
      </c>
      <c r="G421" s="731" t="s">
        <v>172</v>
      </c>
      <c r="H421" s="731" t="s">
        <v>3738</v>
      </c>
      <c r="I421" s="736" t="s">
        <v>3739</v>
      </c>
      <c r="J421" s="744" t="s">
        <v>2095</v>
      </c>
      <c r="K421" s="744" t="s">
        <v>2096</v>
      </c>
      <c r="L421" s="744" t="s">
        <v>2095</v>
      </c>
      <c r="M421" s="744" t="s">
        <v>3722</v>
      </c>
      <c r="N421" s="743"/>
      <c r="O421" s="736">
        <v>3</v>
      </c>
      <c r="P421" s="744"/>
      <c r="Q421" s="746" t="s">
        <v>3723</v>
      </c>
      <c r="R421" s="744">
        <v>2</v>
      </c>
    </row>
    <row r="422" spans="1:18" ht="41.45" customHeight="1">
      <c r="A422" s="855"/>
      <c r="B422" s="855"/>
      <c r="C422" s="855"/>
      <c r="D422" s="855"/>
      <c r="E422" s="731" t="s">
        <v>3740</v>
      </c>
      <c r="F422" s="736" t="s">
        <v>3741</v>
      </c>
      <c r="G422" s="731" t="s">
        <v>172</v>
      </c>
      <c r="H422" s="731" t="s">
        <v>3742</v>
      </c>
      <c r="I422" s="736" t="s">
        <v>3743</v>
      </c>
      <c r="J422" s="744" t="s">
        <v>2095</v>
      </c>
      <c r="K422" s="744" t="s">
        <v>2096</v>
      </c>
      <c r="L422" s="744" t="s">
        <v>2095</v>
      </c>
      <c r="M422" s="744" t="s">
        <v>3722</v>
      </c>
      <c r="N422" s="743"/>
      <c r="O422" s="736">
        <v>3</v>
      </c>
      <c r="P422" s="744"/>
      <c r="Q422" s="746" t="s">
        <v>3723</v>
      </c>
      <c r="R422" s="744">
        <v>2</v>
      </c>
    </row>
    <row r="423" spans="1:18" ht="41.45" customHeight="1">
      <c r="A423" s="855"/>
      <c r="B423" s="855"/>
      <c r="C423" s="855"/>
      <c r="D423" s="855"/>
      <c r="E423" s="731" t="s">
        <v>3744</v>
      </c>
      <c r="F423" s="736" t="s">
        <v>3745</v>
      </c>
      <c r="G423" s="731" t="s">
        <v>172</v>
      </c>
      <c r="H423" s="731" t="s">
        <v>3746</v>
      </c>
      <c r="I423" s="736" t="s">
        <v>3747</v>
      </c>
      <c r="J423" s="744" t="s">
        <v>2095</v>
      </c>
      <c r="K423" s="744" t="s">
        <v>2096</v>
      </c>
      <c r="L423" s="744" t="s">
        <v>2095</v>
      </c>
      <c r="M423" s="744" t="s">
        <v>3722</v>
      </c>
      <c r="N423" s="743"/>
      <c r="O423" s="736">
        <v>3</v>
      </c>
      <c r="P423" s="744"/>
      <c r="Q423" s="746" t="s">
        <v>3723</v>
      </c>
      <c r="R423" s="744">
        <v>2</v>
      </c>
    </row>
    <row r="424" spans="1:18" ht="41.45" customHeight="1">
      <c r="A424" s="855"/>
      <c r="B424" s="855"/>
      <c r="C424" s="855"/>
      <c r="D424" s="855"/>
      <c r="E424" s="731" t="s">
        <v>3748</v>
      </c>
      <c r="F424" s="736" t="s">
        <v>3749</v>
      </c>
      <c r="G424" s="731" t="s">
        <v>172</v>
      </c>
      <c r="H424" s="731" t="s">
        <v>3750</v>
      </c>
      <c r="I424" s="736" t="s">
        <v>3751</v>
      </c>
      <c r="J424" s="744" t="s">
        <v>2095</v>
      </c>
      <c r="K424" s="744" t="s">
        <v>2096</v>
      </c>
      <c r="L424" s="744" t="s">
        <v>2095</v>
      </c>
      <c r="M424" s="744" t="s">
        <v>3722</v>
      </c>
      <c r="N424" s="743"/>
      <c r="O424" s="736">
        <v>3</v>
      </c>
      <c r="P424" s="744"/>
      <c r="Q424" s="746" t="s">
        <v>3723</v>
      </c>
      <c r="R424" s="744">
        <v>2</v>
      </c>
    </row>
    <row r="425" spans="1:18" ht="41.45" customHeight="1">
      <c r="A425" s="855"/>
      <c r="B425" s="855"/>
      <c r="C425" s="855"/>
      <c r="D425" s="855"/>
      <c r="E425" s="731" t="s">
        <v>3752</v>
      </c>
      <c r="F425" s="736" t="s">
        <v>3753</v>
      </c>
      <c r="G425" s="731" t="s">
        <v>172</v>
      </c>
      <c r="H425" s="731" t="s">
        <v>3754</v>
      </c>
      <c r="I425" s="736" t="s">
        <v>3755</v>
      </c>
      <c r="J425" s="744" t="s">
        <v>2095</v>
      </c>
      <c r="K425" s="744" t="s">
        <v>2096</v>
      </c>
      <c r="L425" s="744" t="s">
        <v>2095</v>
      </c>
      <c r="M425" s="744" t="s">
        <v>3722</v>
      </c>
      <c r="N425" s="743"/>
      <c r="O425" s="736">
        <v>3</v>
      </c>
      <c r="P425" s="744"/>
      <c r="Q425" s="746" t="s">
        <v>3723</v>
      </c>
      <c r="R425" s="744">
        <v>2</v>
      </c>
    </row>
    <row r="426" spans="1:18" ht="41.45" customHeight="1">
      <c r="A426" s="855"/>
      <c r="B426" s="855"/>
      <c r="C426" s="855"/>
      <c r="D426" s="855"/>
      <c r="E426" s="731" t="s">
        <v>3756</v>
      </c>
      <c r="F426" s="736" t="s">
        <v>3757</v>
      </c>
      <c r="G426" s="731" t="s">
        <v>172</v>
      </c>
      <c r="H426" s="731" t="s">
        <v>3758</v>
      </c>
      <c r="I426" s="736" t="s">
        <v>3759</v>
      </c>
      <c r="J426" s="744" t="s">
        <v>2095</v>
      </c>
      <c r="K426" s="744" t="s">
        <v>2096</v>
      </c>
      <c r="L426" s="744" t="s">
        <v>2095</v>
      </c>
      <c r="M426" s="744" t="s">
        <v>3722</v>
      </c>
      <c r="N426" s="743"/>
      <c r="O426" s="736">
        <v>3</v>
      </c>
      <c r="P426" s="744"/>
      <c r="Q426" s="746" t="s">
        <v>3723</v>
      </c>
      <c r="R426" s="744">
        <v>2</v>
      </c>
    </row>
    <row r="427" spans="1:18" ht="41.45" customHeight="1">
      <c r="A427" s="855"/>
      <c r="B427" s="855"/>
      <c r="C427" s="855"/>
      <c r="D427" s="855"/>
      <c r="E427" s="731" t="s">
        <v>3760</v>
      </c>
      <c r="F427" s="736" t="s">
        <v>3761</v>
      </c>
      <c r="G427" s="731" t="s">
        <v>172</v>
      </c>
      <c r="H427" s="731" t="s">
        <v>3762</v>
      </c>
      <c r="I427" s="736" t="s">
        <v>3763</v>
      </c>
      <c r="J427" s="744" t="s">
        <v>2095</v>
      </c>
      <c r="K427" s="744" t="s">
        <v>2096</v>
      </c>
      <c r="L427" s="744" t="s">
        <v>2095</v>
      </c>
      <c r="M427" s="744" t="s">
        <v>3722</v>
      </c>
      <c r="N427" s="743"/>
      <c r="O427" s="736">
        <v>3</v>
      </c>
      <c r="P427" s="744"/>
      <c r="Q427" s="746" t="s">
        <v>3723</v>
      </c>
      <c r="R427" s="744">
        <v>2</v>
      </c>
    </row>
    <row r="428" spans="1:18" ht="41.45" customHeight="1">
      <c r="A428" s="855"/>
      <c r="B428" s="855"/>
      <c r="C428" s="855"/>
      <c r="D428" s="855"/>
      <c r="E428" s="731" t="s">
        <v>3764</v>
      </c>
      <c r="F428" s="736" t="s">
        <v>3765</v>
      </c>
      <c r="G428" s="731" t="s">
        <v>172</v>
      </c>
      <c r="H428" s="731" t="s">
        <v>3766</v>
      </c>
      <c r="I428" s="736" t="s">
        <v>3767</v>
      </c>
      <c r="J428" s="744" t="s">
        <v>2095</v>
      </c>
      <c r="K428" s="744" t="s">
        <v>2096</v>
      </c>
      <c r="L428" s="744" t="s">
        <v>2095</v>
      </c>
      <c r="M428" s="744" t="s">
        <v>3722</v>
      </c>
      <c r="N428" s="743"/>
      <c r="O428" s="736">
        <v>3</v>
      </c>
      <c r="P428" s="744"/>
      <c r="Q428" s="746" t="s">
        <v>3723</v>
      </c>
      <c r="R428" s="744">
        <v>2</v>
      </c>
    </row>
    <row r="429" spans="1:18" ht="41.45" customHeight="1">
      <c r="A429" s="855"/>
      <c r="B429" s="855"/>
      <c r="C429" s="855"/>
      <c r="D429" s="855"/>
      <c r="E429" s="731" t="s">
        <v>3768</v>
      </c>
      <c r="F429" s="736" t="s">
        <v>3769</v>
      </c>
      <c r="G429" s="731" t="s">
        <v>223</v>
      </c>
      <c r="H429" s="731" t="s">
        <v>3770</v>
      </c>
      <c r="I429" s="736" t="s">
        <v>3771</v>
      </c>
      <c r="J429" s="744" t="s">
        <v>2095</v>
      </c>
      <c r="K429" s="744" t="s">
        <v>2096</v>
      </c>
      <c r="L429" s="744" t="s">
        <v>2095</v>
      </c>
      <c r="M429" s="744" t="s">
        <v>3722</v>
      </c>
      <c r="N429" s="743"/>
      <c r="O429" s="736">
        <v>3</v>
      </c>
      <c r="P429" s="744"/>
      <c r="Q429" s="746" t="s">
        <v>3723</v>
      </c>
      <c r="R429" s="744">
        <v>2</v>
      </c>
    </row>
    <row r="430" spans="1:18" ht="41.45" customHeight="1">
      <c r="A430" s="855"/>
      <c r="B430" s="855"/>
      <c r="C430" s="855"/>
      <c r="D430" s="855"/>
      <c r="E430" s="731" t="s">
        <v>3772</v>
      </c>
      <c r="F430" s="736" t="s">
        <v>3773</v>
      </c>
      <c r="G430" s="731" t="s">
        <v>223</v>
      </c>
      <c r="H430" s="731" t="s">
        <v>3774</v>
      </c>
      <c r="I430" s="736" t="s">
        <v>3775</v>
      </c>
      <c r="J430" s="744" t="s">
        <v>2095</v>
      </c>
      <c r="K430" s="744" t="s">
        <v>2096</v>
      </c>
      <c r="L430" s="744" t="s">
        <v>2095</v>
      </c>
      <c r="M430" s="744" t="s">
        <v>3722</v>
      </c>
      <c r="N430" s="743"/>
      <c r="O430" s="736">
        <v>3</v>
      </c>
      <c r="P430" s="744"/>
      <c r="Q430" s="746" t="s">
        <v>3723</v>
      </c>
      <c r="R430" s="744">
        <v>2</v>
      </c>
    </row>
    <row r="431" spans="1:18" ht="41.45" customHeight="1">
      <c r="A431" s="855"/>
      <c r="B431" s="855"/>
      <c r="C431" s="855"/>
      <c r="D431" s="855"/>
      <c r="E431" s="731" t="s">
        <v>3776</v>
      </c>
      <c r="F431" s="736" t="s">
        <v>3777</v>
      </c>
      <c r="G431" s="731" t="s">
        <v>223</v>
      </c>
      <c r="H431" s="731" t="s">
        <v>3778</v>
      </c>
      <c r="I431" s="736" t="s">
        <v>3779</v>
      </c>
      <c r="J431" s="744" t="s">
        <v>2095</v>
      </c>
      <c r="K431" s="744" t="s">
        <v>2096</v>
      </c>
      <c r="L431" s="744" t="s">
        <v>2095</v>
      </c>
      <c r="M431" s="744" t="s">
        <v>3722</v>
      </c>
      <c r="N431" s="743"/>
      <c r="O431" s="736">
        <v>3</v>
      </c>
      <c r="P431" s="744"/>
      <c r="Q431" s="746" t="s">
        <v>3723</v>
      </c>
      <c r="R431" s="744">
        <v>2</v>
      </c>
    </row>
    <row r="432" spans="1:18" ht="41.45" customHeight="1">
      <c r="A432" s="855"/>
      <c r="B432" s="855"/>
      <c r="C432" s="855"/>
      <c r="D432" s="855"/>
      <c r="E432" s="731" t="s">
        <v>3780</v>
      </c>
      <c r="F432" s="736" t="s">
        <v>3781</v>
      </c>
      <c r="G432" s="731" t="s">
        <v>223</v>
      </c>
      <c r="H432" s="731" t="s">
        <v>3782</v>
      </c>
      <c r="I432" s="736" t="s">
        <v>3783</v>
      </c>
      <c r="J432" s="744" t="s">
        <v>2095</v>
      </c>
      <c r="K432" s="744" t="s">
        <v>2096</v>
      </c>
      <c r="L432" s="744" t="s">
        <v>2095</v>
      </c>
      <c r="M432" s="744" t="s">
        <v>3722</v>
      </c>
      <c r="N432" s="743"/>
      <c r="O432" s="736">
        <v>3</v>
      </c>
      <c r="P432" s="744"/>
      <c r="Q432" s="746" t="s">
        <v>3723</v>
      </c>
      <c r="R432" s="744">
        <v>2</v>
      </c>
    </row>
    <row r="433" spans="1:18" ht="41.45" customHeight="1">
      <c r="A433" s="855"/>
      <c r="B433" s="855"/>
      <c r="C433" s="855"/>
      <c r="D433" s="855"/>
      <c r="E433" s="731" t="s">
        <v>3784</v>
      </c>
      <c r="F433" s="736" t="s">
        <v>3785</v>
      </c>
      <c r="G433" s="731" t="s">
        <v>223</v>
      </c>
      <c r="H433" s="731" t="s">
        <v>3786</v>
      </c>
      <c r="I433" s="736" t="s">
        <v>3787</v>
      </c>
      <c r="J433" s="744" t="s">
        <v>2095</v>
      </c>
      <c r="K433" s="744" t="s">
        <v>2096</v>
      </c>
      <c r="L433" s="744" t="s">
        <v>2095</v>
      </c>
      <c r="M433" s="744" t="s">
        <v>3722</v>
      </c>
      <c r="N433" s="743"/>
      <c r="O433" s="736">
        <v>3</v>
      </c>
      <c r="P433" s="744"/>
      <c r="Q433" s="746" t="s">
        <v>3723</v>
      </c>
      <c r="R433" s="744">
        <v>2</v>
      </c>
    </row>
    <row r="434" spans="1:18" ht="41.45" customHeight="1">
      <c r="A434" s="855"/>
      <c r="B434" s="855"/>
      <c r="C434" s="855"/>
      <c r="D434" s="855"/>
      <c r="E434" s="731" t="s">
        <v>3788</v>
      </c>
      <c r="F434" s="736" t="s">
        <v>3789</v>
      </c>
      <c r="G434" s="731" t="s">
        <v>223</v>
      </c>
      <c r="H434" s="731" t="s">
        <v>3790</v>
      </c>
      <c r="I434" s="736" t="s">
        <v>3791</v>
      </c>
      <c r="J434" s="744" t="s">
        <v>2095</v>
      </c>
      <c r="K434" s="744" t="s">
        <v>2096</v>
      </c>
      <c r="L434" s="744" t="s">
        <v>2095</v>
      </c>
      <c r="M434" s="744" t="s">
        <v>3722</v>
      </c>
      <c r="N434" s="743"/>
      <c r="O434" s="736">
        <v>3</v>
      </c>
      <c r="P434" s="744"/>
      <c r="Q434" s="746" t="s">
        <v>3723</v>
      </c>
      <c r="R434" s="744">
        <v>2</v>
      </c>
    </row>
    <row r="435" spans="1:18" ht="41.45" customHeight="1">
      <c r="A435" s="855"/>
      <c r="B435" s="855"/>
      <c r="C435" s="855"/>
      <c r="D435" s="855"/>
      <c r="E435" s="731" t="s">
        <v>3792</v>
      </c>
      <c r="F435" s="736" t="s">
        <v>3793</v>
      </c>
      <c r="G435" s="731" t="s">
        <v>223</v>
      </c>
      <c r="H435" s="731" t="s">
        <v>3794</v>
      </c>
      <c r="I435" s="736" t="s">
        <v>3795</v>
      </c>
      <c r="J435" s="744" t="s">
        <v>2095</v>
      </c>
      <c r="K435" s="744" t="s">
        <v>2096</v>
      </c>
      <c r="L435" s="744" t="s">
        <v>2095</v>
      </c>
      <c r="M435" s="744" t="s">
        <v>3722</v>
      </c>
      <c r="N435" s="743"/>
      <c r="O435" s="736">
        <v>3</v>
      </c>
      <c r="P435" s="744"/>
      <c r="Q435" s="746" t="s">
        <v>3723</v>
      </c>
      <c r="R435" s="744">
        <v>2</v>
      </c>
    </row>
    <row r="436" spans="1:18" ht="41.45" customHeight="1">
      <c r="A436" s="855"/>
      <c r="B436" s="855"/>
      <c r="C436" s="855"/>
      <c r="D436" s="855"/>
      <c r="E436" s="731" t="s">
        <v>3796</v>
      </c>
      <c r="F436" s="736" t="s">
        <v>3797</v>
      </c>
      <c r="G436" s="731" t="s">
        <v>223</v>
      </c>
      <c r="H436" s="731" t="s">
        <v>3798</v>
      </c>
      <c r="I436" s="736" t="s">
        <v>3799</v>
      </c>
      <c r="J436" s="744" t="s">
        <v>2095</v>
      </c>
      <c r="K436" s="744" t="s">
        <v>2096</v>
      </c>
      <c r="L436" s="744" t="s">
        <v>2095</v>
      </c>
      <c r="M436" s="744" t="s">
        <v>3722</v>
      </c>
      <c r="N436" s="743"/>
      <c r="O436" s="736">
        <v>3</v>
      </c>
      <c r="P436" s="744"/>
      <c r="Q436" s="746" t="s">
        <v>3723</v>
      </c>
      <c r="R436" s="744">
        <v>2</v>
      </c>
    </row>
    <row r="437" spans="1:18" ht="41.45" customHeight="1">
      <c r="A437" s="855"/>
      <c r="B437" s="855"/>
      <c r="C437" s="855"/>
      <c r="D437" s="855"/>
      <c r="E437" s="731" t="s">
        <v>3800</v>
      </c>
      <c r="F437" s="736" t="s">
        <v>3801</v>
      </c>
      <c r="G437" s="731" t="s">
        <v>223</v>
      </c>
      <c r="H437" s="731" t="s">
        <v>3802</v>
      </c>
      <c r="I437" s="736" t="s">
        <v>3803</v>
      </c>
      <c r="J437" s="744" t="s">
        <v>2095</v>
      </c>
      <c r="K437" s="744" t="s">
        <v>2096</v>
      </c>
      <c r="L437" s="744" t="s">
        <v>2095</v>
      </c>
      <c r="M437" s="744" t="s">
        <v>3722</v>
      </c>
      <c r="N437" s="743"/>
      <c r="O437" s="736">
        <v>3</v>
      </c>
      <c r="P437" s="744"/>
      <c r="Q437" s="746" t="s">
        <v>3723</v>
      </c>
      <c r="R437" s="744">
        <v>2</v>
      </c>
    </row>
    <row r="438" spans="1:18" ht="41.45" customHeight="1">
      <c r="A438" s="855"/>
      <c r="B438" s="855"/>
      <c r="C438" s="855"/>
      <c r="D438" s="855"/>
      <c r="E438" s="731" t="s">
        <v>3804</v>
      </c>
      <c r="F438" s="736" t="s">
        <v>3805</v>
      </c>
      <c r="G438" s="731" t="s">
        <v>223</v>
      </c>
      <c r="H438" s="731" t="s">
        <v>3806</v>
      </c>
      <c r="I438" s="736" t="s">
        <v>3807</v>
      </c>
      <c r="J438" s="744" t="s">
        <v>2095</v>
      </c>
      <c r="K438" s="744" t="s">
        <v>2096</v>
      </c>
      <c r="L438" s="744" t="s">
        <v>2095</v>
      </c>
      <c r="M438" s="744" t="s">
        <v>3722</v>
      </c>
      <c r="N438" s="743"/>
      <c r="O438" s="736">
        <v>3</v>
      </c>
      <c r="P438" s="744"/>
      <c r="Q438" s="746" t="s">
        <v>3723</v>
      </c>
      <c r="R438" s="744">
        <v>2</v>
      </c>
    </row>
    <row r="439" spans="1:18" ht="41.45" customHeight="1">
      <c r="A439" s="855"/>
      <c r="B439" s="855"/>
      <c r="C439" s="855"/>
      <c r="D439" s="855"/>
      <c r="E439" s="731" t="s">
        <v>3808</v>
      </c>
      <c r="F439" s="736" t="s">
        <v>3809</v>
      </c>
      <c r="G439" s="731" t="s">
        <v>223</v>
      </c>
      <c r="H439" s="731" t="s">
        <v>3810</v>
      </c>
      <c r="I439" s="736" t="s">
        <v>3811</v>
      </c>
      <c r="J439" s="744" t="s">
        <v>2095</v>
      </c>
      <c r="K439" s="744" t="s">
        <v>2096</v>
      </c>
      <c r="L439" s="744" t="s">
        <v>2095</v>
      </c>
      <c r="M439" s="744" t="s">
        <v>3722</v>
      </c>
      <c r="N439" s="743"/>
      <c r="O439" s="736">
        <v>3</v>
      </c>
      <c r="P439" s="744"/>
      <c r="Q439" s="746" t="s">
        <v>3723</v>
      </c>
      <c r="R439" s="744">
        <v>2</v>
      </c>
    </row>
    <row r="440" spans="1:18" ht="41.45" customHeight="1">
      <c r="A440" s="855"/>
      <c r="B440" s="855"/>
      <c r="C440" s="855"/>
      <c r="D440" s="855"/>
      <c r="E440" s="731" t="s">
        <v>3812</v>
      </c>
      <c r="F440" s="736" t="s">
        <v>3813</v>
      </c>
      <c r="G440" s="731" t="s">
        <v>223</v>
      </c>
      <c r="H440" s="731" t="s">
        <v>3814</v>
      </c>
      <c r="I440" s="736" t="s">
        <v>3815</v>
      </c>
      <c r="J440" s="744" t="s">
        <v>2095</v>
      </c>
      <c r="K440" s="744" t="s">
        <v>2096</v>
      </c>
      <c r="L440" s="744" t="s">
        <v>2095</v>
      </c>
      <c r="M440" s="744" t="s">
        <v>3722</v>
      </c>
      <c r="N440" s="743"/>
      <c r="O440" s="736">
        <v>3</v>
      </c>
      <c r="P440" s="744"/>
      <c r="Q440" s="746" t="s">
        <v>3723</v>
      </c>
      <c r="R440" s="744">
        <v>2</v>
      </c>
    </row>
    <row r="441" spans="1:18" ht="41.45" customHeight="1">
      <c r="A441" s="855"/>
      <c r="B441" s="855"/>
      <c r="C441" s="855"/>
      <c r="D441" s="855"/>
      <c r="E441" s="731" t="s">
        <v>3816</v>
      </c>
      <c r="F441" s="736" t="s">
        <v>3817</v>
      </c>
      <c r="G441" s="731" t="s">
        <v>223</v>
      </c>
      <c r="H441" s="731" t="s">
        <v>3818</v>
      </c>
      <c r="I441" s="736" t="s">
        <v>3819</v>
      </c>
      <c r="J441" s="744" t="s">
        <v>2095</v>
      </c>
      <c r="K441" s="744" t="s">
        <v>2096</v>
      </c>
      <c r="L441" s="744" t="s">
        <v>2095</v>
      </c>
      <c r="M441" s="744" t="s">
        <v>3722</v>
      </c>
      <c r="N441" s="743"/>
      <c r="O441" s="736">
        <v>3</v>
      </c>
      <c r="P441" s="744"/>
      <c r="Q441" s="746" t="s">
        <v>3723</v>
      </c>
      <c r="R441" s="744">
        <v>2</v>
      </c>
    </row>
    <row r="442" spans="1:18" ht="41.45" customHeight="1">
      <c r="A442" s="855"/>
      <c r="B442" s="855"/>
      <c r="C442" s="855"/>
      <c r="D442" s="855"/>
      <c r="E442" s="731" t="s">
        <v>3820</v>
      </c>
      <c r="F442" s="736" t="s">
        <v>3821</v>
      </c>
      <c r="G442" s="731" t="s">
        <v>223</v>
      </c>
      <c r="H442" s="731" t="s">
        <v>3822</v>
      </c>
      <c r="I442" s="736" t="s">
        <v>3823</v>
      </c>
      <c r="J442" s="744" t="s">
        <v>2095</v>
      </c>
      <c r="K442" s="744" t="s">
        <v>2096</v>
      </c>
      <c r="L442" s="744" t="s">
        <v>2095</v>
      </c>
      <c r="M442" s="744" t="s">
        <v>3722</v>
      </c>
      <c r="N442" s="743"/>
      <c r="O442" s="736">
        <v>3</v>
      </c>
      <c r="P442" s="744"/>
      <c r="Q442" s="746" t="s">
        <v>3723</v>
      </c>
      <c r="R442" s="744">
        <v>2</v>
      </c>
    </row>
    <row r="443" spans="1:18" ht="41.45" customHeight="1">
      <c r="A443" s="855"/>
      <c r="B443" s="855"/>
      <c r="C443" s="855"/>
      <c r="D443" s="855"/>
      <c r="E443" s="731" t="s">
        <v>3824</v>
      </c>
      <c r="F443" s="736" t="s">
        <v>3825</v>
      </c>
      <c r="G443" s="731" t="s">
        <v>223</v>
      </c>
      <c r="H443" s="731" t="s">
        <v>3826</v>
      </c>
      <c r="I443" s="736" t="s">
        <v>3827</v>
      </c>
      <c r="J443" s="744" t="s">
        <v>2095</v>
      </c>
      <c r="K443" s="744" t="s">
        <v>2096</v>
      </c>
      <c r="L443" s="744" t="s">
        <v>2095</v>
      </c>
      <c r="M443" s="744" t="s">
        <v>3722</v>
      </c>
      <c r="N443" s="743"/>
      <c r="O443" s="736">
        <v>3</v>
      </c>
      <c r="P443" s="744"/>
      <c r="Q443" s="746" t="s">
        <v>3723</v>
      </c>
      <c r="R443" s="744">
        <v>2</v>
      </c>
    </row>
    <row r="444" spans="1:18" ht="41.45" customHeight="1">
      <c r="A444" s="855"/>
      <c r="B444" s="855"/>
      <c r="C444" s="855"/>
      <c r="D444" s="855"/>
      <c r="E444" s="731" t="s">
        <v>3828</v>
      </c>
      <c r="F444" s="736" t="s">
        <v>3829</v>
      </c>
      <c r="G444" s="731" t="s">
        <v>223</v>
      </c>
      <c r="H444" s="731" t="s">
        <v>3830</v>
      </c>
      <c r="I444" s="736" t="s">
        <v>3831</v>
      </c>
      <c r="J444" s="744" t="s">
        <v>2095</v>
      </c>
      <c r="K444" s="744" t="s">
        <v>2096</v>
      </c>
      <c r="L444" s="744" t="s">
        <v>2095</v>
      </c>
      <c r="M444" s="744" t="s">
        <v>3722</v>
      </c>
      <c r="N444" s="743"/>
      <c r="O444" s="736">
        <v>3</v>
      </c>
      <c r="P444" s="744"/>
      <c r="Q444" s="746" t="s">
        <v>3723</v>
      </c>
      <c r="R444" s="744">
        <v>2</v>
      </c>
    </row>
    <row r="445" spans="1:18" ht="41.45" customHeight="1">
      <c r="A445" s="855"/>
      <c r="B445" s="855"/>
      <c r="C445" s="855"/>
      <c r="D445" s="855"/>
      <c r="E445" s="731" t="s">
        <v>3832</v>
      </c>
      <c r="F445" s="736" t="s">
        <v>3833</v>
      </c>
      <c r="G445" s="731" t="s">
        <v>584</v>
      </c>
      <c r="H445" s="731" t="s">
        <v>3834</v>
      </c>
      <c r="I445" s="736" t="s">
        <v>3835</v>
      </c>
      <c r="J445" s="744" t="s">
        <v>2095</v>
      </c>
      <c r="K445" s="744" t="s">
        <v>2096</v>
      </c>
      <c r="L445" s="744" t="s">
        <v>2095</v>
      </c>
      <c r="M445" s="744" t="s">
        <v>3722</v>
      </c>
      <c r="N445" s="743"/>
      <c r="O445" s="736">
        <v>3</v>
      </c>
      <c r="P445" s="744"/>
      <c r="Q445" s="746" t="s">
        <v>3723</v>
      </c>
      <c r="R445" s="744">
        <v>2</v>
      </c>
    </row>
    <row r="446" spans="1:18" ht="41.45" customHeight="1">
      <c r="A446" s="855"/>
      <c r="B446" s="855"/>
      <c r="C446" s="855"/>
      <c r="D446" s="855"/>
      <c r="E446" s="731" t="s">
        <v>3836</v>
      </c>
      <c r="F446" s="736" t="s">
        <v>3837</v>
      </c>
      <c r="G446" s="731" t="s">
        <v>584</v>
      </c>
      <c r="H446" s="731" t="s">
        <v>3838</v>
      </c>
      <c r="I446" s="736" t="s">
        <v>3839</v>
      </c>
      <c r="J446" s="744" t="s">
        <v>2095</v>
      </c>
      <c r="K446" s="744" t="s">
        <v>2096</v>
      </c>
      <c r="L446" s="744" t="s">
        <v>2095</v>
      </c>
      <c r="M446" s="744" t="s">
        <v>3722</v>
      </c>
      <c r="N446" s="743"/>
      <c r="O446" s="736">
        <v>3</v>
      </c>
      <c r="P446" s="744"/>
      <c r="Q446" s="746" t="s">
        <v>3723</v>
      </c>
      <c r="R446" s="744">
        <v>2</v>
      </c>
    </row>
    <row r="447" spans="1:18" ht="41.45" customHeight="1">
      <c r="A447" s="855"/>
      <c r="B447" s="855"/>
      <c r="C447" s="855"/>
      <c r="D447" s="855"/>
      <c r="E447" s="731" t="s">
        <v>3840</v>
      </c>
      <c r="F447" s="736" t="s">
        <v>3841</v>
      </c>
      <c r="G447" s="731" t="s">
        <v>584</v>
      </c>
      <c r="H447" s="731" t="s">
        <v>3842</v>
      </c>
      <c r="I447" s="736" t="s">
        <v>3843</v>
      </c>
      <c r="J447" s="744" t="s">
        <v>2095</v>
      </c>
      <c r="K447" s="744" t="s">
        <v>2096</v>
      </c>
      <c r="L447" s="744" t="s">
        <v>2095</v>
      </c>
      <c r="M447" s="744" t="s">
        <v>3722</v>
      </c>
      <c r="N447" s="743"/>
      <c r="O447" s="736">
        <v>3</v>
      </c>
      <c r="P447" s="744"/>
      <c r="Q447" s="746" t="s">
        <v>3723</v>
      </c>
      <c r="R447" s="744">
        <v>2</v>
      </c>
    </row>
    <row r="448" spans="1:18" ht="41.45" customHeight="1">
      <c r="A448" s="855"/>
      <c r="B448" s="855"/>
      <c r="C448" s="855"/>
      <c r="D448" s="855"/>
      <c r="E448" s="731" t="s">
        <v>3844</v>
      </c>
      <c r="F448" s="736" t="s">
        <v>3845</v>
      </c>
      <c r="G448" s="731" t="s">
        <v>584</v>
      </c>
      <c r="H448" s="731" t="s">
        <v>3846</v>
      </c>
      <c r="I448" s="736" t="s">
        <v>3847</v>
      </c>
      <c r="J448" s="744" t="s">
        <v>2095</v>
      </c>
      <c r="K448" s="744" t="s">
        <v>2096</v>
      </c>
      <c r="L448" s="744" t="s">
        <v>2095</v>
      </c>
      <c r="M448" s="744" t="s">
        <v>3722</v>
      </c>
      <c r="N448" s="743"/>
      <c r="O448" s="736">
        <v>3</v>
      </c>
      <c r="P448" s="744"/>
      <c r="Q448" s="746" t="s">
        <v>3723</v>
      </c>
      <c r="R448" s="744">
        <v>2</v>
      </c>
    </row>
    <row r="449" spans="1:18" ht="41.45" customHeight="1">
      <c r="A449" s="855"/>
      <c r="B449" s="855"/>
      <c r="C449" s="855"/>
      <c r="D449" s="855"/>
      <c r="E449" s="731" t="s">
        <v>3848</v>
      </c>
      <c r="F449" s="736" t="s">
        <v>3849</v>
      </c>
      <c r="G449" s="731" t="s">
        <v>613</v>
      </c>
      <c r="H449" s="731" t="s">
        <v>3850</v>
      </c>
      <c r="I449" s="736" t="s">
        <v>3851</v>
      </c>
      <c r="J449" s="744" t="s">
        <v>2095</v>
      </c>
      <c r="K449" s="744" t="s">
        <v>2096</v>
      </c>
      <c r="L449" s="744" t="s">
        <v>2095</v>
      </c>
      <c r="M449" s="744" t="s">
        <v>3722</v>
      </c>
      <c r="N449" s="743"/>
      <c r="O449" s="736">
        <v>3</v>
      </c>
      <c r="P449" s="744"/>
      <c r="Q449" s="746" t="s">
        <v>3723</v>
      </c>
      <c r="R449" s="744">
        <v>2</v>
      </c>
    </row>
    <row r="450" spans="1:18" ht="41.45" customHeight="1">
      <c r="A450" s="855"/>
      <c r="B450" s="855"/>
      <c r="C450" s="855"/>
      <c r="D450" s="855"/>
      <c r="E450" s="731" t="s">
        <v>3852</v>
      </c>
      <c r="F450" s="736" t="s">
        <v>3853</v>
      </c>
      <c r="G450" s="731" t="s">
        <v>613</v>
      </c>
      <c r="H450" s="731" t="s">
        <v>3854</v>
      </c>
      <c r="I450" s="736" t="s">
        <v>3855</v>
      </c>
      <c r="J450" s="744" t="s">
        <v>2095</v>
      </c>
      <c r="K450" s="744" t="s">
        <v>2096</v>
      </c>
      <c r="L450" s="744" t="s">
        <v>2095</v>
      </c>
      <c r="M450" s="744" t="s">
        <v>3722</v>
      </c>
      <c r="N450" s="743"/>
      <c r="O450" s="736">
        <v>3</v>
      </c>
      <c r="P450" s="744"/>
      <c r="Q450" s="746" t="s">
        <v>3723</v>
      </c>
      <c r="R450" s="744">
        <v>2</v>
      </c>
    </row>
    <row r="451" spans="1:18" ht="41.45" customHeight="1">
      <c r="A451" s="855"/>
      <c r="B451" s="855"/>
      <c r="C451" s="855"/>
      <c r="D451" s="855"/>
      <c r="E451" s="731" t="s">
        <v>3856</v>
      </c>
      <c r="F451" s="736" t="s">
        <v>3857</v>
      </c>
      <c r="G451" s="731" t="s">
        <v>613</v>
      </c>
      <c r="H451" s="731" t="s">
        <v>3858</v>
      </c>
      <c r="I451" s="736" t="s">
        <v>3859</v>
      </c>
      <c r="J451" s="744" t="s">
        <v>2095</v>
      </c>
      <c r="K451" s="744" t="s">
        <v>2096</v>
      </c>
      <c r="L451" s="744" t="s">
        <v>2095</v>
      </c>
      <c r="M451" s="744" t="s">
        <v>3722</v>
      </c>
      <c r="N451" s="743"/>
      <c r="O451" s="736">
        <v>3</v>
      </c>
      <c r="P451" s="744"/>
      <c r="Q451" s="746" t="s">
        <v>3723</v>
      </c>
      <c r="R451" s="744">
        <v>2</v>
      </c>
    </row>
    <row r="452" spans="1:18" ht="41.45" customHeight="1">
      <c r="A452" s="855"/>
      <c r="B452" s="855"/>
      <c r="C452" s="855"/>
      <c r="D452" s="855"/>
      <c r="E452" s="731" t="s">
        <v>3860</v>
      </c>
      <c r="F452" s="736" t="s">
        <v>3861</v>
      </c>
      <c r="G452" s="731" t="s">
        <v>613</v>
      </c>
      <c r="H452" s="731" t="s">
        <v>3862</v>
      </c>
      <c r="I452" s="736" t="s">
        <v>3863</v>
      </c>
      <c r="J452" s="744" t="s">
        <v>2095</v>
      </c>
      <c r="K452" s="744" t="s">
        <v>2096</v>
      </c>
      <c r="L452" s="744" t="s">
        <v>2095</v>
      </c>
      <c r="M452" s="744" t="s">
        <v>3722</v>
      </c>
      <c r="N452" s="743"/>
      <c r="O452" s="736">
        <v>3</v>
      </c>
      <c r="P452" s="744"/>
      <c r="Q452" s="746" t="s">
        <v>3723</v>
      </c>
      <c r="R452" s="744">
        <v>2</v>
      </c>
    </row>
    <row r="453" spans="1:18" ht="141.6" customHeight="1">
      <c r="A453" s="855"/>
      <c r="B453" s="855"/>
      <c r="C453" s="855"/>
      <c r="D453" s="855"/>
      <c r="E453" s="736" t="s">
        <v>3864</v>
      </c>
      <c r="F453" s="736" t="s">
        <v>3865</v>
      </c>
      <c r="G453" s="731" t="s">
        <v>500</v>
      </c>
      <c r="H453" s="731" t="s">
        <v>3866</v>
      </c>
      <c r="I453" s="736" t="s">
        <v>3867</v>
      </c>
      <c r="J453" s="951" t="s">
        <v>2095</v>
      </c>
      <c r="K453" s="951" t="s">
        <v>2096</v>
      </c>
      <c r="L453" s="951" t="s">
        <v>2095</v>
      </c>
      <c r="M453" s="744" t="s">
        <v>3722</v>
      </c>
      <c r="N453" s="743"/>
      <c r="O453" s="952">
        <v>3</v>
      </c>
      <c r="P453" s="744"/>
      <c r="Q453" s="953" t="s">
        <v>3868</v>
      </c>
      <c r="R453" s="744">
        <v>2</v>
      </c>
    </row>
    <row r="454" spans="1:18" ht="141.6" customHeight="1">
      <c r="A454" s="855"/>
      <c r="B454" s="855"/>
      <c r="C454" s="855"/>
      <c r="D454" s="855"/>
      <c r="E454" s="736" t="s">
        <v>3869</v>
      </c>
      <c r="F454" s="736" t="s">
        <v>3870</v>
      </c>
      <c r="G454" s="731" t="s">
        <v>500</v>
      </c>
      <c r="H454" s="731" t="s">
        <v>3871</v>
      </c>
      <c r="I454" s="736" t="s">
        <v>3872</v>
      </c>
      <c r="J454" s="951" t="s">
        <v>2095</v>
      </c>
      <c r="K454" s="951" t="s">
        <v>2096</v>
      </c>
      <c r="L454" s="951" t="s">
        <v>2095</v>
      </c>
      <c r="M454" s="744" t="s">
        <v>3722</v>
      </c>
      <c r="N454" s="743"/>
      <c r="O454" s="952">
        <v>3</v>
      </c>
      <c r="P454" s="744"/>
      <c r="Q454" s="953" t="s">
        <v>3873</v>
      </c>
      <c r="R454" s="744">
        <v>2</v>
      </c>
    </row>
    <row r="455" spans="1:18" ht="141.6" customHeight="1">
      <c r="A455" s="855"/>
      <c r="B455" s="855"/>
      <c r="C455" s="855"/>
      <c r="D455" s="855"/>
      <c r="E455" s="736" t="s">
        <v>3874</v>
      </c>
      <c r="F455" s="736" t="s">
        <v>3875</v>
      </c>
      <c r="G455" s="731" t="s">
        <v>500</v>
      </c>
      <c r="H455" s="731" t="s">
        <v>3876</v>
      </c>
      <c r="I455" s="736" t="s">
        <v>3877</v>
      </c>
      <c r="J455" s="951" t="s">
        <v>2095</v>
      </c>
      <c r="K455" s="951" t="s">
        <v>2096</v>
      </c>
      <c r="L455" s="951" t="s">
        <v>2095</v>
      </c>
      <c r="M455" s="744" t="s">
        <v>3722</v>
      </c>
      <c r="N455" s="743"/>
      <c r="O455" s="952">
        <v>3</v>
      </c>
      <c r="P455" s="744"/>
      <c r="Q455" s="953" t="s">
        <v>3878</v>
      </c>
      <c r="R455" s="744">
        <v>2</v>
      </c>
    </row>
    <row r="456" spans="1:18" ht="141.6" customHeight="1">
      <c r="A456" s="855"/>
      <c r="B456" s="855"/>
      <c r="C456" s="855"/>
      <c r="D456" s="855"/>
      <c r="E456" s="736" t="s">
        <v>3879</v>
      </c>
      <c r="F456" s="736" t="s">
        <v>3880</v>
      </c>
      <c r="G456" s="731" t="s">
        <v>500</v>
      </c>
      <c r="H456" s="731" t="s">
        <v>3881</v>
      </c>
      <c r="I456" s="736" t="s">
        <v>3882</v>
      </c>
      <c r="J456" s="951" t="s">
        <v>2095</v>
      </c>
      <c r="K456" s="951" t="s">
        <v>2096</v>
      </c>
      <c r="L456" s="951" t="s">
        <v>2095</v>
      </c>
      <c r="M456" s="744" t="s">
        <v>3722</v>
      </c>
      <c r="N456" s="743"/>
      <c r="O456" s="952">
        <v>3</v>
      </c>
      <c r="P456" s="744"/>
      <c r="Q456" s="953" t="s">
        <v>3883</v>
      </c>
      <c r="R456" s="744">
        <v>2</v>
      </c>
    </row>
    <row r="457" spans="1:18" ht="141.6" customHeight="1">
      <c r="A457" s="855"/>
      <c r="B457" s="855"/>
      <c r="C457" s="855"/>
      <c r="D457" s="855"/>
      <c r="E457" s="736" t="s">
        <v>3884</v>
      </c>
      <c r="F457" s="736" t="s">
        <v>3885</v>
      </c>
      <c r="G457" s="731" t="s">
        <v>500</v>
      </c>
      <c r="H457" s="731" t="s">
        <v>3886</v>
      </c>
      <c r="I457" s="736" t="s">
        <v>3887</v>
      </c>
      <c r="J457" s="951" t="s">
        <v>2095</v>
      </c>
      <c r="K457" s="951" t="s">
        <v>2096</v>
      </c>
      <c r="L457" s="951" t="s">
        <v>2095</v>
      </c>
      <c r="M457" s="744" t="s">
        <v>3722</v>
      </c>
      <c r="N457" s="743"/>
      <c r="O457" s="952">
        <v>3</v>
      </c>
      <c r="P457" s="744"/>
      <c r="Q457" s="953" t="s">
        <v>3888</v>
      </c>
      <c r="R457" s="744">
        <v>2</v>
      </c>
    </row>
    <row r="458" spans="1:18" ht="141.6" customHeight="1">
      <c r="A458" s="855"/>
      <c r="B458" s="855"/>
      <c r="C458" s="855"/>
      <c r="D458" s="855"/>
      <c r="E458" s="736" t="s">
        <v>3889</v>
      </c>
      <c r="F458" s="736" t="s">
        <v>3890</v>
      </c>
      <c r="G458" s="731" t="s">
        <v>500</v>
      </c>
      <c r="H458" s="731" t="s">
        <v>3891</v>
      </c>
      <c r="I458" s="736" t="s">
        <v>3892</v>
      </c>
      <c r="J458" s="951" t="s">
        <v>2095</v>
      </c>
      <c r="K458" s="951" t="s">
        <v>2096</v>
      </c>
      <c r="L458" s="951" t="s">
        <v>2095</v>
      </c>
      <c r="M458" s="744" t="s">
        <v>3722</v>
      </c>
      <c r="N458" s="743"/>
      <c r="O458" s="952">
        <v>3</v>
      </c>
      <c r="P458" s="744"/>
      <c r="Q458" s="953" t="s">
        <v>3893</v>
      </c>
      <c r="R458" s="744">
        <v>2</v>
      </c>
    </row>
    <row r="459" spans="1:18" ht="141.6" customHeight="1">
      <c r="A459" s="855"/>
      <c r="B459" s="855"/>
      <c r="C459" s="855"/>
      <c r="D459" s="855"/>
      <c r="E459" s="736" t="s">
        <v>3894</v>
      </c>
      <c r="F459" s="736" t="s">
        <v>3895</v>
      </c>
      <c r="G459" s="731" t="s">
        <v>500</v>
      </c>
      <c r="H459" s="731" t="s">
        <v>3896</v>
      </c>
      <c r="I459" s="736" t="s">
        <v>3897</v>
      </c>
      <c r="J459" s="951" t="s">
        <v>2095</v>
      </c>
      <c r="K459" s="951" t="s">
        <v>2096</v>
      </c>
      <c r="L459" s="951" t="s">
        <v>2095</v>
      </c>
      <c r="M459" s="744" t="s">
        <v>3722</v>
      </c>
      <c r="N459" s="743"/>
      <c r="O459" s="952">
        <v>3</v>
      </c>
      <c r="P459" s="744"/>
      <c r="Q459" s="953" t="s">
        <v>3898</v>
      </c>
      <c r="R459" s="744">
        <v>2</v>
      </c>
    </row>
    <row r="460" spans="1:18" ht="141.6" customHeight="1">
      <c r="A460" s="855"/>
      <c r="B460" s="855"/>
      <c r="C460" s="855"/>
      <c r="D460" s="855"/>
      <c r="E460" s="736" t="s">
        <v>3899</v>
      </c>
      <c r="F460" s="736" t="s">
        <v>3900</v>
      </c>
      <c r="G460" s="731" t="s">
        <v>500</v>
      </c>
      <c r="H460" s="731" t="s">
        <v>3901</v>
      </c>
      <c r="I460" s="736" t="s">
        <v>3902</v>
      </c>
      <c r="J460" s="951" t="s">
        <v>2095</v>
      </c>
      <c r="K460" s="951" t="s">
        <v>2096</v>
      </c>
      <c r="L460" s="951" t="s">
        <v>2095</v>
      </c>
      <c r="M460" s="744" t="s">
        <v>3722</v>
      </c>
      <c r="N460" s="743"/>
      <c r="O460" s="952">
        <v>3</v>
      </c>
      <c r="P460" s="744"/>
      <c r="Q460" s="953" t="s">
        <v>3903</v>
      </c>
      <c r="R460" s="744">
        <v>2</v>
      </c>
    </row>
    <row r="461" spans="1:18" ht="141.6" customHeight="1">
      <c r="A461" s="855"/>
      <c r="B461" s="855"/>
      <c r="C461" s="855"/>
      <c r="D461" s="855"/>
      <c r="E461" s="736" t="s">
        <v>3904</v>
      </c>
      <c r="F461" s="736" t="s">
        <v>3905</v>
      </c>
      <c r="G461" s="731" t="s">
        <v>500</v>
      </c>
      <c r="H461" s="731" t="s">
        <v>3906</v>
      </c>
      <c r="I461" s="736" t="s">
        <v>3907</v>
      </c>
      <c r="J461" s="951" t="s">
        <v>2095</v>
      </c>
      <c r="K461" s="951" t="s">
        <v>2096</v>
      </c>
      <c r="L461" s="951" t="s">
        <v>2095</v>
      </c>
      <c r="M461" s="744" t="s">
        <v>3722</v>
      </c>
      <c r="N461" s="743"/>
      <c r="O461" s="952">
        <v>3</v>
      </c>
      <c r="P461" s="744"/>
      <c r="Q461" s="953" t="s">
        <v>3908</v>
      </c>
      <c r="R461" s="744">
        <v>2</v>
      </c>
    </row>
    <row r="462" spans="1:18" ht="141.6" customHeight="1">
      <c r="A462" s="855"/>
      <c r="B462" s="855"/>
      <c r="C462" s="855"/>
      <c r="D462" s="855"/>
      <c r="E462" s="736" t="s">
        <v>3909</v>
      </c>
      <c r="F462" s="736" t="s">
        <v>3910</v>
      </c>
      <c r="G462" s="731" t="s">
        <v>500</v>
      </c>
      <c r="H462" s="731" t="s">
        <v>3911</v>
      </c>
      <c r="I462" s="736" t="s">
        <v>3912</v>
      </c>
      <c r="J462" s="951" t="s">
        <v>2095</v>
      </c>
      <c r="K462" s="951" t="s">
        <v>2096</v>
      </c>
      <c r="L462" s="951" t="s">
        <v>2095</v>
      </c>
      <c r="M462" s="744" t="s">
        <v>3722</v>
      </c>
      <c r="N462" s="743"/>
      <c r="O462" s="952">
        <v>3</v>
      </c>
      <c r="P462" s="744"/>
      <c r="Q462" s="953" t="s">
        <v>3913</v>
      </c>
      <c r="R462" s="744">
        <v>2</v>
      </c>
    </row>
    <row r="463" spans="1:18" ht="141.6" customHeight="1">
      <c r="A463" s="855"/>
      <c r="B463" s="855"/>
      <c r="C463" s="855"/>
      <c r="D463" s="855"/>
      <c r="E463" s="736" t="s">
        <v>3914</v>
      </c>
      <c r="F463" s="736" t="s">
        <v>3915</v>
      </c>
      <c r="G463" s="731" t="s">
        <v>500</v>
      </c>
      <c r="H463" s="731" t="s">
        <v>3916</v>
      </c>
      <c r="I463" s="736" t="s">
        <v>3917</v>
      </c>
      <c r="J463" s="951" t="s">
        <v>2095</v>
      </c>
      <c r="K463" s="951" t="s">
        <v>2096</v>
      </c>
      <c r="L463" s="951" t="s">
        <v>2095</v>
      </c>
      <c r="M463" s="744" t="s">
        <v>3722</v>
      </c>
      <c r="N463" s="743"/>
      <c r="O463" s="952">
        <v>3</v>
      </c>
      <c r="P463" s="744"/>
      <c r="Q463" s="953" t="s">
        <v>3918</v>
      </c>
      <c r="R463" s="744">
        <v>2</v>
      </c>
    </row>
    <row r="464" spans="1:18" ht="193.5" customHeight="1">
      <c r="A464" s="855"/>
      <c r="B464" s="855"/>
      <c r="C464" s="855"/>
      <c r="D464" s="855"/>
      <c r="E464" s="736" t="s">
        <v>3919</v>
      </c>
      <c r="F464" s="736" t="s">
        <v>3611</v>
      </c>
      <c r="G464" s="731" t="s">
        <v>500</v>
      </c>
      <c r="H464" s="731" t="s">
        <v>3920</v>
      </c>
      <c r="I464" s="736" t="s">
        <v>3921</v>
      </c>
      <c r="J464" s="951" t="s">
        <v>2095</v>
      </c>
      <c r="K464" s="951" t="s">
        <v>2096</v>
      </c>
      <c r="L464" s="951" t="s">
        <v>2095</v>
      </c>
      <c r="M464" s="744" t="s">
        <v>3722</v>
      </c>
      <c r="N464" s="743"/>
      <c r="O464" s="952">
        <v>3</v>
      </c>
      <c r="P464" s="744"/>
      <c r="Q464" s="953" t="s">
        <v>3922</v>
      </c>
      <c r="R464" s="744">
        <v>2</v>
      </c>
    </row>
    <row r="465" spans="1:18" ht="141.6" customHeight="1">
      <c r="A465" s="855"/>
      <c r="B465" s="855"/>
      <c r="C465" s="855"/>
      <c r="D465" s="855"/>
      <c r="E465" s="736" t="s">
        <v>3923</v>
      </c>
      <c r="F465" s="736" t="s">
        <v>3924</v>
      </c>
      <c r="G465" s="731" t="s">
        <v>500</v>
      </c>
      <c r="H465" s="731" t="s">
        <v>3925</v>
      </c>
      <c r="I465" s="736" t="s">
        <v>3926</v>
      </c>
      <c r="J465" s="951" t="s">
        <v>2095</v>
      </c>
      <c r="K465" s="951" t="s">
        <v>2096</v>
      </c>
      <c r="L465" s="951" t="s">
        <v>2095</v>
      </c>
      <c r="M465" s="744" t="s">
        <v>3722</v>
      </c>
      <c r="N465" s="743"/>
      <c r="O465" s="952">
        <v>3</v>
      </c>
      <c r="P465" s="744"/>
      <c r="Q465" s="953" t="s">
        <v>3927</v>
      </c>
      <c r="R465" s="744">
        <v>2</v>
      </c>
    </row>
    <row r="466" spans="1:18" ht="141.6" customHeight="1">
      <c r="A466" s="855"/>
      <c r="B466" s="855"/>
      <c r="C466" s="855"/>
      <c r="D466" s="855"/>
      <c r="E466" s="736" t="s">
        <v>3928</v>
      </c>
      <c r="F466" s="736" t="s">
        <v>3929</v>
      </c>
      <c r="G466" s="731" t="s">
        <v>500</v>
      </c>
      <c r="H466" s="731" t="s">
        <v>3930</v>
      </c>
      <c r="I466" s="736" t="s">
        <v>3931</v>
      </c>
      <c r="J466" s="951" t="s">
        <v>2095</v>
      </c>
      <c r="K466" s="951" t="s">
        <v>2096</v>
      </c>
      <c r="L466" s="951" t="s">
        <v>2095</v>
      </c>
      <c r="M466" s="744" t="s">
        <v>3722</v>
      </c>
      <c r="N466" s="743"/>
      <c r="O466" s="952">
        <v>3</v>
      </c>
      <c r="P466" s="744"/>
      <c r="Q466" s="953" t="s">
        <v>3932</v>
      </c>
      <c r="R466" s="744">
        <v>2</v>
      </c>
    </row>
    <row r="467" spans="1:18" ht="141.6" customHeight="1">
      <c r="A467" s="855"/>
      <c r="B467" s="855"/>
      <c r="C467" s="855"/>
      <c r="D467" s="855"/>
      <c r="E467" s="736" t="s">
        <v>3933</v>
      </c>
      <c r="F467" s="736" t="s">
        <v>3934</v>
      </c>
      <c r="G467" s="731" t="s">
        <v>500</v>
      </c>
      <c r="H467" s="731" t="s">
        <v>3935</v>
      </c>
      <c r="I467" s="736" t="s">
        <v>3936</v>
      </c>
      <c r="J467" s="951" t="s">
        <v>2095</v>
      </c>
      <c r="K467" s="951" t="s">
        <v>2096</v>
      </c>
      <c r="L467" s="951" t="s">
        <v>2095</v>
      </c>
      <c r="M467" s="744" t="s">
        <v>3722</v>
      </c>
      <c r="N467" s="743"/>
      <c r="O467" s="952">
        <v>3</v>
      </c>
      <c r="P467" s="744"/>
      <c r="Q467" s="953" t="s">
        <v>3937</v>
      </c>
      <c r="R467" s="744">
        <v>2</v>
      </c>
    </row>
    <row r="468" spans="1:18" ht="141.6" customHeight="1">
      <c r="A468" s="855"/>
      <c r="B468" s="855"/>
      <c r="C468" s="855"/>
      <c r="D468" s="855"/>
      <c r="E468" s="736" t="s">
        <v>3938</v>
      </c>
      <c r="F468" s="736" t="s">
        <v>3939</v>
      </c>
      <c r="G468" s="731" t="s">
        <v>500</v>
      </c>
      <c r="H468" s="731" t="s">
        <v>3940</v>
      </c>
      <c r="I468" s="736" t="s">
        <v>3941</v>
      </c>
      <c r="J468" s="951" t="s">
        <v>2095</v>
      </c>
      <c r="K468" s="951" t="s">
        <v>2096</v>
      </c>
      <c r="L468" s="951" t="s">
        <v>2095</v>
      </c>
      <c r="M468" s="744" t="s">
        <v>3722</v>
      </c>
      <c r="N468" s="743"/>
      <c r="O468" s="952">
        <v>3</v>
      </c>
      <c r="P468" s="744"/>
      <c r="Q468" s="953" t="s">
        <v>3942</v>
      </c>
      <c r="R468" s="744">
        <v>2</v>
      </c>
    </row>
    <row r="469" spans="1:18" ht="141.6" customHeight="1">
      <c r="A469" s="855"/>
      <c r="B469" s="855"/>
      <c r="C469" s="855"/>
      <c r="D469" s="855"/>
      <c r="E469" s="736" t="s">
        <v>3943</v>
      </c>
      <c r="F469" s="736" t="s">
        <v>3944</v>
      </c>
      <c r="G469" s="731" t="s">
        <v>500</v>
      </c>
      <c r="H469" s="731" t="s">
        <v>3945</v>
      </c>
      <c r="I469" s="736" t="s">
        <v>3946</v>
      </c>
      <c r="J469" s="951" t="s">
        <v>2168</v>
      </c>
      <c r="K469" s="951" t="s">
        <v>2167</v>
      </c>
      <c r="L469" s="951"/>
      <c r="M469" s="744" t="s">
        <v>3722</v>
      </c>
      <c r="N469" s="743"/>
      <c r="O469" s="736"/>
      <c r="P469" s="744"/>
      <c r="Q469" s="953" t="s">
        <v>3947</v>
      </c>
      <c r="R469" s="744">
        <v>2</v>
      </c>
    </row>
    <row r="470" spans="1:18" ht="141.6" customHeight="1">
      <c r="A470" s="855"/>
      <c r="B470" s="855"/>
      <c r="C470" s="855"/>
      <c r="D470" s="855"/>
      <c r="E470" s="736" t="s">
        <v>3948</v>
      </c>
      <c r="F470" s="736" t="s">
        <v>3949</v>
      </c>
      <c r="G470" s="731" t="s">
        <v>500</v>
      </c>
      <c r="H470" s="731" t="s">
        <v>3950</v>
      </c>
      <c r="I470" s="736" t="s">
        <v>3951</v>
      </c>
      <c r="J470" s="951" t="s">
        <v>2168</v>
      </c>
      <c r="K470" s="951" t="s">
        <v>2167</v>
      </c>
      <c r="L470" s="951"/>
      <c r="M470" s="744" t="s">
        <v>3722</v>
      </c>
      <c r="N470" s="743"/>
      <c r="O470" s="736"/>
      <c r="P470" s="744"/>
      <c r="Q470" s="953" t="s">
        <v>3952</v>
      </c>
      <c r="R470" s="744">
        <v>2</v>
      </c>
    </row>
    <row r="471" spans="1:18" ht="141.6" customHeight="1">
      <c r="A471" s="855"/>
      <c r="B471" s="855"/>
      <c r="C471" s="855"/>
      <c r="D471" s="855"/>
      <c r="E471" s="736" t="s">
        <v>3953</v>
      </c>
      <c r="F471" s="736" t="s">
        <v>3954</v>
      </c>
      <c r="G471" s="731" t="s">
        <v>500</v>
      </c>
      <c r="H471" s="731" t="s">
        <v>3955</v>
      </c>
      <c r="I471" s="736" t="s">
        <v>3956</v>
      </c>
      <c r="J471" s="951" t="s">
        <v>2168</v>
      </c>
      <c r="K471" s="951" t="s">
        <v>2167</v>
      </c>
      <c r="L471" s="951"/>
      <c r="M471" s="744" t="s">
        <v>3722</v>
      </c>
      <c r="N471" s="743"/>
      <c r="O471" s="736"/>
      <c r="P471" s="744"/>
      <c r="Q471" s="953" t="s">
        <v>3957</v>
      </c>
      <c r="R471" s="744">
        <v>2</v>
      </c>
    </row>
    <row r="472" spans="1:18" ht="141.6" customHeight="1">
      <c r="A472" s="855"/>
      <c r="B472" s="855"/>
      <c r="C472" s="855"/>
      <c r="D472" s="855"/>
      <c r="E472" s="736" t="s">
        <v>3958</v>
      </c>
      <c r="F472" s="736" t="s">
        <v>3959</v>
      </c>
      <c r="G472" s="731" t="s">
        <v>500</v>
      </c>
      <c r="H472" s="731" t="s">
        <v>3960</v>
      </c>
      <c r="I472" s="736" t="s">
        <v>3961</v>
      </c>
      <c r="J472" s="951" t="s">
        <v>2168</v>
      </c>
      <c r="K472" s="951" t="s">
        <v>2167</v>
      </c>
      <c r="L472" s="951"/>
      <c r="M472" s="744" t="s">
        <v>3722</v>
      </c>
      <c r="N472" s="743"/>
      <c r="O472" s="736"/>
      <c r="P472" s="744"/>
      <c r="Q472" s="953" t="s">
        <v>3962</v>
      </c>
      <c r="R472" s="744">
        <v>2</v>
      </c>
    </row>
    <row r="473" spans="1:18" ht="141.6" customHeight="1">
      <c r="A473" s="855"/>
      <c r="B473" s="855"/>
      <c r="C473" s="855"/>
      <c r="D473" s="855"/>
      <c r="E473" s="736" t="s">
        <v>3963</v>
      </c>
      <c r="F473" s="736" t="s">
        <v>3964</v>
      </c>
      <c r="G473" s="731" t="s">
        <v>500</v>
      </c>
      <c r="H473" s="731" t="s">
        <v>3965</v>
      </c>
      <c r="I473" s="736" t="s">
        <v>3966</v>
      </c>
      <c r="J473" s="951" t="s">
        <v>2168</v>
      </c>
      <c r="K473" s="951" t="s">
        <v>2167</v>
      </c>
      <c r="L473" s="951"/>
      <c r="M473" s="744" t="s">
        <v>3722</v>
      </c>
      <c r="N473" s="743"/>
      <c r="O473" s="736"/>
      <c r="P473" s="744"/>
      <c r="Q473" s="953" t="s">
        <v>3967</v>
      </c>
      <c r="R473" s="744">
        <v>2</v>
      </c>
    </row>
    <row r="474" spans="1:18" ht="141.6" customHeight="1">
      <c r="A474" s="855"/>
      <c r="B474" s="855"/>
      <c r="C474" s="855"/>
      <c r="D474" s="855"/>
      <c r="E474" s="736" t="s">
        <v>3968</v>
      </c>
      <c r="F474" s="736" t="s">
        <v>3969</v>
      </c>
      <c r="G474" s="731" t="s">
        <v>500</v>
      </c>
      <c r="H474" s="731" t="s">
        <v>3970</v>
      </c>
      <c r="I474" s="736" t="s">
        <v>3971</v>
      </c>
      <c r="J474" s="951" t="s">
        <v>2168</v>
      </c>
      <c r="K474" s="951" t="s">
        <v>2167</v>
      </c>
      <c r="L474" s="951"/>
      <c r="M474" s="744" t="s">
        <v>3722</v>
      </c>
      <c r="N474" s="743"/>
      <c r="O474" s="736"/>
      <c r="P474" s="744"/>
      <c r="Q474" s="953" t="s">
        <v>3972</v>
      </c>
      <c r="R474" s="744">
        <v>2</v>
      </c>
    </row>
    <row r="475" spans="1:18" ht="141.6" customHeight="1">
      <c r="A475" s="855"/>
      <c r="B475" s="855"/>
      <c r="C475" s="855"/>
      <c r="D475" s="855"/>
      <c r="E475" s="736" t="s">
        <v>3973</v>
      </c>
      <c r="F475" s="736" t="s">
        <v>3974</v>
      </c>
      <c r="G475" s="731" t="s">
        <v>500</v>
      </c>
      <c r="H475" s="731" t="s">
        <v>3975</v>
      </c>
      <c r="I475" s="736" t="s">
        <v>3976</v>
      </c>
      <c r="J475" s="951" t="s">
        <v>2168</v>
      </c>
      <c r="K475" s="951" t="s">
        <v>2167</v>
      </c>
      <c r="L475" s="951"/>
      <c r="M475" s="744" t="s">
        <v>3722</v>
      </c>
      <c r="N475" s="743"/>
      <c r="O475" s="736"/>
      <c r="P475" s="744"/>
      <c r="Q475" s="953" t="s">
        <v>3977</v>
      </c>
      <c r="R475" s="744">
        <v>2</v>
      </c>
    </row>
    <row r="476" spans="1:18" ht="141.6" customHeight="1">
      <c r="A476" s="855"/>
      <c r="B476" s="855"/>
      <c r="C476" s="855"/>
      <c r="D476" s="855"/>
      <c r="E476" s="736" t="s">
        <v>3978</v>
      </c>
      <c r="F476" s="736" t="s">
        <v>3979</v>
      </c>
      <c r="G476" s="731" t="s">
        <v>500</v>
      </c>
      <c r="H476" s="731" t="s">
        <v>3980</v>
      </c>
      <c r="I476" s="736" t="s">
        <v>3981</v>
      </c>
      <c r="J476" s="951" t="s">
        <v>2168</v>
      </c>
      <c r="K476" s="951" t="s">
        <v>2167</v>
      </c>
      <c r="L476" s="951"/>
      <c r="M476" s="744" t="s">
        <v>3722</v>
      </c>
      <c r="N476" s="743"/>
      <c r="O476" s="736"/>
      <c r="P476" s="744"/>
      <c r="Q476" s="953" t="s">
        <v>3982</v>
      </c>
      <c r="R476" s="744">
        <v>2</v>
      </c>
    </row>
    <row r="477" spans="1:18" ht="141.6" customHeight="1">
      <c r="A477" s="855"/>
      <c r="B477" s="855"/>
      <c r="C477" s="855"/>
      <c r="D477" s="855"/>
      <c r="E477" s="736" t="s">
        <v>3983</v>
      </c>
      <c r="F477" s="736" t="s">
        <v>3984</v>
      </c>
      <c r="G477" s="731" t="s">
        <v>500</v>
      </c>
      <c r="H477" s="731" t="s">
        <v>3985</v>
      </c>
      <c r="I477" s="736" t="s">
        <v>3986</v>
      </c>
      <c r="J477" s="951" t="s">
        <v>2168</v>
      </c>
      <c r="K477" s="951" t="s">
        <v>2167</v>
      </c>
      <c r="L477" s="951"/>
      <c r="M477" s="744" t="s">
        <v>3722</v>
      </c>
      <c r="N477" s="743"/>
      <c r="O477" s="736"/>
      <c r="P477" s="744"/>
      <c r="Q477" s="953" t="s">
        <v>3987</v>
      </c>
      <c r="R477" s="744">
        <v>2</v>
      </c>
    </row>
    <row r="478" spans="1:18" ht="141.6" customHeight="1">
      <c r="A478" s="855"/>
      <c r="B478" s="855"/>
      <c r="C478" s="855"/>
      <c r="D478" s="855"/>
      <c r="E478" s="736" t="s">
        <v>3988</v>
      </c>
      <c r="F478" s="736" t="s">
        <v>3989</v>
      </c>
      <c r="G478" s="731" t="s">
        <v>500</v>
      </c>
      <c r="H478" s="731" t="s">
        <v>3990</v>
      </c>
      <c r="I478" s="736" t="s">
        <v>3991</v>
      </c>
      <c r="J478" s="951" t="s">
        <v>2168</v>
      </c>
      <c r="K478" s="951" t="s">
        <v>2167</v>
      </c>
      <c r="L478" s="951"/>
      <c r="M478" s="744" t="s">
        <v>3722</v>
      </c>
      <c r="N478" s="743"/>
      <c r="O478" s="736"/>
      <c r="P478" s="744"/>
      <c r="Q478" s="953" t="s">
        <v>3992</v>
      </c>
      <c r="R478" s="744">
        <v>2</v>
      </c>
    </row>
    <row r="479" spans="1:18" ht="141.6" customHeight="1">
      <c r="A479" s="855"/>
      <c r="B479" s="855"/>
      <c r="C479" s="855"/>
      <c r="D479" s="855"/>
      <c r="E479" s="736" t="s">
        <v>3993</v>
      </c>
      <c r="F479" s="736" t="s">
        <v>3636</v>
      </c>
      <c r="G479" s="731" t="s">
        <v>500</v>
      </c>
      <c r="H479" s="731" t="s">
        <v>3994</v>
      </c>
      <c r="I479" s="736" t="s">
        <v>3995</v>
      </c>
      <c r="J479" s="951" t="s">
        <v>2168</v>
      </c>
      <c r="K479" s="951" t="s">
        <v>2167</v>
      </c>
      <c r="L479" s="951"/>
      <c r="M479" s="744" t="s">
        <v>3722</v>
      </c>
      <c r="N479" s="743"/>
      <c r="O479" s="736"/>
      <c r="P479" s="744"/>
      <c r="Q479" s="953" t="s">
        <v>3996</v>
      </c>
      <c r="R479" s="744">
        <v>2</v>
      </c>
    </row>
    <row r="480" spans="1:18" ht="141.6" customHeight="1">
      <c r="A480" s="855"/>
      <c r="B480" s="855"/>
      <c r="C480" s="855"/>
      <c r="D480" s="855"/>
      <c r="E480" s="736" t="s">
        <v>3997</v>
      </c>
      <c r="F480" s="736" t="s">
        <v>3998</v>
      </c>
      <c r="G480" s="731" t="s">
        <v>500</v>
      </c>
      <c r="H480" s="731" t="s">
        <v>3999</v>
      </c>
      <c r="I480" s="736" t="s">
        <v>4000</v>
      </c>
      <c r="J480" s="951" t="s">
        <v>2168</v>
      </c>
      <c r="K480" s="951" t="s">
        <v>2167</v>
      </c>
      <c r="L480" s="951"/>
      <c r="M480" s="744" t="s">
        <v>3722</v>
      </c>
      <c r="N480" s="743"/>
      <c r="O480" s="736"/>
      <c r="P480" s="744"/>
      <c r="Q480" s="953" t="s">
        <v>4001</v>
      </c>
      <c r="R480" s="744">
        <v>2</v>
      </c>
    </row>
    <row r="481" spans="1:18" ht="141.6" customHeight="1">
      <c r="A481" s="855"/>
      <c r="B481" s="855"/>
      <c r="C481" s="855"/>
      <c r="D481" s="855"/>
      <c r="E481" s="736" t="s">
        <v>4002</v>
      </c>
      <c r="F481" s="736" t="s">
        <v>4003</v>
      </c>
      <c r="G481" s="731" t="s">
        <v>500</v>
      </c>
      <c r="H481" s="731" t="s">
        <v>4004</v>
      </c>
      <c r="I481" s="736" t="s">
        <v>4005</v>
      </c>
      <c r="J481" s="951" t="s">
        <v>2168</v>
      </c>
      <c r="K481" s="951" t="s">
        <v>2167</v>
      </c>
      <c r="L481" s="951"/>
      <c r="M481" s="744" t="s">
        <v>3722</v>
      </c>
      <c r="N481" s="743"/>
      <c r="O481" s="736"/>
      <c r="P481" s="744"/>
      <c r="Q481" s="953" t="s">
        <v>4006</v>
      </c>
      <c r="R481" s="744">
        <v>2</v>
      </c>
    </row>
    <row r="482" spans="1:18" ht="141.6" customHeight="1">
      <c r="A482" s="855"/>
      <c r="B482" s="855"/>
      <c r="C482" s="855"/>
      <c r="D482" s="855"/>
      <c r="E482" s="736" t="s">
        <v>4007</v>
      </c>
      <c r="F482" s="736" t="s">
        <v>4008</v>
      </c>
      <c r="G482" s="731" t="s">
        <v>500</v>
      </c>
      <c r="H482" s="731" t="s">
        <v>4009</v>
      </c>
      <c r="I482" s="736" t="s">
        <v>4010</v>
      </c>
      <c r="J482" s="951" t="s">
        <v>2168</v>
      </c>
      <c r="K482" s="951" t="s">
        <v>2167</v>
      </c>
      <c r="L482" s="951"/>
      <c r="M482" s="744" t="s">
        <v>3722</v>
      </c>
      <c r="N482" s="743"/>
      <c r="O482" s="736"/>
      <c r="P482" s="744"/>
      <c r="Q482" s="953" t="s">
        <v>4011</v>
      </c>
      <c r="R482" s="744">
        <v>2</v>
      </c>
    </row>
    <row r="483" spans="1:18" ht="141.6" customHeight="1">
      <c r="A483" s="855"/>
      <c r="B483" s="855"/>
      <c r="C483" s="855"/>
      <c r="D483" s="855"/>
      <c r="E483" s="736" t="s">
        <v>4012</v>
      </c>
      <c r="F483" s="736" t="s">
        <v>4013</v>
      </c>
      <c r="G483" s="731" t="s">
        <v>500</v>
      </c>
      <c r="H483" s="731" t="s">
        <v>4014</v>
      </c>
      <c r="I483" s="736" t="s">
        <v>4015</v>
      </c>
      <c r="J483" s="951" t="s">
        <v>2168</v>
      </c>
      <c r="K483" s="951" t="s">
        <v>2167</v>
      </c>
      <c r="L483" s="951"/>
      <c r="M483" s="744" t="s">
        <v>3722</v>
      </c>
      <c r="N483" s="743"/>
      <c r="O483" s="736"/>
      <c r="P483" s="744"/>
      <c r="Q483" s="953" t="s">
        <v>4016</v>
      </c>
      <c r="R483" s="744">
        <v>2</v>
      </c>
    </row>
    <row r="484" spans="1:18" ht="141.6" customHeight="1">
      <c r="A484" s="855"/>
      <c r="B484" s="855"/>
      <c r="C484" s="855"/>
      <c r="D484" s="855"/>
      <c r="E484" s="736" t="s">
        <v>4017</v>
      </c>
      <c r="F484" s="736" t="s">
        <v>4018</v>
      </c>
      <c r="G484" s="731" t="s">
        <v>500</v>
      </c>
      <c r="H484" s="731" t="s">
        <v>4019</v>
      </c>
      <c r="I484" s="736" t="s">
        <v>4020</v>
      </c>
      <c r="J484" s="951" t="s">
        <v>2095</v>
      </c>
      <c r="K484" s="951" t="s">
        <v>2096</v>
      </c>
      <c r="L484" s="951" t="s">
        <v>2095</v>
      </c>
      <c r="M484" s="744" t="s">
        <v>3722</v>
      </c>
      <c r="N484" s="743"/>
      <c r="O484" s="952">
        <v>3</v>
      </c>
      <c r="P484" s="744"/>
      <c r="Q484" s="953" t="s">
        <v>4021</v>
      </c>
      <c r="R484" s="744">
        <v>2</v>
      </c>
    </row>
    <row r="485" spans="1:18" ht="141.6" customHeight="1">
      <c r="A485" s="855"/>
      <c r="B485" s="855"/>
      <c r="C485" s="855"/>
      <c r="D485" s="855"/>
      <c r="E485" s="736" t="s">
        <v>4022</v>
      </c>
      <c r="F485" s="736" t="s">
        <v>3616</v>
      </c>
      <c r="G485" s="731" t="s">
        <v>500</v>
      </c>
      <c r="H485" s="731" t="s">
        <v>4023</v>
      </c>
      <c r="I485" s="736" t="s">
        <v>4024</v>
      </c>
      <c r="J485" s="951" t="s">
        <v>2095</v>
      </c>
      <c r="K485" s="951" t="s">
        <v>2096</v>
      </c>
      <c r="L485" s="951" t="s">
        <v>2095</v>
      </c>
      <c r="M485" s="744" t="s">
        <v>3722</v>
      </c>
      <c r="N485" s="743"/>
      <c r="O485" s="952">
        <v>3</v>
      </c>
      <c r="P485" s="744"/>
      <c r="Q485" s="953" t="s">
        <v>4025</v>
      </c>
      <c r="R485" s="744">
        <v>2</v>
      </c>
    </row>
    <row r="486" spans="1:18" s="1" customFormat="1" ht="18.95" customHeight="1">
      <c r="E486" s="205" t="s">
        <v>2074</v>
      </c>
      <c r="F486" s="12"/>
      <c r="G486" s="605"/>
      <c r="H486" s="6"/>
      <c r="I486" s="13"/>
      <c r="J486" s="6"/>
      <c r="K486" s="196"/>
      <c r="L486" s="197"/>
      <c r="M486" s="198"/>
      <c r="N486" s="197"/>
      <c r="O486" s="197"/>
      <c r="P486" s="197"/>
      <c r="Q486" s="197"/>
      <c r="R486" s="197"/>
    </row>
    <row r="487" spans="1:18" ht="13.35" customHeight="1">
      <c r="A487" s="2"/>
      <c r="B487" s="2"/>
      <c r="C487" s="2"/>
      <c r="D487" s="2"/>
    </row>
    <row r="488" spans="1:18" ht="13.35" customHeight="1">
      <c r="A488" s="2"/>
      <c r="B488" s="2"/>
      <c r="C488" s="2"/>
      <c r="D488" s="2"/>
    </row>
    <row r="489" spans="1:18" ht="13.35" customHeight="1">
      <c r="A489" s="2"/>
      <c r="B489" s="2"/>
      <c r="C489" s="2"/>
      <c r="D489" s="2"/>
      <c r="E489" s="196">
        <f>COUNTA(E7:E485)</f>
        <v>479</v>
      </c>
      <c r="F489" s="196">
        <f>COUNTA(F7:F485)</f>
        <v>479</v>
      </c>
    </row>
    <row r="490" spans="1:18" ht="13.35" customHeight="1">
      <c r="A490" s="2"/>
      <c r="B490" s="2"/>
      <c r="C490" s="2"/>
      <c r="D490" s="2"/>
    </row>
    <row r="491" spans="1:18" ht="13.35" customHeight="1">
      <c r="A491" s="2"/>
      <c r="B491" s="2"/>
      <c r="C491" s="2"/>
      <c r="D491" s="2"/>
    </row>
    <row r="492" spans="1:18" ht="13.35" customHeight="1">
      <c r="A492" s="2"/>
      <c r="B492" s="2"/>
      <c r="C492" s="2"/>
      <c r="D492" s="2"/>
    </row>
    <row r="493" spans="1:18" ht="13.35" customHeight="1">
      <c r="A493" s="2"/>
      <c r="B493" s="2"/>
      <c r="C493" s="2"/>
      <c r="D493" s="2"/>
    </row>
    <row r="494" spans="1:18" ht="13.35" customHeight="1">
      <c r="A494" s="2"/>
      <c r="B494" s="2"/>
      <c r="C494" s="2"/>
      <c r="D494" s="2"/>
      <c r="H494" s="949"/>
    </row>
    <row r="495" spans="1:18" ht="13.35" customHeight="1">
      <c r="A495" s="2"/>
      <c r="B495" s="2"/>
      <c r="C495" s="2"/>
      <c r="D495" s="2"/>
      <c r="H495" s="949"/>
    </row>
    <row r="496" spans="1:18" ht="13.35" customHeight="1">
      <c r="A496" s="2"/>
      <c r="B496" s="2"/>
      <c r="C496" s="2"/>
      <c r="D496" s="2"/>
      <c r="H496" s="949"/>
    </row>
    <row r="497" spans="1:9" ht="13.35" customHeight="1">
      <c r="A497" s="2"/>
      <c r="B497" s="2"/>
      <c r="C497" s="2"/>
      <c r="D497" s="2"/>
      <c r="H497" s="949"/>
    </row>
    <row r="498" spans="1:9" ht="13.35" customHeight="1">
      <c r="A498" s="2"/>
      <c r="B498" s="2"/>
      <c r="C498" s="2"/>
      <c r="D498" s="2"/>
      <c r="H498" s="949"/>
    </row>
    <row r="499" spans="1:9" ht="13.35" customHeight="1">
      <c r="A499" s="2"/>
      <c r="B499" s="2"/>
      <c r="C499" s="2"/>
      <c r="D499" s="2"/>
      <c r="H499" s="949"/>
    </row>
    <row r="500" spans="1:9" ht="13.35" customHeight="1">
      <c r="A500" s="2"/>
      <c r="B500" s="2"/>
      <c r="C500" s="2"/>
      <c r="D500" s="2"/>
      <c r="H500" s="949"/>
    </row>
    <row r="501" spans="1:9" ht="13.35" customHeight="1">
      <c r="A501" s="2"/>
      <c r="B501" s="2"/>
      <c r="C501" s="2"/>
      <c r="D501" s="2"/>
      <c r="H501" s="949"/>
    </row>
    <row r="502" spans="1:9" ht="13.35" customHeight="1">
      <c r="A502" s="2"/>
      <c r="B502" s="2"/>
      <c r="C502" s="2"/>
      <c r="D502" s="2"/>
      <c r="H502" s="949"/>
    </row>
    <row r="503" spans="1:9" ht="13.35" customHeight="1">
      <c r="A503" s="2"/>
      <c r="B503" s="2"/>
      <c r="C503" s="2"/>
      <c r="D503" s="2"/>
    </row>
    <row r="504" spans="1:9" ht="13.35" customHeight="1">
      <c r="A504" s="2"/>
      <c r="B504" s="2"/>
      <c r="C504" s="2"/>
      <c r="D504" s="2"/>
    </row>
    <row r="505" spans="1:9" ht="13.35" customHeight="1">
      <c r="A505" s="2"/>
      <c r="B505" s="2"/>
      <c r="C505" s="2"/>
      <c r="D505" s="2"/>
    </row>
    <row r="506" spans="1:9" ht="13.35" customHeight="1">
      <c r="A506" s="2"/>
      <c r="B506" s="2"/>
      <c r="C506" s="2"/>
      <c r="D506" s="2"/>
    </row>
    <row r="507" spans="1:9" ht="13.35" customHeight="1">
      <c r="A507" s="2"/>
      <c r="B507" s="2"/>
      <c r="C507" s="2"/>
      <c r="D507" s="2"/>
      <c r="G507" s="949"/>
      <c r="H507" s="735"/>
      <c r="I507" s="4"/>
    </row>
    <row r="508" spans="1:9" ht="13.35" customHeight="1">
      <c r="A508" s="2"/>
      <c r="B508" s="2"/>
      <c r="C508" s="2"/>
      <c r="D508" s="2"/>
      <c r="G508" s="949"/>
      <c r="H508" s="735"/>
      <c r="I508" s="4"/>
    </row>
    <row r="509" spans="1:9" ht="13.35" customHeight="1">
      <c r="A509" s="2"/>
      <c r="B509" s="2"/>
      <c r="C509" s="2"/>
      <c r="D509" s="2"/>
      <c r="G509" s="949"/>
      <c r="H509" s="735"/>
      <c r="I509" s="4"/>
    </row>
    <row r="510" spans="1:9" ht="13.35" customHeight="1">
      <c r="A510" s="2"/>
      <c r="B510" s="2"/>
      <c r="C510" s="2"/>
      <c r="D510" s="2"/>
      <c r="G510" s="949"/>
      <c r="H510" s="735"/>
      <c r="I510" s="4"/>
    </row>
    <row r="511" spans="1:9" ht="13.35" customHeight="1">
      <c r="A511" s="2"/>
      <c r="B511" s="2"/>
      <c r="C511" s="2"/>
      <c r="D511" s="2"/>
      <c r="G511" s="949"/>
      <c r="H511" s="735"/>
      <c r="I511" s="4"/>
    </row>
    <row r="512" spans="1:9" ht="13.35" customHeight="1">
      <c r="A512" s="2"/>
      <c r="B512" s="2"/>
      <c r="C512" s="2"/>
      <c r="D512" s="2"/>
      <c r="G512" s="949"/>
      <c r="H512" s="735"/>
      <c r="I512" s="4"/>
    </row>
    <row r="513" spans="1:9" ht="13.35" customHeight="1">
      <c r="A513" s="2"/>
      <c r="B513" s="2"/>
      <c r="C513" s="2"/>
      <c r="D513" s="2"/>
      <c r="G513" s="949"/>
      <c r="H513" s="735"/>
      <c r="I513" s="4"/>
    </row>
    <row r="514" spans="1:9" ht="13.35" customHeight="1">
      <c r="A514" s="2"/>
      <c r="B514" s="2"/>
      <c r="C514" s="2"/>
      <c r="D514" s="2"/>
      <c r="G514" s="949"/>
      <c r="H514" s="735"/>
      <c r="I514" s="4"/>
    </row>
    <row r="515" spans="1:9" ht="13.35" customHeight="1">
      <c r="A515" s="2"/>
      <c r="B515" s="2"/>
      <c r="C515" s="2"/>
      <c r="D515" s="2"/>
      <c r="G515" s="949"/>
      <c r="H515" s="735"/>
      <c r="I515" s="4"/>
    </row>
    <row r="516" spans="1:9" ht="13.35" customHeight="1">
      <c r="A516" s="2"/>
      <c r="B516" s="2"/>
      <c r="C516" s="2"/>
      <c r="D516" s="2"/>
      <c r="G516" s="949"/>
      <c r="H516" s="735"/>
      <c r="I516" s="4"/>
    </row>
    <row r="517" spans="1:9" ht="13.35" customHeight="1">
      <c r="A517" s="2"/>
      <c r="B517" s="2"/>
      <c r="C517" s="2"/>
      <c r="D517" s="2"/>
      <c r="G517" s="949"/>
      <c r="H517" s="735"/>
      <c r="I517" s="4"/>
    </row>
    <row r="518" spans="1:9" ht="13.35" customHeight="1">
      <c r="G518" s="949"/>
      <c r="H518" s="735"/>
      <c r="I518" s="4"/>
    </row>
    <row r="519" spans="1:9" ht="13.35" customHeight="1">
      <c r="G519" s="949"/>
      <c r="H519" s="735"/>
      <c r="I519" s="4"/>
    </row>
    <row r="520" spans="1:9" ht="13.35" customHeight="1">
      <c r="G520" s="949"/>
      <c r="H520" s="735"/>
      <c r="I520" s="4"/>
    </row>
    <row r="521" spans="1:9" ht="13.35" customHeight="1">
      <c r="G521" s="949"/>
      <c r="H521" s="735"/>
      <c r="I521" s="4"/>
    </row>
    <row r="522" spans="1:9" ht="13.35" customHeight="1">
      <c r="G522" s="949"/>
      <c r="H522" s="735"/>
      <c r="I522" s="4"/>
    </row>
    <row r="523" spans="1:9" ht="13.35" customHeight="1">
      <c r="G523" s="949"/>
      <c r="H523" s="735"/>
      <c r="I523" s="4"/>
    </row>
    <row r="524" spans="1:9" ht="13.35" customHeight="1">
      <c r="G524" s="949"/>
      <c r="H524" s="735"/>
      <c r="I524" s="4"/>
    </row>
    <row r="525" spans="1:9" ht="13.35" customHeight="1">
      <c r="G525" s="949"/>
      <c r="H525" s="735"/>
      <c r="I525" s="4"/>
    </row>
    <row r="526" spans="1:9" ht="13.35" customHeight="1">
      <c r="G526" s="949"/>
      <c r="H526" s="735"/>
      <c r="I526" s="4"/>
    </row>
    <row r="527" spans="1:9" ht="13.35" customHeight="1">
      <c r="G527" s="949"/>
      <c r="H527" s="735"/>
      <c r="I527" s="4"/>
    </row>
    <row r="528" spans="1:9" ht="13.35" customHeight="1">
      <c r="G528" s="949"/>
      <c r="H528" s="735"/>
      <c r="I528" s="4"/>
    </row>
    <row r="529" spans="7:9" ht="13.35" customHeight="1">
      <c r="G529" s="949"/>
      <c r="H529" s="735"/>
      <c r="I529" s="4"/>
    </row>
    <row r="530" spans="7:9" ht="13.35" customHeight="1">
      <c r="G530" s="949"/>
      <c r="H530" s="735"/>
      <c r="I530" s="4"/>
    </row>
    <row r="531" spans="7:9" ht="13.35" customHeight="1">
      <c r="G531" s="949"/>
      <c r="H531" s="735"/>
      <c r="I531" s="4"/>
    </row>
    <row r="532" spans="7:9" ht="13.35" customHeight="1">
      <c r="G532" s="949"/>
      <c r="H532" s="735"/>
      <c r="I532" s="4"/>
    </row>
    <row r="533" spans="7:9" ht="13.35" customHeight="1">
      <c r="G533" s="949"/>
      <c r="H533" s="735"/>
      <c r="I533" s="4"/>
    </row>
    <row r="534" spans="7:9" ht="13.35" customHeight="1">
      <c r="G534" s="949"/>
      <c r="H534" s="735"/>
      <c r="I534" s="4"/>
    </row>
    <row r="535" spans="7:9" ht="13.35" customHeight="1">
      <c r="G535" s="949"/>
      <c r="H535" s="735"/>
      <c r="I535" s="4"/>
    </row>
    <row r="536" spans="7:9" ht="13.35" customHeight="1">
      <c r="G536" s="949"/>
      <c r="H536" s="735"/>
      <c r="I536" s="4"/>
    </row>
    <row r="537" spans="7:9" ht="13.35" customHeight="1">
      <c r="G537" s="949"/>
      <c r="H537" s="735"/>
      <c r="I537" s="4"/>
    </row>
    <row r="538" spans="7:9" ht="13.35" customHeight="1">
      <c r="G538" s="949"/>
      <c r="H538" s="735"/>
      <c r="I538" s="4"/>
    </row>
    <row r="539" spans="7:9" ht="13.35" customHeight="1">
      <c r="G539" s="949"/>
      <c r="H539" s="735"/>
      <c r="I539" s="4"/>
    </row>
    <row r="540" spans="7:9" ht="13.35" customHeight="1">
      <c r="G540" s="949"/>
      <c r="H540" s="735"/>
      <c r="I540" s="4"/>
    </row>
    <row r="541" spans="7:9" ht="13.35" customHeight="1">
      <c r="G541" s="949"/>
      <c r="H541" s="735"/>
      <c r="I541" s="4"/>
    </row>
    <row r="542" spans="7:9" ht="13.35" customHeight="1">
      <c r="G542" s="949"/>
      <c r="H542" s="735"/>
      <c r="I542" s="4"/>
    </row>
  </sheetData>
  <autoFilter ref="E6:R486" xr:uid="{00000000-0001-0000-0400-000000000000}"/>
  <mergeCells count="1">
    <mergeCell ref="E4:R5"/>
  </mergeCells>
  <phoneticPr fontId="0" type="noConversion"/>
  <conditionalFormatting sqref="E6:F391 E394:F396 E398:F1048576">
    <cfRule type="expression" dxfId="82" priority="37">
      <formula>LEN(E6)&gt;13</formula>
    </cfRule>
  </conditionalFormatting>
  <conditionalFormatting sqref="E394:F396 E398:F1048576 E6:F391">
    <cfRule type="duplicateValues" dxfId="81" priority="38"/>
  </conditionalFormatting>
  <conditionalFormatting sqref="I7:I62 I281:I391 I394:I396">
    <cfRule type="expression" dxfId="80" priority="168">
      <formula>LEN(I7)&gt;24</formula>
    </cfRule>
  </conditionalFormatting>
  <conditionalFormatting sqref="I66:I279">
    <cfRule type="expression" dxfId="79" priority="36">
      <formula>LEN(I66)&gt;24</formula>
    </cfRule>
  </conditionalFormatting>
  <conditionalFormatting sqref="I398:I486">
    <cfRule type="expression" dxfId="78" priority="1">
      <formula>LEN(I398)&gt;24</formula>
    </cfRule>
  </conditionalFormatting>
  <conditionalFormatting sqref="L7:L47">
    <cfRule type="expression" dxfId="77" priority="63">
      <formula>LEN(L7)&gt;52</formula>
    </cfRule>
  </conditionalFormatting>
  <conditionalFormatting sqref="L49:L103">
    <cfRule type="expression" dxfId="76" priority="35">
      <formula>LEN(L49)&gt;52</formula>
    </cfRule>
  </conditionalFormatting>
  <conditionalFormatting sqref="L199:L200 L203:L238 L243:L256">
    <cfRule type="expression" dxfId="75" priority="64">
      <formula>LEN(L199)&gt;52</formula>
    </cfRule>
  </conditionalFormatting>
  <dataValidations disablePrompts="1" count="1">
    <dataValidation type="list" allowBlank="1" showInputMessage="1" showErrorMessage="1" sqref="O7:O13 G280:Q280 N281:N485 N7:N279" xr:uid="{EF0D1973-7D0D-4717-B12B-98686D8E6278}">
      <formula1>#REF!</formula1>
    </dataValidation>
  </dataValidations>
  <printOptions horizontalCentered="1"/>
  <pageMargins left="0.39370078740157483" right="0.39370078740157483" top="0.59055118110236227" bottom="0.59055118110236227" header="0.59055118110236227" footer="0.39370078740157483"/>
  <pageSetup paperSize="8" scale="47" fitToHeight="0" orientation="landscape" r:id="rId1"/>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819B-48A5-4B3C-B05A-E3C57C61B86C}">
  <sheetPr codeName="Sheet15">
    <tabColor indexed="39"/>
    <pageSetUpPr fitToPage="1"/>
  </sheetPr>
  <dimension ref="A1:P66"/>
  <sheetViews>
    <sheetView view="pageBreakPreview" topLeftCell="E9" zoomScale="55" zoomScaleNormal="55" zoomScaleSheetLayoutView="55" workbookViewId="0">
      <selection activeCell="H9" sqref="H9"/>
    </sheetView>
  </sheetViews>
  <sheetFormatPr defaultColWidth="18.6640625" defaultRowHeight="13.35" customHeight="1" outlineLevelCol="1"/>
  <cols>
    <col min="1" max="4" width="11.5" style="3" hidden="1" customWidth="1" outlineLevel="1"/>
    <col min="5" max="5" width="30.1640625" style="22" customWidth="1" collapsed="1"/>
    <col min="6" max="6" width="24.6640625" style="22" customWidth="1"/>
    <col min="7" max="7" width="31" style="4" bestFit="1" customWidth="1"/>
    <col min="8" max="8" width="127.1640625" style="4" customWidth="1" outlineLevel="1"/>
    <col min="9" max="9" width="61.6640625" style="4" bestFit="1" customWidth="1"/>
    <col min="10" max="10" width="16.1640625" style="4" customWidth="1"/>
    <col min="11" max="11" width="15" style="3" customWidth="1"/>
    <col min="12" max="12" width="29" style="3" customWidth="1"/>
    <col min="13" max="13" width="16.33203125" style="22" customWidth="1"/>
    <col min="14" max="14" width="26.1640625" style="22" customWidth="1"/>
    <col min="15" max="15" width="65.6640625" style="22" customWidth="1"/>
    <col min="16" max="16" width="6.6640625" style="23" customWidth="1"/>
    <col min="17" max="16384" width="18.6640625" style="2"/>
  </cols>
  <sheetData>
    <row r="1" spans="1:16" s="86" customFormat="1" ht="21" customHeight="1">
      <c r="A1" s="100"/>
      <c r="B1" s="100"/>
      <c r="C1" s="100"/>
      <c r="D1" s="100"/>
      <c r="E1" s="20" t="s">
        <v>1</v>
      </c>
      <c r="F1" s="288"/>
      <c r="G1" s="25"/>
      <c r="H1" s="20"/>
      <c r="I1" s="20"/>
      <c r="J1" s="20"/>
      <c r="K1" s="107"/>
      <c r="L1" s="107"/>
      <c r="M1" s="107"/>
      <c r="N1" s="107"/>
      <c r="O1" s="107"/>
      <c r="P1" s="100"/>
    </row>
    <row r="2" spans="1:16" s="86" customFormat="1" ht="21" customHeight="1">
      <c r="A2" s="100"/>
      <c r="B2" s="100"/>
      <c r="C2" s="100"/>
      <c r="D2" s="100"/>
      <c r="E2" s="20" t="s">
        <v>0</v>
      </c>
      <c r="F2" s="20"/>
      <c r="G2" s="25"/>
      <c r="J2" s="195" t="s">
        <v>2084</v>
      </c>
      <c r="K2" s="35"/>
      <c r="L2" s="35"/>
      <c r="M2" s="25"/>
      <c r="N2" s="25"/>
      <c r="O2" s="107"/>
      <c r="P2" s="100"/>
    </row>
    <row r="3" spans="1:16" s="86" customFormat="1" ht="21" customHeight="1" thickBot="1">
      <c r="A3" s="100"/>
      <c r="B3" s="100"/>
      <c r="C3" s="100"/>
      <c r="D3" s="100"/>
      <c r="E3" s="86" t="s">
        <v>2</v>
      </c>
      <c r="F3" s="289"/>
      <c r="G3" s="20"/>
      <c r="H3" s="108"/>
      <c r="I3" s="108"/>
      <c r="J3" s="108"/>
      <c r="K3" s="107"/>
      <c r="L3" s="107"/>
      <c r="M3" s="107"/>
      <c r="N3" s="107"/>
      <c r="O3" s="107"/>
    </row>
    <row r="4" spans="1:16" s="56" customFormat="1" ht="12" customHeight="1">
      <c r="A4" s="52"/>
      <c r="B4" s="52"/>
      <c r="C4" s="52"/>
      <c r="D4" s="52"/>
      <c r="E4" s="1116" t="s">
        <v>4026</v>
      </c>
      <c r="F4" s="1082"/>
      <c r="G4" s="1082"/>
      <c r="H4" s="1082"/>
      <c r="I4" s="1082"/>
      <c r="J4" s="1082"/>
      <c r="K4" s="1082"/>
      <c r="L4" s="1082"/>
      <c r="M4" s="1082"/>
      <c r="N4" s="1082"/>
      <c r="O4" s="1082"/>
      <c r="P4" s="1117"/>
    </row>
    <row r="5" spans="1:16" s="56" customFormat="1" ht="13.5" customHeight="1" thickBot="1">
      <c r="A5" s="52"/>
      <c r="B5" s="52"/>
      <c r="C5" s="52"/>
      <c r="D5" s="52"/>
      <c r="E5" s="1118"/>
      <c r="F5" s="1119"/>
      <c r="G5" s="1119"/>
      <c r="H5" s="1119"/>
      <c r="I5" s="1119"/>
      <c r="J5" s="1119"/>
      <c r="K5" s="1119"/>
      <c r="L5" s="1119"/>
      <c r="M5" s="1119"/>
      <c r="N5" s="1119"/>
      <c r="O5" s="1119"/>
      <c r="P5" s="1120"/>
    </row>
    <row r="6" spans="1:16" s="52" customFormat="1" ht="30">
      <c r="A6" s="207" t="s">
        <v>107</v>
      </c>
      <c r="B6" s="207" t="s">
        <v>108</v>
      </c>
      <c r="C6" s="207" t="s">
        <v>109</v>
      </c>
      <c r="D6" s="207" t="s">
        <v>110</v>
      </c>
      <c r="E6" s="131" t="s">
        <v>100</v>
      </c>
      <c r="F6" s="290" t="s">
        <v>101</v>
      </c>
      <c r="G6" s="1009" t="s">
        <v>102</v>
      </c>
      <c r="H6" s="1009" t="s">
        <v>103</v>
      </c>
      <c r="I6" s="1009" t="s">
        <v>104</v>
      </c>
      <c r="J6" s="1009" t="s">
        <v>2086</v>
      </c>
      <c r="K6" s="1009" t="s">
        <v>2087</v>
      </c>
      <c r="L6" s="1009" t="s">
        <v>2088</v>
      </c>
      <c r="M6" s="1009" t="s">
        <v>2090</v>
      </c>
      <c r="N6" s="1009" t="s">
        <v>127</v>
      </c>
      <c r="O6" s="1009" t="s">
        <v>128</v>
      </c>
      <c r="P6" s="1009" t="s">
        <v>129</v>
      </c>
    </row>
    <row r="7" spans="1:16" ht="55.5" customHeight="1">
      <c r="A7" s="856"/>
      <c r="B7" s="856"/>
      <c r="C7" s="856"/>
      <c r="D7" s="856"/>
      <c r="E7" s="857" t="s">
        <v>4027</v>
      </c>
      <c r="F7" s="870" t="s">
        <v>3640</v>
      </c>
      <c r="G7" s="857" t="s">
        <v>500</v>
      </c>
      <c r="H7" s="857" t="s">
        <v>3641</v>
      </c>
      <c r="I7" s="870" t="s">
        <v>3642</v>
      </c>
      <c r="J7" s="858" t="s">
        <v>2095</v>
      </c>
      <c r="K7" s="858" t="s">
        <v>2096</v>
      </c>
      <c r="L7" s="858" t="s">
        <v>2095</v>
      </c>
      <c r="M7" s="858">
        <v>0</v>
      </c>
      <c r="N7" s="859"/>
      <c r="O7" s="872" t="s">
        <v>3643</v>
      </c>
      <c r="P7" s="858">
        <v>2</v>
      </c>
    </row>
    <row r="8" spans="1:16" s="52" customFormat="1" ht="114" customHeight="1">
      <c r="A8" s="207"/>
      <c r="B8" s="207"/>
      <c r="C8" s="207"/>
      <c r="D8" s="207"/>
      <c r="E8" s="5" t="s">
        <v>4028</v>
      </c>
      <c r="F8" s="12" t="s">
        <v>4029</v>
      </c>
      <c r="G8" s="5" t="s">
        <v>538</v>
      </c>
      <c r="H8" s="5" t="s">
        <v>4030</v>
      </c>
      <c r="I8" s="13" t="s">
        <v>4031</v>
      </c>
      <c r="J8" s="13" t="s">
        <v>2096</v>
      </c>
      <c r="K8" s="13" t="s">
        <v>3569</v>
      </c>
      <c r="L8" s="13"/>
      <c r="M8" s="870">
        <v>0</v>
      </c>
      <c r="N8" s="12"/>
      <c r="O8" s="228" t="s">
        <v>4032</v>
      </c>
      <c r="P8" s="12">
        <v>1</v>
      </c>
    </row>
    <row r="9" spans="1:16" s="52" customFormat="1" ht="115.5" customHeight="1">
      <c r="A9" s="207"/>
      <c r="B9" s="207"/>
      <c r="C9" s="207"/>
      <c r="D9" s="207"/>
      <c r="E9" s="5" t="s">
        <v>4033</v>
      </c>
      <c r="F9" s="12" t="s">
        <v>4034</v>
      </c>
      <c r="G9" s="5" t="s">
        <v>538</v>
      </c>
      <c r="H9" s="5" t="s">
        <v>4035</v>
      </c>
      <c r="I9" s="13" t="s">
        <v>4036</v>
      </c>
      <c r="J9" s="13" t="s">
        <v>2096</v>
      </c>
      <c r="K9" s="13" t="s">
        <v>3569</v>
      </c>
      <c r="L9" s="13"/>
      <c r="M9" s="870">
        <v>0</v>
      </c>
      <c r="N9" s="12"/>
      <c r="O9" s="228" t="s">
        <v>4032</v>
      </c>
      <c r="P9" s="12">
        <v>1</v>
      </c>
    </row>
    <row r="10" spans="1:16" ht="94.5" customHeight="1">
      <c r="A10" s="298"/>
      <c r="B10" s="298"/>
      <c r="C10" s="298"/>
      <c r="D10" s="298"/>
      <c r="E10" s="731" t="s">
        <v>4037</v>
      </c>
      <c r="F10" s="294" t="s">
        <v>4038</v>
      </c>
      <c r="G10" s="292" t="s">
        <v>500</v>
      </c>
      <c r="H10" s="292" t="s">
        <v>4039</v>
      </c>
      <c r="I10" s="13" t="s">
        <v>4040</v>
      </c>
      <c r="J10" s="13" t="s">
        <v>2096</v>
      </c>
      <c r="K10" s="13" t="s">
        <v>3569</v>
      </c>
      <c r="L10" s="13"/>
      <c r="M10" s="870">
        <v>0</v>
      </c>
      <c r="N10" s="12"/>
      <c r="O10" s="228" t="s">
        <v>4041</v>
      </c>
      <c r="P10" s="736">
        <v>2</v>
      </c>
    </row>
    <row r="11" spans="1:16" ht="94.5" customHeight="1">
      <c r="A11" s="298"/>
      <c r="B11" s="298"/>
      <c r="C11" s="298"/>
      <c r="D11" s="298"/>
      <c r="E11" s="731" t="s">
        <v>4042</v>
      </c>
      <c r="F11" s="294" t="s">
        <v>4043</v>
      </c>
      <c r="G11" s="292" t="s">
        <v>500</v>
      </c>
      <c r="H11" s="292" t="s">
        <v>4044</v>
      </c>
      <c r="I11" s="13" t="s">
        <v>4045</v>
      </c>
      <c r="J11" s="13" t="s">
        <v>2096</v>
      </c>
      <c r="K11" s="13" t="s">
        <v>3569</v>
      </c>
      <c r="L11" s="858" t="s">
        <v>4046</v>
      </c>
      <c r="M11" s="870">
        <v>0</v>
      </c>
      <c r="N11" s="12"/>
      <c r="O11" s="228" t="s">
        <v>4047</v>
      </c>
      <c r="P11" s="736">
        <v>2</v>
      </c>
    </row>
    <row r="12" spans="1:16" ht="94.5" customHeight="1">
      <c r="A12" s="298"/>
      <c r="B12" s="298"/>
      <c r="C12" s="298"/>
      <c r="D12" s="298"/>
      <c r="E12" s="731" t="s">
        <v>4048</v>
      </c>
      <c r="F12" s="294" t="s">
        <v>4049</v>
      </c>
      <c r="G12" s="292" t="s">
        <v>500</v>
      </c>
      <c r="H12" s="292" t="s">
        <v>4050</v>
      </c>
      <c r="I12" s="13" t="s">
        <v>4051</v>
      </c>
      <c r="J12" s="13" t="s">
        <v>2096</v>
      </c>
      <c r="K12" s="13" t="s">
        <v>3569</v>
      </c>
      <c r="L12" s="858" t="s">
        <v>4052</v>
      </c>
      <c r="M12" s="870">
        <v>0</v>
      </c>
      <c r="N12" s="12"/>
      <c r="O12" s="228" t="s">
        <v>4053</v>
      </c>
      <c r="P12" s="736">
        <v>2</v>
      </c>
    </row>
    <row r="13" spans="1:16" ht="94.5" customHeight="1">
      <c r="A13" s="298"/>
      <c r="B13" s="298"/>
      <c r="C13" s="298"/>
      <c r="D13" s="298"/>
      <c r="E13" s="731" t="s">
        <v>4054</v>
      </c>
      <c r="F13" s="294" t="s">
        <v>4055</v>
      </c>
      <c r="G13" s="292" t="s">
        <v>500</v>
      </c>
      <c r="H13" s="292" t="s">
        <v>4056</v>
      </c>
      <c r="I13" s="13" t="s">
        <v>4057</v>
      </c>
      <c r="J13" s="13" t="s">
        <v>2096</v>
      </c>
      <c r="K13" s="13" t="s">
        <v>3569</v>
      </c>
      <c r="L13" s="858" t="s">
        <v>4058</v>
      </c>
      <c r="M13" s="870">
        <v>0</v>
      </c>
      <c r="N13" s="12"/>
      <c r="O13" s="228" t="s">
        <v>4059</v>
      </c>
      <c r="P13" s="736">
        <v>2</v>
      </c>
    </row>
    <row r="14" spans="1:16" ht="94.5" customHeight="1">
      <c r="A14" s="298"/>
      <c r="B14" s="298"/>
      <c r="C14" s="298"/>
      <c r="D14" s="298"/>
      <c r="E14" s="731" t="s">
        <v>4060</v>
      </c>
      <c r="F14" s="294" t="s">
        <v>4061</v>
      </c>
      <c r="G14" s="292" t="s">
        <v>500</v>
      </c>
      <c r="H14" s="292" t="s">
        <v>4062</v>
      </c>
      <c r="I14" s="13" t="s">
        <v>4063</v>
      </c>
      <c r="J14" s="13" t="s">
        <v>2096</v>
      </c>
      <c r="K14" s="13" t="s">
        <v>3569</v>
      </c>
      <c r="L14" s="858" t="s">
        <v>4064</v>
      </c>
      <c r="M14" s="870">
        <v>0</v>
      </c>
      <c r="N14" s="12"/>
      <c r="O14" s="228" t="s">
        <v>4065</v>
      </c>
      <c r="P14" s="736">
        <v>2</v>
      </c>
    </row>
    <row r="15" spans="1:16" ht="211.5" customHeight="1">
      <c r="A15" s="298"/>
      <c r="B15" s="298"/>
      <c r="C15" s="298"/>
      <c r="D15" s="298"/>
      <c r="E15" s="731" t="s">
        <v>4066</v>
      </c>
      <c r="F15" s="294" t="s">
        <v>4067</v>
      </c>
      <c r="G15" s="292" t="s">
        <v>500</v>
      </c>
      <c r="H15" s="292" t="s">
        <v>4068</v>
      </c>
      <c r="I15" s="13" t="s">
        <v>4069</v>
      </c>
      <c r="J15" s="13" t="s">
        <v>2096</v>
      </c>
      <c r="K15" s="13" t="s">
        <v>3569</v>
      </c>
      <c r="L15" s="13"/>
      <c r="M15" s="870">
        <v>0</v>
      </c>
      <c r="N15" s="12"/>
      <c r="O15" s="228" t="s">
        <v>4070</v>
      </c>
      <c r="P15" s="736">
        <v>2</v>
      </c>
    </row>
    <row r="16" spans="1:16" ht="211.5" customHeight="1">
      <c r="A16" s="298"/>
      <c r="B16" s="298"/>
      <c r="C16" s="298"/>
      <c r="D16" s="298"/>
      <c r="E16" s="731" t="s">
        <v>4071</v>
      </c>
      <c r="F16" s="294" t="s">
        <v>4072</v>
      </c>
      <c r="G16" s="292" t="s">
        <v>500</v>
      </c>
      <c r="H16" s="292" t="s">
        <v>4073</v>
      </c>
      <c r="I16" s="13" t="s">
        <v>4074</v>
      </c>
      <c r="J16" s="13" t="s">
        <v>4075</v>
      </c>
      <c r="K16" s="13" t="s">
        <v>4076</v>
      </c>
      <c r="L16" s="13"/>
      <c r="M16" s="870">
        <v>0</v>
      </c>
      <c r="N16" s="12"/>
      <c r="O16" s="228" t="s">
        <v>4077</v>
      </c>
      <c r="P16" s="736">
        <v>2</v>
      </c>
    </row>
    <row r="17" spans="1:16" ht="156" customHeight="1">
      <c r="A17" s="298"/>
      <c r="B17" s="298"/>
      <c r="C17" s="298"/>
      <c r="D17" s="298"/>
      <c r="E17" s="731" t="s">
        <v>4078</v>
      </c>
      <c r="F17" s="294" t="s">
        <v>4079</v>
      </c>
      <c r="G17" s="292" t="s">
        <v>500</v>
      </c>
      <c r="H17" s="292" t="s">
        <v>4080</v>
      </c>
      <c r="I17" s="13" t="s">
        <v>4081</v>
      </c>
      <c r="J17" s="13" t="s">
        <v>2096</v>
      </c>
      <c r="K17" s="13" t="s">
        <v>3569</v>
      </c>
      <c r="L17" s="13"/>
      <c r="M17" s="870">
        <v>0</v>
      </c>
      <c r="N17" s="12"/>
      <c r="O17" s="228" t="s">
        <v>4082</v>
      </c>
      <c r="P17" s="736">
        <v>2</v>
      </c>
    </row>
    <row r="18" spans="1:16" ht="92.45" customHeight="1">
      <c r="A18" s="298"/>
      <c r="B18" s="298"/>
      <c r="C18" s="298"/>
      <c r="D18" s="298"/>
      <c r="E18" s="857" t="s">
        <v>4083</v>
      </c>
      <c r="F18" s="870" t="s">
        <v>4084</v>
      </c>
      <c r="G18" s="857" t="s">
        <v>500</v>
      </c>
      <c r="H18" s="857" t="s">
        <v>4085</v>
      </c>
      <c r="I18" s="858" t="s">
        <v>4086</v>
      </c>
      <c r="J18" s="858" t="s">
        <v>4087</v>
      </c>
      <c r="K18" s="858" t="s">
        <v>3437</v>
      </c>
      <c r="L18" s="858"/>
      <c r="M18" s="870">
        <v>0</v>
      </c>
      <c r="N18" s="870"/>
      <c r="O18" s="872" t="s">
        <v>3619</v>
      </c>
      <c r="P18" s="870">
        <v>2</v>
      </c>
    </row>
    <row r="19" spans="1:16" ht="141.6" customHeight="1">
      <c r="A19" s="855"/>
      <c r="B19" s="855"/>
      <c r="C19" s="855"/>
      <c r="D19" s="855"/>
      <c r="E19" s="736" t="s">
        <v>4088</v>
      </c>
      <c r="F19" s="736" t="s">
        <v>4084</v>
      </c>
      <c r="G19" s="731" t="s">
        <v>500</v>
      </c>
      <c r="H19" s="731" t="s">
        <v>4089</v>
      </c>
      <c r="I19" s="736" t="s">
        <v>4090</v>
      </c>
      <c r="J19" s="744" t="s">
        <v>2167</v>
      </c>
      <c r="K19" s="744" t="s">
        <v>4091</v>
      </c>
      <c r="L19" s="858"/>
      <c r="M19" s="744"/>
      <c r="N19" s="743"/>
      <c r="O19" s="953" t="s">
        <v>4092</v>
      </c>
      <c r="P19" s="744">
        <v>2</v>
      </c>
    </row>
    <row r="20" spans="1:16" ht="141.6" customHeight="1">
      <c r="A20" s="855"/>
      <c r="B20" s="855"/>
      <c r="C20" s="855"/>
      <c r="D20" s="855"/>
      <c r="E20" s="736" t="s">
        <v>4093</v>
      </c>
      <c r="F20" s="736" t="s">
        <v>4094</v>
      </c>
      <c r="G20" s="731" t="s">
        <v>500</v>
      </c>
      <c r="H20" s="731" t="s">
        <v>4095</v>
      </c>
      <c r="I20" s="736" t="s">
        <v>4096</v>
      </c>
      <c r="J20" s="744" t="s">
        <v>2167</v>
      </c>
      <c r="K20" s="744" t="s">
        <v>4097</v>
      </c>
      <c r="L20" s="858"/>
      <c r="M20" s="744"/>
      <c r="N20" s="743"/>
      <c r="O20" s="953" t="s">
        <v>4098</v>
      </c>
      <c r="P20" s="744">
        <v>2</v>
      </c>
    </row>
    <row r="21" spans="1:16" ht="42.75" customHeight="1">
      <c r="A21" s="298"/>
      <c r="B21" s="298"/>
      <c r="C21" s="298"/>
      <c r="D21" s="298"/>
      <c r="E21" s="292" t="s">
        <v>4099</v>
      </c>
      <c r="F21" s="736" t="s">
        <v>4100</v>
      </c>
      <c r="G21" s="737" t="s">
        <v>745</v>
      </c>
      <c r="H21" s="292" t="s">
        <v>4101</v>
      </c>
      <c r="I21" s="293" t="s">
        <v>4102</v>
      </c>
      <c r="J21" s="293" t="s">
        <v>2096</v>
      </c>
      <c r="K21" s="293" t="s">
        <v>3569</v>
      </c>
      <c r="L21" s="980"/>
      <c r="M21" s="870">
        <v>0</v>
      </c>
      <c r="N21" s="294"/>
      <c r="O21" s="295"/>
      <c r="P21" s="736">
        <v>2</v>
      </c>
    </row>
    <row r="22" spans="1:16" ht="42.75" customHeight="1">
      <c r="A22" s="298"/>
      <c r="B22" s="298"/>
      <c r="C22" s="298"/>
      <c r="D22" s="298"/>
      <c r="E22" s="292" t="s">
        <v>4103</v>
      </c>
      <c r="F22" s="736" t="s">
        <v>4104</v>
      </c>
      <c r="G22" s="737" t="s">
        <v>745</v>
      </c>
      <c r="H22" s="292" t="s">
        <v>4105</v>
      </c>
      <c r="I22" s="293" t="s">
        <v>4106</v>
      </c>
      <c r="J22" s="293" t="s">
        <v>2096</v>
      </c>
      <c r="K22" s="293" t="s">
        <v>3569</v>
      </c>
      <c r="L22" s="980"/>
      <c r="M22" s="870">
        <v>0</v>
      </c>
      <c r="N22" s="294"/>
      <c r="O22" s="295"/>
      <c r="P22" s="736">
        <v>2</v>
      </c>
    </row>
    <row r="23" spans="1:16" ht="42.75" customHeight="1">
      <c r="A23" s="298"/>
      <c r="B23" s="298"/>
      <c r="C23" s="298"/>
      <c r="D23" s="298"/>
      <c r="E23" s="292" t="s">
        <v>4107</v>
      </c>
      <c r="F23" s="736" t="s">
        <v>4108</v>
      </c>
      <c r="G23" s="737" t="s">
        <v>745</v>
      </c>
      <c r="H23" s="292" t="s">
        <v>4109</v>
      </c>
      <c r="I23" s="293" t="s">
        <v>4110</v>
      </c>
      <c r="J23" s="293" t="s">
        <v>2096</v>
      </c>
      <c r="K23" s="293" t="s">
        <v>3569</v>
      </c>
      <c r="L23" s="293"/>
      <c r="M23" s="870">
        <v>0</v>
      </c>
      <c r="N23" s="294"/>
      <c r="O23" s="295"/>
      <c r="P23" s="736">
        <v>2</v>
      </c>
    </row>
    <row r="24" spans="1:16" ht="42.75" customHeight="1">
      <c r="A24" s="298"/>
      <c r="B24" s="298"/>
      <c r="C24" s="298"/>
      <c r="D24" s="298"/>
      <c r="E24" s="292" t="s">
        <v>4111</v>
      </c>
      <c r="F24" s="736" t="s">
        <v>4112</v>
      </c>
      <c r="G24" s="737" t="s">
        <v>745</v>
      </c>
      <c r="H24" s="292" t="s">
        <v>4113</v>
      </c>
      <c r="I24" s="293" t="s">
        <v>4114</v>
      </c>
      <c r="J24" s="293" t="s">
        <v>2096</v>
      </c>
      <c r="K24" s="293" t="s">
        <v>3569</v>
      </c>
      <c r="L24" s="293"/>
      <c r="M24" s="870">
        <v>0</v>
      </c>
      <c r="N24" s="294"/>
      <c r="O24" s="295"/>
      <c r="P24" s="736">
        <v>2</v>
      </c>
    </row>
    <row r="25" spans="1:16" s="1" customFormat="1" ht="30" customHeight="1">
      <c r="E25" s="205" t="s">
        <v>2074</v>
      </c>
      <c r="F25" s="5"/>
      <c r="G25" s="5"/>
      <c r="H25" s="201"/>
      <c r="I25" s="6"/>
      <c r="J25" s="6"/>
      <c r="K25" s="196"/>
      <c r="L25" s="197"/>
      <c r="M25" s="197"/>
      <c r="N25" s="197"/>
      <c r="O25" s="197"/>
      <c r="P25" s="197"/>
    </row>
    <row r="26" spans="1:16" ht="13.35" customHeight="1">
      <c r="A26" s="2"/>
      <c r="B26" s="2"/>
      <c r="C26" s="2"/>
      <c r="D26" s="2"/>
    </row>
    <row r="27" spans="1:16" ht="13.35" customHeight="1">
      <c r="A27" s="2"/>
      <c r="B27" s="2"/>
      <c r="C27" s="2"/>
      <c r="D27" s="2"/>
    </row>
    <row r="28" spans="1:16" ht="13.35" customHeight="1">
      <c r="A28" s="2"/>
      <c r="B28" s="2"/>
      <c r="C28" s="2"/>
      <c r="D28" s="2"/>
      <c r="E28" s="196">
        <f>COUNTA(E8:E24)</f>
        <v>17</v>
      </c>
      <c r="F28" s="196">
        <f>COUNTA(F8:F24)</f>
        <v>17</v>
      </c>
    </row>
    <row r="29" spans="1:16" ht="13.35" customHeight="1">
      <c r="A29" s="2"/>
      <c r="B29" s="2"/>
      <c r="C29" s="2"/>
      <c r="D29" s="2"/>
    </row>
    <row r="30" spans="1:16" ht="13.35" customHeight="1">
      <c r="A30" s="2"/>
      <c r="B30" s="2"/>
      <c r="C30" s="2"/>
      <c r="D30" s="2"/>
    </row>
    <row r="31" spans="1:16" ht="13.35" customHeight="1">
      <c r="A31" s="2"/>
      <c r="B31" s="2"/>
      <c r="C31" s="2"/>
      <c r="D31" s="2"/>
    </row>
    <row r="32" spans="1:16" ht="13.35" customHeight="1">
      <c r="A32" s="2"/>
      <c r="B32" s="2"/>
      <c r="C32" s="2"/>
      <c r="D32" s="2"/>
    </row>
    <row r="33" spans="1:4" ht="13.35" customHeight="1">
      <c r="A33" s="2"/>
      <c r="B33" s="2"/>
      <c r="C33" s="2"/>
      <c r="D33" s="2"/>
    </row>
    <row r="34" spans="1:4" ht="13.35" customHeight="1">
      <c r="A34" s="2"/>
      <c r="B34" s="2"/>
      <c r="C34" s="2"/>
      <c r="D34" s="2"/>
    </row>
    <row r="35" spans="1:4" ht="13.35" customHeight="1">
      <c r="A35" s="2"/>
      <c r="B35" s="2"/>
      <c r="C35" s="2"/>
      <c r="D35" s="2"/>
    </row>
    <row r="36" spans="1:4" ht="13.35" customHeight="1">
      <c r="A36" s="2"/>
      <c r="B36" s="2"/>
      <c r="C36" s="2"/>
      <c r="D36" s="2"/>
    </row>
    <row r="37" spans="1:4" ht="13.35" customHeight="1">
      <c r="A37" s="2"/>
      <c r="B37" s="2"/>
      <c r="C37" s="2"/>
      <c r="D37" s="2"/>
    </row>
    <row r="38" spans="1:4" ht="13.35" customHeight="1">
      <c r="A38" s="2"/>
      <c r="B38" s="2"/>
      <c r="C38" s="2"/>
      <c r="D38" s="2"/>
    </row>
    <row r="39" spans="1:4" ht="13.35" customHeight="1">
      <c r="A39" s="2"/>
      <c r="B39" s="2"/>
      <c r="C39" s="2"/>
      <c r="D39" s="2"/>
    </row>
    <row r="40" spans="1:4" ht="13.35" customHeight="1">
      <c r="A40" s="2"/>
      <c r="B40" s="2"/>
      <c r="C40" s="2"/>
      <c r="D40" s="2"/>
    </row>
    <row r="41" spans="1:4" ht="13.35" customHeight="1">
      <c r="A41" s="2"/>
      <c r="B41" s="2"/>
      <c r="C41" s="2"/>
      <c r="D41" s="2"/>
    </row>
    <row r="42" spans="1:4" ht="13.35" customHeight="1">
      <c r="A42" s="2"/>
      <c r="B42" s="2"/>
      <c r="C42" s="2"/>
      <c r="D42" s="2"/>
    </row>
    <row r="43" spans="1:4" ht="13.35" customHeight="1">
      <c r="A43" s="2"/>
      <c r="B43" s="2"/>
      <c r="C43" s="2"/>
      <c r="D43" s="2"/>
    </row>
    <row r="44" spans="1:4" ht="13.35" customHeight="1">
      <c r="A44" s="2"/>
      <c r="B44" s="2"/>
      <c r="C44" s="2"/>
      <c r="D44" s="2"/>
    </row>
    <row r="45" spans="1:4" ht="13.35" customHeight="1">
      <c r="A45" s="2"/>
      <c r="B45" s="2"/>
      <c r="C45" s="2"/>
      <c r="D45" s="2"/>
    </row>
    <row r="46" spans="1:4" ht="13.35" customHeight="1">
      <c r="A46" s="2"/>
      <c r="B46" s="2"/>
      <c r="C46" s="2"/>
      <c r="D46" s="2"/>
    </row>
    <row r="47" spans="1:4" ht="13.35" customHeight="1">
      <c r="A47" s="2"/>
      <c r="B47" s="2"/>
      <c r="C47" s="2"/>
      <c r="D47" s="2"/>
    </row>
    <row r="48" spans="1:4" ht="13.35" customHeight="1">
      <c r="A48" s="2"/>
      <c r="B48" s="2"/>
      <c r="C48" s="2"/>
      <c r="D48" s="2"/>
    </row>
    <row r="49" spans="1:4" ht="13.35" customHeight="1">
      <c r="A49" s="2"/>
      <c r="B49" s="2"/>
      <c r="C49" s="2"/>
      <c r="D49" s="2"/>
    </row>
    <row r="50" spans="1:4" ht="13.35" customHeight="1">
      <c r="A50" s="2"/>
      <c r="B50" s="2"/>
      <c r="C50" s="2"/>
      <c r="D50" s="2"/>
    </row>
    <row r="51" spans="1:4" ht="13.35" customHeight="1">
      <c r="A51" s="2"/>
      <c r="B51" s="2"/>
      <c r="C51" s="2"/>
      <c r="D51" s="2"/>
    </row>
    <row r="52" spans="1:4" ht="13.35" customHeight="1">
      <c r="A52" s="2"/>
      <c r="B52" s="2"/>
      <c r="C52" s="2"/>
      <c r="D52" s="2"/>
    </row>
    <row r="53" spans="1:4" ht="13.35" customHeight="1">
      <c r="A53" s="2"/>
      <c r="B53" s="2"/>
      <c r="C53" s="2"/>
      <c r="D53" s="2"/>
    </row>
    <row r="54" spans="1:4" ht="13.35" customHeight="1">
      <c r="A54" s="2"/>
      <c r="B54" s="2"/>
      <c r="C54" s="2"/>
      <c r="D54" s="2"/>
    </row>
    <row r="55" spans="1:4" ht="13.35" customHeight="1">
      <c r="A55" s="2"/>
      <c r="B55" s="2"/>
      <c r="C55" s="2"/>
      <c r="D55" s="2"/>
    </row>
    <row r="56" spans="1:4" ht="13.35" customHeight="1">
      <c r="A56" s="2"/>
      <c r="B56" s="2"/>
      <c r="C56" s="2"/>
      <c r="D56" s="2"/>
    </row>
    <row r="57" spans="1:4" ht="13.35" customHeight="1">
      <c r="A57" s="2"/>
      <c r="B57" s="2"/>
      <c r="C57" s="2"/>
      <c r="D57" s="2"/>
    </row>
    <row r="58" spans="1:4" ht="13.35" customHeight="1">
      <c r="A58" s="2"/>
      <c r="B58" s="2"/>
      <c r="C58" s="2"/>
      <c r="D58" s="2"/>
    </row>
    <row r="59" spans="1:4" ht="13.35" customHeight="1">
      <c r="A59" s="2"/>
      <c r="B59" s="2"/>
      <c r="C59" s="2"/>
      <c r="D59" s="2"/>
    </row>
    <row r="60" spans="1:4" ht="13.35" customHeight="1">
      <c r="A60" s="2"/>
      <c r="B60" s="2"/>
      <c r="C60" s="2"/>
      <c r="D60" s="2"/>
    </row>
    <row r="61" spans="1:4" ht="13.35" customHeight="1">
      <c r="A61" s="2"/>
      <c r="B61" s="2"/>
      <c r="C61" s="2"/>
      <c r="D61" s="2"/>
    </row>
    <row r="62" spans="1:4" ht="13.35" customHeight="1">
      <c r="A62" s="2"/>
      <c r="B62" s="2"/>
      <c r="C62" s="2"/>
      <c r="D62" s="2"/>
    </row>
    <row r="63" spans="1:4" ht="13.35" customHeight="1">
      <c r="A63" s="2"/>
      <c r="B63" s="2"/>
      <c r="C63" s="2"/>
      <c r="D63" s="2"/>
    </row>
    <row r="64" spans="1:4" ht="13.35" customHeight="1">
      <c r="A64" s="2"/>
      <c r="B64" s="2"/>
      <c r="C64" s="2"/>
      <c r="D64" s="2"/>
    </row>
    <row r="65" spans="1:4" ht="13.35" customHeight="1">
      <c r="A65" s="2"/>
      <c r="B65" s="2"/>
      <c r="C65" s="2"/>
      <c r="D65" s="2"/>
    </row>
    <row r="66" spans="1:4" ht="13.35" customHeight="1">
      <c r="A66" s="2"/>
      <c r="B66" s="2"/>
      <c r="C66" s="2"/>
      <c r="D66" s="2"/>
    </row>
  </sheetData>
  <autoFilter ref="A6:P22" xr:uid="{4D42819B-48A5-4B3C-B05A-E3C57C61B86C}"/>
  <mergeCells count="1">
    <mergeCell ref="E4:P5"/>
  </mergeCells>
  <phoneticPr fontId="15" type="noConversion"/>
  <conditionalFormatting sqref="E7">
    <cfRule type="duplicateValues" dxfId="74" priority="11"/>
  </conditionalFormatting>
  <conditionalFormatting sqref="E19">
    <cfRule type="duplicateValues" dxfId="73" priority="4"/>
  </conditionalFormatting>
  <conditionalFormatting sqref="E21:E24 E8:E18">
    <cfRule type="duplicateValues" dxfId="72" priority="4010"/>
  </conditionalFormatting>
  <conditionalFormatting sqref="E21:E24">
    <cfRule type="duplicateValues" dxfId="71" priority="4009"/>
  </conditionalFormatting>
  <conditionalFormatting sqref="E23:E24">
    <cfRule type="expression" dxfId="70" priority="30">
      <formula>LEN(E23)&gt;16</formula>
    </cfRule>
  </conditionalFormatting>
  <conditionalFormatting sqref="E7:F18">
    <cfRule type="expression" dxfId="69" priority="10">
      <formula>LEN(E7)&gt;16</formula>
    </cfRule>
  </conditionalFormatting>
  <conditionalFormatting sqref="E19:F20">
    <cfRule type="expression" dxfId="68" priority="1">
      <formula>LEN(E19)&gt;13</formula>
    </cfRule>
  </conditionalFormatting>
  <conditionalFormatting sqref="E20:F20">
    <cfRule type="duplicateValues" dxfId="67" priority="4051"/>
  </conditionalFormatting>
  <conditionalFormatting sqref="E21:F22">
    <cfRule type="expression" dxfId="66" priority="27">
      <formula>LEN(E21)&gt;16</formula>
    </cfRule>
  </conditionalFormatting>
  <conditionalFormatting sqref="F7">
    <cfRule type="duplicateValues" dxfId="65" priority="12"/>
    <cfRule type="duplicateValues" dxfId="64" priority="13"/>
  </conditionalFormatting>
  <conditionalFormatting sqref="F8:F9">
    <cfRule type="duplicateValues" dxfId="63" priority="21"/>
  </conditionalFormatting>
  <conditionalFormatting sqref="F19">
    <cfRule type="duplicateValues" dxfId="62" priority="2"/>
  </conditionalFormatting>
  <conditionalFormatting sqref="F21:F22 F8:F18">
    <cfRule type="duplicateValues" dxfId="61" priority="4008"/>
  </conditionalFormatting>
  <conditionalFormatting sqref="I7:I24">
    <cfRule type="expression" dxfId="60" priority="5">
      <formula>LEN(I7)&gt;24</formula>
    </cfRule>
  </conditionalFormatting>
  <dataValidations disablePrompts="1" count="1">
    <dataValidation type="list" allowBlank="1" showInputMessage="1" showErrorMessage="1" sqref="N7 N19:N20" xr:uid="{E5479EF8-F76D-4233-8A54-CBB97E7E5AAD}">
      <formula1>#REF!</formula1>
    </dataValidation>
  </dataValidations>
  <printOptions horizontalCentered="1"/>
  <pageMargins left="0.39370078740157483" right="0.39370078740157483" top="0.59055118110236227" bottom="0.59055118110236227" header="0.59055118110236227" footer="0.39370078740157483"/>
  <pageSetup paperSize="8" scale="56" fitToHeight="0" orientation="landscape" r:id="rId1"/>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indexed="12"/>
    <pageSetUpPr fitToPage="1"/>
  </sheetPr>
  <dimension ref="A1:P117"/>
  <sheetViews>
    <sheetView view="pageBreakPreview" topLeftCell="E1" zoomScale="85" zoomScaleNormal="100" zoomScaleSheetLayoutView="85" workbookViewId="0">
      <selection activeCell="I23" sqref="I23"/>
    </sheetView>
  </sheetViews>
  <sheetFormatPr defaultColWidth="18.6640625" defaultRowHeight="13.35" customHeight="1" outlineLevelCol="1"/>
  <cols>
    <col min="1" max="4" width="11.5" style="3" hidden="1" customWidth="1"/>
    <col min="5" max="5" width="28.1640625" style="3" bestFit="1" customWidth="1"/>
    <col min="6" max="6" width="28" style="3" customWidth="1"/>
    <col min="7" max="7" width="8.6640625" style="2" customWidth="1"/>
    <col min="8" max="8" width="36.6640625" style="3" customWidth="1"/>
    <col min="9" max="9" width="65.6640625" style="11" customWidth="1" outlineLevel="1"/>
    <col min="10" max="10" width="63.1640625" style="2" customWidth="1"/>
    <col min="11" max="11" width="16.1640625" style="3" customWidth="1"/>
    <col min="12" max="14" width="8.6640625" style="2" customWidth="1"/>
    <col min="15" max="15" width="67.6640625" style="2" bestFit="1" customWidth="1"/>
    <col min="16" max="16" width="13.1640625" style="3" bestFit="1" customWidth="1"/>
    <col min="17" max="16384" width="18.6640625" style="2"/>
  </cols>
  <sheetData>
    <row r="1" spans="1:16" s="31" customFormat="1" ht="21" customHeight="1">
      <c r="A1" s="100"/>
      <c r="B1" s="100"/>
      <c r="C1" s="100"/>
      <c r="D1" s="100"/>
      <c r="E1" s="20" t="s">
        <v>1</v>
      </c>
      <c r="F1" s="20"/>
      <c r="G1" s="30"/>
      <c r="I1" s="370"/>
      <c r="J1" s="20"/>
      <c r="K1" s="20"/>
      <c r="L1" s="20"/>
      <c r="M1" s="25"/>
      <c r="N1" s="25"/>
      <c r="O1" s="25"/>
      <c r="P1" s="27"/>
    </row>
    <row r="2" spans="1:16" s="31" customFormat="1" ht="21" customHeight="1">
      <c r="A2" s="100"/>
      <c r="B2" s="100"/>
      <c r="C2" s="100"/>
      <c r="D2" s="100"/>
      <c r="E2" s="20" t="s">
        <v>0</v>
      </c>
      <c r="F2" s="20"/>
      <c r="I2" s="372"/>
      <c r="J2" s="193"/>
      <c r="K2" s="193"/>
      <c r="L2" s="193"/>
      <c r="M2" s="194"/>
      <c r="N2" s="194"/>
      <c r="O2" s="194"/>
      <c r="P2" s="27"/>
    </row>
    <row r="3" spans="1:16" s="31" customFormat="1" ht="21" customHeight="1" thickBot="1">
      <c r="A3" s="100"/>
      <c r="B3" s="100"/>
      <c r="C3" s="100"/>
      <c r="D3" s="100"/>
      <c r="E3" s="86" t="s">
        <v>2</v>
      </c>
      <c r="F3" s="86"/>
      <c r="I3" s="373"/>
      <c r="J3" s="26"/>
      <c r="K3" s="26"/>
      <c r="L3" s="35"/>
      <c r="M3" s="82"/>
      <c r="N3" s="83"/>
      <c r="O3" s="35"/>
    </row>
    <row r="4" spans="1:16" s="44" customFormat="1" ht="25.5" customHeight="1" thickBot="1">
      <c r="A4" s="52"/>
      <c r="B4" s="52"/>
      <c r="C4" s="52"/>
      <c r="D4" s="52"/>
      <c r="E4" s="1121" t="s">
        <v>4115</v>
      </c>
      <c r="F4" s="1122"/>
      <c r="G4" s="1122"/>
      <c r="H4" s="1122"/>
      <c r="I4" s="1122"/>
      <c r="J4" s="1122"/>
      <c r="K4" s="1122"/>
      <c r="L4" s="1122"/>
      <c r="M4" s="1122"/>
      <c r="N4" s="1122"/>
      <c r="O4" s="1122"/>
      <c r="P4" s="1123"/>
    </row>
    <row r="5" spans="1:16" s="44" customFormat="1" ht="18">
      <c r="A5" s="52"/>
      <c r="B5" s="52"/>
      <c r="C5" s="52"/>
      <c r="D5" s="52"/>
      <c r="E5" s="132"/>
      <c r="F5" s="31"/>
      <c r="I5" s="374"/>
      <c r="L5" s="1026" t="s">
        <v>4116</v>
      </c>
      <c r="M5" s="52"/>
      <c r="N5" s="1027"/>
      <c r="P5" s="981"/>
    </row>
    <row r="6" spans="1:16" s="44" customFormat="1" ht="48.75" customHeight="1">
      <c r="A6" s="968" t="s">
        <v>107</v>
      </c>
      <c r="B6" s="968" t="s">
        <v>108</v>
      </c>
      <c r="C6" s="968" t="s">
        <v>109</v>
      </c>
      <c r="D6" s="968" t="s">
        <v>110</v>
      </c>
      <c r="E6" s="51" t="s">
        <v>100</v>
      </c>
      <c r="F6" s="90" t="s">
        <v>101</v>
      </c>
      <c r="G6" s="42" t="s">
        <v>108</v>
      </c>
      <c r="H6" s="42" t="s">
        <v>102</v>
      </c>
      <c r="I6" s="42" t="s">
        <v>103</v>
      </c>
      <c r="J6" s="42" t="s">
        <v>104</v>
      </c>
      <c r="K6" s="43" t="s">
        <v>4117</v>
      </c>
      <c r="L6" s="47" t="s">
        <v>4118</v>
      </c>
      <c r="M6" s="47" t="s">
        <v>4119</v>
      </c>
      <c r="N6" s="90" t="s">
        <v>4120</v>
      </c>
      <c r="O6" s="42" t="s">
        <v>128</v>
      </c>
      <c r="P6" s="42" t="s">
        <v>129</v>
      </c>
    </row>
    <row r="7" spans="1:16" ht="48.6" customHeight="1">
      <c r="A7" s="12"/>
      <c r="B7" s="12"/>
      <c r="C7" s="12"/>
      <c r="D7" s="12"/>
      <c r="E7" s="5" t="s">
        <v>537</v>
      </c>
      <c r="F7" s="294" t="s">
        <v>4121</v>
      </c>
      <c r="G7" s="12" t="s">
        <v>4122</v>
      </c>
      <c r="H7" s="292" t="s">
        <v>538</v>
      </c>
      <c r="I7" s="321" t="s">
        <v>4123</v>
      </c>
      <c r="J7" s="293" t="s">
        <v>4124</v>
      </c>
      <c r="K7" s="12" t="s">
        <v>541</v>
      </c>
      <c r="L7" s="116" t="s">
        <v>4125</v>
      </c>
      <c r="M7" s="116" t="s">
        <v>4125</v>
      </c>
      <c r="N7" s="116" t="s">
        <v>4125</v>
      </c>
      <c r="O7" s="117"/>
      <c r="P7" s="13" t="s">
        <v>184</v>
      </c>
    </row>
    <row r="8" spans="1:16" ht="48.6" customHeight="1">
      <c r="A8" s="12"/>
      <c r="B8" s="12"/>
      <c r="C8" s="12"/>
      <c r="D8" s="12"/>
      <c r="E8" s="5" t="s">
        <v>561</v>
      </c>
      <c r="F8" s="294" t="s">
        <v>4126</v>
      </c>
      <c r="G8" s="12" t="s">
        <v>4122</v>
      </c>
      <c r="H8" s="292" t="s">
        <v>538</v>
      </c>
      <c r="I8" s="321" t="s">
        <v>4127</v>
      </c>
      <c r="J8" s="293" t="s">
        <v>4128</v>
      </c>
      <c r="K8" s="12" t="s">
        <v>541</v>
      </c>
      <c r="L8" s="116" t="s">
        <v>4125</v>
      </c>
      <c r="M8" s="116" t="s">
        <v>4125</v>
      </c>
      <c r="N8" s="116" t="s">
        <v>4125</v>
      </c>
      <c r="O8" s="117" t="s">
        <v>4129</v>
      </c>
      <c r="P8" s="13" t="s">
        <v>184</v>
      </c>
    </row>
    <row r="9" spans="1:16" ht="48.6" customHeight="1">
      <c r="A9" s="12"/>
      <c r="B9" s="12"/>
      <c r="C9" s="12"/>
      <c r="D9" s="12"/>
      <c r="E9" s="5" t="s">
        <v>578</v>
      </c>
      <c r="F9" s="294" t="s">
        <v>4130</v>
      </c>
      <c r="G9" s="12" t="s">
        <v>4122</v>
      </c>
      <c r="H9" s="292" t="s">
        <v>566</v>
      </c>
      <c r="I9" s="321" t="s">
        <v>4131</v>
      </c>
      <c r="J9" s="293" t="s">
        <v>4132</v>
      </c>
      <c r="K9" s="12" t="s">
        <v>541</v>
      </c>
      <c r="L9" s="116" t="s">
        <v>4125</v>
      </c>
      <c r="M9" s="116" t="s">
        <v>4125</v>
      </c>
      <c r="N9" s="116" t="s">
        <v>4125</v>
      </c>
      <c r="O9" s="117"/>
      <c r="P9" s="13" t="s">
        <v>184</v>
      </c>
    </row>
    <row r="10" spans="1:16" ht="48.6" customHeight="1">
      <c r="A10" s="12"/>
      <c r="B10" s="12"/>
      <c r="C10" s="12"/>
      <c r="D10" s="12"/>
      <c r="E10" s="5" t="s">
        <v>607</v>
      </c>
      <c r="F10" s="294" t="s">
        <v>4133</v>
      </c>
      <c r="G10" s="12" t="s">
        <v>4122</v>
      </c>
      <c r="H10" s="292" t="s">
        <v>596</v>
      </c>
      <c r="I10" s="321" t="s">
        <v>4131</v>
      </c>
      <c r="J10" s="293" t="s">
        <v>4134</v>
      </c>
      <c r="K10" s="12" t="s">
        <v>541</v>
      </c>
      <c r="L10" s="116" t="s">
        <v>4125</v>
      </c>
      <c r="M10" s="116" t="s">
        <v>4125</v>
      </c>
      <c r="N10" s="116" t="s">
        <v>4125</v>
      </c>
      <c r="O10" s="117"/>
      <c r="P10" s="13" t="s">
        <v>184</v>
      </c>
    </row>
    <row r="11" spans="1:16" s="1" customFormat="1" ht="30" customHeight="1">
      <c r="A11" s="23"/>
      <c r="B11" s="23"/>
      <c r="C11" s="23"/>
      <c r="D11" s="23"/>
      <c r="E11" s="759" t="s">
        <v>2074</v>
      </c>
      <c r="F11" s="18"/>
      <c r="G11" s="18"/>
      <c r="H11" s="962"/>
      <c r="I11" s="963"/>
      <c r="J11" s="967"/>
      <c r="K11" s="964"/>
      <c r="L11" s="965"/>
      <c r="M11" s="964"/>
      <c r="N11" s="964"/>
      <c r="O11" s="964"/>
      <c r="P11" s="964"/>
    </row>
    <row r="12" spans="1:16" s="1" customFormat="1" ht="13.35" customHeight="1">
      <c r="A12" s="23"/>
      <c r="B12" s="23"/>
      <c r="C12" s="23"/>
      <c r="D12" s="23"/>
      <c r="E12" s="96"/>
      <c r="F12" s="96"/>
      <c r="G12" s="7"/>
      <c r="H12" s="97"/>
      <c r="I12" s="371"/>
      <c r="J12" s="102"/>
      <c r="K12" s="96"/>
      <c r="L12" s="103"/>
      <c r="M12" s="96"/>
      <c r="N12" s="96"/>
      <c r="O12" s="96"/>
      <c r="P12" s="96"/>
    </row>
    <row r="13" spans="1:16" s="1" customFormat="1" ht="13.35" customHeight="1">
      <c r="A13" s="23"/>
      <c r="B13" s="23"/>
      <c r="C13" s="23"/>
      <c r="D13" s="23"/>
      <c r="E13" s="96"/>
      <c r="F13" s="96"/>
      <c r="G13" s="7"/>
      <c r="H13" s="97"/>
      <c r="I13" s="371"/>
      <c r="J13" s="102"/>
      <c r="K13" s="96"/>
      <c r="L13" s="103"/>
      <c r="M13" s="96"/>
      <c r="N13" s="96"/>
      <c r="O13" s="96"/>
      <c r="P13" s="96"/>
    </row>
    <row r="14" spans="1:16" s="1" customFormat="1" ht="13.35" customHeight="1">
      <c r="A14" s="23"/>
      <c r="B14" s="23"/>
      <c r="C14" s="23"/>
      <c r="D14" s="23"/>
      <c r="E14" s="96"/>
      <c r="F14" s="96"/>
      <c r="G14" s="7"/>
      <c r="H14" s="97"/>
      <c r="I14" s="371"/>
      <c r="J14" s="102"/>
      <c r="K14" s="96"/>
      <c r="L14" s="103"/>
      <c r="M14" s="96"/>
      <c r="N14" s="96"/>
      <c r="O14" s="96"/>
      <c r="P14" s="96"/>
    </row>
    <row r="15" spans="1:16" s="1" customFormat="1" ht="13.35" customHeight="1">
      <c r="A15" s="23"/>
      <c r="B15" s="23"/>
      <c r="C15" s="23"/>
      <c r="D15" s="23"/>
      <c r="E15" s="196">
        <v>4</v>
      </c>
      <c r="F15" s="196">
        <v>4</v>
      </c>
      <c r="G15" s="7"/>
      <c r="H15" s="97"/>
      <c r="I15" s="371"/>
      <c r="J15" s="102"/>
      <c r="K15" s="96"/>
      <c r="L15" s="103"/>
      <c r="M15" s="96"/>
      <c r="N15" s="96"/>
      <c r="O15" s="96"/>
      <c r="P15" s="96"/>
    </row>
    <row r="16" spans="1:16" ht="13.35" customHeight="1">
      <c r="A16" s="23"/>
      <c r="B16" s="23"/>
      <c r="C16" s="23"/>
      <c r="D16" s="23"/>
    </row>
    <row r="17" spans="1:10" ht="13.35" customHeight="1">
      <c r="A17" s="23"/>
      <c r="B17" s="23"/>
      <c r="C17" s="23"/>
      <c r="D17" s="23"/>
      <c r="I17" s="24"/>
      <c r="J17" s="3"/>
    </row>
    <row r="18" spans="1:10" ht="13.35" customHeight="1">
      <c r="A18" s="23"/>
      <c r="B18" s="23"/>
      <c r="C18" s="23"/>
      <c r="D18" s="23"/>
    </row>
    <row r="19" spans="1:10" ht="13.35" customHeight="1">
      <c r="A19" s="23"/>
      <c r="B19" s="23"/>
      <c r="C19" s="23"/>
      <c r="D19" s="23"/>
    </row>
    <row r="20" spans="1:10" ht="13.35" customHeight="1">
      <c r="A20" s="23"/>
      <c r="B20" s="23"/>
      <c r="C20" s="23"/>
      <c r="D20" s="23"/>
    </row>
    <row r="21" spans="1:10" ht="13.35" customHeight="1">
      <c r="A21" s="23"/>
      <c r="B21" s="23"/>
      <c r="C21" s="23"/>
      <c r="D21" s="23"/>
    </row>
    <row r="22" spans="1:10" ht="13.35" customHeight="1">
      <c r="A22" s="23"/>
      <c r="B22" s="23"/>
      <c r="C22" s="23"/>
      <c r="D22" s="23"/>
    </row>
    <row r="23" spans="1:10" ht="13.35" customHeight="1">
      <c r="A23" s="23"/>
      <c r="B23" s="23"/>
      <c r="C23" s="23"/>
      <c r="D23" s="23"/>
    </row>
    <row r="24" spans="1:10" ht="13.35" customHeight="1">
      <c r="A24" s="23"/>
      <c r="B24" s="23"/>
      <c r="C24" s="23"/>
      <c r="D24" s="23"/>
    </row>
    <row r="25" spans="1:10" ht="13.35" customHeight="1">
      <c r="A25" s="23"/>
      <c r="B25" s="23"/>
      <c r="C25" s="23"/>
      <c r="D25" s="23"/>
    </row>
    <row r="26" spans="1:10" ht="13.35" customHeight="1">
      <c r="A26" s="23"/>
      <c r="B26" s="23"/>
      <c r="C26" s="23"/>
      <c r="D26" s="23"/>
    </row>
    <row r="27" spans="1:10" ht="13.35" customHeight="1">
      <c r="A27" s="23"/>
      <c r="B27" s="23"/>
      <c r="C27" s="23"/>
      <c r="D27" s="23"/>
    </row>
    <row r="28" spans="1:10" ht="13.35" customHeight="1">
      <c r="A28" s="23"/>
      <c r="B28" s="23"/>
      <c r="C28" s="23"/>
      <c r="D28" s="23"/>
    </row>
    <row r="29" spans="1:10" ht="13.35" customHeight="1">
      <c r="A29" s="23"/>
      <c r="B29" s="23"/>
      <c r="C29" s="23"/>
      <c r="D29" s="23"/>
    </row>
    <row r="30" spans="1:10" ht="13.35" customHeight="1">
      <c r="A30" s="23"/>
      <c r="B30" s="23"/>
      <c r="C30" s="23"/>
      <c r="D30" s="23"/>
    </row>
    <row r="31" spans="1:10" ht="13.35" customHeight="1">
      <c r="A31" s="23"/>
      <c r="B31" s="23"/>
      <c r="C31" s="23"/>
      <c r="D31" s="23"/>
    </row>
    <row r="32" spans="1:10" ht="13.35" customHeight="1">
      <c r="A32" s="23"/>
      <c r="B32" s="23"/>
      <c r="C32" s="23"/>
      <c r="D32" s="23"/>
    </row>
    <row r="33" spans="1:4" ht="13.35" customHeight="1">
      <c r="A33" s="23"/>
      <c r="B33" s="102"/>
      <c r="C33" s="102"/>
      <c r="D33" s="102"/>
    </row>
    <row r="34" spans="1:4" ht="13.35" customHeight="1">
      <c r="A34" s="23"/>
      <c r="B34" s="23"/>
      <c r="C34" s="23"/>
      <c r="D34" s="23"/>
    </row>
    <row r="35" spans="1:4" ht="13.35" customHeight="1">
      <c r="A35" s="23"/>
      <c r="B35" s="23"/>
      <c r="C35" s="23"/>
      <c r="D35" s="23"/>
    </row>
    <row r="36" spans="1:4" ht="13.35" customHeight="1">
      <c r="A36" s="23"/>
      <c r="B36" s="23"/>
      <c r="C36" s="23"/>
      <c r="D36" s="23"/>
    </row>
    <row r="37" spans="1:4" ht="13.35" customHeight="1">
      <c r="A37" s="23"/>
      <c r="B37" s="23"/>
      <c r="C37" s="23"/>
      <c r="D37" s="23"/>
    </row>
    <row r="38" spans="1:4" ht="13.35" customHeight="1">
      <c r="A38" s="23"/>
      <c r="B38" s="23"/>
      <c r="C38" s="23"/>
      <c r="D38" s="23"/>
    </row>
    <row r="39" spans="1:4" ht="13.35" customHeight="1">
      <c r="A39" s="23"/>
      <c r="B39" s="23"/>
      <c r="C39" s="23"/>
      <c r="D39" s="23"/>
    </row>
    <row r="40" spans="1:4" ht="13.35" customHeight="1">
      <c r="A40" s="23"/>
      <c r="B40" s="23"/>
      <c r="C40" s="23"/>
      <c r="D40" s="23"/>
    </row>
    <row r="41" spans="1:4" ht="13.35" customHeight="1">
      <c r="A41" s="23"/>
      <c r="B41" s="23"/>
      <c r="C41" s="23"/>
      <c r="D41" s="23"/>
    </row>
    <row r="42" spans="1:4" ht="13.35" customHeight="1">
      <c r="A42" s="23"/>
      <c r="B42" s="23"/>
      <c r="C42" s="23"/>
      <c r="D42" s="23"/>
    </row>
    <row r="43" spans="1:4" ht="13.35" customHeight="1">
      <c r="A43" s="23"/>
      <c r="B43" s="23"/>
      <c r="C43" s="23"/>
      <c r="D43" s="23"/>
    </row>
    <row r="44" spans="1:4" ht="13.35" customHeight="1">
      <c r="A44" s="23"/>
      <c r="B44" s="23"/>
      <c r="C44" s="23"/>
      <c r="D44" s="23"/>
    </row>
    <row r="45" spans="1:4" ht="13.35" customHeight="1">
      <c r="A45" s="23"/>
      <c r="B45" s="23"/>
      <c r="C45" s="23"/>
      <c r="D45" s="23"/>
    </row>
    <row r="46" spans="1:4" ht="13.35" customHeight="1">
      <c r="A46" s="23"/>
      <c r="B46" s="23"/>
      <c r="C46" s="23"/>
      <c r="D46" s="23"/>
    </row>
    <row r="47" spans="1:4" ht="13.35" customHeight="1">
      <c r="A47" s="23"/>
      <c r="B47" s="23"/>
      <c r="C47" s="23"/>
      <c r="D47" s="23"/>
    </row>
    <row r="48" spans="1:4" ht="13.35" customHeight="1">
      <c r="A48" s="23"/>
      <c r="B48" s="23"/>
      <c r="C48" s="23"/>
      <c r="D48" s="23"/>
    </row>
    <row r="49" spans="1:4" ht="13.35" customHeight="1">
      <c r="A49" s="23"/>
      <c r="B49" s="23"/>
      <c r="C49" s="23"/>
      <c r="D49" s="23"/>
    </row>
    <row r="50" spans="1:4" ht="13.35" customHeight="1">
      <c r="A50" s="23"/>
      <c r="B50" s="23"/>
      <c r="C50" s="23"/>
      <c r="D50" s="23"/>
    </row>
    <row r="51" spans="1:4" ht="13.35" customHeight="1">
      <c r="A51" s="23"/>
      <c r="B51" s="23"/>
      <c r="C51" s="23"/>
      <c r="D51" s="23"/>
    </row>
    <row r="52" spans="1:4" ht="13.35" customHeight="1">
      <c r="A52" s="23"/>
      <c r="B52" s="23"/>
      <c r="C52" s="23"/>
      <c r="D52" s="23"/>
    </row>
    <row r="53" spans="1:4" ht="13.35" customHeight="1">
      <c r="A53" s="23"/>
      <c r="B53" s="23"/>
      <c r="C53" s="23"/>
      <c r="D53" s="23"/>
    </row>
    <row r="54" spans="1:4" ht="13.35" customHeight="1">
      <c r="A54" s="23"/>
      <c r="B54" s="23"/>
      <c r="C54" s="23"/>
      <c r="D54" s="23"/>
    </row>
    <row r="55" spans="1:4" ht="13.35" customHeight="1">
      <c r="A55" s="23"/>
      <c r="B55" s="23"/>
      <c r="C55" s="23"/>
      <c r="D55" s="23"/>
    </row>
    <row r="56" spans="1:4" ht="13.35" customHeight="1">
      <c r="A56" s="23"/>
      <c r="B56" s="23"/>
      <c r="C56" s="23"/>
      <c r="D56" s="23"/>
    </row>
    <row r="57" spans="1:4" ht="13.35" customHeight="1">
      <c r="A57" s="23"/>
      <c r="B57" s="23"/>
      <c r="C57" s="23"/>
      <c r="D57" s="23"/>
    </row>
    <row r="58" spans="1:4" ht="13.35" customHeight="1">
      <c r="A58" s="23"/>
      <c r="B58" s="23"/>
      <c r="C58" s="23"/>
      <c r="D58" s="23"/>
    </row>
    <row r="59" spans="1:4" ht="13.35" customHeight="1">
      <c r="A59" s="23"/>
      <c r="B59" s="23"/>
      <c r="C59" s="23"/>
      <c r="D59" s="23"/>
    </row>
    <row r="60" spans="1:4" ht="13.35" customHeight="1">
      <c r="A60" s="23"/>
      <c r="B60" s="23"/>
      <c r="C60" s="23"/>
      <c r="D60" s="23"/>
    </row>
    <row r="61" spans="1:4" ht="13.35" customHeight="1">
      <c r="A61" s="23"/>
      <c r="B61" s="23"/>
      <c r="C61" s="23"/>
      <c r="D61" s="23"/>
    </row>
    <row r="62" spans="1:4" ht="13.35" customHeight="1">
      <c r="A62" s="23"/>
      <c r="B62" s="23"/>
      <c r="C62" s="23"/>
      <c r="D62" s="23"/>
    </row>
    <row r="63" spans="1:4" ht="13.35" customHeight="1">
      <c r="A63" s="23"/>
      <c r="B63" s="23"/>
      <c r="C63" s="23"/>
      <c r="D63" s="23"/>
    </row>
    <row r="64" spans="1:4" ht="13.35" customHeight="1">
      <c r="A64" s="23"/>
      <c r="B64" s="23"/>
      <c r="C64" s="23"/>
      <c r="D64" s="23"/>
    </row>
    <row r="65" spans="1:4" ht="13.35" customHeight="1">
      <c r="A65" s="23"/>
      <c r="B65" s="23"/>
      <c r="C65" s="23"/>
      <c r="D65" s="23"/>
    </row>
    <row r="66" spans="1:4" ht="13.35" customHeight="1">
      <c r="A66" s="23"/>
      <c r="B66" s="23"/>
      <c r="C66" s="23"/>
      <c r="D66" s="23"/>
    </row>
    <row r="67" spans="1:4" ht="13.35" customHeight="1">
      <c r="A67" s="23"/>
      <c r="B67" s="23"/>
      <c r="C67" s="23"/>
      <c r="D67" s="23"/>
    </row>
    <row r="68" spans="1:4" ht="13.35" customHeight="1">
      <c r="A68" s="23"/>
      <c r="B68" s="23"/>
      <c r="C68" s="23"/>
      <c r="D68" s="23"/>
    </row>
    <row r="69" spans="1:4" ht="13.35" customHeight="1">
      <c r="A69" s="23"/>
      <c r="B69" s="23"/>
      <c r="C69" s="23"/>
      <c r="D69" s="23"/>
    </row>
    <row r="70" spans="1:4" ht="13.35" customHeight="1">
      <c r="A70" s="23"/>
      <c r="B70" s="23"/>
      <c r="C70" s="23"/>
      <c r="D70" s="23"/>
    </row>
    <row r="71" spans="1:4" ht="13.35" customHeight="1">
      <c r="A71" s="23"/>
      <c r="B71" s="23"/>
      <c r="C71" s="23"/>
      <c r="D71" s="23"/>
    </row>
    <row r="72" spans="1:4" ht="13.35" customHeight="1">
      <c r="A72" s="23"/>
      <c r="B72" s="23"/>
      <c r="C72" s="23"/>
      <c r="D72" s="23"/>
    </row>
    <row r="73" spans="1:4" ht="13.35" customHeight="1">
      <c r="A73" s="23"/>
      <c r="B73" s="23"/>
      <c r="C73" s="23"/>
      <c r="D73" s="23"/>
    </row>
    <row r="74" spans="1:4" ht="13.35" customHeight="1">
      <c r="A74" s="23"/>
      <c r="B74" s="23"/>
      <c r="C74" s="23"/>
      <c r="D74" s="23"/>
    </row>
    <row r="75" spans="1:4" ht="13.35" customHeight="1">
      <c r="A75" s="2"/>
      <c r="B75" s="2"/>
      <c r="C75" s="2"/>
      <c r="D75" s="2"/>
    </row>
    <row r="76" spans="1:4" ht="13.35" customHeight="1">
      <c r="A76" s="1"/>
      <c r="B76" s="1"/>
      <c r="C76" s="1"/>
      <c r="D76" s="1"/>
    </row>
    <row r="77" spans="1:4" ht="13.35" customHeight="1">
      <c r="A77" s="2"/>
      <c r="B77" s="2"/>
      <c r="C77" s="2"/>
      <c r="D77" s="2"/>
    </row>
    <row r="78" spans="1:4" ht="13.35" customHeight="1">
      <c r="A78" s="2"/>
      <c r="B78" s="2"/>
      <c r="C78" s="2"/>
      <c r="D78" s="2"/>
    </row>
    <row r="79" spans="1:4" ht="13.35" customHeight="1">
      <c r="A79" s="2"/>
      <c r="B79" s="2"/>
      <c r="C79" s="2"/>
      <c r="D79" s="2"/>
    </row>
    <row r="80" spans="1:4" ht="13.35" customHeight="1">
      <c r="A80" s="2"/>
      <c r="B80" s="2"/>
      <c r="C80" s="2"/>
      <c r="D80" s="2"/>
    </row>
    <row r="81" spans="1:4" ht="13.35" customHeight="1">
      <c r="A81" s="2"/>
      <c r="B81" s="2"/>
      <c r="C81" s="2"/>
      <c r="D81" s="2"/>
    </row>
    <row r="82" spans="1:4" ht="13.35" customHeight="1">
      <c r="A82" s="2"/>
      <c r="B82" s="2"/>
      <c r="C82" s="2"/>
      <c r="D82" s="2"/>
    </row>
    <row r="83" spans="1:4" ht="13.35" customHeight="1">
      <c r="A83" s="2"/>
      <c r="B83" s="2"/>
      <c r="C83" s="2"/>
      <c r="D83" s="2"/>
    </row>
    <row r="84" spans="1:4" ht="13.35" customHeight="1">
      <c r="A84" s="2"/>
      <c r="B84" s="2"/>
      <c r="C84" s="2"/>
      <c r="D84" s="2"/>
    </row>
    <row r="85" spans="1:4" ht="13.35" customHeight="1">
      <c r="A85" s="2"/>
      <c r="B85" s="2"/>
      <c r="C85" s="2"/>
      <c r="D85" s="2"/>
    </row>
    <row r="86" spans="1:4" ht="13.35" customHeight="1">
      <c r="A86" s="2"/>
      <c r="B86" s="2"/>
      <c r="C86" s="2"/>
      <c r="D86" s="2"/>
    </row>
    <row r="87" spans="1:4" ht="13.35" customHeight="1">
      <c r="A87" s="2"/>
      <c r="B87" s="2"/>
      <c r="C87" s="2"/>
      <c r="D87" s="2"/>
    </row>
    <row r="88" spans="1:4" ht="13.35" customHeight="1">
      <c r="A88" s="2"/>
      <c r="B88" s="2"/>
      <c r="C88" s="2"/>
      <c r="D88" s="2"/>
    </row>
    <row r="89" spans="1:4" ht="13.35" customHeight="1">
      <c r="A89" s="2"/>
      <c r="B89" s="2"/>
      <c r="C89" s="2"/>
      <c r="D89" s="2"/>
    </row>
    <row r="90" spans="1:4" ht="13.35" customHeight="1">
      <c r="A90" s="2"/>
      <c r="B90" s="2"/>
      <c r="C90" s="2"/>
      <c r="D90" s="2"/>
    </row>
    <row r="91" spans="1:4" ht="13.35" customHeight="1">
      <c r="A91" s="2"/>
      <c r="B91" s="2"/>
      <c r="C91" s="2"/>
      <c r="D91" s="2"/>
    </row>
    <row r="92" spans="1:4" ht="13.35" customHeight="1">
      <c r="A92" s="2"/>
      <c r="B92" s="2"/>
      <c r="C92" s="2"/>
      <c r="D92" s="2"/>
    </row>
    <row r="93" spans="1:4" ht="13.35" customHeight="1">
      <c r="A93" s="2"/>
      <c r="B93" s="2"/>
      <c r="C93" s="2"/>
      <c r="D93" s="2"/>
    </row>
    <row r="94" spans="1:4" ht="13.35" customHeight="1">
      <c r="A94" s="2"/>
      <c r="B94" s="2"/>
      <c r="C94" s="2"/>
      <c r="D94" s="2"/>
    </row>
    <row r="95" spans="1:4" ht="13.35" customHeight="1">
      <c r="A95" s="2"/>
      <c r="B95" s="2"/>
      <c r="C95" s="2"/>
      <c r="D95" s="2"/>
    </row>
    <row r="96" spans="1:4" ht="13.35" customHeight="1">
      <c r="A96" s="2"/>
      <c r="B96" s="2"/>
      <c r="C96" s="2"/>
      <c r="D96" s="2"/>
    </row>
    <row r="97" spans="1:4" ht="13.35" customHeight="1">
      <c r="A97" s="2"/>
      <c r="B97" s="2"/>
      <c r="C97" s="2"/>
      <c r="D97" s="2"/>
    </row>
    <row r="98" spans="1:4" ht="13.35" customHeight="1">
      <c r="A98" s="2"/>
      <c r="B98" s="2"/>
      <c r="C98" s="2"/>
      <c r="D98" s="2"/>
    </row>
    <row r="99" spans="1:4" ht="13.35" customHeight="1">
      <c r="A99" s="2"/>
      <c r="B99" s="2"/>
      <c r="C99" s="2"/>
      <c r="D99" s="2"/>
    </row>
    <row r="100" spans="1:4" ht="13.35" customHeight="1">
      <c r="A100" s="2"/>
      <c r="B100" s="2"/>
      <c r="C100" s="2"/>
      <c r="D100" s="2"/>
    </row>
    <row r="101" spans="1:4" ht="13.35" customHeight="1">
      <c r="A101" s="2"/>
      <c r="B101" s="2"/>
      <c r="C101" s="2"/>
      <c r="D101" s="2"/>
    </row>
    <row r="102" spans="1:4" ht="13.35" customHeight="1">
      <c r="A102" s="2"/>
      <c r="B102" s="2"/>
      <c r="C102" s="2"/>
      <c r="D102" s="2"/>
    </row>
    <row r="103" spans="1:4" ht="13.35" customHeight="1">
      <c r="A103" s="2"/>
      <c r="B103" s="2"/>
      <c r="C103" s="2"/>
      <c r="D103" s="2"/>
    </row>
    <row r="104" spans="1:4" ht="13.35" customHeight="1">
      <c r="A104" s="2"/>
      <c r="B104" s="2"/>
      <c r="C104" s="2"/>
      <c r="D104" s="2"/>
    </row>
    <row r="105" spans="1:4" ht="13.35" customHeight="1">
      <c r="A105" s="2"/>
      <c r="B105" s="2"/>
      <c r="C105" s="2"/>
      <c r="D105" s="2"/>
    </row>
    <row r="106" spans="1:4" ht="13.35" customHeight="1">
      <c r="A106" s="2"/>
      <c r="B106" s="2"/>
      <c r="C106" s="2"/>
      <c r="D106" s="2"/>
    </row>
    <row r="107" spans="1:4" ht="13.35" customHeight="1">
      <c r="A107" s="2"/>
      <c r="B107" s="2"/>
      <c r="C107" s="2"/>
      <c r="D107" s="2"/>
    </row>
    <row r="108" spans="1:4" ht="13.35" customHeight="1">
      <c r="A108" s="2"/>
      <c r="B108" s="2"/>
      <c r="C108" s="2"/>
      <c r="D108" s="2"/>
    </row>
    <row r="109" spans="1:4" ht="13.35" customHeight="1">
      <c r="A109" s="2"/>
      <c r="B109" s="2"/>
      <c r="C109" s="2"/>
      <c r="D109" s="2"/>
    </row>
    <row r="110" spans="1:4" ht="13.35" customHeight="1">
      <c r="A110" s="2"/>
      <c r="B110" s="2"/>
      <c r="C110" s="2"/>
      <c r="D110" s="2"/>
    </row>
    <row r="111" spans="1:4" ht="13.35" customHeight="1">
      <c r="A111" s="2"/>
      <c r="B111" s="2"/>
      <c r="C111" s="2"/>
      <c r="D111" s="2"/>
    </row>
    <row r="112" spans="1:4" ht="13.35" customHeight="1">
      <c r="A112" s="2"/>
      <c r="B112" s="2"/>
      <c r="C112" s="2"/>
      <c r="D112" s="2"/>
    </row>
    <row r="113" spans="1:4" ht="13.35" customHeight="1">
      <c r="A113" s="2"/>
      <c r="B113" s="2"/>
      <c r="C113" s="2"/>
      <c r="D113" s="2"/>
    </row>
    <row r="114" spans="1:4" ht="13.35" customHeight="1">
      <c r="A114" s="2"/>
      <c r="B114" s="2"/>
      <c r="C114" s="2"/>
      <c r="D114" s="2"/>
    </row>
    <row r="115" spans="1:4" ht="13.35" customHeight="1">
      <c r="A115" s="2"/>
      <c r="B115" s="2"/>
      <c r="C115" s="2"/>
      <c r="D115" s="2"/>
    </row>
    <row r="116" spans="1:4" ht="13.35" customHeight="1">
      <c r="A116" s="2"/>
      <c r="B116" s="2"/>
      <c r="C116" s="2"/>
      <c r="D116" s="2"/>
    </row>
    <row r="117" spans="1:4" ht="13.35" customHeight="1">
      <c r="A117" s="2"/>
      <c r="B117" s="2"/>
      <c r="C117" s="2"/>
      <c r="D117" s="2"/>
    </row>
  </sheetData>
  <autoFilter ref="E6:P11" xr:uid="{00000000-0009-0000-0000-000005000000}"/>
  <mergeCells count="1">
    <mergeCell ref="E4:P4"/>
  </mergeCells>
  <phoneticPr fontId="0" type="noConversion"/>
  <conditionalFormatting sqref="E7:E10">
    <cfRule type="duplicateValues" dxfId="59" priority="3097"/>
  </conditionalFormatting>
  <conditionalFormatting sqref="F7:F10">
    <cfRule type="expression" dxfId="58" priority="2">
      <formula>LEN(F7)&gt;16</formula>
    </cfRule>
  </conditionalFormatting>
  <conditionalFormatting sqref="F9:F10">
    <cfRule type="duplicateValues" dxfId="57" priority="3098"/>
  </conditionalFormatting>
  <conditionalFormatting sqref="J7:J10">
    <cfRule type="expression" dxfId="56" priority="1">
      <formula>LEN(J7)&gt;24</formula>
    </cfRule>
  </conditionalFormatting>
  <printOptions horizontalCentered="1"/>
  <pageMargins left="0.39370078740157483" right="0.39370078740157483" top="0.59055118110236227" bottom="0.59055118110236227" header="0.59055118110236227" footer="0.39370078740157483"/>
  <pageSetup paperSize="8" scale="72" fitToHeight="50" orientation="landscape" r:id="rId1"/>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filterMode="1">
    <tabColor indexed="39"/>
    <pageSetUpPr fitToPage="1"/>
  </sheetPr>
  <dimension ref="A1:AF264"/>
  <sheetViews>
    <sheetView view="pageBreakPreview" topLeftCell="O6" zoomScaleNormal="40" zoomScaleSheetLayoutView="100" workbookViewId="0">
      <selection activeCell="Q41" sqref="A1:AF264"/>
    </sheetView>
  </sheetViews>
  <sheetFormatPr defaultColWidth="18.6640625" defaultRowHeight="13.35" customHeight="1" outlineLevelCol="1"/>
  <cols>
    <col min="1" max="4" width="11.5" style="3" hidden="1" customWidth="1"/>
    <col min="5" max="5" width="26.33203125" style="15" customWidth="1"/>
    <col min="6" max="6" width="36.6640625" style="206" customWidth="1"/>
    <col min="7" max="7" width="96.33203125" style="260" customWidth="1" outlineLevel="1"/>
    <col min="8" max="8" width="75.1640625" style="15" customWidth="1"/>
    <col min="9" max="9" width="13" style="206" customWidth="1"/>
    <col min="10" max="10" width="23" style="15" customWidth="1"/>
    <col min="11" max="12" width="6.6640625" style="77" customWidth="1"/>
    <col min="13" max="13" width="37.6640625" style="77" customWidth="1"/>
    <col min="14" max="14" width="39.6640625" style="77" customWidth="1"/>
    <col min="15" max="15" width="8" style="23" customWidth="1"/>
    <col min="16" max="16" width="71" style="23" customWidth="1"/>
    <col min="17" max="17" width="54.1640625" style="260" customWidth="1"/>
    <col min="18" max="25" width="9.33203125" style="15" customWidth="1"/>
    <col min="26" max="26" width="76.5" style="260" customWidth="1"/>
    <col min="27" max="27" width="9.33203125" style="15" customWidth="1"/>
    <col min="28" max="28" width="12" style="15" bestFit="1" customWidth="1"/>
    <col min="29" max="29" width="82.6640625" style="15" customWidth="1"/>
    <col min="30" max="16384" width="18.6640625" style="15"/>
  </cols>
  <sheetData>
    <row r="1" spans="1:29" s="86" customFormat="1" ht="21" customHeight="1">
      <c r="A1" s="100"/>
      <c r="B1" s="100"/>
      <c r="C1" s="100"/>
      <c r="D1" s="100"/>
      <c r="E1" s="20" t="s">
        <v>1</v>
      </c>
      <c r="F1" s="100"/>
      <c r="G1" s="376"/>
      <c r="H1" s="110"/>
      <c r="I1" s="110"/>
      <c r="J1" s="110"/>
      <c r="K1" s="25"/>
      <c r="L1" s="25"/>
      <c r="M1" s="100"/>
      <c r="O1" s="100"/>
      <c r="P1" s="100"/>
      <c r="Q1" s="111"/>
      <c r="Z1" s="111"/>
    </row>
    <row r="2" spans="1:29" s="86" customFormat="1" ht="21" customHeight="1">
      <c r="A2" s="100"/>
      <c r="B2" s="100"/>
      <c r="C2" s="100"/>
      <c r="D2" s="100"/>
      <c r="E2" s="20" t="s">
        <v>0</v>
      </c>
      <c r="F2" s="100"/>
      <c r="G2" s="377"/>
      <c r="H2" s="100"/>
      <c r="I2" s="188"/>
      <c r="J2" s="202"/>
      <c r="K2" s="25"/>
      <c r="L2" s="25"/>
      <c r="M2" s="188"/>
      <c r="N2" s="188"/>
      <c r="O2" s="100"/>
      <c r="P2" s="100"/>
      <c r="Q2" s="111"/>
      <c r="Z2" s="111"/>
    </row>
    <row r="3" spans="1:29" s="86" customFormat="1" ht="21" customHeight="1" thickBot="1">
      <c r="A3" s="100"/>
      <c r="B3" s="100"/>
      <c r="C3" s="100"/>
      <c r="D3" s="100"/>
      <c r="E3" s="86" t="s">
        <v>2</v>
      </c>
      <c r="F3" s="100"/>
      <c r="G3" s="111"/>
      <c r="I3" s="100"/>
      <c r="K3" s="35"/>
      <c r="L3" s="35"/>
      <c r="M3" s="274"/>
      <c r="Q3" s="280"/>
      <c r="T3" s="44"/>
      <c r="U3" s="44"/>
      <c r="Z3" s="111"/>
    </row>
    <row r="4" spans="1:29" s="56" customFormat="1" ht="25.5" customHeight="1" thickBot="1">
      <c r="A4" s="52"/>
      <c r="B4" s="52"/>
      <c r="C4" s="52"/>
      <c r="D4" s="52"/>
      <c r="E4" s="1121" t="s">
        <v>4135</v>
      </c>
      <c r="F4" s="1122"/>
      <c r="G4" s="1122"/>
      <c r="H4" s="1122"/>
      <c r="I4" s="1122"/>
      <c r="J4" s="1122"/>
      <c r="K4" s="1122"/>
      <c r="L4" s="1122"/>
      <c r="M4" s="1122"/>
      <c r="N4" s="1122"/>
      <c r="O4" s="1122"/>
      <c r="P4" s="1122"/>
      <c r="Q4" s="1122"/>
      <c r="R4" s="1122"/>
      <c r="S4" s="1122"/>
      <c r="T4" s="1122"/>
      <c r="U4" s="1122"/>
      <c r="V4" s="1122"/>
      <c r="W4" s="1122"/>
      <c r="X4" s="1122"/>
      <c r="Y4" s="1122"/>
      <c r="Z4" s="1122"/>
      <c r="AA4" s="1123"/>
    </row>
    <row r="5" spans="1:29" s="56" customFormat="1" ht="15">
      <c r="A5" s="52"/>
      <c r="B5" s="52"/>
      <c r="C5" s="52"/>
      <c r="D5" s="52"/>
      <c r="E5" s="214"/>
      <c r="F5" s="52"/>
      <c r="G5" s="378"/>
      <c r="I5" s="52"/>
      <c r="K5" s="1124"/>
      <c r="L5" s="1125"/>
      <c r="M5" s="1126"/>
      <c r="N5" s="1001"/>
      <c r="O5" s="1127" t="s">
        <v>4136</v>
      </c>
      <c r="P5" s="1128"/>
      <c r="Q5" s="1128"/>
      <c r="R5" s="1128"/>
      <c r="S5" s="1128"/>
      <c r="T5" s="1128"/>
      <c r="U5" s="1128"/>
      <c r="V5" s="1128"/>
      <c r="W5" s="1128"/>
      <c r="X5" s="1128"/>
      <c r="Y5" s="1129"/>
      <c r="Z5" s="404"/>
      <c r="AA5" s="278"/>
    </row>
    <row r="6" spans="1:29" s="56" customFormat="1" ht="111" customHeight="1">
      <c r="A6" s="989" t="s">
        <v>107</v>
      </c>
      <c r="B6" s="990" t="s">
        <v>108</v>
      </c>
      <c r="C6" s="990" t="s">
        <v>109</v>
      </c>
      <c r="D6" s="990" t="s">
        <v>110</v>
      </c>
      <c r="E6" s="51" t="s">
        <v>101</v>
      </c>
      <c r="F6" s="42" t="s">
        <v>102</v>
      </c>
      <c r="G6" s="42" t="s">
        <v>4137</v>
      </c>
      <c r="H6" s="42" t="s">
        <v>104</v>
      </c>
      <c r="I6" s="42" t="s">
        <v>4138</v>
      </c>
      <c r="J6" s="42" t="s">
        <v>4139</v>
      </c>
      <c r="K6" s="43" t="s">
        <v>4140</v>
      </c>
      <c r="L6" s="43" t="s">
        <v>4141</v>
      </c>
      <c r="M6" s="42" t="s">
        <v>4142</v>
      </c>
      <c r="N6" s="42" t="s">
        <v>4143</v>
      </c>
      <c r="O6" s="156" t="s">
        <v>4144</v>
      </c>
      <c r="P6" s="156" t="s">
        <v>4145</v>
      </c>
      <c r="Q6" s="156" t="s">
        <v>4146</v>
      </c>
      <c r="R6" s="215" t="s">
        <v>4147</v>
      </c>
      <c r="S6" s="215" t="s">
        <v>4148</v>
      </c>
      <c r="T6" s="155" t="s">
        <v>4149</v>
      </c>
      <c r="U6" s="155" t="s">
        <v>4150</v>
      </c>
      <c r="V6" s="155" t="s">
        <v>4151</v>
      </c>
      <c r="W6" s="155" t="s">
        <v>4152</v>
      </c>
      <c r="X6" s="155" t="s">
        <v>4153</v>
      </c>
      <c r="Y6" s="43" t="s">
        <v>4154</v>
      </c>
      <c r="Z6" s="42" t="s">
        <v>128</v>
      </c>
      <c r="AA6" s="42" t="s">
        <v>129</v>
      </c>
    </row>
    <row r="7" spans="1:29" ht="35.1" hidden="1" customHeight="1">
      <c r="A7" s="660"/>
      <c r="B7" s="23"/>
      <c r="C7" s="23"/>
      <c r="D7" s="23"/>
      <c r="E7" s="579" t="s">
        <v>4155</v>
      </c>
      <c r="F7" s="406" t="s">
        <v>132</v>
      </c>
      <c r="G7" s="719" t="s">
        <v>4156</v>
      </c>
      <c r="H7" s="380" t="s">
        <v>4157</v>
      </c>
      <c r="I7" s="312" t="s">
        <v>4158</v>
      </c>
      <c r="J7" s="312" t="s">
        <v>53</v>
      </c>
      <c r="K7" s="312" t="s">
        <v>4125</v>
      </c>
      <c r="L7" s="312"/>
      <c r="M7" s="313" t="s">
        <v>4159</v>
      </c>
      <c r="N7" s="301" t="s">
        <v>4160</v>
      </c>
      <c r="O7" s="301"/>
      <c r="P7" s="314"/>
      <c r="Q7" s="314"/>
      <c r="R7" s="300"/>
      <c r="S7" s="302"/>
      <c r="T7" s="302"/>
      <c r="U7" s="302"/>
      <c r="V7" s="302"/>
      <c r="W7" s="302"/>
      <c r="X7" s="303"/>
      <c r="Y7" s="315"/>
      <c r="Z7" s="316"/>
      <c r="AA7" s="301" t="s">
        <v>184</v>
      </c>
    </row>
    <row r="8" spans="1:29" ht="35.1" hidden="1" customHeight="1">
      <c r="A8" s="660"/>
      <c r="B8" s="23"/>
      <c r="C8" s="23"/>
      <c r="D8" s="23"/>
      <c r="E8" s="18"/>
      <c r="F8" s="305"/>
      <c r="G8" s="319"/>
      <c r="H8" s="381"/>
      <c r="I8" s="297"/>
      <c r="J8" s="297"/>
      <c r="K8" s="297"/>
      <c r="L8" s="297"/>
      <c r="M8" s="991"/>
      <c r="N8" s="296"/>
      <c r="O8" s="296"/>
      <c r="P8" s="296"/>
      <c r="Q8" s="296"/>
      <c r="R8" s="306"/>
      <c r="S8" s="307"/>
      <c r="T8" s="307"/>
      <c r="U8" s="307"/>
      <c r="V8" s="307"/>
      <c r="W8" s="307"/>
      <c r="X8" s="317"/>
      <c r="Y8" s="308"/>
      <c r="Z8" s="992"/>
      <c r="AA8" s="384"/>
    </row>
    <row r="9" spans="1:29" ht="35.1" hidden="1" customHeight="1">
      <c r="A9" s="660"/>
      <c r="B9" s="23"/>
      <c r="C9" s="23"/>
      <c r="D9" s="23"/>
      <c r="E9" s="221" t="s">
        <v>4161</v>
      </c>
      <c r="F9" s="406" t="s">
        <v>132</v>
      </c>
      <c r="G9" s="719" t="s">
        <v>4162</v>
      </c>
      <c r="H9" s="380" t="s">
        <v>4163</v>
      </c>
      <c r="I9" s="299" t="s">
        <v>4158</v>
      </c>
      <c r="J9" s="300" t="s">
        <v>53</v>
      </c>
      <c r="K9" s="312" t="s">
        <v>4125</v>
      </c>
      <c r="L9" s="312"/>
      <c r="M9" s="313" t="s">
        <v>4159</v>
      </c>
      <c r="N9" s="301" t="s">
        <v>4160</v>
      </c>
      <c r="O9" s="300"/>
      <c r="P9" s="300"/>
      <c r="Q9" s="301"/>
      <c r="R9" s="300"/>
      <c r="S9" s="300"/>
      <c r="T9" s="300"/>
      <c r="U9" s="300"/>
      <c r="V9" s="300"/>
      <c r="W9" s="300"/>
      <c r="X9" s="300"/>
      <c r="Y9" s="300"/>
      <c r="Z9" s="416"/>
      <c r="AA9" s="300" t="s">
        <v>184</v>
      </c>
    </row>
    <row r="10" spans="1:29" ht="35.1" hidden="1" customHeight="1">
      <c r="A10" s="660"/>
      <c r="B10" s="23"/>
      <c r="C10" s="23"/>
      <c r="D10" s="23"/>
      <c r="E10" s="375"/>
      <c r="F10" s="305"/>
      <c r="G10" s="319"/>
      <c r="H10" s="381"/>
      <c r="I10" s="297"/>
      <c r="J10" s="297"/>
      <c r="K10" s="297"/>
      <c r="L10" s="297"/>
      <c r="M10" s="387"/>
      <c r="N10" s="387"/>
      <c r="O10" s="387"/>
      <c r="P10" s="387"/>
      <c r="Q10" s="388"/>
      <c r="R10" s="387"/>
      <c r="S10" s="387"/>
      <c r="T10" s="387"/>
      <c r="U10" s="387"/>
      <c r="V10" s="387"/>
      <c r="W10" s="387"/>
      <c r="X10" s="387"/>
      <c r="Y10" s="387"/>
      <c r="Z10" s="418"/>
      <c r="AA10" s="387"/>
    </row>
    <row r="11" spans="1:29" ht="35.1" hidden="1" customHeight="1">
      <c r="A11" s="660"/>
      <c r="B11" s="23"/>
      <c r="C11" s="23"/>
      <c r="D11" s="23"/>
      <c r="E11" s="310" t="s">
        <v>4164</v>
      </c>
      <c r="F11" s="406" t="s">
        <v>525</v>
      </c>
      <c r="G11" s="719" t="s">
        <v>4165</v>
      </c>
      <c r="H11" s="380" t="s">
        <v>4166</v>
      </c>
      <c r="I11" s="299" t="s">
        <v>4167</v>
      </c>
      <c r="J11" s="300" t="s">
        <v>49</v>
      </c>
      <c r="K11" s="312" t="s">
        <v>4125</v>
      </c>
      <c r="L11" s="312"/>
      <c r="M11" s="313" t="s">
        <v>4159</v>
      </c>
      <c r="N11" s="301" t="s">
        <v>4160</v>
      </c>
      <c r="O11" s="300" t="s">
        <v>4168</v>
      </c>
      <c r="P11" s="300" t="s">
        <v>4169</v>
      </c>
      <c r="Q11" s="301" t="s">
        <v>4170</v>
      </c>
      <c r="R11" s="300">
        <v>0</v>
      </c>
      <c r="S11" s="300"/>
      <c r="T11" s="300"/>
      <c r="U11" s="300"/>
      <c r="V11" s="300" t="s">
        <v>4125</v>
      </c>
      <c r="W11" s="300"/>
      <c r="X11" s="303"/>
      <c r="Y11" s="315"/>
      <c r="Z11" s="316"/>
      <c r="AA11" s="301" t="s">
        <v>138</v>
      </c>
      <c r="AC11" s="682"/>
    </row>
    <row r="12" spans="1:29" ht="35.1" hidden="1" customHeight="1">
      <c r="A12" s="660"/>
      <c r="B12" s="23"/>
      <c r="C12" s="23"/>
      <c r="D12" s="23"/>
      <c r="E12" s="305"/>
      <c r="F12" s="305"/>
      <c r="G12" s="319"/>
      <c r="H12" s="381"/>
      <c r="I12" s="297"/>
      <c r="J12" s="297"/>
      <c r="K12" s="297"/>
      <c r="L12" s="297"/>
      <c r="M12" s="991"/>
      <c r="N12" s="296"/>
      <c r="O12" s="296"/>
      <c r="P12" s="296"/>
      <c r="Q12" s="296"/>
      <c r="R12" s="306"/>
      <c r="S12" s="307"/>
      <c r="T12" s="307"/>
      <c r="U12" s="307"/>
      <c r="V12" s="307"/>
      <c r="W12" s="307"/>
      <c r="X12" s="317"/>
      <c r="Y12" s="308"/>
      <c r="Z12" s="992"/>
      <c r="AA12" s="384"/>
      <c r="AC12" s="682"/>
    </row>
    <row r="13" spans="1:29" ht="35.1" hidden="1" customHeight="1">
      <c r="A13" s="660"/>
      <c r="B13" s="23"/>
      <c r="C13" s="23"/>
      <c r="D13" s="23"/>
      <c r="E13" s="310" t="s">
        <v>4171</v>
      </c>
      <c r="F13" s="406" t="s">
        <v>809</v>
      </c>
      <c r="G13" s="719" t="s">
        <v>4172</v>
      </c>
      <c r="H13" s="380" t="s">
        <v>4173</v>
      </c>
      <c r="I13" s="299" t="s">
        <v>4158</v>
      </c>
      <c r="J13" s="300" t="s">
        <v>53</v>
      </c>
      <c r="K13" s="312" t="s">
        <v>4125</v>
      </c>
      <c r="L13" s="312"/>
      <c r="M13" s="313" t="s">
        <v>4159</v>
      </c>
      <c r="N13" s="301" t="s">
        <v>4160</v>
      </c>
      <c r="O13" s="301"/>
      <c r="P13" s="314"/>
      <c r="Q13" s="314"/>
      <c r="R13" s="300"/>
      <c r="S13" s="302"/>
      <c r="T13" s="302"/>
      <c r="U13" s="302"/>
      <c r="V13" s="302"/>
      <c r="W13" s="302"/>
      <c r="X13" s="303"/>
      <c r="Y13" s="315"/>
      <c r="Z13" s="316"/>
      <c r="AA13" s="301" t="s">
        <v>184</v>
      </c>
      <c r="AC13" s="682"/>
    </row>
    <row r="14" spans="1:29" ht="35.1" hidden="1" customHeight="1">
      <c r="A14" s="660"/>
      <c r="B14" s="23"/>
      <c r="C14" s="23"/>
      <c r="D14" s="23"/>
      <c r="E14" s="305"/>
      <c r="F14" s="305"/>
      <c r="G14" s="319"/>
      <c r="H14" s="381"/>
      <c r="I14" s="297"/>
      <c r="J14" s="297"/>
      <c r="K14" s="297"/>
      <c r="L14" s="297"/>
      <c r="M14" s="991"/>
      <c r="N14" s="296"/>
      <c r="O14" s="296"/>
      <c r="P14" s="296"/>
      <c r="Q14" s="296"/>
      <c r="R14" s="306"/>
      <c r="S14" s="307"/>
      <c r="T14" s="307"/>
      <c r="U14" s="307"/>
      <c r="V14" s="307"/>
      <c r="W14" s="307"/>
      <c r="X14" s="317"/>
      <c r="Y14" s="308"/>
      <c r="Z14" s="992"/>
      <c r="AA14" s="384"/>
      <c r="AC14" s="682"/>
    </row>
    <row r="15" spans="1:29" ht="35.1" hidden="1" customHeight="1">
      <c r="A15" s="660"/>
      <c r="B15" s="23"/>
      <c r="C15" s="23"/>
      <c r="D15" s="23"/>
      <c r="E15" s="311" t="s">
        <v>4174</v>
      </c>
      <c r="F15" s="406" t="s">
        <v>809</v>
      </c>
      <c r="G15" s="719" t="s">
        <v>4175</v>
      </c>
      <c r="H15" s="380" t="s">
        <v>4176</v>
      </c>
      <c r="I15" s="299" t="s">
        <v>4177</v>
      </c>
      <c r="J15" s="300" t="s">
        <v>49</v>
      </c>
      <c r="K15" s="312" t="s">
        <v>4125</v>
      </c>
      <c r="L15" s="312"/>
      <c r="M15" s="313" t="s">
        <v>4159</v>
      </c>
      <c r="N15" s="301" t="s">
        <v>4160</v>
      </c>
      <c r="O15" s="300" t="s">
        <v>4178</v>
      </c>
      <c r="P15" s="300" t="s">
        <v>4179</v>
      </c>
      <c r="Q15" s="301" t="s">
        <v>4180</v>
      </c>
      <c r="R15" s="846">
        <v>3</v>
      </c>
      <c r="S15" s="300"/>
      <c r="T15" s="300"/>
      <c r="U15" s="300"/>
      <c r="V15" s="300"/>
      <c r="W15" s="300" t="s">
        <v>4125</v>
      </c>
      <c r="X15" s="300"/>
      <c r="Y15" s="300"/>
      <c r="Z15" s="416"/>
      <c r="AA15" s="846">
        <v>2</v>
      </c>
      <c r="AC15" s="682"/>
    </row>
    <row r="16" spans="1:29" ht="35.1" hidden="1" customHeight="1">
      <c r="A16" s="660"/>
      <c r="B16" s="23"/>
      <c r="C16" s="23"/>
      <c r="D16" s="23"/>
      <c r="E16" s="375"/>
      <c r="F16" s="305"/>
      <c r="G16" s="319"/>
      <c r="H16" s="381"/>
      <c r="I16" s="297"/>
      <c r="J16" s="297"/>
      <c r="K16" s="297"/>
      <c r="L16" s="297"/>
      <c r="M16" s="387"/>
      <c r="N16" s="387"/>
      <c r="O16" s="387"/>
      <c r="P16" s="387"/>
      <c r="Q16" s="388"/>
      <c r="R16" s="387"/>
      <c r="S16" s="387"/>
      <c r="T16" s="387"/>
      <c r="U16" s="387"/>
      <c r="V16" s="387"/>
      <c r="W16" s="387"/>
      <c r="X16" s="387"/>
      <c r="Y16" s="387"/>
      <c r="Z16" s="418"/>
      <c r="AA16" s="387"/>
      <c r="AC16" s="682"/>
    </row>
    <row r="17" spans="1:29" ht="35.1" hidden="1" customHeight="1">
      <c r="A17" s="660"/>
      <c r="B17" s="23"/>
      <c r="C17" s="23"/>
      <c r="D17" s="23"/>
      <c r="E17" s="311" t="s">
        <v>4181</v>
      </c>
      <c r="F17" s="406" t="s">
        <v>525</v>
      </c>
      <c r="G17" s="719" t="s">
        <v>4182</v>
      </c>
      <c r="H17" s="380" t="s">
        <v>4183</v>
      </c>
      <c r="I17" s="299" t="s">
        <v>4167</v>
      </c>
      <c r="J17" s="300" t="s">
        <v>49</v>
      </c>
      <c r="K17" s="300" t="s">
        <v>4125</v>
      </c>
      <c r="L17" s="300"/>
      <c r="M17" s="313" t="s">
        <v>4159</v>
      </c>
      <c r="N17" s="301" t="s">
        <v>4160</v>
      </c>
      <c r="O17" s="300" t="s">
        <v>4168</v>
      </c>
      <c r="P17" s="300" t="s">
        <v>4179</v>
      </c>
      <c r="Q17" s="301" t="s">
        <v>4180</v>
      </c>
      <c r="R17" s="300">
        <v>0</v>
      </c>
      <c r="S17" s="302"/>
      <c r="T17" s="302"/>
      <c r="U17" s="302"/>
      <c r="V17" s="302" t="s">
        <v>4125</v>
      </c>
      <c r="W17" s="302"/>
      <c r="X17" s="302"/>
      <c r="Y17" s="300"/>
      <c r="Z17" s="316"/>
      <c r="AA17" s="300" t="s">
        <v>184</v>
      </c>
      <c r="AC17" s="682"/>
    </row>
    <row r="18" spans="1:29" ht="35.1" hidden="1" customHeight="1">
      <c r="A18" s="660"/>
      <c r="B18" s="23"/>
      <c r="C18" s="23"/>
      <c r="D18" s="23"/>
      <c r="E18" s="375"/>
      <c r="F18" s="392"/>
      <c r="G18" s="720"/>
      <c r="H18" s="385"/>
      <c r="I18" s="386"/>
      <c r="J18" s="387"/>
      <c r="K18" s="387"/>
      <c r="L18" s="387"/>
      <c r="M18" s="402"/>
      <c r="N18" s="387"/>
      <c r="O18" s="387"/>
      <c r="P18" s="387"/>
      <c r="Q18" s="388"/>
      <c r="R18" s="387"/>
      <c r="S18" s="389"/>
      <c r="T18" s="389"/>
      <c r="U18" s="389"/>
      <c r="V18" s="389"/>
      <c r="W18" s="389"/>
      <c r="X18" s="389"/>
      <c r="Y18" s="387"/>
      <c r="Z18" s="626"/>
      <c r="AA18" s="387"/>
      <c r="AC18" s="682"/>
    </row>
    <row r="19" spans="1:29" ht="35.1" hidden="1" customHeight="1">
      <c r="A19" s="660"/>
      <c r="B19" s="23"/>
      <c r="C19" s="23"/>
      <c r="D19" s="23"/>
      <c r="E19" s="394" t="s">
        <v>4184</v>
      </c>
      <c r="F19" s="533" t="s">
        <v>809</v>
      </c>
      <c r="G19" s="721" t="s">
        <v>4185</v>
      </c>
      <c r="H19" s="391" t="s">
        <v>4186</v>
      </c>
      <c r="I19" s="395" t="s">
        <v>4158</v>
      </c>
      <c r="J19" s="312" t="s">
        <v>53</v>
      </c>
      <c r="K19" s="312" t="s">
        <v>4125</v>
      </c>
      <c r="L19" s="312"/>
      <c r="M19" s="313" t="s">
        <v>4159</v>
      </c>
      <c r="N19" s="301" t="s">
        <v>4160</v>
      </c>
      <c r="O19" s="314"/>
      <c r="P19" s="314"/>
      <c r="Q19" s="314"/>
      <c r="R19" s="312"/>
      <c r="S19" s="396"/>
      <c r="T19" s="396"/>
      <c r="U19" s="396"/>
      <c r="V19" s="396"/>
      <c r="W19" s="396"/>
      <c r="X19" s="397"/>
      <c r="Y19" s="315"/>
      <c r="Z19" s="316"/>
      <c r="AA19" s="314" t="s">
        <v>184</v>
      </c>
      <c r="AC19" s="682"/>
    </row>
    <row r="20" spans="1:29" ht="35.1" hidden="1" customHeight="1">
      <c r="A20" s="660"/>
      <c r="B20" s="23"/>
      <c r="C20" s="23"/>
      <c r="D20" s="23"/>
      <c r="E20" s="305"/>
      <c r="F20" s="305"/>
      <c r="G20" s="319"/>
      <c r="H20" s="381"/>
      <c r="I20" s="297"/>
      <c r="J20" s="297"/>
      <c r="K20" s="297"/>
      <c r="L20" s="297"/>
      <c r="M20" s="991"/>
      <c r="N20" s="296"/>
      <c r="O20" s="296"/>
      <c r="P20" s="296"/>
      <c r="Q20" s="296"/>
      <c r="R20" s="306"/>
      <c r="S20" s="307"/>
      <c r="T20" s="307"/>
      <c r="U20" s="307"/>
      <c r="V20" s="307"/>
      <c r="W20" s="307"/>
      <c r="X20" s="317"/>
      <c r="Y20" s="308"/>
      <c r="Z20" s="992"/>
      <c r="AA20" s="384"/>
      <c r="AC20" s="682"/>
    </row>
    <row r="21" spans="1:29" ht="35.1" hidden="1" customHeight="1">
      <c r="A21" s="660"/>
      <c r="B21" s="23"/>
      <c r="C21" s="23"/>
      <c r="D21" s="23"/>
      <c r="E21" s="311" t="s">
        <v>4187</v>
      </c>
      <c r="F21" s="406" t="s">
        <v>809</v>
      </c>
      <c r="G21" s="719" t="s">
        <v>4188</v>
      </c>
      <c r="H21" s="380" t="s">
        <v>4189</v>
      </c>
      <c r="I21" s="299" t="s">
        <v>4177</v>
      </c>
      <c r="J21" s="300" t="s">
        <v>49</v>
      </c>
      <c r="K21" s="312" t="s">
        <v>4125</v>
      </c>
      <c r="L21" s="312"/>
      <c r="M21" s="313" t="s">
        <v>4159</v>
      </c>
      <c r="N21" s="301" t="s">
        <v>4160</v>
      </c>
      <c r="O21" s="300" t="s">
        <v>4178</v>
      </c>
      <c r="P21" s="300" t="s">
        <v>4190</v>
      </c>
      <c r="Q21" s="301" t="s">
        <v>4191</v>
      </c>
      <c r="R21" s="846">
        <v>3</v>
      </c>
      <c r="S21" s="300"/>
      <c r="T21" s="300"/>
      <c r="U21" s="300"/>
      <c r="V21" s="300"/>
      <c r="W21" s="300" t="s">
        <v>4125</v>
      </c>
      <c r="X21" s="300"/>
      <c r="Y21" s="300"/>
      <c r="Z21" s="416"/>
      <c r="AA21" s="846">
        <v>2</v>
      </c>
      <c r="AC21" s="682"/>
    </row>
    <row r="22" spans="1:29" ht="35.1" hidden="1" customHeight="1">
      <c r="A22" s="660"/>
      <c r="B22" s="23"/>
      <c r="C22" s="23"/>
      <c r="D22" s="23"/>
      <c r="E22" s="375"/>
      <c r="F22" s="305"/>
      <c r="G22" s="319"/>
      <c r="H22" s="381"/>
      <c r="I22" s="297"/>
      <c r="J22" s="297"/>
      <c r="K22" s="297"/>
      <c r="L22" s="297"/>
      <c r="M22" s="387"/>
      <c r="N22" s="387"/>
      <c r="O22" s="387"/>
      <c r="P22" s="387"/>
      <c r="Q22" s="388"/>
      <c r="R22" s="387"/>
      <c r="S22" s="387"/>
      <c r="T22" s="387"/>
      <c r="U22" s="387"/>
      <c r="V22" s="387"/>
      <c r="W22" s="387"/>
      <c r="X22" s="387"/>
      <c r="Y22" s="387"/>
      <c r="Z22" s="418"/>
      <c r="AA22" s="387"/>
      <c r="AC22" s="689"/>
    </row>
    <row r="23" spans="1:29" ht="35.1" hidden="1" customHeight="1">
      <c r="A23" s="660"/>
      <c r="B23" s="23"/>
      <c r="C23" s="23"/>
      <c r="D23" s="23"/>
      <c r="E23" s="311" t="s">
        <v>4192</v>
      </c>
      <c r="F23" s="406" t="s">
        <v>525</v>
      </c>
      <c r="G23" s="719" t="s">
        <v>4193</v>
      </c>
      <c r="H23" s="380" t="s">
        <v>4194</v>
      </c>
      <c r="I23" s="299" t="s">
        <v>4167</v>
      </c>
      <c r="J23" s="300" t="s">
        <v>49</v>
      </c>
      <c r="K23" s="300" t="s">
        <v>4125</v>
      </c>
      <c r="L23" s="300"/>
      <c r="M23" s="313" t="s">
        <v>4159</v>
      </c>
      <c r="N23" s="301" t="s">
        <v>4160</v>
      </c>
      <c r="O23" s="300" t="s">
        <v>4168</v>
      </c>
      <c r="P23" s="300" t="s">
        <v>4190</v>
      </c>
      <c r="Q23" s="301" t="s">
        <v>4191</v>
      </c>
      <c r="R23" s="300">
        <v>0</v>
      </c>
      <c r="S23" s="302"/>
      <c r="T23" s="302"/>
      <c r="U23" s="302"/>
      <c r="V23" s="302" t="s">
        <v>4125</v>
      </c>
      <c r="W23" s="302"/>
      <c r="X23" s="302"/>
      <c r="Y23" s="300"/>
      <c r="Z23" s="316" t="s">
        <v>4195</v>
      </c>
      <c r="AA23" s="300" t="s">
        <v>184</v>
      </c>
      <c r="AC23" s="681"/>
    </row>
    <row r="24" spans="1:29" ht="35.1" hidden="1" customHeight="1">
      <c r="A24" s="986"/>
      <c r="B24" s="694"/>
      <c r="C24" s="694"/>
      <c r="D24" s="694"/>
      <c r="E24" s="375"/>
      <c r="F24" s="392"/>
      <c r="G24" s="720"/>
      <c r="H24" s="385"/>
      <c r="I24" s="386"/>
      <c r="J24" s="387"/>
      <c r="K24" s="387"/>
      <c r="L24" s="387"/>
      <c r="M24" s="402"/>
      <c r="N24" s="387"/>
      <c r="O24" s="387"/>
      <c r="P24" s="387"/>
      <c r="Q24" s="388"/>
      <c r="R24" s="387"/>
      <c r="S24" s="389"/>
      <c r="T24" s="389"/>
      <c r="U24" s="389"/>
      <c r="V24" s="389"/>
      <c r="W24" s="389"/>
      <c r="X24" s="389"/>
      <c r="Y24" s="387"/>
      <c r="Z24" s="626"/>
      <c r="AA24" s="387"/>
    </row>
    <row r="25" spans="1:29" ht="35.1" hidden="1" customHeight="1">
      <c r="A25" s="660"/>
      <c r="B25" s="23"/>
      <c r="C25" s="23"/>
      <c r="D25" s="23"/>
      <c r="E25" s="394" t="s">
        <v>4196</v>
      </c>
      <c r="F25" s="533" t="s">
        <v>500</v>
      </c>
      <c r="G25" s="721" t="s">
        <v>4197</v>
      </c>
      <c r="H25" s="391" t="s">
        <v>4198</v>
      </c>
      <c r="I25" s="395" t="s">
        <v>4158</v>
      </c>
      <c r="J25" s="312" t="s">
        <v>53</v>
      </c>
      <c r="K25" s="312" t="s">
        <v>4125</v>
      </c>
      <c r="L25" s="312"/>
      <c r="M25" s="313" t="s">
        <v>4159</v>
      </c>
      <c r="N25" s="301" t="s">
        <v>4160</v>
      </c>
      <c r="O25" s="314"/>
      <c r="P25" s="314"/>
      <c r="Q25" s="314"/>
      <c r="R25" s="312"/>
      <c r="S25" s="396"/>
      <c r="T25" s="396"/>
      <c r="U25" s="396"/>
      <c r="V25" s="396"/>
      <c r="W25" s="396"/>
      <c r="X25" s="397"/>
      <c r="Y25" s="315"/>
      <c r="Z25" s="316"/>
      <c r="AA25" s="314" t="s">
        <v>184</v>
      </c>
      <c r="AC25" s="688"/>
    </row>
    <row r="26" spans="1:29" ht="35.1" hidden="1" customHeight="1">
      <c r="A26" s="660"/>
      <c r="B26" s="23"/>
      <c r="C26" s="23"/>
      <c r="D26" s="23"/>
      <c r="E26" s="305"/>
      <c r="F26" s="305"/>
      <c r="G26" s="319"/>
      <c r="H26" s="381"/>
      <c r="I26" s="297"/>
      <c r="J26" s="297"/>
      <c r="K26" s="297"/>
      <c r="L26" s="297"/>
      <c r="M26" s="991"/>
      <c r="N26" s="296"/>
      <c r="O26" s="296"/>
      <c r="P26" s="296"/>
      <c r="Q26" s="296"/>
      <c r="R26" s="306"/>
      <c r="S26" s="307"/>
      <c r="T26" s="307"/>
      <c r="U26" s="307"/>
      <c r="V26" s="307"/>
      <c r="W26" s="307"/>
      <c r="X26" s="317"/>
      <c r="Y26" s="308"/>
      <c r="Z26" s="992"/>
      <c r="AA26" s="384"/>
      <c r="AC26" s="688"/>
    </row>
    <row r="27" spans="1:29" ht="35.1" hidden="1" customHeight="1">
      <c r="A27" s="660"/>
      <c r="B27" s="23"/>
      <c r="C27" s="23"/>
      <c r="D27" s="23"/>
      <c r="E27" s="311" t="s">
        <v>4199</v>
      </c>
      <c r="F27" s="406" t="s">
        <v>500</v>
      </c>
      <c r="G27" s="719" t="s">
        <v>4200</v>
      </c>
      <c r="H27" s="380" t="s">
        <v>4201</v>
      </c>
      <c r="I27" s="299" t="s">
        <v>4202</v>
      </c>
      <c r="J27" s="300" t="s">
        <v>49</v>
      </c>
      <c r="K27" s="312" t="s">
        <v>4125</v>
      </c>
      <c r="L27" s="312"/>
      <c r="M27" s="313" t="s">
        <v>4159</v>
      </c>
      <c r="N27" s="301" t="s">
        <v>4160</v>
      </c>
      <c r="O27" s="300" t="s">
        <v>4178</v>
      </c>
      <c r="P27" s="300" t="s">
        <v>4203</v>
      </c>
      <c r="Q27" s="301" t="s">
        <v>4204</v>
      </c>
      <c r="R27" s="846">
        <v>3</v>
      </c>
      <c r="S27" s="300"/>
      <c r="T27" s="300"/>
      <c r="U27" s="300"/>
      <c r="V27" s="300"/>
      <c r="W27" s="300" t="s">
        <v>4125</v>
      </c>
      <c r="X27" s="300"/>
      <c r="Y27" s="300"/>
      <c r="Z27" s="416"/>
      <c r="AA27" s="846">
        <v>2</v>
      </c>
      <c r="AC27" s="688"/>
    </row>
    <row r="28" spans="1:29" ht="35.1" hidden="1" customHeight="1">
      <c r="A28" s="660"/>
      <c r="B28" s="23"/>
      <c r="C28" s="23"/>
      <c r="D28" s="23"/>
      <c r="E28" s="375"/>
      <c r="F28" s="305"/>
      <c r="G28" s="319"/>
      <c r="H28" s="381"/>
      <c r="I28" s="297"/>
      <c r="J28" s="297"/>
      <c r="K28" s="297"/>
      <c r="L28" s="297"/>
      <c r="M28" s="387"/>
      <c r="N28" s="387"/>
      <c r="O28" s="387"/>
      <c r="P28" s="387"/>
      <c r="Q28" s="388"/>
      <c r="R28" s="387"/>
      <c r="S28" s="387"/>
      <c r="T28" s="387"/>
      <c r="U28" s="387"/>
      <c r="V28" s="387"/>
      <c r="W28" s="387"/>
      <c r="X28" s="387"/>
      <c r="Y28" s="387"/>
      <c r="Z28" s="418"/>
      <c r="AA28" s="387"/>
      <c r="AC28" s="688"/>
    </row>
    <row r="29" spans="1:29" ht="35.1" hidden="1" customHeight="1">
      <c r="A29" s="660"/>
      <c r="B29" s="23"/>
      <c r="C29" s="23"/>
      <c r="D29" s="23"/>
      <c r="E29" s="311" t="s">
        <v>4205</v>
      </c>
      <c r="F29" s="406" t="s">
        <v>500</v>
      </c>
      <c r="G29" s="719" t="s">
        <v>4206</v>
      </c>
      <c r="H29" s="380" t="s">
        <v>4207</v>
      </c>
      <c r="I29" s="299" t="s">
        <v>4202</v>
      </c>
      <c r="J29" s="300" t="s">
        <v>49</v>
      </c>
      <c r="K29" s="312" t="s">
        <v>4125</v>
      </c>
      <c r="L29" s="312"/>
      <c r="M29" s="313" t="s">
        <v>4159</v>
      </c>
      <c r="N29" s="301" t="s">
        <v>4160</v>
      </c>
      <c r="O29" s="300"/>
      <c r="P29" s="300"/>
      <c r="Q29" s="301"/>
      <c r="R29" s="300"/>
      <c r="S29" s="300"/>
      <c r="T29" s="300"/>
      <c r="U29" s="300"/>
      <c r="V29" s="300"/>
      <c r="W29" s="300"/>
      <c r="X29" s="300"/>
      <c r="Y29" s="300"/>
      <c r="Z29" s="416"/>
      <c r="AA29" s="300" t="s">
        <v>138</v>
      </c>
      <c r="AC29" s="680"/>
    </row>
    <row r="30" spans="1:29" ht="35.1" hidden="1" customHeight="1">
      <c r="A30" s="660"/>
      <c r="B30" s="23"/>
      <c r="C30" s="23"/>
      <c r="D30" s="23"/>
      <c r="E30" s="375"/>
      <c r="F30" s="305"/>
      <c r="G30" s="319"/>
      <c r="H30" s="381"/>
      <c r="I30" s="297"/>
      <c r="J30" s="297"/>
      <c r="K30" s="297"/>
      <c r="L30" s="297"/>
      <c r="M30" s="387"/>
      <c r="N30" s="387"/>
      <c r="O30" s="387"/>
      <c r="P30" s="387"/>
      <c r="Q30" s="388"/>
      <c r="R30" s="387"/>
      <c r="S30" s="387"/>
      <c r="T30" s="387"/>
      <c r="U30" s="387"/>
      <c r="V30" s="387"/>
      <c r="W30" s="387"/>
      <c r="X30" s="387"/>
      <c r="Y30" s="387"/>
      <c r="Z30" s="418"/>
      <c r="AA30" s="387"/>
      <c r="AC30" s="688"/>
    </row>
    <row r="31" spans="1:29" ht="35.1" hidden="1" customHeight="1">
      <c r="A31" s="660"/>
      <c r="B31" s="23"/>
      <c r="C31" s="23"/>
      <c r="D31" s="23"/>
      <c r="E31" s="311" t="s">
        <v>4208</v>
      </c>
      <c r="F31" s="406" t="s">
        <v>500</v>
      </c>
      <c r="G31" s="719" t="s">
        <v>4209</v>
      </c>
      <c r="H31" s="380" t="s">
        <v>4210</v>
      </c>
      <c r="I31" s="299" t="s">
        <v>4211</v>
      </c>
      <c r="J31" s="300" t="s">
        <v>53</v>
      </c>
      <c r="K31" s="300" t="s">
        <v>4125</v>
      </c>
      <c r="L31" s="300"/>
      <c r="M31" s="313" t="s">
        <v>4159</v>
      </c>
      <c r="N31" s="301" t="s">
        <v>4160</v>
      </c>
      <c r="O31" s="300"/>
      <c r="P31" s="300"/>
      <c r="Q31" s="301"/>
      <c r="R31" s="300"/>
      <c r="S31" s="300"/>
      <c r="T31" s="300"/>
      <c r="U31" s="300"/>
      <c r="V31" s="300"/>
      <c r="W31" s="300"/>
      <c r="X31" s="300"/>
      <c r="Y31" s="300"/>
      <c r="Z31" s="316"/>
      <c r="AA31" s="300">
        <v>0</v>
      </c>
      <c r="AC31" s="688"/>
    </row>
    <row r="32" spans="1:29" ht="35.1" hidden="1" customHeight="1">
      <c r="A32" s="660"/>
      <c r="B32" s="23"/>
      <c r="C32" s="23"/>
      <c r="D32" s="23"/>
      <c r="E32" s="375"/>
      <c r="F32" s="392"/>
      <c r="G32" s="720"/>
      <c r="H32" s="385"/>
      <c r="I32" s="386"/>
      <c r="J32" s="387"/>
      <c r="K32" s="387"/>
      <c r="L32" s="387"/>
      <c r="M32" s="387"/>
      <c r="N32" s="387"/>
      <c r="O32" s="387"/>
      <c r="P32" s="387"/>
      <c r="Q32" s="388"/>
      <c r="R32" s="387"/>
      <c r="S32" s="387"/>
      <c r="T32" s="387"/>
      <c r="U32" s="387"/>
      <c r="V32" s="387"/>
      <c r="W32" s="387"/>
      <c r="X32" s="387"/>
      <c r="Y32" s="387"/>
      <c r="Z32" s="626"/>
      <c r="AA32" s="387"/>
      <c r="AC32" s="688"/>
    </row>
    <row r="33" spans="1:29" ht="42.75" customHeight="1">
      <c r="A33" s="660"/>
      <c r="B33" s="23"/>
      <c r="C33" s="23"/>
      <c r="D33" s="23"/>
      <c r="E33" s="311" t="s">
        <v>4212</v>
      </c>
      <c r="F33" s="406" t="s">
        <v>500</v>
      </c>
      <c r="G33" s="719" t="s">
        <v>4213</v>
      </c>
      <c r="H33" s="380" t="s">
        <v>4214</v>
      </c>
      <c r="I33" s="299" t="s">
        <v>4215</v>
      </c>
      <c r="J33" s="300" t="s">
        <v>4216</v>
      </c>
      <c r="K33" s="300"/>
      <c r="L33" s="300" t="s">
        <v>4125</v>
      </c>
      <c r="M33" s="300" t="s">
        <v>4217</v>
      </c>
      <c r="N33" s="301" t="s">
        <v>4218</v>
      </c>
      <c r="O33" s="300" t="s">
        <v>4219</v>
      </c>
      <c r="P33" s="300" t="s">
        <v>4220</v>
      </c>
      <c r="Q33" s="301" t="s">
        <v>4221</v>
      </c>
      <c r="R33" s="846">
        <v>3</v>
      </c>
      <c r="S33" s="300"/>
      <c r="T33" s="300" t="s">
        <v>4125</v>
      </c>
      <c r="U33" s="300"/>
      <c r="V33" s="300"/>
      <c r="W33" s="300"/>
      <c r="X33" s="300"/>
      <c r="Y33" s="300"/>
      <c r="Z33" s="316" t="s">
        <v>4222</v>
      </c>
      <c r="AA33" s="846">
        <v>2</v>
      </c>
      <c r="AC33" s="680"/>
    </row>
    <row r="34" spans="1:29" ht="93" hidden="1" customHeight="1">
      <c r="A34" s="660"/>
      <c r="B34" s="23"/>
      <c r="C34" s="23"/>
      <c r="D34" s="23"/>
      <c r="E34" s="431"/>
      <c r="F34" s="447"/>
      <c r="G34" s="722"/>
      <c r="H34" s="623"/>
      <c r="I34" s="432"/>
      <c r="J34" s="436"/>
      <c r="K34" s="436"/>
      <c r="L34" s="436"/>
      <c r="M34" s="624" t="s">
        <v>4223</v>
      </c>
      <c r="N34" s="226" t="s">
        <v>4224</v>
      </c>
      <c r="O34" s="436" t="s">
        <v>4178</v>
      </c>
      <c r="P34" s="225" t="s">
        <v>4225</v>
      </c>
      <c r="Q34" s="226" t="s">
        <v>4226</v>
      </c>
      <c r="R34" s="847">
        <v>3</v>
      </c>
      <c r="S34" s="225"/>
      <c r="T34" s="225"/>
      <c r="U34" s="225"/>
      <c r="V34" s="225"/>
      <c r="W34" s="225" t="s">
        <v>4125</v>
      </c>
      <c r="X34" s="225" t="s">
        <v>4125</v>
      </c>
      <c r="Y34" s="225"/>
      <c r="Z34" s="633" t="s">
        <v>4227</v>
      </c>
      <c r="AA34" s="847">
        <v>2</v>
      </c>
      <c r="AC34" s="680"/>
    </row>
    <row r="35" spans="1:29" ht="93" hidden="1" customHeight="1">
      <c r="A35" s="660"/>
      <c r="B35" s="23"/>
      <c r="C35" s="23"/>
      <c r="D35" s="23"/>
      <c r="E35" s="431"/>
      <c r="F35" s="447"/>
      <c r="G35" s="722"/>
      <c r="H35" s="623"/>
      <c r="I35" s="432"/>
      <c r="J35" s="436"/>
      <c r="K35" s="436"/>
      <c r="L35" s="436"/>
      <c r="M35" s="624" t="s">
        <v>4228</v>
      </c>
      <c r="N35" s="624" t="s">
        <v>4229</v>
      </c>
      <c r="O35" s="449" t="s">
        <v>4230</v>
      </c>
      <c r="P35" s="449" t="s">
        <v>4231</v>
      </c>
      <c r="Q35" s="449" t="s">
        <v>4232</v>
      </c>
      <c r="R35" s="848">
        <v>3</v>
      </c>
      <c r="S35" s="632"/>
      <c r="T35" s="632"/>
      <c r="U35" s="632" t="s">
        <v>4125</v>
      </c>
      <c r="V35" s="632"/>
      <c r="W35" s="632"/>
      <c r="X35" s="632" t="s">
        <v>4125</v>
      </c>
      <c r="Y35" s="695"/>
      <c r="Z35" s="696" t="s">
        <v>4233</v>
      </c>
      <c r="AA35" s="848">
        <v>2</v>
      </c>
      <c r="AC35" s="680"/>
    </row>
    <row r="36" spans="1:29" ht="35.1" hidden="1" customHeight="1">
      <c r="A36" s="660"/>
      <c r="B36" s="23"/>
      <c r="C36" s="23"/>
      <c r="D36" s="23"/>
      <c r="E36" s="375"/>
      <c r="F36" s="375"/>
      <c r="G36" s="347"/>
      <c r="H36" s="385"/>
      <c r="I36" s="387"/>
      <c r="J36" s="387"/>
      <c r="K36" s="387"/>
      <c r="L36" s="387"/>
      <c r="M36" s="387"/>
      <c r="N36" s="387"/>
      <c r="O36" s="387"/>
      <c r="P36" s="387"/>
      <c r="Q36" s="388"/>
      <c r="R36" s="387"/>
      <c r="S36" s="387"/>
      <c r="T36" s="387"/>
      <c r="U36" s="387"/>
      <c r="V36" s="387"/>
      <c r="W36" s="387"/>
      <c r="X36" s="387"/>
      <c r="Y36" s="387"/>
      <c r="Z36" s="418"/>
      <c r="AA36" s="387"/>
      <c r="AC36" s="688"/>
    </row>
    <row r="37" spans="1:29" ht="115.5" customHeight="1">
      <c r="A37" s="660"/>
      <c r="B37" s="23"/>
      <c r="C37" s="23"/>
      <c r="D37" s="23"/>
      <c r="E37" s="311" t="s">
        <v>4234</v>
      </c>
      <c r="F37" s="406" t="s">
        <v>500</v>
      </c>
      <c r="G37" s="719" t="s">
        <v>4235</v>
      </c>
      <c r="H37" s="380" t="s">
        <v>4236</v>
      </c>
      <c r="I37" s="299" t="s">
        <v>4215</v>
      </c>
      <c r="J37" s="300" t="s">
        <v>4216</v>
      </c>
      <c r="K37" s="300"/>
      <c r="L37" s="300" t="s">
        <v>4125</v>
      </c>
      <c r="M37" s="428" t="s">
        <v>4237</v>
      </c>
      <c r="N37" s="300" t="s">
        <v>4238</v>
      </c>
      <c r="O37" s="300" t="s">
        <v>4219</v>
      </c>
      <c r="P37" s="300" t="s">
        <v>4239</v>
      </c>
      <c r="Q37" s="301" t="s">
        <v>4240</v>
      </c>
      <c r="R37" s="846">
        <v>3</v>
      </c>
      <c r="S37" s="300"/>
      <c r="T37" s="300" t="s">
        <v>4125</v>
      </c>
      <c r="U37" s="300"/>
      <c r="V37" s="300"/>
      <c r="W37" s="300"/>
      <c r="X37" s="300"/>
      <c r="Y37" s="300"/>
      <c r="Z37" s="316" t="s">
        <v>4241</v>
      </c>
      <c r="AA37" s="846">
        <v>2</v>
      </c>
      <c r="AC37" s="680"/>
    </row>
    <row r="38" spans="1:29" ht="102.75" hidden="1" customHeight="1">
      <c r="A38" s="660"/>
      <c r="B38" s="23"/>
      <c r="C38" s="23"/>
      <c r="D38" s="23"/>
      <c r="E38" s="431"/>
      <c r="F38" s="447"/>
      <c r="G38" s="722"/>
      <c r="H38" s="623"/>
      <c r="I38" s="432"/>
      <c r="J38" s="436"/>
      <c r="K38" s="436"/>
      <c r="L38" s="436"/>
      <c r="M38" s="624"/>
      <c r="N38" s="227" t="s">
        <v>4242</v>
      </c>
      <c r="O38" s="436" t="s">
        <v>4243</v>
      </c>
      <c r="P38" s="436" t="s">
        <v>4244</v>
      </c>
      <c r="Q38" s="449" t="s">
        <v>4245</v>
      </c>
      <c r="R38" s="436">
        <v>0</v>
      </c>
      <c r="S38" s="436"/>
      <c r="T38" s="436" t="s">
        <v>4125</v>
      </c>
      <c r="U38" s="436"/>
      <c r="V38" s="436"/>
      <c r="W38" s="436"/>
      <c r="X38" s="436"/>
      <c r="Y38" s="436"/>
      <c r="Z38" s="625" t="s">
        <v>4246</v>
      </c>
      <c r="AA38" s="436" t="s">
        <v>138</v>
      </c>
      <c r="AC38" s="680"/>
    </row>
    <row r="39" spans="1:29" ht="102.75" hidden="1" customHeight="1">
      <c r="A39" s="660"/>
      <c r="B39" s="23"/>
      <c r="C39" s="23"/>
      <c r="D39" s="23"/>
      <c r="E39" s="635"/>
      <c r="F39" s="636"/>
      <c r="G39" s="723"/>
      <c r="H39" s="637"/>
      <c r="I39" s="638"/>
      <c r="J39" s="639"/>
      <c r="K39" s="639"/>
      <c r="L39" s="639"/>
      <c r="M39" s="588"/>
      <c r="N39" s="640"/>
      <c r="O39" s="639" t="s">
        <v>4247</v>
      </c>
      <c r="P39" s="639" t="s">
        <v>4248</v>
      </c>
      <c r="Q39" s="437" t="s">
        <v>4249</v>
      </c>
      <c r="R39" s="639">
        <v>0</v>
      </c>
      <c r="S39" s="639"/>
      <c r="T39" s="639" t="s">
        <v>4125</v>
      </c>
      <c r="U39" s="639"/>
      <c r="V39" s="639"/>
      <c r="W39" s="639"/>
      <c r="X39" s="639"/>
      <c r="Y39" s="639"/>
      <c r="Z39" s="625" t="s">
        <v>4246</v>
      </c>
      <c r="AA39" s="639" t="s">
        <v>138</v>
      </c>
      <c r="AC39" s="680"/>
    </row>
    <row r="40" spans="1:29" ht="35.1" hidden="1" customHeight="1">
      <c r="A40" s="660"/>
      <c r="B40" s="23"/>
      <c r="C40" s="23"/>
      <c r="D40" s="23"/>
      <c r="E40" s="375"/>
      <c r="F40" s="375"/>
      <c r="G40" s="347"/>
      <c r="H40" s="385"/>
      <c r="I40" s="387"/>
      <c r="J40" s="387"/>
      <c r="K40" s="387"/>
      <c r="L40" s="387"/>
      <c r="M40" s="387"/>
      <c r="N40" s="387"/>
      <c r="O40" s="387"/>
      <c r="P40" s="387"/>
      <c r="Q40" s="388"/>
      <c r="R40" s="387"/>
      <c r="S40" s="387"/>
      <c r="T40" s="387"/>
      <c r="U40" s="387"/>
      <c r="V40" s="387"/>
      <c r="W40" s="387"/>
      <c r="X40" s="387"/>
      <c r="Y40" s="387"/>
      <c r="Z40" s="418"/>
      <c r="AA40" s="387"/>
      <c r="AC40" s="688"/>
    </row>
    <row r="41" spans="1:29" ht="198" customHeight="1">
      <c r="A41" s="660"/>
      <c r="B41" s="23"/>
      <c r="C41" s="23"/>
      <c r="D41" s="23"/>
      <c r="E41" s="311" t="s">
        <v>4250</v>
      </c>
      <c r="F41" s="406" t="s">
        <v>500</v>
      </c>
      <c r="G41" s="719" t="s">
        <v>4251</v>
      </c>
      <c r="H41" s="380" t="s">
        <v>4252</v>
      </c>
      <c r="I41" s="299" t="s">
        <v>4215</v>
      </c>
      <c r="J41" s="300" t="s">
        <v>4216</v>
      </c>
      <c r="K41" s="300"/>
      <c r="L41" s="300" t="s">
        <v>4125</v>
      </c>
      <c r="M41" s="224" t="s">
        <v>4253</v>
      </c>
      <c r="N41" s="224" t="s">
        <v>4254</v>
      </c>
      <c r="O41" s="301" t="s">
        <v>4219</v>
      </c>
      <c r="P41" s="301" t="s">
        <v>4255</v>
      </c>
      <c r="Q41" s="301"/>
      <c r="R41" s="846">
        <v>3</v>
      </c>
      <c r="S41" s="300"/>
      <c r="T41" s="300" t="s">
        <v>4125</v>
      </c>
      <c r="U41" s="302"/>
      <c r="V41" s="302"/>
      <c r="W41" s="302"/>
      <c r="X41" s="326"/>
      <c r="Y41" s="326"/>
      <c r="Z41" s="316" t="s">
        <v>4256</v>
      </c>
      <c r="AA41" s="846">
        <v>2</v>
      </c>
      <c r="AC41" s="688"/>
    </row>
    <row r="42" spans="1:29" ht="61.5" hidden="1" customHeight="1">
      <c r="A42" s="764"/>
      <c r="B42" s="630"/>
      <c r="C42" s="630"/>
      <c r="D42" s="630"/>
      <c r="E42" s="431"/>
      <c r="F42" s="447"/>
      <c r="G42" s="722"/>
      <c r="H42" s="623"/>
      <c r="I42" s="432"/>
      <c r="J42" s="436"/>
      <c r="K42" s="436"/>
      <c r="L42" s="436"/>
      <c r="M42" s="631" t="s">
        <v>4257</v>
      </c>
      <c r="N42" s="226" t="s">
        <v>4258</v>
      </c>
      <c r="O42" s="449" t="s">
        <v>4243</v>
      </c>
      <c r="P42" s="332" t="s">
        <v>4259</v>
      </c>
      <c r="Q42" s="449" t="s">
        <v>4260</v>
      </c>
      <c r="R42" s="847">
        <v>3</v>
      </c>
      <c r="S42" s="632"/>
      <c r="T42" s="632" t="s">
        <v>4125</v>
      </c>
      <c r="U42" s="632"/>
      <c r="V42" s="632"/>
      <c r="W42" s="632"/>
      <c r="X42" s="337"/>
      <c r="Y42" s="337"/>
      <c r="Z42" s="625" t="s">
        <v>4261</v>
      </c>
      <c r="AA42" s="847">
        <v>2</v>
      </c>
      <c r="AC42" s="688"/>
    </row>
    <row r="43" spans="1:29" ht="61.5" hidden="1" customHeight="1">
      <c r="A43" s="761"/>
      <c r="B43" s="451"/>
      <c r="C43" s="451"/>
      <c r="D43" s="451"/>
      <c r="E43" s="431"/>
      <c r="F43" s="447"/>
      <c r="G43" s="722"/>
      <c r="H43" s="623"/>
      <c r="I43" s="432"/>
      <c r="J43" s="436"/>
      <c r="K43" s="436"/>
      <c r="L43" s="436"/>
      <c r="M43" s="631"/>
      <c r="N43" s="226"/>
      <c r="O43" s="449" t="s">
        <v>4247</v>
      </c>
      <c r="P43" s="332" t="s">
        <v>4262</v>
      </c>
      <c r="Q43" s="449" t="s">
        <v>4263</v>
      </c>
      <c r="R43" s="436">
        <v>0</v>
      </c>
      <c r="S43" s="632"/>
      <c r="T43" s="632" t="s">
        <v>4125</v>
      </c>
      <c r="U43" s="632"/>
      <c r="V43" s="632"/>
      <c r="W43" s="632"/>
      <c r="X43" s="337"/>
      <c r="Y43" s="337"/>
      <c r="Z43" s="625" t="s">
        <v>4264</v>
      </c>
      <c r="AA43" s="449" t="s">
        <v>138</v>
      </c>
      <c r="AC43" s="688"/>
    </row>
    <row r="44" spans="1:29" ht="61.5" hidden="1" customHeight="1">
      <c r="A44" s="761"/>
      <c r="B44" s="451"/>
      <c r="C44" s="451"/>
      <c r="D44" s="451"/>
      <c r="E44" s="375"/>
      <c r="F44" s="392"/>
      <c r="G44" s="720"/>
      <c r="H44" s="385"/>
      <c r="I44" s="386"/>
      <c r="J44" s="387"/>
      <c r="K44" s="387"/>
      <c r="L44" s="387"/>
      <c r="M44" s="629"/>
      <c r="N44" s="232"/>
      <c r="O44" s="388" t="s">
        <v>4178</v>
      </c>
      <c r="P44" s="405" t="s">
        <v>4265</v>
      </c>
      <c r="Q44" s="388"/>
      <c r="R44" s="387">
        <v>0</v>
      </c>
      <c r="S44" s="389"/>
      <c r="T44" s="389"/>
      <c r="U44" s="389"/>
      <c r="V44" s="389"/>
      <c r="W44" s="389" t="s">
        <v>4125</v>
      </c>
      <c r="X44" s="308" t="s">
        <v>4125</v>
      </c>
      <c r="Y44" s="308"/>
      <c r="Z44" s="626" t="s">
        <v>4266</v>
      </c>
      <c r="AA44" s="388">
        <v>0</v>
      </c>
      <c r="AC44" s="688"/>
    </row>
    <row r="45" spans="1:29" ht="102" customHeight="1">
      <c r="A45" s="660"/>
      <c r="B45" s="23"/>
      <c r="C45" s="23"/>
      <c r="D45" s="23"/>
      <c r="E45" s="390" t="s">
        <v>4267</v>
      </c>
      <c r="F45" s="533" t="s">
        <v>500</v>
      </c>
      <c r="G45" s="721" t="s">
        <v>4268</v>
      </c>
      <c r="H45" s="391" t="s">
        <v>4269</v>
      </c>
      <c r="I45" s="395" t="s">
        <v>4215</v>
      </c>
      <c r="J45" s="312" t="s">
        <v>4216</v>
      </c>
      <c r="K45" s="312"/>
      <c r="L45" s="312" t="s">
        <v>4125</v>
      </c>
      <c r="M45" s="602" t="s">
        <v>4270</v>
      </c>
      <c r="N45" s="602" t="s">
        <v>4271</v>
      </c>
      <c r="O45" s="314" t="s">
        <v>4219</v>
      </c>
      <c r="P45" s="314" t="s">
        <v>4272</v>
      </c>
      <c r="Q45" s="314"/>
      <c r="R45" s="849">
        <v>3</v>
      </c>
      <c r="S45" s="312"/>
      <c r="T45" s="312" t="s">
        <v>4125</v>
      </c>
      <c r="U45" s="396"/>
      <c r="V45" s="396"/>
      <c r="W45" s="396"/>
      <c r="X45" s="315"/>
      <c r="Y45" s="315"/>
      <c r="Z45" s="627" t="s">
        <v>4273</v>
      </c>
      <c r="AA45" s="846">
        <v>2</v>
      </c>
      <c r="AC45" s="682"/>
    </row>
    <row r="46" spans="1:29" ht="64.5" hidden="1" customHeight="1">
      <c r="A46" s="764"/>
      <c r="B46" s="630"/>
      <c r="C46" s="630"/>
      <c r="D46" s="630"/>
      <c r="E46" s="431"/>
      <c r="F46" s="447"/>
      <c r="G46" s="722"/>
      <c r="H46" s="623"/>
      <c r="I46" s="432"/>
      <c r="J46" s="436"/>
      <c r="K46" s="436"/>
      <c r="L46" s="436"/>
      <c r="M46" s="631" t="s">
        <v>4274</v>
      </c>
      <c r="N46" s="226" t="s">
        <v>4275</v>
      </c>
      <c r="O46" s="449" t="s">
        <v>4243</v>
      </c>
      <c r="P46" s="332" t="s">
        <v>4259</v>
      </c>
      <c r="Q46" s="449" t="s">
        <v>4260</v>
      </c>
      <c r="R46" s="847">
        <v>3</v>
      </c>
      <c r="S46" s="632"/>
      <c r="T46" s="632" t="s">
        <v>4125</v>
      </c>
      <c r="U46" s="632"/>
      <c r="V46" s="632"/>
      <c r="W46" s="632"/>
      <c r="X46" s="337" t="s">
        <v>4125</v>
      </c>
      <c r="Y46" s="337"/>
      <c r="Z46" s="625" t="s">
        <v>4276</v>
      </c>
      <c r="AA46" s="847">
        <v>2</v>
      </c>
      <c r="AB46" s="403"/>
      <c r="AC46" s="682"/>
    </row>
    <row r="47" spans="1:29" ht="61.5" hidden="1" customHeight="1">
      <c r="A47" s="761"/>
      <c r="B47" s="451"/>
      <c r="C47" s="451"/>
      <c r="D47" s="451"/>
      <c r="E47" s="431"/>
      <c r="F47" s="447"/>
      <c r="G47" s="722"/>
      <c r="H47" s="623"/>
      <c r="I47" s="432"/>
      <c r="J47" s="436"/>
      <c r="K47" s="436"/>
      <c r="L47" s="436"/>
      <c r="M47" s="631"/>
      <c r="N47" s="226"/>
      <c r="O47" s="449" t="s">
        <v>4247</v>
      </c>
      <c r="P47" s="332" t="s">
        <v>4262</v>
      </c>
      <c r="Q47" s="449" t="s">
        <v>4263</v>
      </c>
      <c r="R47" s="436">
        <v>0</v>
      </c>
      <c r="S47" s="632"/>
      <c r="T47" s="632" t="s">
        <v>4125</v>
      </c>
      <c r="U47" s="632"/>
      <c r="V47" s="632"/>
      <c r="W47" s="632"/>
      <c r="X47" s="337"/>
      <c r="Y47" s="337"/>
      <c r="Z47" s="625" t="s">
        <v>4264</v>
      </c>
      <c r="AA47" s="449" t="s">
        <v>138</v>
      </c>
      <c r="AC47" s="688"/>
    </row>
    <row r="48" spans="1:29" ht="61.5" hidden="1" customHeight="1">
      <c r="A48" s="761"/>
      <c r="B48" s="451"/>
      <c r="C48" s="451"/>
      <c r="D48" s="451"/>
      <c r="E48" s="375"/>
      <c r="F48" s="392"/>
      <c r="G48" s="720"/>
      <c r="H48" s="383"/>
      <c r="I48" s="761"/>
      <c r="J48" s="222"/>
      <c r="K48" s="222"/>
      <c r="L48" s="222"/>
      <c r="M48" s="629"/>
      <c r="N48" s="232"/>
      <c r="O48" s="232" t="s">
        <v>4178</v>
      </c>
      <c r="P48" s="496" t="s">
        <v>4277</v>
      </c>
      <c r="Q48" s="232"/>
      <c r="R48" s="222">
        <v>0</v>
      </c>
      <c r="S48" s="762"/>
      <c r="T48" s="762"/>
      <c r="U48" s="762"/>
      <c r="V48" s="762"/>
      <c r="W48" s="762" t="s">
        <v>4125</v>
      </c>
      <c r="X48" s="497" t="s">
        <v>4125</v>
      </c>
      <c r="Y48" s="497"/>
      <c r="Z48" s="763" t="s">
        <v>4266</v>
      </c>
      <c r="AA48" s="232">
        <v>0</v>
      </c>
      <c r="AC48" s="688"/>
    </row>
    <row r="49" spans="1:29" ht="85.5" customHeight="1">
      <c r="A49" s="660"/>
      <c r="B49" s="23"/>
      <c r="C49" s="23"/>
      <c r="D49" s="23"/>
      <c r="E49" s="390" t="s">
        <v>4278</v>
      </c>
      <c r="F49" s="533" t="s">
        <v>538</v>
      </c>
      <c r="G49" s="721" t="s">
        <v>4279</v>
      </c>
      <c r="H49" s="572" t="s">
        <v>4280</v>
      </c>
      <c r="I49" s="764" t="s">
        <v>4177</v>
      </c>
      <c r="J49" s="398" t="s">
        <v>45</v>
      </c>
      <c r="K49" s="398" t="s">
        <v>4125</v>
      </c>
      <c r="L49" s="398" t="s">
        <v>4125</v>
      </c>
      <c r="M49" s="398" t="s">
        <v>4281</v>
      </c>
      <c r="N49" s="398" t="s">
        <v>4282</v>
      </c>
      <c r="O49" s="398" t="s">
        <v>4219</v>
      </c>
      <c r="P49" s="398" t="s">
        <v>4283</v>
      </c>
      <c r="Q49" s="602" t="s">
        <v>4284</v>
      </c>
      <c r="R49" s="849">
        <v>3</v>
      </c>
      <c r="S49" s="398"/>
      <c r="T49" s="398" t="s">
        <v>4125</v>
      </c>
      <c r="U49" s="398"/>
      <c r="V49" s="398"/>
      <c r="W49" s="398"/>
      <c r="X49" s="398" t="s">
        <v>4125</v>
      </c>
      <c r="Y49" s="398"/>
      <c r="Z49" s="765" t="s">
        <v>4285</v>
      </c>
      <c r="AA49" s="846">
        <v>2</v>
      </c>
      <c r="AC49" s="682"/>
    </row>
    <row r="50" spans="1:29" ht="69" hidden="1" customHeight="1">
      <c r="A50" s="660"/>
      <c r="B50" s="23"/>
      <c r="C50" s="23"/>
      <c r="D50" s="23"/>
      <c r="E50" s="375"/>
      <c r="F50" s="305"/>
      <c r="G50" s="319"/>
      <c r="H50" s="512"/>
      <c r="I50" s="184"/>
      <c r="J50" s="184"/>
      <c r="K50" s="184"/>
      <c r="L50" s="184"/>
      <c r="M50" s="222" t="s">
        <v>4159</v>
      </c>
      <c r="N50" s="222" t="s">
        <v>4160</v>
      </c>
      <c r="O50" s="222"/>
      <c r="P50" s="222"/>
      <c r="Q50" s="232"/>
      <c r="R50" s="222"/>
      <c r="S50" s="222"/>
      <c r="T50" s="222"/>
      <c r="U50" s="222"/>
      <c r="V50" s="222"/>
      <c r="W50" s="222"/>
      <c r="X50" s="222"/>
      <c r="Y50" s="222"/>
      <c r="Z50" s="240"/>
      <c r="AA50" s="222"/>
      <c r="AC50" s="688"/>
    </row>
    <row r="51" spans="1:29" ht="42" customHeight="1">
      <c r="A51" s="660"/>
      <c r="B51" s="23"/>
      <c r="C51" s="23"/>
      <c r="D51" s="23"/>
      <c r="E51" s="310" t="s">
        <v>4286</v>
      </c>
      <c r="F51" s="406" t="s">
        <v>538</v>
      </c>
      <c r="G51" s="719" t="s">
        <v>4287</v>
      </c>
      <c r="H51" s="446" t="s">
        <v>4288</v>
      </c>
      <c r="I51" s="764" t="s">
        <v>4177</v>
      </c>
      <c r="J51" s="398" t="s">
        <v>45</v>
      </c>
      <c r="K51" s="398" t="s">
        <v>4125</v>
      </c>
      <c r="L51" s="398" t="s">
        <v>4125</v>
      </c>
      <c r="M51" s="398" t="s">
        <v>4281</v>
      </c>
      <c r="N51" s="398" t="s">
        <v>4282</v>
      </c>
      <c r="O51" s="398" t="s">
        <v>4219</v>
      </c>
      <c r="P51" s="602" t="s">
        <v>4289</v>
      </c>
      <c r="Q51" s="602" t="s">
        <v>4284</v>
      </c>
      <c r="R51" s="846">
        <v>3</v>
      </c>
      <c r="S51" s="766"/>
      <c r="T51" s="766" t="s">
        <v>4125</v>
      </c>
      <c r="U51" s="766"/>
      <c r="V51" s="766"/>
      <c r="W51" s="766"/>
      <c r="X51" s="767" t="s">
        <v>4125</v>
      </c>
      <c r="Y51" s="474"/>
      <c r="Z51" s="765" t="s">
        <v>4285</v>
      </c>
      <c r="AA51" s="846">
        <v>2</v>
      </c>
      <c r="AC51" s="682"/>
    </row>
    <row r="52" spans="1:29" ht="45" hidden="1" customHeight="1">
      <c r="A52" s="660"/>
      <c r="B52" s="23"/>
      <c r="C52" s="23"/>
      <c r="D52" s="23"/>
      <c r="E52" s="305"/>
      <c r="F52" s="305"/>
      <c r="G52" s="319"/>
      <c r="H52" s="512"/>
      <c r="I52" s="184"/>
      <c r="J52" s="184"/>
      <c r="K52" s="184"/>
      <c r="L52" s="184"/>
      <c r="M52" s="222" t="s">
        <v>4159</v>
      </c>
      <c r="N52" s="222" t="s">
        <v>4160</v>
      </c>
      <c r="O52" s="222"/>
      <c r="P52" s="222"/>
      <c r="Q52" s="232"/>
      <c r="R52" s="222"/>
      <c r="S52" s="222"/>
      <c r="T52" s="222"/>
      <c r="U52" s="222"/>
      <c r="V52" s="222"/>
      <c r="W52" s="222"/>
      <c r="X52" s="222"/>
      <c r="Y52" s="222"/>
      <c r="Z52" s="240"/>
      <c r="AA52" s="768"/>
      <c r="AC52" s="688"/>
    </row>
    <row r="53" spans="1:29" ht="42" customHeight="1">
      <c r="A53" s="660"/>
      <c r="B53" s="23"/>
      <c r="C53" s="23"/>
      <c r="D53" s="23"/>
      <c r="E53" s="311" t="s">
        <v>4290</v>
      </c>
      <c r="F53" s="406" t="s">
        <v>538</v>
      </c>
      <c r="G53" s="719" t="s">
        <v>4291</v>
      </c>
      <c r="H53" s="446" t="s">
        <v>4292</v>
      </c>
      <c r="I53" s="764" t="s">
        <v>4177</v>
      </c>
      <c r="J53" s="398" t="s">
        <v>45</v>
      </c>
      <c r="K53" s="398" t="s">
        <v>4125</v>
      </c>
      <c r="L53" s="398" t="s">
        <v>4125</v>
      </c>
      <c r="M53" s="398" t="s">
        <v>4281</v>
      </c>
      <c r="N53" s="398" t="s">
        <v>4282</v>
      </c>
      <c r="O53" s="398" t="s">
        <v>4219</v>
      </c>
      <c r="P53" s="398" t="s">
        <v>4283</v>
      </c>
      <c r="Q53" s="602" t="s">
        <v>4284</v>
      </c>
      <c r="R53" s="846">
        <v>3</v>
      </c>
      <c r="S53" s="223"/>
      <c r="T53" s="223" t="s">
        <v>4125</v>
      </c>
      <c r="U53" s="223"/>
      <c r="V53" s="223"/>
      <c r="W53" s="223"/>
      <c r="X53" s="223" t="s">
        <v>4125</v>
      </c>
      <c r="Y53" s="223"/>
      <c r="Z53" s="765" t="s">
        <v>4285</v>
      </c>
      <c r="AA53" s="846">
        <v>2</v>
      </c>
      <c r="AC53" s="682"/>
    </row>
    <row r="54" spans="1:29" ht="45" hidden="1" customHeight="1">
      <c r="A54" s="660"/>
      <c r="B54" s="23"/>
      <c r="C54" s="23"/>
      <c r="D54" s="23"/>
      <c r="E54" s="375"/>
      <c r="F54" s="305"/>
      <c r="G54" s="319"/>
      <c r="H54" s="512"/>
      <c r="I54" s="184"/>
      <c r="J54" s="184"/>
      <c r="K54" s="184"/>
      <c r="L54" s="184"/>
      <c r="M54" s="222" t="s">
        <v>4159</v>
      </c>
      <c r="N54" s="222" t="s">
        <v>4160</v>
      </c>
      <c r="O54" s="222"/>
      <c r="P54" s="222"/>
      <c r="Q54" s="232"/>
      <c r="R54" s="222"/>
      <c r="S54" s="222"/>
      <c r="T54" s="222"/>
      <c r="U54" s="222"/>
      <c r="V54" s="222"/>
      <c r="W54" s="222"/>
      <c r="X54" s="222"/>
      <c r="Y54" s="222"/>
      <c r="Z54" s="240"/>
      <c r="AA54" s="222"/>
      <c r="AC54" s="688"/>
    </row>
    <row r="55" spans="1:29" ht="42" customHeight="1">
      <c r="A55" s="660"/>
      <c r="B55" s="23"/>
      <c r="C55" s="23"/>
      <c r="D55" s="23"/>
      <c r="E55" s="310" t="s">
        <v>4293</v>
      </c>
      <c r="F55" s="406" t="s">
        <v>538</v>
      </c>
      <c r="G55" s="719" t="s">
        <v>4294</v>
      </c>
      <c r="H55" s="446" t="s">
        <v>4295</v>
      </c>
      <c r="I55" s="764" t="s">
        <v>4177</v>
      </c>
      <c r="J55" s="398" t="s">
        <v>45</v>
      </c>
      <c r="K55" s="398" t="s">
        <v>4125</v>
      </c>
      <c r="L55" s="398" t="s">
        <v>4125</v>
      </c>
      <c r="M55" s="398" t="s">
        <v>4281</v>
      </c>
      <c r="N55" s="398" t="s">
        <v>4282</v>
      </c>
      <c r="O55" s="398" t="s">
        <v>4219</v>
      </c>
      <c r="P55" s="602" t="s">
        <v>4289</v>
      </c>
      <c r="Q55" s="602" t="s">
        <v>4284</v>
      </c>
      <c r="R55" s="846">
        <v>3</v>
      </c>
      <c r="S55" s="766"/>
      <c r="T55" s="766" t="s">
        <v>4125</v>
      </c>
      <c r="U55" s="766"/>
      <c r="V55" s="766"/>
      <c r="W55" s="766"/>
      <c r="X55" s="767" t="s">
        <v>4125</v>
      </c>
      <c r="Y55" s="474"/>
      <c r="Z55" s="765" t="s">
        <v>4285</v>
      </c>
      <c r="AA55" s="846">
        <v>2</v>
      </c>
      <c r="AC55" s="682"/>
    </row>
    <row r="56" spans="1:29" ht="45" hidden="1" customHeight="1">
      <c r="A56" s="660"/>
      <c r="B56" s="23"/>
      <c r="C56" s="23"/>
      <c r="D56" s="23"/>
      <c r="E56" s="305"/>
      <c r="F56" s="305"/>
      <c r="G56" s="319"/>
      <c r="H56" s="512"/>
      <c r="I56" s="184"/>
      <c r="J56" s="184"/>
      <c r="K56" s="184"/>
      <c r="L56" s="184"/>
      <c r="M56" s="222" t="s">
        <v>4159</v>
      </c>
      <c r="N56" s="222" t="s">
        <v>4160</v>
      </c>
      <c r="O56" s="222"/>
      <c r="P56" s="222"/>
      <c r="Q56" s="232"/>
      <c r="R56" s="222"/>
      <c r="S56" s="222"/>
      <c r="T56" s="222"/>
      <c r="U56" s="222"/>
      <c r="V56" s="222"/>
      <c r="W56" s="222"/>
      <c r="X56" s="222"/>
      <c r="Y56" s="497"/>
      <c r="Z56" s="240"/>
      <c r="AA56" s="768"/>
      <c r="AC56" s="688"/>
    </row>
    <row r="57" spans="1:29" ht="45" customHeight="1">
      <c r="A57" s="660"/>
      <c r="B57" s="23"/>
      <c r="C57" s="23"/>
      <c r="D57" s="23"/>
      <c r="E57" s="311" t="s">
        <v>4296</v>
      </c>
      <c r="F57" s="406" t="s">
        <v>538</v>
      </c>
      <c r="G57" s="719" t="s">
        <v>4297</v>
      </c>
      <c r="H57" s="446" t="s">
        <v>4298</v>
      </c>
      <c r="I57" s="399" t="s">
        <v>4158</v>
      </c>
      <c r="J57" s="223" t="s">
        <v>53</v>
      </c>
      <c r="K57" s="398" t="s">
        <v>4125</v>
      </c>
      <c r="L57" s="398" t="s">
        <v>4125</v>
      </c>
      <c r="M57" s="602" t="s">
        <v>4299</v>
      </c>
      <c r="N57" s="602" t="s">
        <v>4299</v>
      </c>
      <c r="O57" s="223"/>
      <c r="P57" s="224"/>
      <c r="Q57" s="224"/>
      <c r="R57" s="223"/>
      <c r="S57" s="223"/>
      <c r="T57" s="223"/>
      <c r="U57" s="223"/>
      <c r="V57" s="223"/>
      <c r="W57" s="223"/>
      <c r="X57" s="223"/>
      <c r="Y57" s="223"/>
      <c r="Z57" s="231"/>
      <c r="AA57" s="223" t="s">
        <v>184</v>
      </c>
      <c r="AC57" s="680"/>
    </row>
    <row r="58" spans="1:29" ht="45" hidden="1" customHeight="1">
      <c r="A58" s="660"/>
      <c r="B58" s="23"/>
      <c r="C58" s="23"/>
      <c r="D58" s="23"/>
      <c r="E58" s="375"/>
      <c r="F58" s="392"/>
      <c r="G58" s="720"/>
      <c r="H58" s="383"/>
      <c r="I58" s="761"/>
      <c r="J58" s="222"/>
      <c r="K58" s="222"/>
      <c r="L58" s="222"/>
      <c r="M58" s="222" t="s">
        <v>4159</v>
      </c>
      <c r="N58" s="222" t="s">
        <v>4160</v>
      </c>
      <c r="O58" s="222"/>
      <c r="P58" s="222"/>
      <c r="Q58" s="769"/>
      <c r="R58" s="770"/>
      <c r="S58" s="770"/>
      <c r="T58" s="770"/>
      <c r="U58" s="770"/>
      <c r="V58" s="770"/>
      <c r="W58" s="770"/>
      <c r="X58" s="770"/>
      <c r="Y58" s="770"/>
      <c r="Z58" s="771"/>
      <c r="AA58" s="770"/>
      <c r="AC58" s="688"/>
    </row>
    <row r="59" spans="1:29" ht="126" customHeight="1">
      <c r="A59" s="660"/>
      <c r="B59" s="23"/>
      <c r="C59" s="23"/>
      <c r="D59" s="23"/>
      <c r="E59" s="394" t="s">
        <v>4300</v>
      </c>
      <c r="F59" s="533" t="s">
        <v>538</v>
      </c>
      <c r="G59" s="721" t="s">
        <v>4301</v>
      </c>
      <c r="H59" s="572" t="s">
        <v>4302</v>
      </c>
      <c r="I59" s="764" t="s">
        <v>4158</v>
      </c>
      <c r="J59" s="398" t="s">
        <v>53</v>
      </c>
      <c r="K59" s="398" t="s">
        <v>4125</v>
      </c>
      <c r="L59" s="398" t="s">
        <v>4125</v>
      </c>
      <c r="M59" s="602" t="s">
        <v>4299</v>
      </c>
      <c r="N59" s="602" t="s">
        <v>4299</v>
      </c>
      <c r="O59" s="602"/>
      <c r="P59" s="602"/>
      <c r="Q59" s="224"/>
      <c r="R59" s="223"/>
      <c r="S59" s="223"/>
      <c r="T59" s="223"/>
      <c r="U59" s="223"/>
      <c r="V59" s="223"/>
      <c r="W59" s="223"/>
      <c r="X59" s="223"/>
      <c r="Y59" s="223"/>
      <c r="Z59" s="231"/>
      <c r="AA59" s="224" t="s">
        <v>184</v>
      </c>
      <c r="AC59" s="680"/>
    </row>
    <row r="60" spans="1:29" ht="35.1" hidden="1" customHeight="1">
      <c r="A60" s="660"/>
      <c r="B60" s="23"/>
      <c r="C60" s="23"/>
      <c r="D60" s="23"/>
      <c r="E60" s="635"/>
      <c r="F60" s="636"/>
      <c r="G60" s="723"/>
      <c r="H60" s="637"/>
      <c r="I60" s="638"/>
      <c r="J60" s="639"/>
      <c r="K60" s="387"/>
      <c r="L60" s="387"/>
      <c r="M60" s="222" t="s">
        <v>4159</v>
      </c>
      <c r="N60" s="222" t="s">
        <v>4160</v>
      </c>
      <c r="O60" s="437"/>
      <c r="P60" s="437"/>
      <c r="Q60" s="437"/>
      <c r="R60" s="639"/>
      <c r="S60" s="653"/>
      <c r="T60" s="653"/>
      <c r="U60" s="653"/>
      <c r="V60" s="653"/>
      <c r="W60" s="653"/>
      <c r="X60" s="470"/>
      <c r="Y60" s="470"/>
      <c r="Z60" s="652"/>
      <c r="AA60" s="437"/>
      <c r="AC60" s="688"/>
    </row>
    <row r="61" spans="1:29" ht="35.1" customHeight="1">
      <c r="A61" s="660"/>
      <c r="B61" s="23"/>
      <c r="C61" s="23"/>
      <c r="D61" s="23"/>
      <c r="E61" s="311" t="s">
        <v>4303</v>
      </c>
      <c r="F61" s="406" t="s">
        <v>538</v>
      </c>
      <c r="G61" s="719" t="s">
        <v>4304</v>
      </c>
      <c r="H61" s="380" t="s">
        <v>4305</v>
      </c>
      <c r="I61" s="299" t="s">
        <v>4158</v>
      </c>
      <c r="J61" s="300" t="s">
        <v>53</v>
      </c>
      <c r="K61" s="312" t="s">
        <v>4125</v>
      </c>
      <c r="L61" s="312" t="s">
        <v>4125</v>
      </c>
      <c r="M61" s="602" t="s">
        <v>4282</v>
      </c>
      <c r="N61" s="602" t="s">
        <v>4299</v>
      </c>
      <c r="O61" s="300"/>
      <c r="P61" s="300"/>
      <c r="Q61" s="301"/>
      <c r="R61" s="300"/>
      <c r="S61" s="300"/>
      <c r="T61" s="300"/>
      <c r="U61" s="300"/>
      <c r="V61" s="300"/>
      <c r="W61" s="300"/>
      <c r="X61" s="300"/>
      <c r="Y61" s="300"/>
      <c r="Z61" s="416"/>
      <c r="AA61" s="300" t="s">
        <v>184</v>
      </c>
      <c r="AC61" s="688"/>
    </row>
    <row r="62" spans="1:29" ht="35.1" hidden="1" customHeight="1">
      <c r="A62" s="660"/>
      <c r="B62" s="23"/>
      <c r="C62" s="23"/>
      <c r="D62" s="23"/>
      <c r="E62" s="375"/>
      <c r="F62" s="305"/>
      <c r="G62" s="319"/>
      <c r="H62" s="381"/>
      <c r="I62" s="297"/>
      <c r="J62" s="297"/>
      <c r="K62" s="297"/>
      <c r="L62" s="297"/>
      <c r="M62" s="222" t="s">
        <v>4159</v>
      </c>
      <c r="N62" s="222" t="s">
        <v>4160</v>
      </c>
      <c r="O62" s="387"/>
      <c r="P62" s="387"/>
      <c r="Q62" s="388"/>
      <c r="R62" s="387"/>
      <c r="S62" s="387"/>
      <c r="T62" s="387"/>
      <c r="U62" s="387"/>
      <c r="V62" s="387"/>
      <c r="W62" s="387"/>
      <c r="X62" s="387"/>
      <c r="Y62" s="387"/>
      <c r="Z62" s="418"/>
      <c r="AA62" s="387"/>
      <c r="AC62" s="688"/>
    </row>
    <row r="63" spans="1:29" ht="35.1" customHeight="1">
      <c r="A63" s="660"/>
      <c r="B63" s="23"/>
      <c r="C63" s="23"/>
      <c r="D63" s="23"/>
      <c r="E63" s="310" t="s">
        <v>4306</v>
      </c>
      <c r="F63" s="406" t="s">
        <v>538</v>
      </c>
      <c r="G63" s="719" t="s">
        <v>4307</v>
      </c>
      <c r="H63" s="380" t="s">
        <v>4308</v>
      </c>
      <c r="I63" s="399" t="s">
        <v>4177</v>
      </c>
      <c r="J63" s="223" t="s">
        <v>49</v>
      </c>
      <c r="K63" s="312" t="s">
        <v>4125</v>
      </c>
      <c r="L63" s="312" t="s">
        <v>4125</v>
      </c>
      <c r="M63" s="398" t="s">
        <v>4282</v>
      </c>
      <c r="N63" s="602" t="s">
        <v>4299</v>
      </c>
      <c r="O63" s="300" t="s">
        <v>4178</v>
      </c>
      <c r="P63" s="300" t="s">
        <v>4309</v>
      </c>
      <c r="Q63" s="301" t="s">
        <v>4310</v>
      </c>
      <c r="R63" s="846">
        <v>3</v>
      </c>
      <c r="S63" s="300"/>
      <c r="T63" s="300"/>
      <c r="U63" s="300"/>
      <c r="V63" s="300"/>
      <c r="W63" s="300" t="s">
        <v>4125</v>
      </c>
      <c r="X63" s="300" t="s">
        <v>4125</v>
      </c>
      <c r="Y63" s="300"/>
      <c r="Z63" s="301" t="s">
        <v>4311</v>
      </c>
      <c r="AA63" s="846">
        <v>2</v>
      </c>
      <c r="AC63" s="688"/>
    </row>
    <row r="64" spans="1:29" ht="35.1" hidden="1" customHeight="1">
      <c r="A64" s="660"/>
      <c r="B64" s="23"/>
      <c r="C64" s="23"/>
      <c r="D64" s="23"/>
      <c r="E64" s="305"/>
      <c r="F64" s="305"/>
      <c r="G64" s="319"/>
      <c r="H64" s="381"/>
      <c r="I64" s="297"/>
      <c r="J64" s="297"/>
      <c r="K64" s="297"/>
      <c r="L64" s="297"/>
      <c r="M64" s="222" t="s">
        <v>4159</v>
      </c>
      <c r="N64" s="222" t="s">
        <v>4160</v>
      </c>
      <c r="O64" s="296" t="s">
        <v>4219</v>
      </c>
      <c r="P64" s="296" t="s">
        <v>4312</v>
      </c>
      <c r="Q64" s="296" t="s">
        <v>4313</v>
      </c>
      <c r="R64" s="850">
        <v>3</v>
      </c>
      <c r="S64" s="307"/>
      <c r="T64" s="307" t="s">
        <v>4125</v>
      </c>
      <c r="U64" s="307"/>
      <c r="V64" s="307"/>
      <c r="W64" s="307"/>
      <c r="X64" s="317" t="s">
        <v>4125</v>
      </c>
      <c r="Y64" s="308"/>
      <c r="Z64" s="991" t="s">
        <v>4314</v>
      </c>
      <c r="AA64" s="853">
        <v>2</v>
      </c>
      <c r="AC64" s="688"/>
    </row>
    <row r="65" spans="1:29" ht="35.1" customHeight="1">
      <c r="A65" s="660"/>
      <c r="B65" s="23"/>
      <c r="C65" s="23"/>
      <c r="D65" s="23"/>
      <c r="E65" s="311" t="s">
        <v>4315</v>
      </c>
      <c r="F65" s="406" t="s">
        <v>538</v>
      </c>
      <c r="G65" s="719" t="s">
        <v>4316</v>
      </c>
      <c r="H65" s="380" t="s">
        <v>4317</v>
      </c>
      <c r="I65" s="299" t="s">
        <v>4158</v>
      </c>
      <c r="J65" s="300" t="s">
        <v>53</v>
      </c>
      <c r="K65" s="312" t="s">
        <v>4125</v>
      </c>
      <c r="L65" s="312" t="s">
        <v>4125</v>
      </c>
      <c r="M65" s="398" t="s">
        <v>4281</v>
      </c>
      <c r="N65" s="398" t="s">
        <v>4282</v>
      </c>
      <c r="O65" s="300" t="s">
        <v>4178</v>
      </c>
      <c r="P65" s="300" t="s">
        <v>4318</v>
      </c>
      <c r="Q65" s="301" t="s">
        <v>4319</v>
      </c>
      <c r="R65" s="846">
        <v>3</v>
      </c>
      <c r="S65" s="300"/>
      <c r="T65" s="300"/>
      <c r="U65" s="300"/>
      <c r="V65" s="300"/>
      <c r="W65" s="300" t="s">
        <v>4125</v>
      </c>
      <c r="X65" s="300" t="s">
        <v>4125</v>
      </c>
      <c r="Y65" s="300"/>
      <c r="Z65" s="416"/>
      <c r="AA65" s="846">
        <v>2</v>
      </c>
      <c r="AC65" s="688"/>
    </row>
    <row r="66" spans="1:29" ht="35.1" hidden="1" customHeight="1">
      <c r="A66" s="660"/>
      <c r="B66" s="23"/>
      <c r="C66" s="23"/>
      <c r="D66" s="23"/>
      <c r="E66" s="375"/>
      <c r="F66" s="305"/>
      <c r="G66" s="319"/>
      <c r="H66" s="381"/>
      <c r="I66" s="297"/>
      <c r="J66" s="297"/>
      <c r="K66" s="297"/>
      <c r="L66" s="297"/>
      <c r="M66" s="222" t="s">
        <v>4159</v>
      </c>
      <c r="N66" s="222" t="s">
        <v>4160</v>
      </c>
      <c r="O66" s="387"/>
      <c r="P66" s="387"/>
      <c r="Q66" s="388"/>
      <c r="R66" s="387"/>
      <c r="S66" s="387"/>
      <c r="T66" s="387"/>
      <c r="U66" s="387"/>
      <c r="V66" s="387"/>
      <c r="W66" s="387"/>
      <c r="X66" s="387"/>
      <c r="Y66" s="387"/>
      <c r="Z66" s="418"/>
      <c r="AA66" s="387"/>
      <c r="AC66" s="688"/>
    </row>
    <row r="67" spans="1:29" ht="42.75">
      <c r="A67" s="660"/>
      <c r="B67" s="23"/>
      <c r="C67" s="23"/>
      <c r="D67" s="23"/>
      <c r="E67" s="311" t="s">
        <v>4320</v>
      </c>
      <c r="F67" s="406" t="s">
        <v>4321</v>
      </c>
      <c r="G67" s="719" t="s">
        <v>4322</v>
      </c>
      <c r="H67" s="380" t="s">
        <v>4323</v>
      </c>
      <c r="I67" s="299" t="s">
        <v>4167</v>
      </c>
      <c r="J67" s="300" t="s">
        <v>49</v>
      </c>
      <c r="K67" s="300" t="s">
        <v>4125</v>
      </c>
      <c r="L67" s="300" t="s">
        <v>4125</v>
      </c>
      <c r="M67" s="398" t="s">
        <v>4281</v>
      </c>
      <c r="N67" s="398" t="s">
        <v>4282</v>
      </c>
      <c r="O67" s="300" t="s">
        <v>4168</v>
      </c>
      <c r="P67" s="300" t="s">
        <v>4309</v>
      </c>
      <c r="Q67" s="301" t="s">
        <v>4310</v>
      </c>
      <c r="R67" s="300">
        <v>0</v>
      </c>
      <c r="S67" s="302"/>
      <c r="T67" s="302"/>
      <c r="U67" s="302"/>
      <c r="V67" s="302" t="s">
        <v>4125</v>
      </c>
      <c r="W67" s="302"/>
      <c r="X67" s="302"/>
      <c r="Y67" s="300"/>
      <c r="Z67" s="316" t="s">
        <v>4324</v>
      </c>
      <c r="AA67" s="300" t="s">
        <v>184</v>
      </c>
      <c r="AC67" s="688"/>
    </row>
    <row r="68" spans="1:29" ht="35.1" hidden="1" customHeight="1">
      <c r="A68" s="660"/>
      <c r="B68" s="23"/>
      <c r="C68" s="23"/>
      <c r="D68" s="23"/>
      <c r="E68" s="375"/>
      <c r="F68" s="305"/>
      <c r="G68" s="319"/>
      <c r="H68" s="381"/>
      <c r="I68" s="297"/>
      <c r="J68" s="297"/>
      <c r="K68" s="297"/>
      <c r="L68" s="297"/>
      <c r="M68" s="222" t="s">
        <v>4159</v>
      </c>
      <c r="N68" s="222" t="s">
        <v>4160</v>
      </c>
      <c r="O68" s="387"/>
      <c r="P68" s="387"/>
      <c r="Q68" s="388"/>
      <c r="R68" s="387"/>
      <c r="S68" s="387"/>
      <c r="T68" s="387"/>
      <c r="U68" s="387"/>
      <c r="V68" s="387"/>
      <c r="W68" s="387"/>
      <c r="X68" s="387"/>
      <c r="Y68" s="387"/>
      <c r="Z68" s="418"/>
      <c r="AA68" s="387"/>
      <c r="AC68" s="688"/>
    </row>
    <row r="69" spans="1:29" ht="35.1" customHeight="1">
      <c r="A69" s="660"/>
      <c r="B69" s="23"/>
      <c r="C69" s="23"/>
      <c r="D69" s="23"/>
      <c r="E69" s="310" t="s">
        <v>4325</v>
      </c>
      <c r="F69" s="406" t="s">
        <v>538</v>
      </c>
      <c r="G69" s="719" t="s">
        <v>4326</v>
      </c>
      <c r="H69" s="380" t="s">
        <v>4327</v>
      </c>
      <c r="I69" s="299" t="s">
        <v>4158</v>
      </c>
      <c r="J69" s="300" t="s">
        <v>53</v>
      </c>
      <c r="K69" s="312" t="s">
        <v>4125</v>
      </c>
      <c r="L69" s="312" t="s">
        <v>4125</v>
      </c>
      <c r="M69" s="602" t="s">
        <v>4299</v>
      </c>
      <c r="N69" s="602" t="s">
        <v>4299</v>
      </c>
      <c r="O69" s="301"/>
      <c r="P69" s="314"/>
      <c r="Q69" s="314"/>
      <c r="R69" s="300"/>
      <c r="S69" s="302"/>
      <c r="T69" s="302"/>
      <c r="U69" s="302"/>
      <c r="V69" s="302"/>
      <c r="W69" s="302"/>
      <c r="X69" s="303"/>
      <c r="Y69" s="315"/>
      <c r="Z69" s="316"/>
      <c r="AA69" s="301" t="s">
        <v>184</v>
      </c>
      <c r="AC69" s="688"/>
    </row>
    <row r="70" spans="1:29" ht="35.1" hidden="1" customHeight="1">
      <c r="A70" s="660"/>
      <c r="B70" s="23"/>
      <c r="C70" s="23"/>
      <c r="D70" s="23"/>
      <c r="E70" s="305"/>
      <c r="F70" s="305"/>
      <c r="G70" s="319"/>
      <c r="H70" s="381"/>
      <c r="I70" s="297"/>
      <c r="J70" s="297"/>
      <c r="K70" s="297"/>
      <c r="L70" s="297"/>
      <c r="M70" s="222" t="s">
        <v>4159</v>
      </c>
      <c r="N70" s="222" t="s">
        <v>4160</v>
      </c>
      <c r="O70" s="296"/>
      <c r="P70" s="296"/>
      <c r="Q70" s="296"/>
      <c r="R70" s="306"/>
      <c r="S70" s="307"/>
      <c r="T70" s="307"/>
      <c r="U70" s="307"/>
      <c r="V70" s="307"/>
      <c r="W70" s="307"/>
      <c r="X70" s="317"/>
      <c r="Y70" s="308"/>
      <c r="Z70" s="992"/>
      <c r="AA70" s="384"/>
      <c r="AC70" s="688"/>
    </row>
    <row r="71" spans="1:29" ht="35.1" customHeight="1">
      <c r="A71" s="660"/>
      <c r="B71" s="23"/>
      <c r="C71" s="23"/>
      <c r="D71" s="23"/>
      <c r="E71" s="311" t="s">
        <v>4328</v>
      </c>
      <c r="F71" s="406" t="s">
        <v>538</v>
      </c>
      <c r="G71" s="719" t="s">
        <v>4329</v>
      </c>
      <c r="H71" s="380" t="s">
        <v>4330</v>
      </c>
      <c r="I71" s="399" t="s">
        <v>4177</v>
      </c>
      <c r="J71" s="223" t="s">
        <v>49</v>
      </c>
      <c r="K71" s="312" t="s">
        <v>4125</v>
      </c>
      <c r="L71" s="312" t="s">
        <v>4125</v>
      </c>
      <c r="M71" s="398" t="s">
        <v>4282</v>
      </c>
      <c r="N71" s="602" t="s">
        <v>4299</v>
      </c>
      <c r="O71" s="300" t="s">
        <v>4178</v>
      </c>
      <c r="P71" s="300" t="s">
        <v>4318</v>
      </c>
      <c r="Q71" s="301" t="s">
        <v>4319</v>
      </c>
      <c r="R71" s="846">
        <v>3</v>
      </c>
      <c r="S71" s="300"/>
      <c r="T71" s="300"/>
      <c r="U71" s="300"/>
      <c r="V71" s="300"/>
      <c r="W71" s="300" t="s">
        <v>4125</v>
      </c>
      <c r="X71" s="300" t="s">
        <v>4125</v>
      </c>
      <c r="Y71" s="300"/>
      <c r="Z71" s="301" t="s">
        <v>4331</v>
      </c>
      <c r="AA71" s="846">
        <v>2</v>
      </c>
      <c r="AC71" s="688"/>
    </row>
    <row r="72" spans="1:29" ht="35.1" hidden="1" customHeight="1">
      <c r="A72" s="660"/>
      <c r="B72" s="23"/>
      <c r="C72" s="23"/>
      <c r="D72" s="23"/>
      <c r="E72" s="375"/>
      <c r="F72" s="305"/>
      <c r="G72" s="319"/>
      <c r="H72" s="512"/>
      <c r="I72" s="184"/>
      <c r="J72" s="184"/>
      <c r="K72" s="184"/>
      <c r="L72" s="184"/>
      <c r="M72" s="222" t="s">
        <v>4159</v>
      </c>
      <c r="N72" s="222" t="s">
        <v>4160</v>
      </c>
      <c r="O72" s="74" t="s">
        <v>4219</v>
      </c>
      <c r="P72" s="74" t="s">
        <v>4332</v>
      </c>
      <c r="Q72" s="74" t="s">
        <v>4313</v>
      </c>
      <c r="R72" s="850">
        <v>3</v>
      </c>
      <c r="S72" s="772"/>
      <c r="T72" s="772" t="s">
        <v>4125</v>
      </c>
      <c r="U72" s="772"/>
      <c r="V72" s="772"/>
      <c r="W72" s="772"/>
      <c r="X72" s="773" t="s">
        <v>4125</v>
      </c>
      <c r="Y72" s="497"/>
      <c r="Z72" s="79" t="s">
        <v>4314</v>
      </c>
      <c r="AA72" s="853">
        <v>2</v>
      </c>
      <c r="AC72" s="688"/>
    </row>
    <row r="73" spans="1:29" ht="35.1" customHeight="1">
      <c r="A73" s="660"/>
      <c r="B73" s="23"/>
      <c r="C73" s="23"/>
      <c r="D73" s="23"/>
      <c r="E73" s="310" t="s">
        <v>4333</v>
      </c>
      <c r="F73" s="406" t="s">
        <v>538</v>
      </c>
      <c r="G73" s="719" t="s">
        <v>4334</v>
      </c>
      <c r="H73" s="446" t="s">
        <v>4335</v>
      </c>
      <c r="I73" s="399" t="s">
        <v>4158</v>
      </c>
      <c r="J73" s="223" t="s">
        <v>53</v>
      </c>
      <c r="K73" s="398" t="s">
        <v>4125</v>
      </c>
      <c r="L73" s="398" t="s">
        <v>4125</v>
      </c>
      <c r="M73" s="398" t="s">
        <v>4281</v>
      </c>
      <c r="N73" s="398" t="s">
        <v>4282</v>
      </c>
      <c r="O73" s="223" t="s">
        <v>4178</v>
      </c>
      <c r="P73" s="223" t="s">
        <v>4309</v>
      </c>
      <c r="Q73" s="224" t="s">
        <v>4310</v>
      </c>
      <c r="R73" s="846">
        <v>3</v>
      </c>
      <c r="S73" s="223"/>
      <c r="T73" s="223"/>
      <c r="U73" s="223"/>
      <c r="V73" s="223"/>
      <c r="W73" s="223" t="s">
        <v>4125</v>
      </c>
      <c r="X73" s="223" t="s">
        <v>4125</v>
      </c>
      <c r="Y73" s="474"/>
      <c r="Z73" s="774"/>
      <c r="AA73" s="846">
        <v>2</v>
      </c>
      <c r="AC73" s="688"/>
    </row>
    <row r="74" spans="1:29" ht="35.1" hidden="1" customHeight="1">
      <c r="A74" s="660"/>
      <c r="B74" s="23"/>
      <c r="C74" s="23"/>
      <c r="D74" s="23"/>
      <c r="E74" s="305"/>
      <c r="F74" s="305"/>
      <c r="G74" s="319"/>
      <c r="H74" s="512"/>
      <c r="I74" s="184"/>
      <c r="J74" s="184"/>
      <c r="K74" s="184"/>
      <c r="L74" s="184"/>
      <c r="M74" s="222" t="s">
        <v>4159</v>
      </c>
      <c r="N74" s="222" t="s">
        <v>4160</v>
      </c>
      <c r="O74" s="74"/>
      <c r="P74" s="74"/>
      <c r="Q74" s="74"/>
      <c r="R74" s="658"/>
      <c r="S74" s="772"/>
      <c r="T74" s="772"/>
      <c r="U74" s="772"/>
      <c r="V74" s="772"/>
      <c r="W74" s="772"/>
      <c r="X74" s="773"/>
      <c r="Y74" s="497"/>
      <c r="Z74" s="133"/>
      <c r="AA74" s="768"/>
      <c r="AC74" s="688"/>
    </row>
    <row r="75" spans="1:29" ht="54.75" customHeight="1">
      <c r="A75" s="660"/>
      <c r="B75" s="23"/>
      <c r="C75" s="23"/>
      <c r="D75" s="23"/>
      <c r="E75" s="311" t="s">
        <v>4336</v>
      </c>
      <c r="F75" s="406" t="s">
        <v>4321</v>
      </c>
      <c r="G75" s="719" t="s">
        <v>4337</v>
      </c>
      <c r="H75" s="446" t="s">
        <v>4338</v>
      </c>
      <c r="I75" s="399" t="s">
        <v>4167</v>
      </c>
      <c r="J75" s="223" t="s">
        <v>49</v>
      </c>
      <c r="K75" s="223" t="s">
        <v>4125</v>
      </c>
      <c r="L75" s="223" t="s">
        <v>4125</v>
      </c>
      <c r="M75" s="398" t="s">
        <v>4281</v>
      </c>
      <c r="N75" s="398" t="s">
        <v>4282</v>
      </c>
      <c r="O75" s="223" t="s">
        <v>4168</v>
      </c>
      <c r="P75" s="223" t="s">
        <v>4318</v>
      </c>
      <c r="Q75" s="224" t="s">
        <v>4319</v>
      </c>
      <c r="R75" s="223">
        <v>0</v>
      </c>
      <c r="S75" s="766"/>
      <c r="T75" s="766"/>
      <c r="U75" s="766"/>
      <c r="V75" s="766" t="s">
        <v>4125</v>
      </c>
      <c r="W75" s="766"/>
      <c r="X75" s="766"/>
      <c r="Y75" s="223"/>
      <c r="Z75" s="774" t="s">
        <v>4324</v>
      </c>
      <c r="AA75" s="223" t="s">
        <v>184</v>
      </c>
      <c r="AC75" s="688"/>
    </row>
    <row r="76" spans="1:29" ht="35.1" hidden="1" customHeight="1">
      <c r="A76" s="660"/>
      <c r="B76" s="23"/>
      <c r="C76" s="23"/>
      <c r="D76" s="23"/>
      <c r="E76" s="375"/>
      <c r="F76" s="305"/>
      <c r="G76" s="319"/>
      <c r="H76" s="512"/>
      <c r="I76" s="184"/>
      <c r="J76" s="184"/>
      <c r="K76" s="184"/>
      <c r="L76" s="184"/>
      <c r="M76" s="222" t="s">
        <v>4159</v>
      </c>
      <c r="N76" s="222" t="s">
        <v>4160</v>
      </c>
      <c r="O76" s="222"/>
      <c r="P76" s="222"/>
      <c r="Q76" s="232"/>
      <c r="R76" s="222"/>
      <c r="S76" s="222"/>
      <c r="T76" s="222"/>
      <c r="U76" s="222"/>
      <c r="V76" s="222"/>
      <c r="W76" s="222"/>
      <c r="X76" s="222"/>
      <c r="Y76" s="222"/>
      <c r="Z76" s="240"/>
      <c r="AA76" s="222"/>
      <c r="AC76" s="688"/>
    </row>
    <row r="77" spans="1:29" ht="35.1" customHeight="1">
      <c r="A77" s="660"/>
      <c r="B77" s="23"/>
      <c r="C77" s="23"/>
      <c r="D77" s="23"/>
      <c r="E77" s="311" t="s">
        <v>4339</v>
      </c>
      <c r="F77" s="406" t="s">
        <v>538</v>
      </c>
      <c r="G77" s="719" t="s">
        <v>4340</v>
      </c>
      <c r="H77" s="446" t="s">
        <v>4341</v>
      </c>
      <c r="I77" s="399" t="s">
        <v>4158</v>
      </c>
      <c r="J77" s="223" t="s">
        <v>53</v>
      </c>
      <c r="K77" s="398" t="s">
        <v>4125</v>
      </c>
      <c r="L77" s="398" t="s">
        <v>4125</v>
      </c>
      <c r="M77" s="398" t="s">
        <v>4281</v>
      </c>
      <c r="N77" s="398" t="s">
        <v>4281</v>
      </c>
      <c r="O77" s="223"/>
      <c r="P77" s="223"/>
      <c r="Q77" s="224"/>
      <c r="R77" s="223"/>
      <c r="S77" s="223"/>
      <c r="T77" s="223"/>
      <c r="U77" s="223"/>
      <c r="V77" s="223"/>
      <c r="W77" s="223"/>
      <c r="X77" s="223"/>
      <c r="Y77" s="223"/>
      <c r="Z77" s="231"/>
      <c r="AA77" s="223" t="s">
        <v>184</v>
      </c>
      <c r="AC77" s="688"/>
    </row>
    <row r="78" spans="1:29" ht="35.1" hidden="1" customHeight="1">
      <c r="A78" s="660"/>
      <c r="B78" s="23"/>
      <c r="C78" s="23"/>
      <c r="D78" s="23"/>
      <c r="E78" s="375"/>
      <c r="F78" s="305"/>
      <c r="G78" s="319"/>
      <c r="H78" s="512"/>
      <c r="I78" s="184"/>
      <c r="J78" s="184"/>
      <c r="K78" s="184"/>
      <c r="L78" s="184"/>
      <c r="M78" s="222" t="s">
        <v>4159</v>
      </c>
      <c r="N78" s="222" t="s">
        <v>4160</v>
      </c>
      <c r="O78" s="222"/>
      <c r="P78" s="222"/>
      <c r="Q78" s="232"/>
      <c r="R78" s="222"/>
      <c r="S78" s="222"/>
      <c r="T78" s="222"/>
      <c r="U78" s="222"/>
      <c r="V78" s="222"/>
      <c r="W78" s="222"/>
      <c r="X78" s="222"/>
      <c r="Y78" s="222"/>
      <c r="Z78" s="240"/>
      <c r="AA78" s="222"/>
      <c r="AC78" s="688"/>
    </row>
    <row r="79" spans="1:29" ht="35.1" customHeight="1">
      <c r="A79" s="660"/>
      <c r="B79" s="23"/>
      <c r="C79" s="23"/>
      <c r="D79" s="23"/>
      <c r="E79" s="310" t="s">
        <v>4342</v>
      </c>
      <c r="F79" s="406" t="s">
        <v>538</v>
      </c>
      <c r="G79" s="719" t="s">
        <v>4343</v>
      </c>
      <c r="H79" s="446" t="s">
        <v>4344</v>
      </c>
      <c r="I79" s="399" t="s">
        <v>4177</v>
      </c>
      <c r="J79" s="223" t="s">
        <v>49</v>
      </c>
      <c r="K79" s="398" t="s">
        <v>4125</v>
      </c>
      <c r="L79" s="398" t="s">
        <v>4125</v>
      </c>
      <c r="M79" s="398" t="s">
        <v>4282</v>
      </c>
      <c r="N79" s="602" t="s">
        <v>4299</v>
      </c>
      <c r="O79" s="224" t="s">
        <v>4178</v>
      </c>
      <c r="P79" s="223" t="s">
        <v>4345</v>
      </c>
      <c r="Q79" s="224" t="s">
        <v>4346</v>
      </c>
      <c r="R79" s="846">
        <v>3</v>
      </c>
      <c r="S79" s="223"/>
      <c r="T79" s="223"/>
      <c r="U79" s="223"/>
      <c r="V79" s="223"/>
      <c r="W79" s="223" t="s">
        <v>4125</v>
      </c>
      <c r="X79" s="223" t="s">
        <v>4125</v>
      </c>
      <c r="Y79" s="474"/>
      <c r="Z79" s="231" t="s">
        <v>4347</v>
      </c>
      <c r="AA79" s="846">
        <v>2</v>
      </c>
      <c r="AC79" s="688"/>
    </row>
    <row r="80" spans="1:29" ht="35.1" hidden="1" customHeight="1">
      <c r="A80" s="660"/>
      <c r="B80" s="23"/>
      <c r="C80" s="23"/>
      <c r="D80" s="23"/>
      <c r="E80" s="305"/>
      <c r="F80" s="305"/>
      <c r="G80" s="319"/>
      <c r="H80" s="512"/>
      <c r="I80" s="184"/>
      <c r="J80" s="184"/>
      <c r="K80" s="184"/>
      <c r="L80" s="184"/>
      <c r="M80" s="222" t="s">
        <v>4159</v>
      </c>
      <c r="N80" s="222" t="s">
        <v>4160</v>
      </c>
      <c r="O80" s="74"/>
      <c r="P80" s="74"/>
      <c r="Q80" s="74"/>
      <c r="R80" s="658"/>
      <c r="S80" s="772"/>
      <c r="T80" s="772"/>
      <c r="U80" s="772"/>
      <c r="V80" s="772"/>
      <c r="W80" s="772"/>
      <c r="X80" s="773"/>
      <c r="Y80" s="497"/>
      <c r="Z80" s="133"/>
      <c r="AA80" s="768"/>
      <c r="AC80" s="688"/>
    </row>
    <row r="81" spans="1:29" ht="66.75" customHeight="1">
      <c r="A81" s="660"/>
      <c r="B81" s="23"/>
      <c r="C81" s="23"/>
      <c r="D81" s="23"/>
      <c r="E81" s="311" t="s">
        <v>4348</v>
      </c>
      <c r="F81" s="406" t="s">
        <v>538</v>
      </c>
      <c r="G81" s="719" t="s">
        <v>4349</v>
      </c>
      <c r="H81" s="446" t="s">
        <v>4350</v>
      </c>
      <c r="I81" s="399" t="s">
        <v>4158</v>
      </c>
      <c r="J81" s="223" t="s">
        <v>53</v>
      </c>
      <c r="K81" s="398" t="s">
        <v>4125</v>
      </c>
      <c r="L81" s="398" t="s">
        <v>4125</v>
      </c>
      <c r="M81" s="398" t="s">
        <v>4281</v>
      </c>
      <c r="N81" s="398" t="s">
        <v>4281</v>
      </c>
      <c r="O81" s="223" t="s">
        <v>4178</v>
      </c>
      <c r="P81" s="223" t="s">
        <v>4351</v>
      </c>
      <c r="Q81" s="224" t="s">
        <v>4352</v>
      </c>
      <c r="R81" s="846">
        <v>3</v>
      </c>
      <c r="S81" s="223"/>
      <c r="T81" s="223"/>
      <c r="U81" s="223"/>
      <c r="V81" s="223"/>
      <c r="W81" s="223" t="s">
        <v>4125</v>
      </c>
      <c r="X81" s="223" t="s">
        <v>4125</v>
      </c>
      <c r="Y81" s="223"/>
      <c r="Z81" s="231" t="s">
        <v>4353</v>
      </c>
      <c r="AA81" s="846">
        <v>2</v>
      </c>
      <c r="AC81" s="680"/>
    </row>
    <row r="82" spans="1:29" ht="95.25" hidden="1" customHeight="1">
      <c r="A82" s="660"/>
      <c r="B82" s="23"/>
      <c r="C82" s="23"/>
      <c r="D82" s="23"/>
      <c r="E82" s="375"/>
      <c r="F82" s="305"/>
      <c r="G82" s="319"/>
      <c r="H82" s="381"/>
      <c r="I82" s="297"/>
      <c r="J82" s="297"/>
      <c r="K82" s="297"/>
      <c r="L82" s="297"/>
      <c r="M82" s="222" t="s">
        <v>4159</v>
      </c>
      <c r="N82" s="222" t="s">
        <v>4160</v>
      </c>
      <c r="O82" s="387" t="s">
        <v>4168</v>
      </c>
      <c r="P82" s="387" t="s">
        <v>4354</v>
      </c>
      <c r="Q82" s="388" t="s">
        <v>4355</v>
      </c>
      <c r="R82" s="387">
        <v>0</v>
      </c>
      <c r="S82" s="387"/>
      <c r="T82" s="387"/>
      <c r="U82" s="387"/>
      <c r="V82" s="387" t="s">
        <v>4125</v>
      </c>
      <c r="W82" s="387"/>
      <c r="X82" s="387" t="s">
        <v>4125</v>
      </c>
      <c r="Y82" s="387"/>
      <c r="Z82" s="418" t="s">
        <v>4356</v>
      </c>
      <c r="AA82" s="387" t="s">
        <v>184</v>
      </c>
      <c r="AC82" s="680"/>
    </row>
    <row r="83" spans="1:29" ht="35.1" customHeight="1">
      <c r="A83" s="660"/>
      <c r="B83" s="23"/>
      <c r="C83" s="23"/>
      <c r="D83" s="23"/>
      <c r="E83" s="310" t="s">
        <v>4357</v>
      </c>
      <c r="F83" s="406" t="s">
        <v>538</v>
      </c>
      <c r="G83" s="719" t="s">
        <v>4358</v>
      </c>
      <c r="H83" s="380" t="s">
        <v>4359</v>
      </c>
      <c r="I83" s="399" t="s">
        <v>4158</v>
      </c>
      <c r="J83" s="223" t="s">
        <v>53</v>
      </c>
      <c r="K83" s="312" t="s">
        <v>4125</v>
      </c>
      <c r="L83" s="312" t="s">
        <v>4125</v>
      </c>
      <c r="M83" s="445" t="s">
        <v>4159</v>
      </c>
      <c r="N83" s="398" t="s">
        <v>4281</v>
      </c>
      <c r="O83" s="301"/>
      <c r="P83" s="314"/>
      <c r="Q83" s="314"/>
      <c r="R83" s="300"/>
      <c r="S83" s="302"/>
      <c r="T83" s="302"/>
      <c r="U83" s="302"/>
      <c r="V83" s="302"/>
      <c r="W83" s="302"/>
      <c r="X83" s="303"/>
      <c r="Y83" s="315"/>
      <c r="Z83" s="316"/>
      <c r="AA83" s="301" t="s">
        <v>184</v>
      </c>
      <c r="AC83" s="680"/>
    </row>
    <row r="84" spans="1:29" ht="35.1" hidden="1" customHeight="1">
      <c r="A84" s="660"/>
      <c r="B84" s="23"/>
      <c r="C84" s="23"/>
      <c r="D84" s="23"/>
      <c r="E84" s="305"/>
      <c r="F84" s="305"/>
      <c r="G84" s="319"/>
      <c r="H84" s="381"/>
      <c r="I84" s="297"/>
      <c r="J84" s="297"/>
      <c r="K84" s="297"/>
      <c r="L84" s="297"/>
      <c r="M84" s="74"/>
      <c r="N84" s="74"/>
      <c r="O84" s="296"/>
      <c r="P84" s="296"/>
      <c r="Q84" s="296"/>
      <c r="R84" s="306"/>
      <c r="S84" s="307"/>
      <c r="T84" s="307"/>
      <c r="U84" s="307"/>
      <c r="V84" s="307"/>
      <c r="W84" s="307"/>
      <c r="X84" s="317"/>
      <c r="Y84" s="308"/>
      <c r="Z84" s="992"/>
      <c r="AA84" s="384"/>
      <c r="AC84" s="688"/>
    </row>
    <row r="85" spans="1:29" ht="35.1" customHeight="1">
      <c r="A85" s="660"/>
      <c r="B85" s="23"/>
      <c r="C85" s="23"/>
      <c r="D85" s="23"/>
      <c r="E85" s="311" t="s">
        <v>4360</v>
      </c>
      <c r="F85" s="406" t="s">
        <v>538</v>
      </c>
      <c r="G85" s="719" t="s">
        <v>4340</v>
      </c>
      <c r="H85" s="380" t="s">
        <v>4361</v>
      </c>
      <c r="I85" s="299" t="s">
        <v>4158</v>
      </c>
      <c r="J85" s="300" t="s">
        <v>53</v>
      </c>
      <c r="K85" s="312" t="s">
        <v>4125</v>
      </c>
      <c r="L85" s="312" t="s">
        <v>4125</v>
      </c>
      <c r="M85" s="398" t="s">
        <v>4282</v>
      </c>
      <c r="N85" s="602" t="s">
        <v>4299</v>
      </c>
      <c r="O85" s="300"/>
      <c r="P85" s="300"/>
      <c r="Q85" s="301"/>
      <c r="R85" s="300"/>
      <c r="S85" s="300"/>
      <c r="T85" s="300"/>
      <c r="U85" s="300"/>
      <c r="V85" s="300"/>
      <c r="W85" s="300"/>
      <c r="X85" s="300"/>
      <c r="Y85" s="300"/>
      <c r="Z85" s="416"/>
      <c r="AA85" s="300" t="s">
        <v>184</v>
      </c>
      <c r="AC85" s="688"/>
    </row>
    <row r="86" spans="1:29" ht="35.1" hidden="1" customHeight="1">
      <c r="A86" s="660"/>
      <c r="B86" s="23"/>
      <c r="C86" s="23"/>
      <c r="D86" s="23"/>
      <c r="E86" s="305"/>
      <c r="F86" s="305"/>
      <c r="G86" s="319"/>
      <c r="H86" s="381"/>
      <c r="I86" s="297"/>
      <c r="J86" s="297"/>
      <c r="K86" s="297"/>
      <c r="L86" s="297"/>
      <c r="M86" s="222" t="s">
        <v>4159</v>
      </c>
      <c r="N86" s="222" t="s">
        <v>4160</v>
      </c>
      <c r="O86" s="296"/>
      <c r="P86" s="296"/>
      <c r="Q86" s="296"/>
      <c r="R86" s="306"/>
      <c r="S86" s="307"/>
      <c r="T86" s="307"/>
      <c r="U86" s="307"/>
      <c r="V86" s="307"/>
      <c r="W86" s="307"/>
      <c r="X86" s="317"/>
      <c r="Y86" s="308"/>
      <c r="Z86" s="992"/>
      <c r="AA86" s="384"/>
      <c r="AC86" s="688"/>
    </row>
    <row r="87" spans="1:29" ht="35.1" customHeight="1">
      <c r="A87" s="660"/>
      <c r="B87" s="993"/>
      <c r="C87" s="993"/>
      <c r="D87" s="993"/>
      <c r="E87" s="661" t="s">
        <v>4362</v>
      </c>
      <c r="F87" s="407" t="s">
        <v>538</v>
      </c>
      <c r="G87" s="719" t="s">
        <v>4363</v>
      </c>
      <c r="H87" s="659" t="s">
        <v>4364</v>
      </c>
      <c r="I87" s="660" t="s">
        <v>4158</v>
      </c>
      <c r="J87" s="658" t="s">
        <v>53</v>
      </c>
      <c r="K87" s="658" t="s">
        <v>4125</v>
      </c>
      <c r="L87" s="658" t="s">
        <v>4125</v>
      </c>
      <c r="M87" s="398" t="s">
        <v>4281</v>
      </c>
      <c r="N87" s="398" t="s">
        <v>4281</v>
      </c>
      <c r="O87" s="654"/>
      <c r="P87" s="654"/>
      <c r="Q87" s="655"/>
      <c r="R87" s="656"/>
      <c r="S87" s="656"/>
      <c r="T87" s="656"/>
      <c r="U87" s="656"/>
      <c r="V87" s="656"/>
      <c r="W87" s="656"/>
      <c r="X87" s="656"/>
      <c r="Y87" s="656"/>
      <c r="Z87" s="657"/>
      <c r="AA87" s="223" t="s">
        <v>138</v>
      </c>
      <c r="AC87" s="690"/>
    </row>
    <row r="88" spans="1:29" ht="35.1" hidden="1" customHeight="1">
      <c r="A88" s="986"/>
      <c r="B88" s="694"/>
      <c r="C88" s="694"/>
      <c r="D88" s="694"/>
      <c r="E88" s="241"/>
      <c r="F88" s="241"/>
      <c r="G88" s="982"/>
      <c r="H88" s="383"/>
      <c r="I88" s="222"/>
      <c r="J88" s="222"/>
      <c r="K88" s="222"/>
      <c r="L88" s="222"/>
      <c r="M88" s="222" t="s">
        <v>4159</v>
      </c>
      <c r="N88" s="222" t="s">
        <v>4160</v>
      </c>
      <c r="O88" s="222"/>
      <c r="P88" s="222"/>
      <c r="Q88" s="232"/>
      <c r="R88" s="222"/>
      <c r="S88" s="222"/>
      <c r="T88" s="222"/>
      <c r="U88" s="222"/>
      <c r="V88" s="222"/>
      <c r="W88" s="222"/>
      <c r="X88" s="222"/>
      <c r="Y88" s="222"/>
      <c r="Z88" s="240"/>
      <c r="AA88" s="222"/>
      <c r="AC88" s="688"/>
    </row>
    <row r="89" spans="1:29" ht="50.1" customHeight="1">
      <c r="A89" s="185"/>
      <c r="B89" s="983"/>
      <c r="C89" s="983"/>
      <c r="D89" s="983"/>
      <c r="E89" s="310" t="s">
        <v>4365</v>
      </c>
      <c r="F89" s="407" t="s">
        <v>566</v>
      </c>
      <c r="G89" s="724" t="s">
        <v>4366</v>
      </c>
      <c r="H89" s="380" t="s">
        <v>4367</v>
      </c>
      <c r="I89" s="299" t="s">
        <v>4177</v>
      </c>
      <c r="J89" s="300" t="s">
        <v>45</v>
      </c>
      <c r="K89" s="300" t="s">
        <v>4125</v>
      </c>
      <c r="L89" s="300" t="s">
        <v>4125</v>
      </c>
      <c r="M89" s="313" t="s">
        <v>4368</v>
      </c>
      <c r="N89" s="301" t="s">
        <v>4369</v>
      </c>
      <c r="O89" s="301" t="s">
        <v>4178</v>
      </c>
      <c r="P89" s="301" t="s">
        <v>4370</v>
      </c>
      <c r="Q89" s="301" t="s">
        <v>4371</v>
      </c>
      <c r="R89" s="300">
        <v>30</v>
      </c>
      <c r="S89" s="302"/>
      <c r="T89" s="302"/>
      <c r="U89" s="302"/>
      <c r="V89" s="302"/>
      <c r="W89" s="302" t="s">
        <v>4125</v>
      </c>
      <c r="X89" s="303"/>
      <c r="Y89" s="326"/>
      <c r="Z89" s="316" t="s">
        <v>4372</v>
      </c>
      <c r="AA89" s="301" t="s">
        <v>138</v>
      </c>
      <c r="AC89" s="681"/>
    </row>
    <row r="90" spans="1:29" ht="35.1" hidden="1" customHeight="1">
      <c r="A90" s="660"/>
      <c r="B90" s="23"/>
      <c r="C90" s="23"/>
      <c r="D90" s="23"/>
      <c r="E90" s="305"/>
      <c r="F90" s="305"/>
      <c r="G90" s="319"/>
      <c r="H90" s="381"/>
      <c r="I90" s="297"/>
      <c r="J90" s="297"/>
      <c r="K90" s="297"/>
      <c r="L90" s="297"/>
      <c r="M90" s="222" t="s">
        <v>4159</v>
      </c>
      <c r="N90" s="222" t="s">
        <v>4160</v>
      </c>
      <c r="O90" s="296"/>
      <c r="P90" s="296"/>
      <c r="Q90" s="296"/>
      <c r="R90" s="306"/>
      <c r="S90" s="307"/>
      <c r="T90" s="307"/>
      <c r="U90" s="307"/>
      <c r="V90" s="307"/>
      <c r="W90" s="307"/>
      <c r="X90" s="317"/>
      <c r="Y90" s="308"/>
      <c r="Z90" s="992"/>
      <c r="AA90" s="384"/>
      <c r="AC90" s="2"/>
    </row>
    <row r="91" spans="1:29" ht="45.6" customHeight="1">
      <c r="A91" s="660"/>
      <c r="B91" s="23"/>
      <c r="C91" s="23"/>
      <c r="D91" s="23"/>
      <c r="E91" s="311" t="s">
        <v>4373</v>
      </c>
      <c r="F91" s="407" t="s">
        <v>566</v>
      </c>
      <c r="G91" s="724" t="s">
        <v>4374</v>
      </c>
      <c r="H91" s="380" t="s">
        <v>4375</v>
      </c>
      <c r="I91" s="299" t="s">
        <v>4177</v>
      </c>
      <c r="J91" s="300" t="s">
        <v>45</v>
      </c>
      <c r="K91" s="312" t="s">
        <v>4125</v>
      </c>
      <c r="L91" s="312" t="s">
        <v>4125</v>
      </c>
      <c r="M91" s="393" t="s">
        <v>4217</v>
      </c>
      <c r="N91" s="314" t="s">
        <v>4376</v>
      </c>
      <c r="O91" s="300" t="s">
        <v>4178</v>
      </c>
      <c r="P91" s="300" t="s">
        <v>4377</v>
      </c>
      <c r="Q91" s="301" t="s">
        <v>4378</v>
      </c>
      <c r="R91" s="300">
        <v>30</v>
      </c>
      <c r="S91" s="300"/>
      <c r="T91" s="300"/>
      <c r="U91" s="300"/>
      <c r="V91" s="300"/>
      <c r="W91" s="300" t="s">
        <v>4125</v>
      </c>
      <c r="X91" s="300"/>
      <c r="Y91" s="300"/>
      <c r="Z91" s="416" t="s">
        <v>4372</v>
      </c>
      <c r="AA91" s="300" t="s">
        <v>138</v>
      </c>
      <c r="AC91" s="681"/>
    </row>
    <row r="92" spans="1:29" ht="35.1" hidden="1" customHeight="1">
      <c r="A92" s="660"/>
      <c r="B92" s="23"/>
      <c r="C92" s="23"/>
      <c r="D92" s="23"/>
      <c r="E92" s="375"/>
      <c r="F92" s="305"/>
      <c r="G92" s="319"/>
      <c r="H92" s="381"/>
      <c r="I92" s="297"/>
      <c r="J92" s="297"/>
      <c r="K92" s="297"/>
      <c r="L92" s="297"/>
      <c r="M92" s="222" t="s">
        <v>4159</v>
      </c>
      <c r="N92" s="222" t="s">
        <v>4160</v>
      </c>
      <c r="O92" s="387"/>
      <c r="P92" s="387"/>
      <c r="Q92" s="388"/>
      <c r="R92" s="387"/>
      <c r="S92" s="387"/>
      <c r="T92" s="387"/>
      <c r="U92" s="387"/>
      <c r="V92" s="387"/>
      <c r="W92" s="387"/>
      <c r="X92" s="387"/>
      <c r="Y92" s="387"/>
      <c r="Z92" s="418"/>
      <c r="AA92" s="387"/>
      <c r="AC92" s="2"/>
    </row>
    <row r="93" spans="1:29" ht="35.1" customHeight="1">
      <c r="A93" s="660"/>
      <c r="B93" s="23"/>
      <c r="C93" s="23"/>
      <c r="D93" s="23"/>
      <c r="E93" s="310" t="s">
        <v>4379</v>
      </c>
      <c r="F93" s="406" t="s">
        <v>566</v>
      </c>
      <c r="G93" s="719" t="s">
        <v>4380</v>
      </c>
      <c r="H93" s="380" t="s">
        <v>4381</v>
      </c>
      <c r="I93" s="299" t="s">
        <v>4158</v>
      </c>
      <c r="J93" s="300" t="s">
        <v>53</v>
      </c>
      <c r="K93" s="312" t="s">
        <v>4125</v>
      </c>
      <c r="L93" s="312" t="s">
        <v>4125</v>
      </c>
      <c r="M93" s="393" t="s">
        <v>4368</v>
      </c>
      <c r="N93" s="314" t="s">
        <v>4369</v>
      </c>
      <c r="O93" s="301"/>
      <c r="P93" s="314"/>
      <c r="Q93" s="314"/>
      <c r="R93" s="300"/>
      <c r="S93" s="302"/>
      <c r="T93" s="302"/>
      <c r="U93" s="302"/>
      <c r="V93" s="302"/>
      <c r="W93" s="302"/>
      <c r="X93" s="303"/>
      <c r="Y93" s="315"/>
      <c r="Z93" s="316"/>
      <c r="AA93" s="301" t="s">
        <v>184</v>
      </c>
      <c r="AC93" s="2"/>
    </row>
    <row r="94" spans="1:29" ht="35.1" hidden="1" customHeight="1">
      <c r="A94" s="660"/>
      <c r="B94" s="23"/>
      <c r="C94" s="23"/>
      <c r="D94" s="23"/>
      <c r="E94" s="305"/>
      <c r="F94" s="305"/>
      <c r="G94" s="319"/>
      <c r="H94" s="381"/>
      <c r="I94" s="297"/>
      <c r="J94" s="297"/>
      <c r="K94" s="297"/>
      <c r="L94" s="297"/>
      <c r="M94" s="222" t="s">
        <v>4159</v>
      </c>
      <c r="N94" s="222" t="s">
        <v>4160</v>
      </c>
      <c r="O94" s="296"/>
      <c r="P94" s="296"/>
      <c r="Q94" s="296"/>
      <c r="R94" s="306"/>
      <c r="S94" s="307"/>
      <c r="T94" s="307"/>
      <c r="U94" s="307"/>
      <c r="V94" s="307"/>
      <c r="W94" s="307"/>
      <c r="X94" s="317"/>
      <c r="Y94" s="308"/>
      <c r="Z94" s="992"/>
      <c r="AA94" s="384"/>
      <c r="AC94" s="2"/>
    </row>
    <row r="95" spans="1:29" ht="35.1" customHeight="1">
      <c r="A95" s="660"/>
      <c r="B95" s="23"/>
      <c r="C95" s="23"/>
      <c r="D95" s="23"/>
      <c r="E95" s="311" t="s">
        <v>4382</v>
      </c>
      <c r="F95" s="406" t="s">
        <v>566</v>
      </c>
      <c r="G95" s="719" t="s">
        <v>4383</v>
      </c>
      <c r="H95" s="380" t="s">
        <v>4384</v>
      </c>
      <c r="I95" s="299" t="s">
        <v>4177</v>
      </c>
      <c r="J95" s="300" t="s">
        <v>49</v>
      </c>
      <c r="K95" s="312" t="s">
        <v>4125</v>
      </c>
      <c r="L95" s="312" t="s">
        <v>4125</v>
      </c>
      <c r="M95" s="393" t="s">
        <v>4369</v>
      </c>
      <c r="N95" s="314" t="s">
        <v>4368</v>
      </c>
      <c r="O95" s="300" t="s">
        <v>4178</v>
      </c>
      <c r="P95" s="300" t="s">
        <v>4385</v>
      </c>
      <c r="Q95" s="301" t="s">
        <v>4386</v>
      </c>
      <c r="R95" s="846">
        <v>3</v>
      </c>
      <c r="S95" s="302"/>
      <c r="T95" s="302"/>
      <c r="U95" s="302"/>
      <c r="V95" s="302"/>
      <c r="W95" s="302" t="s">
        <v>4125</v>
      </c>
      <c r="X95" s="303" t="s">
        <v>4125</v>
      </c>
      <c r="Y95" s="300"/>
      <c r="Z95" s="416"/>
      <c r="AA95" s="846">
        <v>2</v>
      </c>
      <c r="AC95" s="2"/>
    </row>
    <row r="96" spans="1:29" ht="35.1" hidden="1" customHeight="1">
      <c r="A96" s="660"/>
      <c r="B96" s="23"/>
      <c r="C96" s="23"/>
      <c r="D96" s="23"/>
      <c r="E96" s="375"/>
      <c r="F96" s="305"/>
      <c r="G96" s="319"/>
      <c r="H96" s="381"/>
      <c r="I96" s="297"/>
      <c r="J96" s="297"/>
      <c r="K96" s="297"/>
      <c r="L96" s="297"/>
      <c r="M96" s="222" t="s">
        <v>4159</v>
      </c>
      <c r="N96" s="222" t="s">
        <v>4160</v>
      </c>
      <c r="O96" s="387"/>
      <c r="P96" s="387"/>
      <c r="Q96" s="388"/>
      <c r="R96" s="387"/>
      <c r="S96" s="387"/>
      <c r="T96" s="387"/>
      <c r="U96" s="387"/>
      <c r="V96" s="387"/>
      <c r="W96" s="387"/>
      <c r="X96" s="387"/>
      <c r="Y96" s="387"/>
      <c r="Z96" s="418"/>
      <c r="AA96" s="387"/>
      <c r="AC96" s="2"/>
    </row>
    <row r="97" spans="1:29" ht="35.1" customHeight="1">
      <c r="A97" s="660"/>
      <c r="B97" s="23"/>
      <c r="C97" s="23"/>
      <c r="D97" s="23"/>
      <c r="E97" s="310" t="s">
        <v>4387</v>
      </c>
      <c r="F97" s="406" t="s">
        <v>566</v>
      </c>
      <c r="G97" s="719" t="s">
        <v>4388</v>
      </c>
      <c r="H97" s="380" t="s">
        <v>4389</v>
      </c>
      <c r="I97" s="299" t="s">
        <v>4158</v>
      </c>
      <c r="J97" s="300" t="s">
        <v>53</v>
      </c>
      <c r="K97" s="312" t="s">
        <v>4125</v>
      </c>
      <c r="L97" s="312" t="s">
        <v>4125</v>
      </c>
      <c r="M97" s="393" t="s">
        <v>4368</v>
      </c>
      <c r="N97" s="314" t="s">
        <v>4369</v>
      </c>
      <c r="O97" s="301" t="s">
        <v>4178</v>
      </c>
      <c r="P97" s="314" t="s">
        <v>4390</v>
      </c>
      <c r="Q97" s="314" t="s">
        <v>4391</v>
      </c>
      <c r="R97" s="846">
        <v>3</v>
      </c>
      <c r="S97" s="302"/>
      <c r="T97" s="302"/>
      <c r="U97" s="302"/>
      <c r="V97" s="302"/>
      <c r="W97" s="302" t="s">
        <v>4125</v>
      </c>
      <c r="X97" s="303" t="s">
        <v>4125</v>
      </c>
      <c r="Y97" s="315"/>
      <c r="Z97" s="316"/>
      <c r="AA97" s="846">
        <v>2</v>
      </c>
      <c r="AC97" s="2"/>
    </row>
    <row r="98" spans="1:29" ht="35.1" hidden="1" customHeight="1">
      <c r="A98" s="660"/>
      <c r="B98" s="23"/>
      <c r="C98" s="23"/>
      <c r="D98" s="23"/>
      <c r="E98" s="305"/>
      <c r="F98" s="305"/>
      <c r="G98" s="319"/>
      <c r="H98" s="381"/>
      <c r="I98" s="297"/>
      <c r="J98" s="297"/>
      <c r="K98" s="297"/>
      <c r="L98" s="297"/>
      <c r="M98" s="222" t="s">
        <v>4159</v>
      </c>
      <c r="N98" s="222" t="s">
        <v>4160</v>
      </c>
      <c r="O98" s="296"/>
      <c r="P98" s="296"/>
      <c r="Q98" s="296"/>
      <c r="R98" s="306"/>
      <c r="S98" s="307"/>
      <c r="T98" s="307"/>
      <c r="U98" s="307"/>
      <c r="V98" s="307"/>
      <c r="W98" s="307"/>
      <c r="X98" s="317"/>
      <c r="Y98" s="308"/>
      <c r="Z98" s="992"/>
      <c r="AA98" s="384"/>
      <c r="AC98" s="2"/>
    </row>
    <row r="99" spans="1:29" ht="35.1" customHeight="1">
      <c r="A99" s="660"/>
      <c r="B99" s="23"/>
      <c r="C99" s="23"/>
      <c r="D99" s="23"/>
      <c r="E99" s="311" t="s">
        <v>4392</v>
      </c>
      <c r="F99" s="406" t="s">
        <v>566</v>
      </c>
      <c r="G99" s="719" t="s">
        <v>4393</v>
      </c>
      <c r="H99" s="380" t="s">
        <v>4394</v>
      </c>
      <c r="I99" s="299" t="s">
        <v>4158</v>
      </c>
      <c r="J99" s="300" t="s">
        <v>53</v>
      </c>
      <c r="K99" s="312" t="s">
        <v>4125</v>
      </c>
      <c r="L99" s="312" t="s">
        <v>4125</v>
      </c>
      <c r="M99" s="393" t="s">
        <v>4368</v>
      </c>
      <c r="N99" s="314" t="s">
        <v>4369</v>
      </c>
      <c r="O99" s="300"/>
      <c r="P99" s="300"/>
      <c r="Q99" s="301"/>
      <c r="R99" s="300"/>
      <c r="S99" s="302"/>
      <c r="T99" s="302"/>
      <c r="U99" s="302"/>
      <c r="V99" s="302"/>
      <c r="W99" s="302"/>
      <c r="X99" s="303"/>
      <c r="Y99" s="300"/>
      <c r="Z99" s="416"/>
      <c r="AA99" s="300" t="s">
        <v>184</v>
      </c>
      <c r="AC99" s="2"/>
    </row>
    <row r="100" spans="1:29" ht="35.1" hidden="1" customHeight="1">
      <c r="A100" s="660"/>
      <c r="B100" s="23"/>
      <c r="C100" s="23"/>
      <c r="D100" s="23"/>
      <c r="E100" s="375"/>
      <c r="F100" s="305"/>
      <c r="G100" s="319"/>
      <c r="H100" s="381"/>
      <c r="I100" s="297"/>
      <c r="J100" s="297"/>
      <c r="K100" s="297"/>
      <c r="L100" s="297"/>
      <c r="M100" s="222" t="s">
        <v>4159</v>
      </c>
      <c r="N100" s="222" t="s">
        <v>4160</v>
      </c>
      <c r="O100" s="387"/>
      <c r="P100" s="387"/>
      <c r="Q100" s="388"/>
      <c r="R100" s="387"/>
      <c r="S100" s="387"/>
      <c r="T100" s="387"/>
      <c r="U100" s="387"/>
      <c r="V100" s="387"/>
      <c r="W100" s="387"/>
      <c r="X100" s="387"/>
      <c r="Y100" s="387"/>
      <c r="Z100" s="418"/>
      <c r="AA100" s="387"/>
      <c r="AC100" s="2"/>
    </row>
    <row r="101" spans="1:29" ht="35.1" customHeight="1">
      <c r="A101" s="660"/>
      <c r="B101" s="23"/>
      <c r="C101" s="23"/>
      <c r="D101" s="23"/>
      <c r="E101" s="310" t="s">
        <v>4395</v>
      </c>
      <c r="F101" s="406" t="s">
        <v>566</v>
      </c>
      <c r="G101" s="719" t="s">
        <v>4396</v>
      </c>
      <c r="H101" s="380" t="s">
        <v>4397</v>
      </c>
      <c r="I101" s="299" t="s">
        <v>4177</v>
      </c>
      <c r="J101" s="300" t="s">
        <v>49</v>
      </c>
      <c r="K101" s="312" t="s">
        <v>4125</v>
      </c>
      <c r="L101" s="312" t="s">
        <v>4125</v>
      </c>
      <c r="M101" s="393" t="s">
        <v>4369</v>
      </c>
      <c r="N101" s="314" t="s">
        <v>4368</v>
      </c>
      <c r="O101" s="300" t="s">
        <v>4178</v>
      </c>
      <c r="P101" s="300" t="s">
        <v>4390</v>
      </c>
      <c r="Q101" s="301" t="s">
        <v>4391</v>
      </c>
      <c r="R101" s="846">
        <v>3</v>
      </c>
      <c r="S101" s="302"/>
      <c r="T101" s="302"/>
      <c r="U101" s="302"/>
      <c r="V101" s="302"/>
      <c r="W101" s="302" t="s">
        <v>4125</v>
      </c>
      <c r="X101" s="303" t="s">
        <v>4125</v>
      </c>
      <c r="Y101" s="315"/>
      <c r="Z101" s="316"/>
      <c r="AA101" s="846">
        <v>2</v>
      </c>
      <c r="AC101" s="2"/>
    </row>
    <row r="102" spans="1:29" ht="35.1" hidden="1" customHeight="1">
      <c r="A102" s="660"/>
      <c r="B102" s="23"/>
      <c r="C102" s="23"/>
      <c r="D102" s="23"/>
      <c r="E102" s="305"/>
      <c r="F102" s="305"/>
      <c r="G102" s="319"/>
      <c r="H102" s="381"/>
      <c r="I102" s="297"/>
      <c r="J102" s="297"/>
      <c r="K102" s="297"/>
      <c r="L102" s="297"/>
      <c r="M102" s="222" t="s">
        <v>4159</v>
      </c>
      <c r="N102" s="222" t="s">
        <v>4160</v>
      </c>
      <c r="O102" s="296"/>
      <c r="P102" s="296"/>
      <c r="Q102" s="296"/>
      <c r="R102" s="306"/>
      <c r="S102" s="307"/>
      <c r="T102" s="307"/>
      <c r="U102" s="307"/>
      <c r="V102" s="307"/>
      <c r="W102" s="307"/>
      <c r="X102" s="317"/>
      <c r="Y102" s="308"/>
      <c r="Z102" s="992"/>
      <c r="AA102" s="384"/>
      <c r="AC102" s="2"/>
    </row>
    <row r="103" spans="1:29" ht="35.1" customHeight="1">
      <c r="A103" s="660"/>
      <c r="B103" s="23"/>
      <c r="C103" s="23"/>
      <c r="D103" s="23"/>
      <c r="E103" s="311" t="s">
        <v>4398</v>
      </c>
      <c r="F103" s="406" t="s">
        <v>566</v>
      </c>
      <c r="G103" s="719" t="s">
        <v>4399</v>
      </c>
      <c r="H103" s="380" t="s">
        <v>4400</v>
      </c>
      <c r="I103" s="299" t="s">
        <v>4158</v>
      </c>
      <c r="J103" s="300" t="s">
        <v>53</v>
      </c>
      <c r="K103" s="312" t="s">
        <v>4125</v>
      </c>
      <c r="L103" s="312" t="s">
        <v>4125</v>
      </c>
      <c r="M103" s="393" t="s">
        <v>4368</v>
      </c>
      <c r="N103" s="314" t="s">
        <v>4369</v>
      </c>
      <c r="O103" s="300" t="s">
        <v>4178</v>
      </c>
      <c r="P103" s="300" t="s">
        <v>4385</v>
      </c>
      <c r="Q103" s="314" t="s">
        <v>4386</v>
      </c>
      <c r="R103" s="846">
        <v>3</v>
      </c>
      <c r="S103" s="302"/>
      <c r="T103" s="302"/>
      <c r="U103" s="302"/>
      <c r="V103" s="300"/>
      <c r="W103" s="300" t="s">
        <v>4125</v>
      </c>
      <c r="X103" s="300" t="s">
        <v>4125</v>
      </c>
      <c r="Y103" s="300"/>
      <c r="Z103" s="416"/>
      <c r="AA103" s="846">
        <v>2</v>
      </c>
      <c r="AC103" s="2"/>
    </row>
    <row r="104" spans="1:29" ht="35.1" hidden="1" customHeight="1">
      <c r="A104" s="660"/>
      <c r="B104" s="23"/>
      <c r="C104" s="23"/>
      <c r="D104" s="23"/>
      <c r="E104" s="375"/>
      <c r="F104" s="305"/>
      <c r="G104" s="319"/>
      <c r="H104" s="381"/>
      <c r="I104" s="297"/>
      <c r="J104" s="297"/>
      <c r="K104" s="297"/>
      <c r="L104" s="297"/>
      <c r="M104" s="222" t="s">
        <v>4159</v>
      </c>
      <c r="N104" s="222" t="s">
        <v>4160</v>
      </c>
      <c r="O104" s="387"/>
      <c r="P104" s="387"/>
      <c r="Q104" s="388"/>
      <c r="R104" s="387"/>
      <c r="S104" s="387"/>
      <c r="T104" s="387"/>
      <c r="U104" s="387"/>
      <c r="V104" s="387"/>
      <c r="W104" s="387"/>
      <c r="X104" s="387"/>
      <c r="Y104" s="387"/>
      <c r="Z104" s="418"/>
      <c r="AA104" s="387"/>
      <c r="AC104" s="2"/>
    </row>
    <row r="105" spans="1:29" ht="35.1" hidden="1" customHeight="1">
      <c r="A105" s="660"/>
      <c r="B105" s="23"/>
      <c r="C105" s="23"/>
      <c r="D105" s="23"/>
      <c r="E105" s="310" t="s">
        <v>4401</v>
      </c>
      <c r="F105" s="406" t="s">
        <v>566</v>
      </c>
      <c r="G105" s="719" t="s">
        <v>4402</v>
      </c>
      <c r="H105" s="380" t="s">
        <v>4403</v>
      </c>
      <c r="I105" s="299" t="s">
        <v>4202</v>
      </c>
      <c r="J105" s="300" t="s">
        <v>45</v>
      </c>
      <c r="K105" s="312" t="s">
        <v>4125</v>
      </c>
      <c r="L105" s="312"/>
      <c r="M105" s="393" t="s">
        <v>4368</v>
      </c>
      <c r="N105" s="314" t="s">
        <v>4369</v>
      </c>
      <c r="O105" s="301"/>
      <c r="P105" s="314"/>
      <c r="Q105" s="314"/>
      <c r="R105" s="300"/>
      <c r="S105" s="302"/>
      <c r="T105" s="302"/>
      <c r="U105" s="302"/>
      <c r="V105" s="302"/>
      <c r="W105" s="302"/>
      <c r="X105" s="303"/>
      <c r="Y105" s="315"/>
      <c r="Z105" s="316"/>
      <c r="AA105" s="301" t="s">
        <v>184</v>
      </c>
      <c r="AC105" s="682"/>
    </row>
    <row r="106" spans="1:29" ht="35.1" hidden="1" customHeight="1">
      <c r="A106" s="660"/>
      <c r="B106" s="23"/>
      <c r="C106" s="23"/>
      <c r="D106" s="23"/>
      <c r="E106" s="305"/>
      <c r="F106" s="305"/>
      <c r="G106" s="319"/>
      <c r="H106" s="381"/>
      <c r="I106" s="297"/>
      <c r="J106" s="297"/>
      <c r="K106" s="297"/>
      <c r="L106" s="297"/>
      <c r="M106" s="222" t="s">
        <v>4159</v>
      </c>
      <c r="N106" s="222" t="s">
        <v>4160</v>
      </c>
      <c r="O106" s="296"/>
      <c r="P106" s="296"/>
      <c r="Q106" s="296"/>
      <c r="R106" s="306"/>
      <c r="S106" s="307"/>
      <c r="T106" s="307"/>
      <c r="U106" s="307"/>
      <c r="V106" s="307"/>
      <c r="W106" s="307"/>
      <c r="X106" s="317"/>
      <c r="Y106" s="308"/>
      <c r="Z106" s="992"/>
      <c r="AA106" s="384"/>
      <c r="AC106" s="2"/>
    </row>
    <row r="107" spans="1:29" ht="50.25" customHeight="1">
      <c r="A107" s="660"/>
      <c r="B107" s="23"/>
      <c r="C107" s="23"/>
      <c r="D107" s="23"/>
      <c r="E107" s="310" t="s">
        <v>4404</v>
      </c>
      <c r="F107" s="406" t="s">
        <v>566</v>
      </c>
      <c r="G107" s="719" t="s">
        <v>4402</v>
      </c>
      <c r="H107" s="380" t="s">
        <v>4405</v>
      </c>
      <c r="I107" s="299" t="s">
        <v>4202</v>
      </c>
      <c r="J107" s="300" t="s">
        <v>45</v>
      </c>
      <c r="K107" s="312" t="s">
        <v>4125</v>
      </c>
      <c r="L107" s="312" t="s">
        <v>4125</v>
      </c>
      <c r="M107" s="393"/>
      <c r="N107" s="314" t="s">
        <v>4368</v>
      </c>
      <c r="O107" s="301" t="s">
        <v>4219</v>
      </c>
      <c r="P107" s="314" t="s">
        <v>4406</v>
      </c>
      <c r="Q107" s="314" t="s">
        <v>4407</v>
      </c>
      <c r="R107" s="846">
        <v>3</v>
      </c>
      <c r="S107" s="302"/>
      <c r="T107" s="302" t="s">
        <v>4125</v>
      </c>
      <c r="U107" s="302"/>
      <c r="V107" s="302"/>
      <c r="W107" s="302"/>
      <c r="X107" s="303" t="s">
        <v>4125</v>
      </c>
      <c r="Y107" s="315"/>
      <c r="Z107" s="316" t="s">
        <v>4408</v>
      </c>
      <c r="AA107" s="846">
        <v>2</v>
      </c>
      <c r="AC107" s="681"/>
    </row>
    <row r="108" spans="1:29" ht="35.1" hidden="1" customHeight="1">
      <c r="A108" s="660"/>
      <c r="B108" s="23"/>
      <c r="C108" s="23"/>
      <c r="D108" s="23"/>
      <c r="E108" s="305"/>
      <c r="F108" s="305"/>
      <c r="G108" s="319"/>
      <c r="H108" s="381"/>
      <c r="I108" s="297"/>
      <c r="J108" s="297"/>
      <c r="K108" s="297"/>
      <c r="L108" s="297"/>
      <c r="M108" s="222" t="s">
        <v>4159</v>
      </c>
      <c r="N108" s="222" t="s">
        <v>4160</v>
      </c>
      <c r="O108" s="296"/>
      <c r="P108" s="296"/>
      <c r="Q108" s="296"/>
      <c r="R108" s="306"/>
      <c r="S108" s="307"/>
      <c r="T108" s="307"/>
      <c r="U108" s="307"/>
      <c r="V108" s="307"/>
      <c r="W108" s="307"/>
      <c r="X108" s="317"/>
      <c r="Y108" s="308"/>
      <c r="Z108" s="992"/>
      <c r="AA108" s="384"/>
      <c r="AC108" s="2"/>
    </row>
    <row r="109" spans="1:29" ht="35.1" customHeight="1">
      <c r="A109" s="660"/>
      <c r="B109" s="23"/>
      <c r="C109" s="23"/>
      <c r="D109" s="23"/>
      <c r="E109" s="311" t="s">
        <v>4409</v>
      </c>
      <c r="F109" s="406" t="s">
        <v>566</v>
      </c>
      <c r="G109" s="719" t="s">
        <v>4410</v>
      </c>
      <c r="H109" s="380" t="s">
        <v>4411</v>
      </c>
      <c r="I109" s="299" t="s">
        <v>4158</v>
      </c>
      <c r="J109" s="300" t="s">
        <v>53</v>
      </c>
      <c r="K109" s="312" t="s">
        <v>4125</v>
      </c>
      <c r="L109" s="312" t="s">
        <v>4125</v>
      </c>
      <c r="M109" s="393" t="s">
        <v>4217</v>
      </c>
      <c r="N109" s="314" t="s">
        <v>4376</v>
      </c>
      <c r="O109" s="300"/>
      <c r="P109" s="300"/>
      <c r="Q109" s="301"/>
      <c r="R109" s="300"/>
      <c r="S109" s="300"/>
      <c r="T109" s="300"/>
      <c r="U109" s="300"/>
      <c r="V109" s="300"/>
      <c r="W109" s="300"/>
      <c r="X109" s="300"/>
      <c r="Y109" s="300"/>
      <c r="Z109" s="416"/>
      <c r="AA109" s="300" t="s">
        <v>184</v>
      </c>
      <c r="AC109" s="2"/>
    </row>
    <row r="110" spans="1:29" ht="35.1" hidden="1" customHeight="1">
      <c r="A110" s="660"/>
      <c r="B110" s="23"/>
      <c r="C110" s="23"/>
      <c r="D110" s="23"/>
      <c r="E110" s="375"/>
      <c r="F110" s="305"/>
      <c r="G110" s="319"/>
      <c r="H110" s="381"/>
      <c r="I110" s="297"/>
      <c r="J110" s="297"/>
      <c r="K110" s="297"/>
      <c r="L110" s="297"/>
      <c r="M110" s="222" t="s">
        <v>4159</v>
      </c>
      <c r="N110" s="222" t="s">
        <v>4160</v>
      </c>
      <c r="O110" s="387"/>
      <c r="P110" s="387"/>
      <c r="Q110" s="388"/>
      <c r="R110" s="387"/>
      <c r="S110" s="387"/>
      <c r="T110" s="387"/>
      <c r="U110" s="387"/>
      <c r="V110" s="387"/>
      <c r="W110" s="387"/>
      <c r="X110" s="387"/>
      <c r="Y110" s="387"/>
      <c r="Z110" s="418"/>
      <c r="AA110" s="387"/>
      <c r="AC110" s="2"/>
    </row>
    <row r="111" spans="1:29" ht="35.1" customHeight="1">
      <c r="A111" s="660"/>
      <c r="B111" s="23"/>
      <c r="C111" s="23"/>
      <c r="D111" s="23"/>
      <c r="E111" s="310" t="s">
        <v>4412</v>
      </c>
      <c r="F111" s="406" t="s">
        <v>566</v>
      </c>
      <c r="G111" s="719" t="s">
        <v>4413</v>
      </c>
      <c r="H111" s="380" t="s">
        <v>4414</v>
      </c>
      <c r="I111" s="299" t="s">
        <v>4177</v>
      </c>
      <c r="J111" s="300" t="s">
        <v>49</v>
      </c>
      <c r="K111" s="312" t="s">
        <v>4125</v>
      </c>
      <c r="L111" s="312" t="s">
        <v>4125</v>
      </c>
      <c r="M111" s="393" t="s">
        <v>4376</v>
      </c>
      <c r="N111" s="314" t="s">
        <v>4217</v>
      </c>
      <c r="O111" s="300" t="s">
        <v>4178</v>
      </c>
      <c r="P111" s="300" t="s">
        <v>4415</v>
      </c>
      <c r="Q111" s="301" t="s">
        <v>4416</v>
      </c>
      <c r="R111" s="846">
        <v>3</v>
      </c>
      <c r="S111" s="302"/>
      <c r="T111" s="302"/>
      <c r="U111" s="302"/>
      <c r="V111" s="302"/>
      <c r="W111" s="302" t="s">
        <v>4125</v>
      </c>
      <c r="X111" s="303" t="s">
        <v>4125</v>
      </c>
      <c r="Y111" s="315"/>
      <c r="Z111" s="316"/>
      <c r="AA111" s="846">
        <v>2</v>
      </c>
      <c r="AC111" s="2"/>
    </row>
    <row r="112" spans="1:29" ht="35.1" hidden="1" customHeight="1">
      <c r="A112" s="660"/>
      <c r="B112" s="23"/>
      <c r="C112" s="23"/>
      <c r="D112" s="23"/>
      <c r="E112" s="305"/>
      <c r="F112" s="305"/>
      <c r="G112" s="319"/>
      <c r="H112" s="381"/>
      <c r="I112" s="297"/>
      <c r="J112" s="297"/>
      <c r="K112" s="297"/>
      <c r="L112" s="297"/>
      <c r="M112" s="222" t="s">
        <v>4159</v>
      </c>
      <c r="N112" s="222" t="s">
        <v>4160</v>
      </c>
      <c r="O112" s="296"/>
      <c r="P112" s="296"/>
      <c r="Q112" s="296"/>
      <c r="R112" s="306"/>
      <c r="S112" s="307"/>
      <c r="T112" s="307"/>
      <c r="U112" s="307"/>
      <c r="V112" s="307"/>
      <c r="W112" s="307"/>
      <c r="X112" s="317"/>
      <c r="Y112" s="308"/>
      <c r="Z112" s="992"/>
      <c r="AA112" s="384"/>
      <c r="AC112" s="2"/>
    </row>
    <row r="113" spans="1:29" ht="35.1" customHeight="1">
      <c r="A113" s="660"/>
      <c r="B113" s="23"/>
      <c r="C113" s="23"/>
      <c r="D113" s="23"/>
      <c r="E113" s="311" t="s">
        <v>4417</v>
      </c>
      <c r="F113" s="406" t="s">
        <v>566</v>
      </c>
      <c r="G113" s="719" t="s">
        <v>4418</v>
      </c>
      <c r="H113" s="380" t="s">
        <v>4419</v>
      </c>
      <c r="I113" s="299" t="s">
        <v>4158</v>
      </c>
      <c r="J113" s="300" t="s">
        <v>53</v>
      </c>
      <c r="K113" s="312" t="s">
        <v>4125</v>
      </c>
      <c r="L113" s="312" t="s">
        <v>4125</v>
      </c>
      <c r="M113" s="393" t="s">
        <v>4217</v>
      </c>
      <c r="N113" s="314" t="s">
        <v>4376</v>
      </c>
      <c r="O113" s="300" t="s">
        <v>4178</v>
      </c>
      <c r="P113" s="300" t="s">
        <v>4420</v>
      </c>
      <c r="Q113" s="301" t="s">
        <v>4421</v>
      </c>
      <c r="R113" s="846">
        <v>3</v>
      </c>
      <c r="S113" s="302"/>
      <c r="T113" s="302"/>
      <c r="U113" s="302"/>
      <c r="V113" s="300"/>
      <c r="W113" s="300" t="s">
        <v>4125</v>
      </c>
      <c r="X113" s="300" t="s">
        <v>4125</v>
      </c>
      <c r="Y113" s="300"/>
      <c r="Z113" s="416"/>
      <c r="AA113" s="846">
        <v>2</v>
      </c>
      <c r="AC113" s="2"/>
    </row>
    <row r="114" spans="1:29" ht="35.1" hidden="1" customHeight="1">
      <c r="A114" s="660"/>
      <c r="B114" s="23"/>
      <c r="C114" s="23"/>
      <c r="D114" s="23"/>
      <c r="E114" s="375"/>
      <c r="F114" s="305"/>
      <c r="G114" s="319"/>
      <c r="H114" s="381"/>
      <c r="I114" s="297"/>
      <c r="J114" s="297"/>
      <c r="K114" s="297"/>
      <c r="L114" s="297"/>
      <c r="M114" s="222" t="s">
        <v>4159</v>
      </c>
      <c r="N114" s="222" t="s">
        <v>4160</v>
      </c>
      <c r="O114" s="387"/>
      <c r="P114" s="387"/>
      <c r="Q114" s="388"/>
      <c r="R114" s="387"/>
      <c r="S114" s="387"/>
      <c r="T114" s="387"/>
      <c r="U114" s="387"/>
      <c r="V114" s="387"/>
      <c r="W114" s="387"/>
      <c r="X114" s="387"/>
      <c r="Y114" s="387"/>
      <c r="Z114" s="418"/>
      <c r="AA114" s="387"/>
      <c r="AC114" s="2"/>
    </row>
    <row r="115" spans="1:29" ht="35.1" customHeight="1">
      <c r="A115" s="660"/>
      <c r="B115" s="23"/>
      <c r="C115" s="23"/>
      <c r="D115" s="23"/>
      <c r="E115" s="310" t="s">
        <v>4422</v>
      </c>
      <c r="F115" s="406" t="s">
        <v>566</v>
      </c>
      <c r="G115" s="719" t="s">
        <v>4423</v>
      </c>
      <c r="H115" s="380" t="s">
        <v>4424</v>
      </c>
      <c r="I115" s="299" t="s">
        <v>4158</v>
      </c>
      <c r="J115" s="300" t="s">
        <v>53</v>
      </c>
      <c r="K115" s="312" t="s">
        <v>4125</v>
      </c>
      <c r="L115" s="312" t="s">
        <v>4125</v>
      </c>
      <c r="M115" s="393" t="s">
        <v>4217</v>
      </c>
      <c r="N115" s="314" t="s">
        <v>4376</v>
      </c>
      <c r="O115" s="301"/>
      <c r="P115" s="314"/>
      <c r="Q115" s="314"/>
      <c r="R115" s="300"/>
      <c r="S115" s="302"/>
      <c r="T115" s="302"/>
      <c r="U115" s="302"/>
      <c r="V115" s="302"/>
      <c r="W115" s="302"/>
      <c r="X115" s="303"/>
      <c r="Y115" s="315"/>
      <c r="Z115" s="316"/>
      <c r="AA115" s="301" t="s">
        <v>184</v>
      </c>
      <c r="AC115" s="2"/>
    </row>
    <row r="116" spans="1:29" ht="35.1" hidden="1" customHeight="1">
      <c r="A116" s="660"/>
      <c r="B116" s="23"/>
      <c r="C116" s="23"/>
      <c r="D116" s="23"/>
      <c r="E116" s="305"/>
      <c r="F116" s="305"/>
      <c r="G116" s="319"/>
      <c r="H116" s="381"/>
      <c r="I116" s="297"/>
      <c r="J116" s="297"/>
      <c r="K116" s="297"/>
      <c r="L116" s="297"/>
      <c r="M116" s="222" t="s">
        <v>4159</v>
      </c>
      <c r="N116" s="222" t="s">
        <v>4160</v>
      </c>
      <c r="O116" s="296"/>
      <c r="P116" s="296"/>
      <c r="Q116" s="296"/>
      <c r="R116" s="306"/>
      <c r="S116" s="307"/>
      <c r="T116" s="307"/>
      <c r="U116" s="307"/>
      <c r="V116" s="307"/>
      <c r="W116" s="307"/>
      <c r="X116" s="317"/>
      <c r="Y116" s="308"/>
      <c r="Z116" s="992"/>
      <c r="AA116" s="384"/>
      <c r="AC116" s="2"/>
    </row>
    <row r="117" spans="1:29" ht="35.1" customHeight="1">
      <c r="A117" s="660"/>
      <c r="B117" s="23"/>
      <c r="C117" s="23"/>
      <c r="D117" s="23"/>
      <c r="E117" s="311" t="s">
        <v>4425</v>
      </c>
      <c r="F117" s="406" t="s">
        <v>566</v>
      </c>
      <c r="G117" s="719" t="s">
        <v>4426</v>
      </c>
      <c r="H117" s="380" t="s">
        <v>4427</v>
      </c>
      <c r="I117" s="299" t="s">
        <v>4177</v>
      </c>
      <c r="J117" s="300" t="s">
        <v>49</v>
      </c>
      <c r="K117" s="312" t="s">
        <v>4125</v>
      </c>
      <c r="L117" s="312" t="s">
        <v>4125</v>
      </c>
      <c r="M117" s="314" t="s">
        <v>4376</v>
      </c>
      <c r="N117" s="314" t="s">
        <v>4217</v>
      </c>
      <c r="O117" s="300" t="s">
        <v>4178</v>
      </c>
      <c r="P117" s="300" t="s">
        <v>4420</v>
      </c>
      <c r="Q117" s="301" t="s">
        <v>4421</v>
      </c>
      <c r="R117" s="846">
        <v>3</v>
      </c>
      <c r="S117" s="302"/>
      <c r="T117" s="302"/>
      <c r="U117" s="302"/>
      <c r="V117" s="302"/>
      <c r="W117" s="302" t="s">
        <v>4125</v>
      </c>
      <c r="X117" s="303" t="s">
        <v>4125</v>
      </c>
      <c r="Y117" s="300"/>
      <c r="Z117" s="416"/>
      <c r="AA117" s="846">
        <v>2</v>
      </c>
      <c r="AC117" s="2"/>
    </row>
    <row r="118" spans="1:29" ht="35.1" hidden="1" customHeight="1">
      <c r="A118" s="660"/>
      <c r="B118" s="23"/>
      <c r="C118" s="23"/>
      <c r="D118" s="23"/>
      <c r="E118" s="375"/>
      <c r="F118" s="305"/>
      <c r="G118" s="319"/>
      <c r="H118" s="381"/>
      <c r="I118" s="297"/>
      <c r="J118" s="297"/>
      <c r="K118" s="297"/>
      <c r="L118" s="297"/>
      <c r="M118" s="222" t="s">
        <v>4159</v>
      </c>
      <c r="N118" s="222" t="s">
        <v>4160</v>
      </c>
      <c r="O118" s="387"/>
      <c r="P118" s="387"/>
      <c r="Q118" s="388"/>
      <c r="R118" s="387"/>
      <c r="S118" s="387"/>
      <c r="T118" s="387"/>
      <c r="U118" s="387"/>
      <c r="V118" s="387"/>
      <c r="W118" s="387"/>
      <c r="X118" s="387"/>
      <c r="Y118" s="387"/>
      <c r="Z118" s="418"/>
      <c r="AA118" s="387"/>
      <c r="AC118" s="2"/>
    </row>
    <row r="119" spans="1:29" ht="35.1" customHeight="1">
      <c r="A119" s="660"/>
      <c r="B119" s="23"/>
      <c r="C119" s="23"/>
      <c r="D119" s="23"/>
      <c r="E119" s="310" t="s">
        <v>4428</v>
      </c>
      <c r="F119" s="406" t="s">
        <v>566</v>
      </c>
      <c r="G119" s="719" t="s">
        <v>4429</v>
      </c>
      <c r="H119" s="380" t="s">
        <v>4430</v>
      </c>
      <c r="I119" s="299" t="s">
        <v>4158</v>
      </c>
      <c r="J119" s="300" t="s">
        <v>53</v>
      </c>
      <c r="K119" s="312" t="s">
        <v>4125</v>
      </c>
      <c r="L119" s="312" t="s">
        <v>4125</v>
      </c>
      <c r="M119" s="393" t="s">
        <v>4217</v>
      </c>
      <c r="N119" s="314" t="s">
        <v>4376</v>
      </c>
      <c r="O119" s="300" t="s">
        <v>4178</v>
      </c>
      <c r="P119" s="300" t="s">
        <v>4415</v>
      </c>
      <c r="Q119" s="301" t="s">
        <v>4416</v>
      </c>
      <c r="R119" s="846">
        <v>3</v>
      </c>
      <c r="S119" s="302"/>
      <c r="T119" s="302"/>
      <c r="U119" s="302"/>
      <c r="V119" s="300"/>
      <c r="W119" s="300" t="s">
        <v>4125</v>
      </c>
      <c r="X119" s="300" t="s">
        <v>4125</v>
      </c>
      <c r="Y119" s="300"/>
      <c r="Z119" s="316"/>
      <c r="AA119" s="846">
        <v>2</v>
      </c>
      <c r="AC119" s="2"/>
    </row>
    <row r="120" spans="1:29" ht="35.1" hidden="1" customHeight="1">
      <c r="A120" s="660"/>
      <c r="B120" s="23"/>
      <c r="C120" s="23"/>
      <c r="D120" s="23"/>
      <c r="E120" s="305"/>
      <c r="F120" s="305"/>
      <c r="G120" s="319"/>
      <c r="H120" s="381"/>
      <c r="I120" s="297"/>
      <c r="J120" s="297"/>
      <c r="K120" s="297"/>
      <c r="L120" s="297"/>
      <c r="M120" s="222" t="s">
        <v>4159</v>
      </c>
      <c r="N120" s="222" t="s">
        <v>4160</v>
      </c>
      <c r="O120" s="296"/>
      <c r="P120" s="296"/>
      <c r="Q120" s="296"/>
      <c r="R120" s="306"/>
      <c r="S120" s="307"/>
      <c r="T120" s="307"/>
      <c r="U120" s="307"/>
      <c r="V120" s="307"/>
      <c r="W120" s="307"/>
      <c r="X120" s="317"/>
      <c r="Y120" s="308"/>
      <c r="Z120" s="992"/>
      <c r="AA120" s="384"/>
      <c r="AC120" s="2"/>
    </row>
    <row r="121" spans="1:29" ht="35.1" hidden="1" customHeight="1">
      <c r="A121" s="660"/>
      <c r="B121" s="23"/>
      <c r="C121" s="23"/>
      <c r="D121" s="23"/>
      <c r="E121" s="311" t="s">
        <v>4431</v>
      </c>
      <c r="F121" s="406" t="s">
        <v>566</v>
      </c>
      <c r="G121" s="719" t="s">
        <v>4432</v>
      </c>
      <c r="H121" s="380" t="s">
        <v>4433</v>
      </c>
      <c r="I121" s="299" t="s">
        <v>4202</v>
      </c>
      <c r="J121" s="300" t="s">
        <v>45</v>
      </c>
      <c r="K121" s="312" t="s">
        <v>4125</v>
      </c>
      <c r="L121" s="312"/>
      <c r="M121" s="393" t="s">
        <v>4217</v>
      </c>
      <c r="N121" s="314" t="s">
        <v>4376</v>
      </c>
      <c r="O121" s="300"/>
      <c r="P121" s="300"/>
      <c r="Q121" s="301"/>
      <c r="R121" s="300"/>
      <c r="S121" s="300"/>
      <c r="T121" s="300"/>
      <c r="U121" s="300"/>
      <c r="V121" s="300"/>
      <c r="W121" s="300"/>
      <c r="X121" s="300"/>
      <c r="Y121" s="300"/>
      <c r="Z121" s="416"/>
      <c r="AA121" s="300" t="s">
        <v>138</v>
      </c>
      <c r="AC121" s="682"/>
    </row>
    <row r="122" spans="1:29" ht="35.1" hidden="1" customHeight="1">
      <c r="A122" s="660"/>
      <c r="B122" s="23"/>
      <c r="C122" s="23"/>
      <c r="D122" s="23"/>
      <c r="E122" s="375"/>
      <c r="F122" s="305"/>
      <c r="G122" s="319"/>
      <c r="H122" s="381"/>
      <c r="I122" s="297"/>
      <c r="J122" s="297"/>
      <c r="K122" s="297"/>
      <c r="L122" s="297"/>
      <c r="M122" s="222" t="s">
        <v>4159</v>
      </c>
      <c r="N122" s="222" t="s">
        <v>4160</v>
      </c>
      <c r="O122" s="387"/>
      <c r="P122" s="387"/>
      <c r="Q122" s="388"/>
      <c r="R122" s="387"/>
      <c r="S122" s="387"/>
      <c r="T122" s="387"/>
      <c r="U122" s="387"/>
      <c r="V122" s="387"/>
      <c r="W122" s="387"/>
      <c r="X122" s="387"/>
      <c r="Y122" s="387"/>
      <c r="Z122" s="418"/>
      <c r="AA122" s="387"/>
      <c r="AC122" s="2"/>
    </row>
    <row r="123" spans="1:29" ht="25.5" customHeight="1">
      <c r="A123" s="660"/>
      <c r="B123" s="23"/>
      <c r="C123" s="23"/>
      <c r="D123" s="23"/>
      <c r="E123" s="310" t="s">
        <v>4434</v>
      </c>
      <c r="F123" s="406" t="s">
        <v>566</v>
      </c>
      <c r="G123" s="719" t="s">
        <v>4435</v>
      </c>
      <c r="H123" s="380" t="s">
        <v>4436</v>
      </c>
      <c r="I123" s="299" t="s">
        <v>4202</v>
      </c>
      <c r="J123" s="300" t="s">
        <v>45</v>
      </c>
      <c r="K123" s="312" t="s">
        <v>4125</v>
      </c>
      <c r="L123" s="312" t="s">
        <v>4125</v>
      </c>
      <c r="M123" s="313"/>
      <c r="N123" s="301" t="s">
        <v>4217</v>
      </c>
      <c r="O123" s="301" t="s">
        <v>4219</v>
      </c>
      <c r="P123" s="314" t="s">
        <v>4437</v>
      </c>
      <c r="Q123" s="314" t="s">
        <v>4438</v>
      </c>
      <c r="R123" s="846">
        <v>3</v>
      </c>
      <c r="S123" s="302"/>
      <c r="T123" s="302" t="s">
        <v>4125</v>
      </c>
      <c r="U123" s="302"/>
      <c r="V123" s="302"/>
      <c r="W123" s="302"/>
      <c r="X123" s="303" t="s">
        <v>4125</v>
      </c>
      <c r="Y123" s="315"/>
      <c r="Z123" s="316" t="s">
        <v>4408</v>
      </c>
      <c r="AA123" s="846">
        <v>2</v>
      </c>
      <c r="AC123" s="681"/>
    </row>
    <row r="124" spans="1:29" ht="35.1" hidden="1" customHeight="1">
      <c r="A124" s="660"/>
      <c r="B124" s="23"/>
      <c r="C124" s="23"/>
      <c r="D124" s="23"/>
      <c r="E124" s="305"/>
      <c r="F124" s="305"/>
      <c r="G124" s="319"/>
      <c r="H124" s="381"/>
      <c r="I124" s="297"/>
      <c r="J124" s="297"/>
      <c r="K124" s="297"/>
      <c r="L124" s="297"/>
      <c r="M124" s="222" t="s">
        <v>4159</v>
      </c>
      <c r="N124" s="222" t="s">
        <v>4160</v>
      </c>
      <c r="O124" s="296"/>
      <c r="P124" s="296"/>
      <c r="Q124" s="296"/>
      <c r="R124" s="306"/>
      <c r="S124" s="307"/>
      <c r="T124" s="307"/>
      <c r="U124" s="307"/>
      <c r="V124" s="307"/>
      <c r="W124" s="307"/>
      <c r="X124" s="317"/>
      <c r="Y124" s="308"/>
      <c r="Z124" s="992"/>
      <c r="AA124" s="384"/>
      <c r="AC124" s="2"/>
    </row>
    <row r="125" spans="1:29" ht="37.5" customHeight="1">
      <c r="A125" s="660"/>
      <c r="B125" s="23"/>
      <c r="C125" s="23"/>
      <c r="D125" s="23"/>
      <c r="E125" s="310" t="s">
        <v>4439</v>
      </c>
      <c r="F125" s="406" t="s">
        <v>596</v>
      </c>
      <c r="G125" s="724" t="s">
        <v>4440</v>
      </c>
      <c r="H125" s="380" t="s">
        <v>4441</v>
      </c>
      <c r="I125" s="299" t="s">
        <v>4177</v>
      </c>
      <c r="J125" s="300" t="s">
        <v>45</v>
      </c>
      <c r="K125" s="312" t="s">
        <v>4125</v>
      </c>
      <c r="L125" s="312" t="s">
        <v>4125</v>
      </c>
      <c r="M125" s="393" t="s">
        <v>4442</v>
      </c>
      <c r="N125" s="314" t="s">
        <v>4443</v>
      </c>
      <c r="O125" s="301" t="s">
        <v>4178</v>
      </c>
      <c r="P125" s="314" t="s">
        <v>4444</v>
      </c>
      <c r="Q125" s="314" t="s">
        <v>4445</v>
      </c>
      <c r="R125" s="300">
        <v>30</v>
      </c>
      <c r="S125" s="302"/>
      <c r="T125" s="302"/>
      <c r="U125" s="302"/>
      <c r="V125" s="302"/>
      <c r="W125" s="302" t="s">
        <v>4125</v>
      </c>
      <c r="X125" s="303"/>
      <c r="Y125" s="315"/>
      <c r="Z125" s="416" t="s">
        <v>4372</v>
      </c>
      <c r="AA125" s="301" t="s">
        <v>138</v>
      </c>
      <c r="AC125" s="681"/>
    </row>
    <row r="126" spans="1:29" ht="35.1" hidden="1" customHeight="1">
      <c r="A126" s="660"/>
      <c r="B126" s="23"/>
      <c r="C126" s="23"/>
      <c r="D126" s="23"/>
      <c r="E126" s="305"/>
      <c r="F126" s="305"/>
      <c r="G126" s="319"/>
      <c r="H126" s="381"/>
      <c r="I126" s="297"/>
      <c r="J126" s="297"/>
      <c r="K126" s="297"/>
      <c r="L126" s="297"/>
      <c r="M126" s="222" t="s">
        <v>4159</v>
      </c>
      <c r="N126" s="222" t="s">
        <v>4160</v>
      </c>
      <c r="O126" s="296"/>
      <c r="P126" s="296"/>
      <c r="Q126" s="296"/>
      <c r="R126" s="306"/>
      <c r="S126" s="307"/>
      <c r="T126" s="307"/>
      <c r="U126" s="307"/>
      <c r="V126" s="307"/>
      <c r="W126" s="307"/>
      <c r="X126" s="317"/>
      <c r="Y126" s="308"/>
      <c r="Z126" s="992"/>
      <c r="AA126" s="384"/>
      <c r="AC126" s="2"/>
    </row>
    <row r="127" spans="1:29" ht="35.1" customHeight="1">
      <c r="A127" s="660"/>
      <c r="B127" s="23"/>
      <c r="C127" s="23"/>
      <c r="D127" s="23"/>
      <c r="E127" s="311" t="s">
        <v>4446</v>
      </c>
      <c r="F127" s="406" t="s">
        <v>596</v>
      </c>
      <c r="G127" s="724" t="s">
        <v>4447</v>
      </c>
      <c r="H127" s="380" t="s">
        <v>4448</v>
      </c>
      <c r="I127" s="299" t="s">
        <v>4177</v>
      </c>
      <c r="J127" s="300" t="s">
        <v>45</v>
      </c>
      <c r="K127" s="312" t="s">
        <v>4125</v>
      </c>
      <c r="L127" s="312" t="s">
        <v>4125</v>
      </c>
      <c r="M127" s="393" t="s">
        <v>4449</v>
      </c>
      <c r="N127" s="314" t="s">
        <v>4450</v>
      </c>
      <c r="O127" s="300" t="s">
        <v>4178</v>
      </c>
      <c r="P127" s="314" t="s">
        <v>4451</v>
      </c>
      <c r="Q127" s="301" t="s">
        <v>4452</v>
      </c>
      <c r="R127" s="300">
        <v>30</v>
      </c>
      <c r="S127" s="302"/>
      <c r="T127" s="302"/>
      <c r="U127" s="302"/>
      <c r="V127" s="302"/>
      <c r="W127" s="302" t="s">
        <v>4125</v>
      </c>
      <c r="X127" s="300"/>
      <c r="Y127" s="300"/>
      <c r="Z127" s="416" t="s">
        <v>4372</v>
      </c>
      <c r="AA127" s="300" t="s">
        <v>138</v>
      </c>
      <c r="AC127" s="681"/>
    </row>
    <row r="128" spans="1:29" ht="35.1" hidden="1" customHeight="1">
      <c r="A128" s="660"/>
      <c r="B128" s="23"/>
      <c r="C128" s="23"/>
      <c r="D128" s="23"/>
      <c r="E128" s="375"/>
      <c r="F128" s="305"/>
      <c r="G128" s="319"/>
      <c r="H128" s="381"/>
      <c r="I128" s="297"/>
      <c r="J128" s="297"/>
      <c r="K128" s="297"/>
      <c r="L128" s="297"/>
      <c r="M128" s="222" t="s">
        <v>4159</v>
      </c>
      <c r="N128" s="222" t="s">
        <v>4160</v>
      </c>
      <c r="O128" s="387"/>
      <c r="P128" s="387"/>
      <c r="Q128" s="388"/>
      <c r="R128" s="387"/>
      <c r="S128" s="387"/>
      <c r="T128" s="387"/>
      <c r="U128" s="387"/>
      <c r="V128" s="387"/>
      <c r="W128" s="387"/>
      <c r="X128" s="387"/>
      <c r="Y128" s="387"/>
      <c r="Z128" s="418"/>
      <c r="AA128" s="387"/>
      <c r="AC128" s="2"/>
    </row>
    <row r="129" spans="1:29" ht="35.1" customHeight="1">
      <c r="A129" s="660"/>
      <c r="B129" s="23"/>
      <c r="C129" s="23"/>
      <c r="D129" s="23"/>
      <c r="E129" s="310" t="s">
        <v>4453</v>
      </c>
      <c r="F129" s="406" t="s">
        <v>596</v>
      </c>
      <c r="G129" s="719" t="s">
        <v>4454</v>
      </c>
      <c r="H129" s="380" t="s">
        <v>4455</v>
      </c>
      <c r="I129" s="299" t="s">
        <v>4158</v>
      </c>
      <c r="J129" s="300" t="s">
        <v>53</v>
      </c>
      <c r="K129" s="312" t="s">
        <v>4125</v>
      </c>
      <c r="L129" s="312" t="s">
        <v>4125</v>
      </c>
      <c r="M129" s="393" t="s">
        <v>4442</v>
      </c>
      <c r="N129" s="314" t="s">
        <v>4443</v>
      </c>
      <c r="O129" s="301"/>
      <c r="P129" s="314"/>
      <c r="Q129" s="314"/>
      <c r="R129" s="300"/>
      <c r="S129" s="302"/>
      <c r="T129" s="302"/>
      <c r="U129" s="302"/>
      <c r="V129" s="302"/>
      <c r="W129" s="302"/>
      <c r="X129" s="303"/>
      <c r="Y129" s="315"/>
      <c r="Z129" s="316"/>
      <c r="AA129" s="301" t="s">
        <v>184</v>
      </c>
      <c r="AC129" s="2"/>
    </row>
    <row r="130" spans="1:29" ht="35.1" hidden="1" customHeight="1">
      <c r="A130" s="660"/>
      <c r="B130" s="23"/>
      <c r="C130" s="23"/>
      <c r="D130" s="23"/>
      <c r="E130" s="305"/>
      <c r="F130" s="305"/>
      <c r="G130" s="319"/>
      <c r="H130" s="381"/>
      <c r="I130" s="297"/>
      <c r="J130" s="297"/>
      <c r="K130" s="297"/>
      <c r="L130" s="297"/>
      <c r="M130" s="222" t="s">
        <v>4159</v>
      </c>
      <c r="N130" s="222" t="s">
        <v>4160</v>
      </c>
      <c r="O130" s="296"/>
      <c r="P130" s="296"/>
      <c r="Q130" s="296"/>
      <c r="R130" s="306"/>
      <c r="S130" s="307"/>
      <c r="T130" s="307"/>
      <c r="U130" s="307"/>
      <c r="V130" s="307"/>
      <c r="W130" s="307"/>
      <c r="X130" s="317"/>
      <c r="Y130" s="308"/>
      <c r="Z130" s="992"/>
      <c r="AA130" s="384"/>
      <c r="AC130" s="2"/>
    </row>
    <row r="131" spans="1:29" ht="35.1" customHeight="1">
      <c r="A131" s="660"/>
      <c r="B131" s="23"/>
      <c r="C131" s="23"/>
      <c r="D131" s="23"/>
      <c r="E131" s="311" t="s">
        <v>4456</v>
      </c>
      <c r="F131" s="406" t="s">
        <v>596</v>
      </c>
      <c r="G131" s="719" t="s">
        <v>4457</v>
      </c>
      <c r="H131" s="380" t="s">
        <v>4458</v>
      </c>
      <c r="I131" s="299" t="s">
        <v>4177</v>
      </c>
      <c r="J131" s="300" t="s">
        <v>49</v>
      </c>
      <c r="K131" s="312" t="s">
        <v>4125</v>
      </c>
      <c r="L131" s="312" t="s">
        <v>4125</v>
      </c>
      <c r="M131" s="393" t="s">
        <v>4443</v>
      </c>
      <c r="N131" s="314" t="s">
        <v>4442</v>
      </c>
      <c r="O131" s="300" t="s">
        <v>4178</v>
      </c>
      <c r="P131" s="300" t="s">
        <v>4459</v>
      </c>
      <c r="Q131" s="301" t="s">
        <v>4460</v>
      </c>
      <c r="R131" s="846">
        <v>3</v>
      </c>
      <c r="S131" s="302"/>
      <c r="T131" s="302"/>
      <c r="U131" s="302"/>
      <c r="V131" s="302"/>
      <c r="W131" s="302" t="s">
        <v>4125</v>
      </c>
      <c r="X131" s="303" t="s">
        <v>4125</v>
      </c>
      <c r="Y131" s="300"/>
      <c r="Z131" s="416"/>
      <c r="AA131" s="846">
        <v>2</v>
      </c>
      <c r="AC131" s="2"/>
    </row>
    <row r="132" spans="1:29" ht="35.1" hidden="1" customHeight="1">
      <c r="A132" s="660"/>
      <c r="B132" s="23"/>
      <c r="C132" s="23"/>
      <c r="D132" s="23"/>
      <c r="E132" s="375"/>
      <c r="F132" s="305"/>
      <c r="G132" s="319"/>
      <c r="H132" s="381"/>
      <c r="I132" s="297"/>
      <c r="J132" s="297"/>
      <c r="K132" s="297"/>
      <c r="L132" s="297"/>
      <c r="M132" s="222" t="s">
        <v>4159</v>
      </c>
      <c r="N132" s="222" t="s">
        <v>4160</v>
      </c>
      <c r="O132" s="387"/>
      <c r="P132" s="387"/>
      <c r="Q132" s="388"/>
      <c r="R132" s="387"/>
      <c r="S132" s="387"/>
      <c r="T132" s="387"/>
      <c r="U132" s="387"/>
      <c r="V132" s="387"/>
      <c r="W132" s="387"/>
      <c r="X132" s="387"/>
      <c r="Y132" s="387"/>
      <c r="Z132" s="418"/>
      <c r="AA132" s="387"/>
      <c r="AC132" s="2"/>
    </row>
    <row r="133" spans="1:29" ht="35.1" customHeight="1">
      <c r="A133" s="660"/>
      <c r="B133" s="23"/>
      <c r="C133" s="23"/>
      <c r="D133" s="23"/>
      <c r="E133" s="310" t="s">
        <v>4461</v>
      </c>
      <c r="F133" s="406" t="s">
        <v>596</v>
      </c>
      <c r="G133" s="719" t="s">
        <v>4462</v>
      </c>
      <c r="H133" s="380" t="s">
        <v>4463</v>
      </c>
      <c r="I133" s="299" t="s">
        <v>4158</v>
      </c>
      <c r="J133" s="300" t="s">
        <v>53</v>
      </c>
      <c r="K133" s="312" t="s">
        <v>4125</v>
      </c>
      <c r="L133" s="312" t="s">
        <v>4125</v>
      </c>
      <c r="M133" s="393" t="s">
        <v>4442</v>
      </c>
      <c r="N133" s="314" t="s">
        <v>4443</v>
      </c>
      <c r="O133" s="300" t="s">
        <v>4178</v>
      </c>
      <c r="P133" s="300" t="s">
        <v>4464</v>
      </c>
      <c r="Q133" s="314" t="s">
        <v>4465</v>
      </c>
      <c r="R133" s="846">
        <v>3</v>
      </c>
      <c r="S133" s="302"/>
      <c r="T133" s="302"/>
      <c r="U133" s="302"/>
      <c r="V133" s="300"/>
      <c r="W133" s="300" t="s">
        <v>4125</v>
      </c>
      <c r="X133" s="300" t="s">
        <v>4125</v>
      </c>
      <c r="Y133" s="300"/>
      <c r="Z133" s="316"/>
      <c r="AA133" s="846">
        <v>2</v>
      </c>
      <c r="AC133" s="2"/>
    </row>
    <row r="134" spans="1:29" ht="35.1" hidden="1" customHeight="1">
      <c r="A134" s="660"/>
      <c r="B134" s="23"/>
      <c r="C134" s="23"/>
      <c r="D134" s="23"/>
      <c r="E134" s="305"/>
      <c r="F134" s="305"/>
      <c r="G134" s="319"/>
      <c r="H134" s="381"/>
      <c r="I134" s="297"/>
      <c r="J134" s="297"/>
      <c r="K134" s="297"/>
      <c r="L134" s="297"/>
      <c r="M134" s="222" t="s">
        <v>4159</v>
      </c>
      <c r="N134" s="222" t="s">
        <v>4160</v>
      </c>
      <c r="O134" s="296"/>
      <c r="P134" s="296"/>
      <c r="Q134" s="296"/>
      <c r="R134" s="306"/>
      <c r="S134" s="307"/>
      <c r="T134" s="307"/>
      <c r="U134" s="307"/>
      <c r="V134" s="307"/>
      <c r="W134" s="307"/>
      <c r="X134" s="317"/>
      <c r="Y134" s="308"/>
      <c r="Z134" s="992"/>
      <c r="AA134" s="384"/>
      <c r="AC134" s="2"/>
    </row>
    <row r="135" spans="1:29" ht="35.1" customHeight="1">
      <c r="A135" s="660"/>
      <c r="B135" s="23"/>
      <c r="C135" s="23"/>
      <c r="D135" s="23"/>
      <c r="E135" s="311" t="s">
        <v>4466</v>
      </c>
      <c r="F135" s="406" t="s">
        <v>596</v>
      </c>
      <c r="G135" s="719" t="s">
        <v>4467</v>
      </c>
      <c r="H135" s="380" t="s">
        <v>4468</v>
      </c>
      <c r="I135" s="299" t="s">
        <v>4158</v>
      </c>
      <c r="J135" s="300" t="s">
        <v>53</v>
      </c>
      <c r="K135" s="312" t="s">
        <v>4125</v>
      </c>
      <c r="L135" s="312" t="s">
        <v>4125</v>
      </c>
      <c r="M135" s="393" t="s">
        <v>4442</v>
      </c>
      <c r="N135" s="314" t="s">
        <v>4443</v>
      </c>
      <c r="O135" s="300"/>
      <c r="P135" s="300"/>
      <c r="Q135" s="301"/>
      <c r="R135" s="300"/>
      <c r="S135" s="300"/>
      <c r="T135" s="300"/>
      <c r="U135" s="300"/>
      <c r="V135" s="300"/>
      <c r="W135" s="300"/>
      <c r="X135" s="300"/>
      <c r="Y135" s="300"/>
      <c r="Z135" s="416"/>
      <c r="AA135" s="300" t="s">
        <v>184</v>
      </c>
      <c r="AC135" s="2"/>
    </row>
    <row r="136" spans="1:29" ht="35.1" hidden="1" customHeight="1">
      <c r="A136" s="660"/>
      <c r="B136" s="23"/>
      <c r="C136" s="23"/>
      <c r="D136" s="23"/>
      <c r="E136" s="375"/>
      <c r="F136" s="305"/>
      <c r="G136" s="319"/>
      <c r="H136" s="381"/>
      <c r="I136" s="297"/>
      <c r="J136" s="297"/>
      <c r="K136" s="297"/>
      <c r="L136" s="297"/>
      <c r="M136" s="222" t="s">
        <v>4159</v>
      </c>
      <c r="N136" s="222" t="s">
        <v>4160</v>
      </c>
      <c r="O136" s="387"/>
      <c r="P136" s="387"/>
      <c r="Q136" s="388"/>
      <c r="R136" s="387"/>
      <c r="S136" s="387"/>
      <c r="T136" s="387"/>
      <c r="U136" s="387"/>
      <c r="V136" s="387"/>
      <c r="W136" s="387"/>
      <c r="X136" s="387"/>
      <c r="Y136" s="387"/>
      <c r="Z136" s="418"/>
      <c r="AA136" s="387"/>
      <c r="AC136" s="2"/>
    </row>
    <row r="137" spans="1:29" ht="35.1" customHeight="1">
      <c r="A137" s="660"/>
      <c r="B137" s="23"/>
      <c r="C137" s="23"/>
      <c r="D137" s="23"/>
      <c r="E137" s="310" t="s">
        <v>4469</v>
      </c>
      <c r="F137" s="406" t="s">
        <v>596</v>
      </c>
      <c r="G137" s="719" t="s">
        <v>4470</v>
      </c>
      <c r="H137" s="380" t="s">
        <v>4471</v>
      </c>
      <c r="I137" s="299" t="s">
        <v>4177</v>
      </c>
      <c r="J137" s="300" t="s">
        <v>49</v>
      </c>
      <c r="K137" s="312" t="s">
        <v>4125</v>
      </c>
      <c r="L137" s="312" t="s">
        <v>4125</v>
      </c>
      <c r="M137" s="393" t="s">
        <v>4443</v>
      </c>
      <c r="N137" s="314" t="s">
        <v>4442</v>
      </c>
      <c r="O137" s="300" t="s">
        <v>4178</v>
      </c>
      <c r="P137" s="300" t="s">
        <v>4464</v>
      </c>
      <c r="Q137" s="301" t="s">
        <v>4472</v>
      </c>
      <c r="R137" s="846">
        <v>3</v>
      </c>
      <c r="S137" s="302"/>
      <c r="T137" s="302"/>
      <c r="U137" s="302"/>
      <c r="V137" s="302"/>
      <c r="W137" s="302" t="s">
        <v>4125</v>
      </c>
      <c r="X137" s="303" t="s">
        <v>4125</v>
      </c>
      <c r="Y137" s="315"/>
      <c r="Z137" s="316"/>
      <c r="AA137" s="846">
        <v>2</v>
      </c>
      <c r="AC137" s="2"/>
    </row>
    <row r="138" spans="1:29" ht="35.1" hidden="1" customHeight="1">
      <c r="A138" s="660"/>
      <c r="B138" s="23"/>
      <c r="C138" s="23"/>
      <c r="D138" s="23"/>
      <c r="E138" s="305"/>
      <c r="F138" s="305"/>
      <c r="G138" s="319"/>
      <c r="H138" s="381"/>
      <c r="I138" s="297"/>
      <c r="J138" s="297"/>
      <c r="K138" s="297"/>
      <c r="L138" s="297"/>
      <c r="M138" s="222" t="s">
        <v>4159</v>
      </c>
      <c r="N138" s="222" t="s">
        <v>4160</v>
      </c>
      <c r="O138" s="296"/>
      <c r="P138" s="296"/>
      <c r="Q138" s="296"/>
      <c r="R138" s="306"/>
      <c r="S138" s="307"/>
      <c r="T138" s="307"/>
      <c r="U138" s="307"/>
      <c r="V138" s="307"/>
      <c r="W138" s="307"/>
      <c r="X138" s="317"/>
      <c r="Y138" s="308"/>
      <c r="Z138" s="992"/>
      <c r="AA138" s="384"/>
      <c r="AC138" s="2"/>
    </row>
    <row r="139" spans="1:29" ht="35.1" customHeight="1">
      <c r="A139" s="660"/>
      <c r="B139" s="23"/>
      <c r="C139" s="23"/>
      <c r="D139" s="23"/>
      <c r="E139" s="311" t="s">
        <v>4473</v>
      </c>
      <c r="F139" s="406" t="s">
        <v>596</v>
      </c>
      <c r="G139" s="719" t="s">
        <v>4474</v>
      </c>
      <c r="H139" s="380" t="s">
        <v>4475</v>
      </c>
      <c r="I139" s="299" t="s">
        <v>4158</v>
      </c>
      <c r="J139" s="300" t="s">
        <v>53</v>
      </c>
      <c r="K139" s="312" t="s">
        <v>4125</v>
      </c>
      <c r="L139" s="312" t="s">
        <v>4125</v>
      </c>
      <c r="M139" s="393" t="s">
        <v>4442</v>
      </c>
      <c r="N139" s="314" t="s">
        <v>4443</v>
      </c>
      <c r="O139" s="300" t="s">
        <v>4178</v>
      </c>
      <c r="P139" s="300" t="s">
        <v>4459</v>
      </c>
      <c r="Q139" s="314" t="s">
        <v>4476</v>
      </c>
      <c r="R139" s="846">
        <v>3</v>
      </c>
      <c r="S139" s="302"/>
      <c r="T139" s="302"/>
      <c r="U139" s="302"/>
      <c r="V139" s="300"/>
      <c r="W139" s="300" t="s">
        <v>4125</v>
      </c>
      <c r="X139" s="300" t="s">
        <v>4125</v>
      </c>
      <c r="Y139" s="300"/>
      <c r="Z139" s="416"/>
      <c r="AA139" s="846">
        <v>2</v>
      </c>
      <c r="AC139" s="2"/>
    </row>
    <row r="140" spans="1:29" ht="35.1" hidden="1" customHeight="1">
      <c r="A140" s="660"/>
      <c r="B140" s="23"/>
      <c r="C140" s="23"/>
      <c r="D140" s="23"/>
      <c r="E140" s="375"/>
      <c r="F140" s="305"/>
      <c r="G140" s="319"/>
      <c r="H140" s="381"/>
      <c r="I140" s="297"/>
      <c r="J140" s="297"/>
      <c r="K140" s="297"/>
      <c r="L140" s="297"/>
      <c r="M140" s="222" t="s">
        <v>4159</v>
      </c>
      <c r="N140" s="222" t="s">
        <v>4160</v>
      </c>
      <c r="O140" s="387"/>
      <c r="P140" s="387"/>
      <c r="Q140" s="388"/>
      <c r="R140" s="387"/>
      <c r="S140" s="387"/>
      <c r="T140" s="387"/>
      <c r="U140" s="387"/>
      <c r="V140" s="387"/>
      <c r="W140" s="387"/>
      <c r="X140" s="387"/>
      <c r="Y140" s="387"/>
      <c r="Z140" s="418"/>
      <c r="AA140" s="387"/>
      <c r="AC140" s="2"/>
    </row>
    <row r="141" spans="1:29" ht="35.1" customHeight="1">
      <c r="A141" s="660"/>
      <c r="B141" s="23"/>
      <c r="C141" s="23"/>
      <c r="D141" s="23"/>
      <c r="E141" s="310" t="s">
        <v>4477</v>
      </c>
      <c r="F141" s="406" t="s">
        <v>596</v>
      </c>
      <c r="G141" s="719" t="s">
        <v>4478</v>
      </c>
      <c r="H141" s="380" t="s">
        <v>4479</v>
      </c>
      <c r="I141" s="299" t="s">
        <v>4158</v>
      </c>
      <c r="J141" s="300" t="s">
        <v>53</v>
      </c>
      <c r="K141" s="312" t="s">
        <v>4125</v>
      </c>
      <c r="L141" s="312" t="s">
        <v>4125</v>
      </c>
      <c r="M141" s="393" t="s">
        <v>4449</v>
      </c>
      <c r="N141" s="314" t="s">
        <v>4450</v>
      </c>
      <c r="O141" s="301"/>
      <c r="P141" s="314"/>
      <c r="Q141" s="314"/>
      <c r="R141" s="300"/>
      <c r="S141" s="302"/>
      <c r="T141" s="302"/>
      <c r="U141" s="302"/>
      <c r="V141" s="302"/>
      <c r="W141" s="302"/>
      <c r="X141" s="303"/>
      <c r="Y141" s="315"/>
      <c r="Z141" s="316"/>
      <c r="AA141" s="301" t="s">
        <v>184</v>
      </c>
      <c r="AC141" s="2"/>
    </row>
    <row r="142" spans="1:29" ht="35.1" hidden="1" customHeight="1">
      <c r="A142" s="660"/>
      <c r="B142" s="23"/>
      <c r="C142" s="23"/>
      <c r="D142" s="23"/>
      <c r="E142" s="305"/>
      <c r="F142" s="305"/>
      <c r="G142" s="319"/>
      <c r="H142" s="381"/>
      <c r="I142" s="297"/>
      <c r="J142" s="297"/>
      <c r="K142" s="297"/>
      <c r="L142" s="297"/>
      <c r="M142" s="222" t="s">
        <v>4159</v>
      </c>
      <c r="N142" s="222" t="s">
        <v>4160</v>
      </c>
      <c r="O142" s="296"/>
      <c r="P142" s="296"/>
      <c r="Q142" s="296"/>
      <c r="R142" s="306"/>
      <c r="S142" s="307"/>
      <c r="T142" s="307"/>
      <c r="U142" s="307"/>
      <c r="V142" s="307"/>
      <c r="W142" s="307"/>
      <c r="X142" s="317"/>
      <c r="Y142" s="308"/>
      <c r="Z142" s="992"/>
      <c r="AA142" s="384"/>
      <c r="AC142" s="2"/>
    </row>
    <row r="143" spans="1:29" ht="35.1" customHeight="1">
      <c r="A143" s="660"/>
      <c r="B143" s="23"/>
      <c r="C143" s="23"/>
      <c r="D143" s="23"/>
      <c r="E143" s="311" t="s">
        <v>4480</v>
      </c>
      <c r="F143" s="406" t="s">
        <v>596</v>
      </c>
      <c r="G143" s="719" t="s">
        <v>4481</v>
      </c>
      <c r="H143" s="380" t="s">
        <v>4482</v>
      </c>
      <c r="I143" s="299" t="s">
        <v>4177</v>
      </c>
      <c r="J143" s="300" t="s">
        <v>49</v>
      </c>
      <c r="K143" s="312" t="s">
        <v>4125</v>
      </c>
      <c r="L143" s="312" t="s">
        <v>4125</v>
      </c>
      <c r="M143" s="393" t="s">
        <v>4450</v>
      </c>
      <c r="N143" s="314" t="s">
        <v>4449</v>
      </c>
      <c r="O143" s="300" t="s">
        <v>4178</v>
      </c>
      <c r="P143" s="300" t="s">
        <v>4483</v>
      </c>
      <c r="Q143" s="301" t="s">
        <v>4484</v>
      </c>
      <c r="R143" s="846">
        <v>3</v>
      </c>
      <c r="S143" s="302"/>
      <c r="T143" s="302"/>
      <c r="U143" s="302"/>
      <c r="V143" s="302"/>
      <c r="W143" s="302" t="s">
        <v>4125</v>
      </c>
      <c r="X143" s="303" t="s">
        <v>4125</v>
      </c>
      <c r="Y143" s="300"/>
      <c r="Z143" s="416"/>
      <c r="AA143" s="846">
        <v>2</v>
      </c>
      <c r="AC143" s="682"/>
    </row>
    <row r="144" spans="1:29" ht="35.1" hidden="1" customHeight="1">
      <c r="A144" s="660"/>
      <c r="B144" s="23"/>
      <c r="C144" s="23"/>
      <c r="D144" s="23"/>
      <c r="E144" s="375"/>
      <c r="F144" s="305"/>
      <c r="G144" s="319"/>
      <c r="H144" s="381"/>
      <c r="I144" s="297"/>
      <c r="J144" s="297"/>
      <c r="K144" s="297"/>
      <c r="L144" s="297"/>
      <c r="M144" s="222" t="s">
        <v>4159</v>
      </c>
      <c r="N144" s="222" t="s">
        <v>4160</v>
      </c>
      <c r="O144" s="387"/>
      <c r="P144" s="387"/>
      <c r="Q144" s="388"/>
      <c r="R144" s="387"/>
      <c r="S144" s="387"/>
      <c r="T144" s="387"/>
      <c r="U144" s="387"/>
      <c r="V144" s="387"/>
      <c r="W144" s="387"/>
      <c r="X144" s="387"/>
      <c r="Y144" s="387"/>
      <c r="Z144" s="418"/>
      <c r="AA144" s="387"/>
      <c r="AC144" s="2"/>
    </row>
    <row r="145" spans="1:29" ht="35.1" customHeight="1">
      <c r="A145" s="660"/>
      <c r="B145" s="23"/>
      <c r="C145" s="23"/>
      <c r="D145" s="23"/>
      <c r="E145" s="310" t="s">
        <v>4485</v>
      </c>
      <c r="F145" s="406" t="s">
        <v>596</v>
      </c>
      <c r="G145" s="719" t="s">
        <v>4486</v>
      </c>
      <c r="H145" s="380" t="s">
        <v>4487</v>
      </c>
      <c r="I145" s="299" t="s">
        <v>4158</v>
      </c>
      <c r="J145" s="300" t="s">
        <v>53</v>
      </c>
      <c r="K145" s="312" t="s">
        <v>4125</v>
      </c>
      <c r="L145" s="312" t="s">
        <v>4125</v>
      </c>
      <c r="M145" s="393" t="s">
        <v>4449</v>
      </c>
      <c r="N145" s="314" t="s">
        <v>4450</v>
      </c>
      <c r="O145" s="300" t="s">
        <v>4178</v>
      </c>
      <c r="P145" s="300" t="s">
        <v>4488</v>
      </c>
      <c r="Q145" s="314" t="s">
        <v>4489</v>
      </c>
      <c r="R145" s="846">
        <v>3</v>
      </c>
      <c r="S145" s="302"/>
      <c r="T145" s="302"/>
      <c r="U145" s="302"/>
      <c r="V145" s="300"/>
      <c r="W145" s="300" t="s">
        <v>4125</v>
      </c>
      <c r="X145" s="300" t="s">
        <v>4125</v>
      </c>
      <c r="Y145" s="315"/>
      <c r="Z145" s="316"/>
      <c r="AA145" s="846">
        <v>2</v>
      </c>
      <c r="AC145" s="2"/>
    </row>
    <row r="146" spans="1:29" ht="35.1" hidden="1" customHeight="1">
      <c r="A146" s="660"/>
      <c r="B146" s="23"/>
      <c r="C146" s="23"/>
      <c r="D146" s="23"/>
      <c r="E146" s="305"/>
      <c r="F146" s="305"/>
      <c r="G146" s="319"/>
      <c r="H146" s="381"/>
      <c r="I146" s="297"/>
      <c r="J146" s="297"/>
      <c r="K146" s="297"/>
      <c r="L146" s="297"/>
      <c r="M146" s="222" t="s">
        <v>4159</v>
      </c>
      <c r="N146" s="222" t="s">
        <v>4160</v>
      </c>
      <c r="O146" s="296"/>
      <c r="P146" s="296"/>
      <c r="Q146" s="296"/>
      <c r="R146" s="306"/>
      <c r="S146" s="307"/>
      <c r="T146" s="307"/>
      <c r="U146" s="307"/>
      <c r="V146" s="307"/>
      <c r="W146" s="307"/>
      <c r="X146" s="317"/>
      <c r="Y146" s="308"/>
      <c r="Z146" s="992"/>
      <c r="AA146" s="384"/>
      <c r="AC146" s="2"/>
    </row>
    <row r="147" spans="1:29" ht="35.1" customHeight="1">
      <c r="A147" s="660"/>
      <c r="B147" s="23"/>
      <c r="C147" s="23"/>
      <c r="D147" s="23"/>
      <c r="E147" s="311" t="s">
        <v>4490</v>
      </c>
      <c r="F147" s="406" t="s">
        <v>596</v>
      </c>
      <c r="G147" s="719" t="s">
        <v>4491</v>
      </c>
      <c r="H147" s="380" t="s">
        <v>4492</v>
      </c>
      <c r="I147" s="299" t="s">
        <v>4158</v>
      </c>
      <c r="J147" s="300" t="s">
        <v>53</v>
      </c>
      <c r="K147" s="312" t="s">
        <v>4125</v>
      </c>
      <c r="L147" s="312" t="s">
        <v>4125</v>
      </c>
      <c r="M147" s="393" t="s">
        <v>4449</v>
      </c>
      <c r="N147" s="314" t="s">
        <v>4450</v>
      </c>
      <c r="O147" s="300"/>
      <c r="P147" s="300"/>
      <c r="Q147" s="301"/>
      <c r="R147" s="300"/>
      <c r="S147" s="300"/>
      <c r="T147" s="300"/>
      <c r="U147" s="300"/>
      <c r="V147" s="300"/>
      <c r="W147" s="300"/>
      <c r="X147" s="300"/>
      <c r="Y147" s="300"/>
      <c r="Z147" s="416"/>
      <c r="AA147" s="300" t="s">
        <v>184</v>
      </c>
      <c r="AC147" s="2"/>
    </row>
    <row r="148" spans="1:29" ht="35.1" hidden="1" customHeight="1">
      <c r="A148" s="660"/>
      <c r="B148" s="23"/>
      <c r="C148" s="23"/>
      <c r="D148" s="23"/>
      <c r="E148" s="375"/>
      <c r="F148" s="305"/>
      <c r="G148" s="319"/>
      <c r="H148" s="381"/>
      <c r="I148" s="297"/>
      <c r="J148" s="297"/>
      <c r="K148" s="297"/>
      <c r="L148" s="297"/>
      <c r="M148" s="222" t="s">
        <v>4159</v>
      </c>
      <c r="N148" s="222" t="s">
        <v>4160</v>
      </c>
      <c r="O148" s="387"/>
      <c r="P148" s="387"/>
      <c r="Q148" s="388"/>
      <c r="R148" s="387"/>
      <c r="S148" s="387"/>
      <c r="T148" s="387"/>
      <c r="U148" s="387"/>
      <c r="V148" s="387"/>
      <c r="W148" s="387"/>
      <c r="X148" s="387"/>
      <c r="Y148" s="387"/>
      <c r="Z148" s="418"/>
      <c r="AA148" s="387"/>
      <c r="AC148" s="2"/>
    </row>
    <row r="149" spans="1:29" ht="35.1" customHeight="1">
      <c r="A149" s="660"/>
      <c r="B149" s="23"/>
      <c r="C149" s="23"/>
      <c r="D149" s="23"/>
      <c r="E149" s="310" t="s">
        <v>4493</v>
      </c>
      <c r="F149" s="406" t="s">
        <v>596</v>
      </c>
      <c r="G149" s="719" t="s">
        <v>4494</v>
      </c>
      <c r="H149" s="380" t="s">
        <v>4495</v>
      </c>
      <c r="I149" s="299" t="s">
        <v>4177</v>
      </c>
      <c r="J149" s="300" t="s">
        <v>49</v>
      </c>
      <c r="K149" s="312" t="s">
        <v>4125</v>
      </c>
      <c r="L149" s="312" t="s">
        <v>4125</v>
      </c>
      <c r="M149" s="393" t="s">
        <v>4450</v>
      </c>
      <c r="N149" s="314" t="s">
        <v>4449</v>
      </c>
      <c r="O149" s="300" t="s">
        <v>4178</v>
      </c>
      <c r="P149" s="300" t="s">
        <v>4488</v>
      </c>
      <c r="Q149" s="301" t="s">
        <v>4489</v>
      </c>
      <c r="R149" s="846">
        <v>3</v>
      </c>
      <c r="S149" s="302"/>
      <c r="T149" s="302"/>
      <c r="U149" s="302"/>
      <c r="V149" s="302"/>
      <c r="W149" s="302" t="s">
        <v>4125</v>
      </c>
      <c r="X149" s="303" t="s">
        <v>4125</v>
      </c>
      <c r="Y149" s="315"/>
      <c r="Z149" s="316"/>
      <c r="AA149" s="846">
        <v>2</v>
      </c>
      <c r="AC149" s="682"/>
    </row>
    <row r="150" spans="1:29" ht="35.1" hidden="1" customHeight="1">
      <c r="A150" s="660"/>
      <c r="B150" s="23"/>
      <c r="C150" s="23"/>
      <c r="D150" s="23"/>
      <c r="E150" s="305"/>
      <c r="F150" s="305"/>
      <c r="G150" s="319"/>
      <c r="H150" s="381"/>
      <c r="I150" s="297"/>
      <c r="J150" s="297"/>
      <c r="K150" s="297"/>
      <c r="L150" s="297"/>
      <c r="M150" s="222" t="s">
        <v>4159</v>
      </c>
      <c r="N150" s="222" t="s">
        <v>4160</v>
      </c>
      <c r="O150" s="296"/>
      <c r="P150" s="296"/>
      <c r="Q150" s="296"/>
      <c r="R150" s="306"/>
      <c r="S150" s="307"/>
      <c r="T150" s="307"/>
      <c r="U150" s="307"/>
      <c r="V150" s="307"/>
      <c r="W150" s="307"/>
      <c r="X150" s="317"/>
      <c r="Y150" s="308"/>
      <c r="Z150" s="992"/>
      <c r="AA150" s="384"/>
      <c r="AC150" s="2"/>
    </row>
    <row r="151" spans="1:29" ht="35.1" customHeight="1">
      <c r="A151" s="660"/>
      <c r="B151" s="23"/>
      <c r="C151" s="23"/>
      <c r="D151" s="23"/>
      <c r="E151" s="310" t="s">
        <v>4496</v>
      </c>
      <c r="F151" s="406" t="s">
        <v>596</v>
      </c>
      <c r="G151" s="719" t="s">
        <v>4497</v>
      </c>
      <c r="H151" s="380" t="s">
        <v>4498</v>
      </c>
      <c r="I151" s="299" t="s">
        <v>4158</v>
      </c>
      <c r="J151" s="300" t="s">
        <v>53</v>
      </c>
      <c r="K151" s="312" t="s">
        <v>4125</v>
      </c>
      <c r="L151" s="312" t="s">
        <v>4125</v>
      </c>
      <c r="M151" s="393" t="s">
        <v>4449</v>
      </c>
      <c r="N151" s="314" t="s">
        <v>4450</v>
      </c>
      <c r="O151" s="300" t="s">
        <v>4178</v>
      </c>
      <c r="P151" s="300" t="s">
        <v>4483</v>
      </c>
      <c r="Q151" s="314" t="s">
        <v>4499</v>
      </c>
      <c r="R151" s="846">
        <v>3</v>
      </c>
      <c r="S151" s="302"/>
      <c r="T151" s="302"/>
      <c r="U151" s="302"/>
      <c r="V151" s="300"/>
      <c r="W151" s="300" t="s">
        <v>4125</v>
      </c>
      <c r="X151" s="300" t="s">
        <v>4125</v>
      </c>
      <c r="Y151" s="315"/>
      <c r="Z151" s="316"/>
      <c r="AA151" s="846">
        <v>2</v>
      </c>
      <c r="AC151" s="2"/>
    </row>
    <row r="152" spans="1:29" ht="35.1" hidden="1" customHeight="1">
      <c r="A152" s="660"/>
      <c r="B152" s="23"/>
      <c r="C152" s="23"/>
      <c r="D152" s="23"/>
      <c r="E152" s="305"/>
      <c r="F152" s="305"/>
      <c r="G152" s="319"/>
      <c r="H152" s="381"/>
      <c r="I152" s="297"/>
      <c r="J152" s="297"/>
      <c r="K152" s="297"/>
      <c r="L152" s="297"/>
      <c r="M152" s="222" t="s">
        <v>4159</v>
      </c>
      <c r="N152" s="222" t="s">
        <v>4160</v>
      </c>
      <c r="O152" s="296"/>
      <c r="P152" s="296"/>
      <c r="Q152" s="296"/>
      <c r="R152" s="306"/>
      <c r="S152" s="307"/>
      <c r="T152" s="307"/>
      <c r="U152" s="307"/>
      <c r="V152" s="307"/>
      <c r="W152" s="307"/>
      <c r="X152" s="317"/>
      <c r="Y152" s="308"/>
      <c r="Z152" s="992"/>
      <c r="AA152" s="384"/>
      <c r="AC152" s="2"/>
    </row>
    <row r="153" spans="1:29" ht="35.1" customHeight="1">
      <c r="A153" s="660"/>
      <c r="B153" s="23"/>
      <c r="C153" s="23"/>
      <c r="D153" s="23"/>
      <c r="E153" s="310" t="s">
        <v>4500</v>
      </c>
      <c r="F153" s="406" t="s">
        <v>596</v>
      </c>
      <c r="G153" s="719" t="s">
        <v>4501</v>
      </c>
      <c r="H153" s="380" t="s">
        <v>4502</v>
      </c>
      <c r="I153" s="299" t="s">
        <v>4202</v>
      </c>
      <c r="J153" s="300" t="s">
        <v>45</v>
      </c>
      <c r="K153" s="312" t="s">
        <v>4125</v>
      </c>
      <c r="L153" s="312" t="s">
        <v>4125</v>
      </c>
      <c r="M153" s="393" t="s">
        <v>4449</v>
      </c>
      <c r="N153" s="314" t="s">
        <v>4450</v>
      </c>
      <c r="O153" s="301"/>
      <c r="P153" s="314"/>
      <c r="Q153" s="314"/>
      <c r="R153" s="300"/>
      <c r="S153" s="302"/>
      <c r="T153" s="302"/>
      <c r="U153" s="302"/>
      <c r="V153" s="302"/>
      <c r="W153" s="302"/>
      <c r="X153" s="303"/>
      <c r="Y153" s="315"/>
      <c r="Z153" s="316"/>
      <c r="AA153" s="301" t="s">
        <v>184</v>
      </c>
      <c r="AC153" s="2"/>
    </row>
    <row r="154" spans="1:29" ht="35.1" hidden="1" customHeight="1">
      <c r="A154" s="660"/>
      <c r="B154" s="23"/>
      <c r="C154" s="23"/>
      <c r="D154" s="23"/>
      <c r="E154" s="305"/>
      <c r="F154" s="305"/>
      <c r="G154" s="319"/>
      <c r="H154" s="381"/>
      <c r="I154" s="297"/>
      <c r="J154" s="297"/>
      <c r="K154" s="297"/>
      <c r="L154" s="297"/>
      <c r="M154" s="222" t="s">
        <v>4159</v>
      </c>
      <c r="N154" s="222" t="s">
        <v>4160</v>
      </c>
      <c r="O154" s="296"/>
      <c r="P154" s="296"/>
      <c r="Q154" s="296"/>
      <c r="R154" s="387"/>
      <c r="S154" s="389"/>
      <c r="T154" s="389"/>
      <c r="U154" s="389"/>
      <c r="V154" s="389"/>
      <c r="W154" s="389"/>
      <c r="X154" s="308"/>
      <c r="Y154" s="308"/>
      <c r="Z154" s="626"/>
      <c r="AA154" s="388"/>
      <c r="AC154" s="2"/>
    </row>
    <row r="155" spans="1:29" ht="35.1" customHeight="1">
      <c r="A155" s="660"/>
      <c r="B155" s="23"/>
      <c r="C155" s="23"/>
      <c r="D155" s="23"/>
      <c r="E155" s="310" t="s">
        <v>4503</v>
      </c>
      <c r="F155" s="310" t="s">
        <v>596</v>
      </c>
      <c r="G155" s="406" t="s">
        <v>4504</v>
      </c>
      <c r="H155" s="400" t="s">
        <v>4505</v>
      </c>
      <c r="I155" s="300" t="s">
        <v>4202</v>
      </c>
      <c r="J155" s="299" t="s">
        <v>45</v>
      </c>
      <c r="K155" s="300" t="s">
        <v>4125</v>
      </c>
      <c r="L155" s="312" t="s">
        <v>4125</v>
      </c>
      <c r="M155" s="312"/>
      <c r="N155" s="313" t="s">
        <v>4449</v>
      </c>
      <c r="O155" s="301" t="s">
        <v>4219</v>
      </c>
      <c r="P155" s="314" t="s">
        <v>4506</v>
      </c>
      <c r="Q155" s="314" t="s">
        <v>4507</v>
      </c>
      <c r="R155" s="846">
        <v>3</v>
      </c>
      <c r="S155" s="302"/>
      <c r="T155" s="302" t="s">
        <v>4125</v>
      </c>
      <c r="U155" s="396"/>
      <c r="V155" s="396"/>
      <c r="W155" s="396"/>
      <c r="X155" s="396" t="s">
        <v>4125</v>
      </c>
      <c r="Y155" s="397"/>
      <c r="Z155" s="330" t="s">
        <v>4508</v>
      </c>
      <c r="AA155" s="846">
        <v>2</v>
      </c>
      <c r="AC155" s="681"/>
    </row>
    <row r="156" spans="1:29" ht="35.1" hidden="1" customHeight="1">
      <c r="A156" s="660"/>
      <c r="B156" s="23"/>
      <c r="C156" s="23"/>
      <c r="D156" s="23"/>
      <c r="E156" s="305"/>
      <c r="F156" s="305"/>
      <c r="G156" s="305"/>
      <c r="H156" s="309"/>
      <c r="I156" s="297"/>
      <c r="J156" s="297"/>
      <c r="K156" s="297"/>
      <c r="L156" s="297"/>
      <c r="M156" s="222" t="s">
        <v>4159</v>
      </c>
      <c r="N156" s="222" t="s">
        <v>4160</v>
      </c>
      <c r="O156" s="296"/>
      <c r="P156" s="296"/>
      <c r="Q156" s="296"/>
      <c r="R156" s="296"/>
      <c r="S156" s="306"/>
      <c r="T156" s="307"/>
      <c r="U156" s="307"/>
      <c r="V156" s="307"/>
      <c r="W156" s="307"/>
      <c r="X156" s="307"/>
      <c r="Y156" s="317"/>
      <c r="Z156" s="491"/>
      <c r="AA156" s="418"/>
      <c r="AC156" s="2"/>
    </row>
    <row r="157" spans="1:29" ht="35.1" hidden="1" customHeight="1">
      <c r="A157" s="660"/>
      <c r="B157" s="23"/>
      <c r="C157" s="23"/>
      <c r="D157" s="23"/>
      <c r="E157" s="310" t="s">
        <v>4509</v>
      </c>
      <c r="F157" s="406" t="s">
        <v>596</v>
      </c>
      <c r="G157" s="406" t="s">
        <v>4510</v>
      </c>
      <c r="H157" s="400" t="s">
        <v>4511</v>
      </c>
      <c r="I157" s="300" t="s">
        <v>4158</v>
      </c>
      <c r="J157" s="299" t="s">
        <v>53</v>
      </c>
      <c r="K157" s="300" t="s">
        <v>4125</v>
      </c>
      <c r="L157" s="312"/>
      <c r="M157" s="312" t="s">
        <v>4159</v>
      </c>
      <c r="N157" s="313" t="s">
        <v>4160</v>
      </c>
      <c r="O157" s="301" t="s">
        <v>4178</v>
      </c>
      <c r="P157" s="301" t="s">
        <v>4512</v>
      </c>
      <c r="Q157" s="314" t="s">
        <v>4513</v>
      </c>
      <c r="R157" s="851">
        <v>3</v>
      </c>
      <c r="S157" s="300"/>
      <c r="T157" s="302"/>
      <c r="U157" s="302"/>
      <c r="V157" s="302"/>
      <c r="W157" s="302" t="s">
        <v>4125</v>
      </c>
      <c r="X157" s="302"/>
      <c r="Y157" s="303"/>
      <c r="Z157" s="330"/>
      <c r="AA157" s="854">
        <v>2</v>
      </c>
      <c r="AC157" s="682"/>
    </row>
    <row r="158" spans="1:29" ht="35.1" hidden="1" customHeight="1">
      <c r="A158" s="660"/>
      <c r="B158" s="23"/>
      <c r="C158" s="23"/>
      <c r="D158" s="23"/>
      <c r="E158" s="375"/>
      <c r="F158" s="375"/>
      <c r="G158" s="347"/>
      <c r="H158" s="385"/>
      <c r="I158" s="387"/>
      <c r="J158" s="387"/>
      <c r="K158" s="387"/>
      <c r="L158" s="387"/>
      <c r="M158" s="388"/>
      <c r="N158" s="388"/>
      <c r="O158" s="388" t="s">
        <v>4230</v>
      </c>
      <c r="P158" s="388" t="s">
        <v>4514</v>
      </c>
      <c r="Q158" s="388" t="s">
        <v>4515</v>
      </c>
      <c r="R158" s="852">
        <v>3</v>
      </c>
      <c r="S158" s="389"/>
      <c r="T158" s="389"/>
      <c r="U158" s="389"/>
      <c r="V158" s="389"/>
      <c r="W158" s="389" t="s">
        <v>4125</v>
      </c>
      <c r="X158" s="308"/>
      <c r="Y158" s="308"/>
      <c r="Z158" s="626"/>
      <c r="AA158" s="844">
        <v>2</v>
      </c>
      <c r="AC158" s="2"/>
    </row>
    <row r="159" spans="1:29" ht="35.1" hidden="1" customHeight="1">
      <c r="A159" s="660"/>
      <c r="B159" s="23"/>
      <c r="C159" s="23"/>
      <c r="D159" s="23"/>
      <c r="E159" s="310" t="s">
        <v>4516</v>
      </c>
      <c r="F159" s="406" t="s">
        <v>596</v>
      </c>
      <c r="G159" s="719" t="s">
        <v>4517</v>
      </c>
      <c r="H159" s="380" t="s">
        <v>4518</v>
      </c>
      <c r="I159" s="299" t="s">
        <v>4158</v>
      </c>
      <c r="J159" s="300" t="s">
        <v>53</v>
      </c>
      <c r="K159" s="312" t="s">
        <v>4125</v>
      </c>
      <c r="L159" s="312"/>
      <c r="M159" s="312" t="s">
        <v>4159</v>
      </c>
      <c r="N159" s="313" t="s">
        <v>4160</v>
      </c>
      <c r="O159" s="301"/>
      <c r="P159" s="314"/>
      <c r="Q159" s="314"/>
      <c r="R159" s="300"/>
      <c r="S159" s="302"/>
      <c r="T159" s="302"/>
      <c r="U159" s="302"/>
      <c r="V159" s="302"/>
      <c r="W159" s="302"/>
      <c r="X159" s="303"/>
      <c r="Y159" s="315"/>
      <c r="Z159" s="316"/>
      <c r="AA159" s="301" t="s">
        <v>184</v>
      </c>
      <c r="AC159" s="2"/>
    </row>
    <row r="160" spans="1:29" ht="35.1" hidden="1" customHeight="1">
      <c r="A160" s="660"/>
      <c r="B160" s="23"/>
      <c r="C160" s="23"/>
      <c r="D160" s="23"/>
      <c r="E160" s="305"/>
      <c r="F160" s="305"/>
      <c r="G160" s="319"/>
      <c r="H160" s="381"/>
      <c r="I160" s="297"/>
      <c r="J160" s="297"/>
      <c r="K160" s="297"/>
      <c r="L160" s="297"/>
      <c r="M160" s="388"/>
      <c r="N160" s="296"/>
      <c r="O160" s="296"/>
      <c r="P160" s="296"/>
      <c r="Q160" s="296"/>
      <c r="R160" s="306"/>
      <c r="S160" s="307"/>
      <c r="T160" s="307"/>
      <c r="U160" s="307"/>
      <c r="V160" s="307"/>
      <c r="W160" s="307"/>
      <c r="X160" s="317"/>
      <c r="Y160" s="308"/>
      <c r="Z160" s="992"/>
      <c r="AA160" s="384"/>
      <c r="AC160" s="2"/>
    </row>
    <row r="161" spans="1:29" ht="35.1" hidden="1" customHeight="1">
      <c r="A161" s="660"/>
      <c r="B161" s="23"/>
      <c r="C161" s="23"/>
      <c r="D161" s="23"/>
      <c r="E161" s="579" t="s">
        <v>4519</v>
      </c>
      <c r="F161" s="406" t="s">
        <v>596</v>
      </c>
      <c r="G161" s="724" t="s">
        <v>4520</v>
      </c>
      <c r="H161" s="380" t="s">
        <v>4521</v>
      </c>
      <c r="I161" s="299" t="s">
        <v>4177</v>
      </c>
      <c r="J161" s="300" t="s">
        <v>49</v>
      </c>
      <c r="K161" s="312" t="s">
        <v>4125</v>
      </c>
      <c r="L161" s="312"/>
      <c r="M161" s="312" t="s">
        <v>4159</v>
      </c>
      <c r="N161" s="313" t="s">
        <v>4160</v>
      </c>
      <c r="O161" s="301" t="s">
        <v>4178</v>
      </c>
      <c r="P161" s="314" t="s">
        <v>4522</v>
      </c>
      <c r="Q161" s="314" t="s">
        <v>4523</v>
      </c>
      <c r="R161" s="846">
        <v>3</v>
      </c>
      <c r="S161" s="302"/>
      <c r="T161" s="302"/>
      <c r="U161" s="302"/>
      <c r="V161" s="302"/>
      <c r="W161" s="302" t="s">
        <v>4125</v>
      </c>
      <c r="X161" s="303" t="s">
        <v>4125</v>
      </c>
      <c r="Y161" s="315"/>
      <c r="Z161" s="316" t="s">
        <v>4524</v>
      </c>
      <c r="AA161" s="854">
        <v>2</v>
      </c>
      <c r="AC161" s="681"/>
    </row>
    <row r="162" spans="1:29" ht="35.1" hidden="1" customHeight="1">
      <c r="A162" s="660"/>
      <c r="B162" s="23"/>
      <c r="C162" s="23"/>
      <c r="D162" s="23"/>
      <c r="E162" s="305"/>
      <c r="F162" s="305"/>
      <c r="G162" s="319"/>
      <c r="H162" s="381"/>
      <c r="I162" s="297"/>
      <c r="J162" s="297"/>
      <c r="K162" s="297"/>
      <c r="L162" s="297"/>
      <c r="M162" s="388"/>
      <c r="N162" s="296"/>
      <c r="O162" s="296"/>
      <c r="P162" s="296"/>
      <c r="Q162" s="296"/>
      <c r="R162" s="306"/>
      <c r="S162" s="307"/>
      <c r="T162" s="307"/>
      <c r="U162" s="307"/>
      <c r="V162" s="307"/>
      <c r="W162" s="307"/>
      <c r="X162" s="317"/>
      <c r="Y162" s="308"/>
      <c r="Z162" s="992"/>
      <c r="AA162" s="384"/>
      <c r="AC162" s="2"/>
    </row>
    <row r="163" spans="1:29" ht="35.1" hidden="1" customHeight="1">
      <c r="A163" s="660"/>
      <c r="B163" s="23"/>
      <c r="C163" s="23"/>
      <c r="D163" s="23"/>
      <c r="E163" s="310" t="s">
        <v>4525</v>
      </c>
      <c r="F163" s="406" t="s">
        <v>596</v>
      </c>
      <c r="G163" s="719" t="s">
        <v>4526</v>
      </c>
      <c r="H163" s="380" t="s">
        <v>4527</v>
      </c>
      <c r="I163" s="299" t="s">
        <v>4177</v>
      </c>
      <c r="J163" s="300" t="s">
        <v>49</v>
      </c>
      <c r="K163" s="312" t="s">
        <v>4125</v>
      </c>
      <c r="L163" s="312"/>
      <c r="M163" s="312" t="s">
        <v>4159</v>
      </c>
      <c r="N163" s="313" t="s">
        <v>4160</v>
      </c>
      <c r="O163" s="301" t="s">
        <v>4178</v>
      </c>
      <c r="P163" s="314" t="s">
        <v>4528</v>
      </c>
      <c r="Q163" s="314" t="s">
        <v>4529</v>
      </c>
      <c r="R163" s="846">
        <v>3</v>
      </c>
      <c r="S163" s="302"/>
      <c r="T163" s="302"/>
      <c r="U163" s="302"/>
      <c r="V163" s="302"/>
      <c r="W163" s="302" t="s">
        <v>4125</v>
      </c>
      <c r="X163" s="303" t="s">
        <v>4125</v>
      </c>
      <c r="Y163" s="315"/>
      <c r="Z163" s="316" t="s">
        <v>4530</v>
      </c>
      <c r="AA163" s="854">
        <v>2</v>
      </c>
      <c r="AC163" s="681"/>
    </row>
    <row r="164" spans="1:29" ht="35.1" hidden="1" customHeight="1">
      <c r="A164" s="660"/>
      <c r="B164" s="23"/>
      <c r="C164" s="23"/>
      <c r="D164" s="23"/>
      <c r="E164" s="305"/>
      <c r="F164" s="305"/>
      <c r="G164" s="319"/>
      <c r="H164" s="381"/>
      <c r="I164" s="297"/>
      <c r="J164" s="297"/>
      <c r="K164" s="297"/>
      <c r="L164" s="297"/>
      <c r="M164" s="991"/>
      <c r="N164" s="296"/>
      <c r="O164" s="296"/>
      <c r="P164" s="296"/>
      <c r="Q164" s="296"/>
      <c r="R164" s="306"/>
      <c r="S164" s="307"/>
      <c r="T164" s="307"/>
      <c r="U164" s="307"/>
      <c r="V164" s="307"/>
      <c r="W164" s="307"/>
      <c r="X164" s="317"/>
      <c r="Y164" s="308"/>
      <c r="Z164" s="992"/>
      <c r="AA164" s="384"/>
      <c r="AC164" s="2"/>
    </row>
    <row r="165" spans="1:29" ht="35.1" customHeight="1">
      <c r="A165" s="660"/>
      <c r="B165" s="23"/>
      <c r="C165" s="23"/>
      <c r="D165" s="23"/>
      <c r="E165" s="310" t="s">
        <v>4531</v>
      </c>
      <c r="F165" s="406" t="s">
        <v>525</v>
      </c>
      <c r="G165" s="719" t="s">
        <v>4532</v>
      </c>
      <c r="H165" s="380" t="s">
        <v>4533</v>
      </c>
      <c r="I165" s="299" t="s">
        <v>4167</v>
      </c>
      <c r="J165" s="300" t="s">
        <v>49</v>
      </c>
      <c r="K165" s="300" t="s">
        <v>4125</v>
      </c>
      <c r="L165" s="300" t="s">
        <v>4125</v>
      </c>
      <c r="M165" s="313" t="s">
        <v>4368</v>
      </c>
      <c r="N165" s="301" t="s">
        <v>4369</v>
      </c>
      <c r="O165" s="300" t="s">
        <v>4168</v>
      </c>
      <c r="P165" s="300" t="s">
        <v>4534</v>
      </c>
      <c r="Q165" s="301" t="s">
        <v>4386</v>
      </c>
      <c r="R165" s="300">
        <v>0</v>
      </c>
      <c r="S165" s="302"/>
      <c r="T165" s="302"/>
      <c r="U165" s="302"/>
      <c r="V165" s="302" t="s">
        <v>4125</v>
      </c>
      <c r="W165" s="302"/>
      <c r="X165" s="302"/>
      <c r="Y165" s="300"/>
      <c r="Z165" s="316" t="s">
        <v>4195</v>
      </c>
      <c r="AA165" s="301" t="s">
        <v>184</v>
      </c>
      <c r="AC165" s="2"/>
    </row>
    <row r="166" spans="1:29" ht="35.1" hidden="1" customHeight="1">
      <c r="A166" s="660"/>
      <c r="B166" s="23"/>
      <c r="C166" s="23"/>
      <c r="D166" s="23"/>
      <c r="E166" s="305"/>
      <c r="F166" s="305"/>
      <c r="G166" s="319"/>
      <c r="H166" s="381"/>
      <c r="I166" s="297"/>
      <c r="J166" s="297"/>
      <c r="K166" s="297"/>
      <c r="L166" s="297"/>
      <c r="M166" s="991" t="s">
        <v>4159</v>
      </c>
      <c r="N166" s="296" t="s">
        <v>4160</v>
      </c>
      <c r="O166" s="296"/>
      <c r="P166" s="296"/>
      <c r="Q166" s="296"/>
      <c r="R166" s="306"/>
      <c r="S166" s="307"/>
      <c r="T166" s="307"/>
      <c r="U166" s="307"/>
      <c r="V166" s="307"/>
      <c r="W166" s="307"/>
      <c r="X166" s="317"/>
      <c r="Y166" s="308"/>
      <c r="Z166" s="992"/>
      <c r="AA166" s="384"/>
      <c r="AC166" s="2"/>
    </row>
    <row r="167" spans="1:29" ht="35.1" customHeight="1">
      <c r="A167" s="660"/>
      <c r="B167" s="23"/>
      <c r="C167" s="23"/>
      <c r="D167" s="23"/>
      <c r="E167" s="310" t="s">
        <v>4535</v>
      </c>
      <c r="F167" s="406" t="s">
        <v>525</v>
      </c>
      <c r="G167" s="719" t="s">
        <v>4536</v>
      </c>
      <c r="H167" s="380" t="s">
        <v>4537</v>
      </c>
      <c r="I167" s="299" t="s">
        <v>4167</v>
      </c>
      <c r="J167" s="300" t="s">
        <v>49</v>
      </c>
      <c r="K167" s="300" t="s">
        <v>4125</v>
      </c>
      <c r="L167" s="300" t="s">
        <v>4125</v>
      </c>
      <c r="M167" s="313" t="s">
        <v>4368</v>
      </c>
      <c r="N167" s="301" t="s">
        <v>4369</v>
      </c>
      <c r="O167" s="300" t="s">
        <v>4168</v>
      </c>
      <c r="P167" s="300" t="s">
        <v>4538</v>
      </c>
      <c r="Q167" s="301" t="s">
        <v>4539</v>
      </c>
      <c r="R167" s="300">
        <v>0</v>
      </c>
      <c r="S167" s="302"/>
      <c r="T167" s="302"/>
      <c r="U167" s="302"/>
      <c r="V167" s="302" t="s">
        <v>4125</v>
      </c>
      <c r="W167" s="302"/>
      <c r="X167" s="302"/>
      <c r="Y167" s="300"/>
      <c r="Z167" s="316" t="s">
        <v>4195</v>
      </c>
      <c r="AA167" s="301" t="s">
        <v>184</v>
      </c>
      <c r="AC167" s="2"/>
    </row>
    <row r="168" spans="1:29" ht="35.1" hidden="1" customHeight="1">
      <c r="A168" s="660"/>
      <c r="B168" s="23"/>
      <c r="C168" s="23"/>
      <c r="D168" s="23"/>
      <c r="E168" s="305"/>
      <c r="F168" s="305"/>
      <c r="G168" s="319"/>
      <c r="H168" s="381"/>
      <c r="I168" s="297"/>
      <c r="J168" s="297"/>
      <c r="K168" s="297"/>
      <c r="L168" s="297"/>
      <c r="M168" s="991" t="s">
        <v>4159</v>
      </c>
      <c r="N168" s="296" t="s">
        <v>4160</v>
      </c>
      <c r="O168" s="296"/>
      <c r="P168" s="296"/>
      <c r="Q168" s="296"/>
      <c r="R168" s="306"/>
      <c r="S168" s="307"/>
      <c r="T168" s="307"/>
      <c r="U168" s="307"/>
      <c r="V168" s="307"/>
      <c r="W168" s="307"/>
      <c r="X168" s="317"/>
      <c r="Y168" s="308"/>
      <c r="Z168" s="992"/>
      <c r="AA168" s="384"/>
      <c r="AC168" s="2"/>
    </row>
    <row r="169" spans="1:29" ht="35.1" customHeight="1">
      <c r="A169" s="660"/>
      <c r="B169" s="23"/>
      <c r="C169" s="23"/>
      <c r="D169" s="23"/>
      <c r="E169" s="310" t="s">
        <v>4540</v>
      </c>
      <c r="F169" s="406" t="s">
        <v>525</v>
      </c>
      <c r="G169" s="719" t="s">
        <v>4541</v>
      </c>
      <c r="H169" s="380" t="s">
        <v>4542</v>
      </c>
      <c r="I169" s="299" t="s">
        <v>4167</v>
      </c>
      <c r="J169" s="300" t="s">
        <v>49</v>
      </c>
      <c r="K169" s="300" t="s">
        <v>4125</v>
      </c>
      <c r="L169" s="300" t="s">
        <v>4125</v>
      </c>
      <c r="M169" s="313" t="s">
        <v>4217</v>
      </c>
      <c r="N169" s="301" t="s">
        <v>4376</v>
      </c>
      <c r="O169" s="300" t="s">
        <v>4168</v>
      </c>
      <c r="P169" s="300" t="s">
        <v>4543</v>
      </c>
      <c r="Q169" s="301" t="s">
        <v>4544</v>
      </c>
      <c r="R169" s="300">
        <v>0</v>
      </c>
      <c r="S169" s="302"/>
      <c r="T169" s="302"/>
      <c r="U169" s="302"/>
      <c r="V169" s="302" t="s">
        <v>4125</v>
      </c>
      <c r="W169" s="302"/>
      <c r="X169" s="302"/>
      <c r="Y169" s="300"/>
      <c r="Z169" s="316" t="s">
        <v>4195</v>
      </c>
      <c r="AA169" s="301" t="s">
        <v>184</v>
      </c>
      <c r="AC169" s="2"/>
    </row>
    <row r="170" spans="1:29" ht="35.1" hidden="1" customHeight="1">
      <c r="A170" s="660"/>
      <c r="B170" s="23"/>
      <c r="C170" s="23"/>
      <c r="D170" s="23"/>
      <c r="E170" s="305"/>
      <c r="F170" s="305"/>
      <c r="G170" s="319"/>
      <c r="H170" s="381"/>
      <c r="I170" s="297"/>
      <c r="J170" s="297"/>
      <c r="K170" s="297"/>
      <c r="L170" s="297"/>
      <c r="M170" s="991" t="s">
        <v>4159</v>
      </c>
      <c r="N170" s="296" t="s">
        <v>4160</v>
      </c>
      <c r="O170" s="296"/>
      <c r="P170" s="296"/>
      <c r="Q170" s="296"/>
      <c r="R170" s="306"/>
      <c r="S170" s="307"/>
      <c r="T170" s="307"/>
      <c r="U170" s="307"/>
      <c r="V170" s="307"/>
      <c r="W170" s="307"/>
      <c r="X170" s="317"/>
      <c r="Y170" s="308"/>
      <c r="Z170" s="992"/>
      <c r="AA170" s="384"/>
      <c r="AC170" s="2"/>
    </row>
    <row r="171" spans="1:29" ht="35.1" customHeight="1">
      <c r="A171" s="660"/>
      <c r="B171" s="23"/>
      <c r="C171" s="23"/>
      <c r="D171" s="23"/>
      <c r="E171" s="310" t="s">
        <v>4545</v>
      </c>
      <c r="F171" s="406" t="s">
        <v>525</v>
      </c>
      <c r="G171" s="719" t="s">
        <v>4546</v>
      </c>
      <c r="H171" s="380" t="s">
        <v>4547</v>
      </c>
      <c r="I171" s="299" t="s">
        <v>4167</v>
      </c>
      <c r="J171" s="300" t="s">
        <v>49</v>
      </c>
      <c r="K171" s="300" t="s">
        <v>4125</v>
      </c>
      <c r="L171" s="300" t="s">
        <v>4125</v>
      </c>
      <c r="M171" s="313" t="s">
        <v>4217</v>
      </c>
      <c r="N171" s="301" t="s">
        <v>4376</v>
      </c>
      <c r="O171" s="300" t="s">
        <v>4168</v>
      </c>
      <c r="P171" s="300" t="s">
        <v>4548</v>
      </c>
      <c r="Q171" s="301" t="s">
        <v>4549</v>
      </c>
      <c r="R171" s="300">
        <v>0</v>
      </c>
      <c r="S171" s="302"/>
      <c r="T171" s="302"/>
      <c r="U171" s="302"/>
      <c r="V171" s="302" t="s">
        <v>4125</v>
      </c>
      <c r="W171" s="302"/>
      <c r="X171" s="303"/>
      <c r="Y171" s="315"/>
      <c r="Z171" s="316" t="s">
        <v>4195</v>
      </c>
      <c r="AA171" s="301" t="s">
        <v>184</v>
      </c>
      <c r="AC171" s="2"/>
    </row>
    <row r="172" spans="1:29" ht="35.1" hidden="1" customHeight="1">
      <c r="A172" s="660"/>
      <c r="B172" s="23"/>
      <c r="C172" s="23"/>
      <c r="D172" s="23"/>
      <c r="E172" s="305"/>
      <c r="F172" s="305"/>
      <c r="G172" s="319"/>
      <c r="H172" s="381"/>
      <c r="I172" s="297"/>
      <c r="J172" s="297"/>
      <c r="K172" s="297"/>
      <c r="L172" s="297"/>
      <c r="M172" s="991" t="s">
        <v>4159</v>
      </c>
      <c r="N172" s="296" t="s">
        <v>4160</v>
      </c>
      <c r="O172" s="296"/>
      <c r="P172" s="296"/>
      <c r="Q172" s="296"/>
      <c r="R172" s="306"/>
      <c r="S172" s="307"/>
      <c r="T172" s="307"/>
      <c r="U172" s="307"/>
      <c r="V172" s="307"/>
      <c r="W172" s="307"/>
      <c r="X172" s="317"/>
      <c r="Y172" s="308"/>
      <c r="Z172" s="992"/>
      <c r="AA172" s="384"/>
      <c r="AC172" s="2"/>
    </row>
    <row r="173" spans="1:29" ht="35.1" customHeight="1">
      <c r="A173" s="660"/>
      <c r="B173" s="23"/>
      <c r="C173" s="23"/>
      <c r="D173" s="23"/>
      <c r="E173" s="310" t="s">
        <v>4550</v>
      </c>
      <c r="F173" s="406" t="s">
        <v>525</v>
      </c>
      <c r="G173" s="719" t="s">
        <v>4551</v>
      </c>
      <c r="H173" s="380" t="s">
        <v>4552</v>
      </c>
      <c r="I173" s="299" t="s">
        <v>4167</v>
      </c>
      <c r="J173" s="300" t="s">
        <v>49</v>
      </c>
      <c r="K173" s="300" t="s">
        <v>4125</v>
      </c>
      <c r="L173" s="300" t="s">
        <v>4125</v>
      </c>
      <c r="M173" s="313" t="s">
        <v>4442</v>
      </c>
      <c r="N173" s="301" t="s">
        <v>4443</v>
      </c>
      <c r="O173" s="300" t="s">
        <v>4168</v>
      </c>
      <c r="P173" s="300" t="s">
        <v>4553</v>
      </c>
      <c r="Q173" s="301" t="s">
        <v>4554</v>
      </c>
      <c r="R173" s="300">
        <v>0</v>
      </c>
      <c r="S173" s="302"/>
      <c r="T173" s="302"/>
      <c r="U173" s="302"/>
      <c r="V173" s="302" t="s">
        <v>4125</v>
      </c>
      <c r="W173" s="302"/>
      <c r="X173" s="303"/>
      <c r="Y173" s="315"/>
      <c r="Z173" s="316" t="s">
        <v>4195</v>
      </c>
      <c r="AA173" s="301" t="s">
        <v>184</v>
      </c>
      <c r="AC173" s="2"/>
    </row>
    <row r="174" spans="1:29" ht="35.1" hidden="1" customHeight="1">
      <c r="A174" s="660"/>
      <c r="B174" s="23"/>
      <c r="C174" s="23"/>
      <c r="D174" s="23"/>
      <c r="E174" s="305"/>
      <c r="F174" s="305"/>
      <c r="G174" s="319"/>
      <c r="H174" s="381"/>
      <c r="I174" s="297"/>
      <c r="J174" s="297"/>
      <c r="K174" s="297"/>
      <c r="L174" s="297"/>
      <c r="M174" s="991" t="s">
        <v>4159</v>
      </c>
      <c r="N174" s="296" t="s">
        <v>4160</v>
      </c>
      <c r="O174" s="296"/>
      <c r="P174" s="296"/>
      <c r="Q174" s="296"/>
      <c r="R174" s="306"/>
      <c r="S174" s="307"/>
      <c r="T174" s="307"/>
      <c r="U174" s="307"/>
      <c r="V174" s="307"/>
      <c r="W174" s="307"/>
      <c r="X174" s="317"/>
      <c r="Y174" s="308"/>
      <c r="Z174" s="992"/>
      <c r="AA174" s="384"/>
      <c r="AC174" s="2"/>
    </row>
    <row r="175" spans="1:29" ht="35.1" customHeight="1">
      <c r="A175" s="660"/>
      <c r="B175" s="23"/>
      <c r="C175" s="23"/>
      <c r="D175" s="23"/>
      <c r="E175" s="310" t="s">
        <v>4555</v>
      </c>
      <c r="F175" s="406" t="s">
        <v>525</v>
      </c>
      <c r="G175" s="719" t="s">
        <v>4556</v>
      </c>
      <c r="H175" s="380" t="s">
        <v>4557</v>
      </c>
      <c r="I175" s="299" t="s">
        <v>4167</v>
      </c>
      <c r="J175" s="300" t="s">
        <v>49</v>
      </c>
      <c r="K175" s="300" t="s">
        <v>4125</v>
      </c>
      <c r="L175" s="300" t="s">
        <v>4125</v>
      </c>
      <c r="M175" s="313" t="s">
        <v>4442</v>
      </c>
      <c r="N175" s="301" t="s">
        <v>4443</v>
      </c>
      <c r="O175" s="300" t="s">
        <v>4168</v>
      </c>
      <c r="P175" s="300" t="s">
        <v>4558</v>
      </c>
      <c r="Q175" s="301" t="s">
        <v>4559</v>
      </c>
      <c r="R175" s="300">
        <v>0</v>
      </c>
      <c r="S175" s="302"/>
      <c r="T175" s="302"/>
      <c r="U175" s="302"/>
      <c r="V175" s="302" t="s">
        <v>4125</v>
      </c>
      <c r="W175" s="302"/>
      <c r="X175" s="303"/>
      <c r="Y175" s="315"/>
      <c r="Z175" s="316" t="s">
        <v>4195</v>
      </c>
      <c r="AA175" s="301" t="s">
        <v>184</v>
      </c>
      <c r="AC175" s="2"/>
    </row>
    <row r="176" spans="1:29" ht="35.1" hidden="1" customHeight="1">
      <c r="A176" s="660"/>
      <c r="B176" s="23"/>
      <c r="C176" s="23"/>
      <c r="D176" s="23"/>
      <c r="E176" s="305"/>
      <c r="F176" s="305"/>
      <c r="G176" s="319"/>
      <c r="H176" s="381"/>
      <c r="I176" s="297"/>
      <c r="J176" s="297"/>
      <c r="K176" s="297"/>
      <c r="L176" s="297"/>
      <c r="M176" s="991" t="s">
        <v>4159</v>
      </c>
      <c r="N176" s="296" t="s">
        <v>4160</v>
      </c>
      <c r="O176" s="296"/>
      <c r="P176" s="296"/>
      <c r="Q176" s="296"/>
      <c r="R176" s="306"/>
      <c r="S176" s="307"/>
      <c r="T176" s="307"/>
      <c r="U176" s="307"/>
      <c r="V176" s="307"/>
      <c r="W176" s="307"/>
      <c r="X176" s="317"/>
      <c r="Y176" s="308"/>
      <c r="Z176" s="992"/>
      <c r="AA176" s="384"/>
      <c r="AC176" s="2"/>
    </row>
    <row r="177" spans="1:32" ht="35.1" customHeight="1">
      <c r="A177" s="660"/>
      <c r="B177" s="23"/>
      <c r="C177" s="23"/>
      <c r="D177" s="23"/>
      <c r="E177" s="310" t="s">
        <v>4560</v>
      </c>
      <c r="F177" s="406" t="s">
        <v>525</v>
      </c>
      <c r="G177" s="719" t="s">
        <v>4561</v>
      </c>
      <c r="H177" s="380" t="s">
        <v>4562</v>
      </c>
      <c r="I177" s="299" t="s">
        <v>4167</v>
      </c>
      <c r="J177" s="300" t="s">
        <v>49</v>
      </c>
      <c r="K177" s="300" t="s">
        <v>4125</v>
      </c>
      <c r="L177" s="300" t="s">
        <v>4125</v>
      </c>
      <c r="M177" s="313" t="s">
        <v>4449</v>
      </c>
      <c r="N177" s="301" t="s">
        <v>4450</v>
      </c>
      <c r="O177" s="300" t="s">
        <v>4168</v>
      </c>
      <c r="P177" s="300" t="s">
        <v>4563</v>
      </c>
      <c r="Q177" s="301" t="s">
        <v>4564</v>
      </c>
      <c r="R177" s="300">
        <v>0</v>
      </c>
      <c r="S177" s="302"/>
      <c r="T177" s="302"/>
      <c r="U177" s="302"/>
      <c r="V177" s="302" t="s">
        <v>4125</v>
      </c>
      <c r="W177" s="302"/>
      <c r="X177" s="303"/>
      <c r="Y177" s="315"/>
      <c r="Z177" s="316" t="s">
        <v>4195</v>
      </c>
      <c r="AA177" s="301" t="s">
        <v>184</v>
      </c>
      <c r="AC177" s="2"/>
    </row>
    <row r="178" spans="1:32" ht="35.1" hidden="1" customHeight="1">
      <c r="A178" s="660"/>
      <c r="B178" s="23"/>
      <c r="C178" s="23"/>
      <c r="D178" s="23"/>
      <c r="E178" s="305"/>
      <c r="F178" s="305"/>
      <c r="G178" s="319"/>
      <c r="H178" s="381"/>
      <c r="I178" s="297"/>
      <c r="J178" s="297"/>
      <c r="K178" s="297"/>
      <c r="L178" s="297"/>
      <c r="M178" s="991" t="s">
        <v>4159</v>
      </c>
      <c r="N178" s="296" t="s">
        <v>4160</v>
      </c>
      <c r="O178" s="296"/>
      <c r="P178" s="296"/>
      <c r="Q178" s="296"/>
      <c r="R178" s="306"/>
      <c r="S178" s="307"/>
      <c r="T178" s="307"/>
      <c r="U178" s="307"/>
      <c r="V178" s="307"/>
      <c r="W178" s="307"/>
      <c r="X178" s="317"/>
      <c r="Y178" s="308"/>
      <c r="Z178" s="992"/>
      <c r="AA178" s="384"/>
      <c r="AC178" s="2"/>
    </row>
    <row r="179" spans="1:32" ht="35.1" customHeight="1">
      <c r="A179" s="660"/>
      <c r="B179" s="23"/>
      <c r="C179" s="23"/>
      <c r="D179" s="23"/>
      <c r="E179" s="310" t="s">
        <v>4565</v>
      </c>
      <c r="F179" s="406" t="s">
        <v>525</v>
      </c>
      <c r="G179" s="719" t="s">
        <v>4566</v>
      </c>
      <c r="H179" s="380" t="s">
        <v>4567</v>
      </c>
      <c r="I179" s="299" t="s">
        <v>4167</v>
      </c>
      <c r="J179" s="300" t="s">
        <v>49</v>
      </c>
      <c r="K179" s="300" t="s">
        <v>4125</v>
      </c>
      <c r="L179" s="300" t="s">
        <v>4125</v>
      </c>
      <c r="M179" s="313" t="s">
        <v>4449</v>
      </c>
      <c r="N179" s="301" t="s">
        <v>4450</v>
      </c>
      <c r="O179" s="300" t="s">
        <v>4168</v>
      </c>
      <c r="P179" s="300" t="s">
        <v>4568</v>
      </c>
      <c r="Q179" s="301" t="s">
        <v>4569</v>
      </c>
      <c r="R179" s="300">
        <v>0</v>
      </c>
      <c r="S179" s="302"/>
      <c r="T179" s="302"/>
      <c r="U179" s="302"/>
      <c r="V179" s="302" t="s">
        <v>4125</v>
      </c>
      <c r="W179" s="302"/>
      <c r="X179" s="303"/>
      <c r="Y179" s="326"/>
      <c r="Z179" s="316" t="s">
        <v>4195</v>
      </c>
      <c r="AA179" s="301" t="s">
        <v>184</v>
      </c>
      <c r="AC179" s="2"/>
    </row>
    <row r="180" spans="1:32" ht="35.1" hidden="1" customHeight="1">
      <c r="A180" s="986"/>
      <c r="B180" s="694"/>
      <c r="C180" s="694"/>
      <c r="D180" s="694"/>
      <c r="E180" s="305"/>
      <c r="F180" s="305"/>
      <c r="G180" s="379"/>
      <c r="H180" s="381"/>
      <c r="I180" s="297"/>
      <c r="J180" s="297"/>
      <c r="K180" s="297"/>
      <c r="L180" s="297"/>
      <c r="M180" s="662" t="s">
        <v>4159</v>
      </c>
      <c r="N180" s="388" t="s">
        <v>4160</v>
      </c>
      <c r="O180" s="296"/>
      <c r="P180" s="296"/>
      <c r="Q180" s="296"/>
      <c r="R180" s="297"/>
      <c r="S180" s="575"/>
      <c r="T180" s="575"/>
      <c r="U180" s="575"/>
      <c r="V180" s="575"/>
      <c r="W180" s="575"/>
      <c r="X180" s="576"/>
      <c r="Y180" s="308"/>
      <c r="Z180" s="628"/>
      <c r="AA180" s="296"/>
    </row>
    <row r="181" spans="1:32" s="1" customFormat="1" ht="13.35" hidden="1" customHeight="1">
      <c r="D181" s="23"/>
      <c r="E181" s="759" t="s">
        <v>2074</v>
      </c>
      <c r="F181" s="18"/>
      <c r="G181" s="984"/>
      <c r="H181" s="979"/>
      <c r="I181" s="967"/>
      <c r="J181" s="964"/>
      <c r="K181" s="964"/>
      <c r="L181" s="964"/>
      <c r="M181" s="964"/>
      <c r="N181" s="964"/>
      <c r="O181" s="985"/>
      <c r="P181" s="74"/>
      <c r="Q181" s="74"/>
      <c r="R181" s="694"/>
      <c r="S181" s="986"/>
      <c r="T181" s="986"/>
      <c r="U181" s="986"/>
      <c r="V181" s="986"/>
      <c r="W181" s="986"/>
      <c r="X181" s="987"/>
      <c r="Y181" s="987"/>
      <c r="Z181" s="697"/>
      <c r="AA181" s="988"/>
      <c r="AB181" s="96"/>
      <c r="AC181" s="96"/>
      <c r="AD181" s="96"/>
      <c r="AE181" s="14"/>
      <c r="AF181" s="102"/>
    </row>
    <row r="182" spans="1:32" ht="13.35" hidden="1" customHeight="1">
      <c r="A182" s="1"/>
      <c r="B182" s="1"/>
      <c r="C182" s="1"/>
      <c r="D182" s="23"/>
      <c r="E182" s="96"/>
      <c r="F182" s="604"/>
      <c r="G182" s="371"/>
      <c r="H182" s="97"/>
      <c r="I182" s="102"/>
      <c r="J182" s="96"/>
      <c r="K182" s="96"/>
      <c r="L182" s="96"/>
      <c r="M182" s="96"/>
      <c r="N182" s="96"/>
      <c r="O182" s="24"/>
      <c r="P182" s="79"/>
      <c r="Q182" s="79"/>
      <c r="R182" s="23"/>
      <c r="S182" s="23"/>
      <c r="T182" s="23"/>
      <c r="U182" s="23"/>
      <c r="V182" s="23"/>
      <c r="W182" s="23"/>
      <c r="X182" s="144"/>
      <c r="Y182" s="144"/>
      <c r="Z182" s="133"/>
      <c r="AA182" s="24"/>
    </row>
    <row r="183" spans="1:32" ht="13.35" hidden="1" customHeight="1">
      <c r="A183" s="15"/>
      <c r="B183" s="15"/>
      <c r="C183" s="15"/>
      <c r="D183" s="23"/>
      <c r="E183" s="196">
        <v>83</v>
      </c>
      <c r="F183" s="604"/>
      <c r="G183" s="371"/>
      <c r="H183" s="97"/>
      <c r="I183" s="102"/>
      <c r="J183" s="96"/>
      <c r="K183" s="96"/>
      <c r="L183" s="96"/>
      <c r="M183" s="96"/>
      <c r="N183" s="96"/>
      <c r="O183" s="24"/>
      <c r="P183" s="79"/>
      <c r="Q183" s="11"/>
      <c r="R183" s="23"/>
      <c r="S183" s="23"/>
      <c r="T183" s="23"/>
      <c r="U183" s="23"/>
      <c r="V183" s="23"/>
      <c r="W183" s="23"/>
      <c r="X183" s="144"/>
      <c r="Y183" s="144"/>
      <c r="Z183" s="133"/>
      <c r="AA183" s="24"/>
    </row>
    <row r="184" spans="1:32" ht="13.35" customHeight="1">
      <c r="A184" s="15"/>
      <c r="B184" s="15"/>
      <c r="C184" s="15"/>
      <c r="D184" s="23"/>
      <c r="O184" s="24"/>
      <c r="P184" s="79"/>
      <c r="Q184" s="11"/>
      <c r="R184" s="23"/>
      <c r="S184" s="23"/>
      <c r="T184" s="23"/>
      <c r="U184" s="23"/>
      <c r="V184" s="23"/>
      <c r="W184" s="23"/>
      <c r="X184" s="2"/>
      <c r="Y184" s="2"/>
      <c r="Z184" s="11"/>
      <c r="AA184" s="2"/>
    </row>
    <row r="185" spans="1:32" ht="13.35" customHeight="1">
      <c r="A185" s="15"/>
      <c r="B185" s="15"/>
      <c r="C185" s="15"/>
      <c r="D185" s="23"/>
      <c r="O185" s="24"/>
      <c r="P185" s="79"/>
      <c r="Q185" s="11"/>
      <c r="R185" s="2"/>
      <c r="S185" s="2"/>
      <c r="T185" s="2"/>
      <c r="U185" s="2"/>
      <c r="V185" s="2"/>
      <c r="W185" s="2"/>
    </row>
    <row r="186" spans="1:32" ht="13.35" customHeight="1">
      <c r="A186" s="15"/>
      <c r="B186" s="15"/>
      <c r="C186" s="15"/>
      <c r="D186" s="23"/>
      <c r="O186" s="24"/>
      <c r="P186" s="24"/>
      <c r="Q186" s="11"/>
      <c r="R186" s="2"/>
      <c r="S186" s="2"/>
      <c r="T186" s="2"/>
      <c r="U186" s="2"/>
      <c r="V186" s="2"/>
      <c r="W186" s="2"/>
    </row>
    <row r="187" spans="1:32" ht="13.35" customHeight="1">
      <c r="A187" s="15"/>
      <c r="B187" s="15"/>
      <c r="C187" s="15"/>
      <c r="D187" s="23"/>
      <c r="O187" s="24"/>
      <c r="P187" s="24"/>
    </row>
    <row r="188" spans="1:32" ht="13.35" customHeight="1">
      <c r="A188" s="23"/>
      <c r="B188" s="23"/>
      <c r="C188" s="23"/>
      <c r="D188" s="23"/>
      <c r="O188" s="24"/>
      <c r="P188" s="24"/>
    </row>
    <row r="189" spans="1:32" ht="13.35" customHeight="1">
      <c r="A189" s="23"/>
      <c r="B189" s="23"/>
      <c r="C189" s="23"/>
      <c r="D189" s="23"/>
    </row>
    <row r="190" spans="1:32" ht="13.35" customHeight="1">
      <c r="A190" s="23"/>
      <c r="B190" s="23"/>
      <c r="C190" s="23"/>
      <c r="D190" s="23"/>
    </row>
    <row r="191" spans="1:32" ht="13.35" customHeight="1">
      <c r="A191" s="23"/>
      <c r="B191" s="23"/>
      <c r="C191" s="23"/>
      <c r="D191" s="23"/>
    </row>
    <row r="192" spans="1:32" ht="13.35" customHeight="1">
      <c r="A192" s="23"/>
      <c r="B192" s="23"/>
      <c r="C192" s="23"/>
      <c r="D192" s="23"/>
    </row>
    <row r="193" spans="1:4" ht="13.35" customHeight="1">
      <c r="A193" s="23"/>
      <c r="B193" s="23"/>
      <c r="C193" s="23"/>
      <c r="D193" s="23"/>
    </row>
    <row r="194" spans="1:4" ht="13.35" customHeight="1">
      <c r="A194" s="23"/>
      <c r="B194" s="23"/>
      <c r="C194" s="23"/>
      <c r="D194" s="23"/>
    </row>
    <row r="195" spans="1:4" ht="13.35" customHeight="1">
      <c r="A195" s="23"/>
      <c r="B195" s="23"/>
      <c r="C195" s="23"/>
      <c r="D195" s="23"/>
    </row>
    <row r="196" spans="1:4" ht="13.35" customHeight="1">
      <c r="A196" s="23"/>
      <c r="B196" s="23"/>
      <c r="C196" s="23"/>
      <c r="D196" s="23"/>
    </row>
    <row r="197" spans="1:4" ht="13.35" customHeight="1">
      <c r="A197" s="23"/>
      <c r="B197" s="23"/>
      <c r="C197" s="23"/>
      <c r="D197" s="23"/>
    </row>
    <row r="198" spans="1:4" ht="13.35" customHeight="1">
      <c r="A198" s="23"/>
      <c r="B198" s="23"/>
      <c r="C198" s="23"/>
      <c r="D198" s="23"/>
    </row>
    <row r="199" spans="1:4" ht="13.35" customHeight="1">
      <c r="A199" s="23"/>
      <c r="B199" s="23"/>
      <c r="C199" s="23"/>
      <c r="D199" s="23"/>
    </row>
    <row r="200" spans="1:4" ht="13.35" customHeight="1">
      <c r="A200" s="23"/>
      <c r="B200" s="23"/>
      <c r="C200" s="23"/>
      <c r="D200" s="23"/>
    </row>
    <row r="201" spans="1:4" ht="13.35" customHeight="1">
      <c r="A201" s="23"/>
      <c r="B201" s="23"/>
      <c r="C201" s="23"/>
      <c r="D201" s="23"/>
    </row>
    <row r="202" spans="1:4" ht="13.35" customHeight="1">
      <c r="A202" s="23"/>
      <c r="B202" s="23"/>
      <c r="C202" s="23"/>
      <c r="D202" s="23"/>
    </row>
    <row r="203" spans="1:4" ht="13.35" customHeight="1">
      <c r="A203" s="23"/>
      <c r="B203" s="23"/>
      <c r="C203" s="23"/>
      <c r="D203" s="23"/>
    </row>
    <row r="204" spans="1:4" ht="13.35" customHeight="1">
      <c r="A204" s="23"/>
      <c r="B204" s="23"/>
      <c r="C204" s="23"/>
      <c r="D204" s="23"/>
    </row>
    <row r="205" spans="1:4" ht="13.35" customHeight="1">
      <c r="A205" s="23"/>
      <c r="B205" s="23"/>
      <c r="C205" s="23"/>
      <c r="D205" s="23"/>
    </row>
    <row r="206" spans="1:4" ht="13.35" customHeight="1">
      <c r="A206" s="23"/>
      <c r="B206" s="23"/>
      <c r="C206" s="23"/>
      <c r="D206" s="23"/>
    </row>
    <row r="207" spans="1:4" ht="13.35" customHeight="1">
      <c r="A207" s="23"/>
      <c r="B207" s="23"/>
      <c r="C207" s="23"/>
      <c r="D207" s="23"/>
    </row>
    <row r="208" spans="1:4" ht="13.35" customHeight="1">
      <c r="A208" s="23"/>
      <c r="B208" s="23"/>
      <c r="C208" s="23"/>
      <c r="D208" s="23"/>
    </row>
    <row r="209" spans="1:4" ht="13.35" customHeight="1">
      <c r="A209" s="23"/>
      <c r="B209" s="23"/>
      <c r="C209" s="23"/>
      <c r="D209" s="23"/>
    </row>
    <row r="210" spans="1:4" ht="13.35" customHeight="1">
      <c r="A210" s="23"/>
      <c r="B210" s="23"/>
      <c r="C210" s="23"/>
      <c r="D210" s="23"/>
    </row>
    <row r="211" spans="1:4" ht="13.35" customHeight="1">
      <c r="A211" s="23"/>
      <c r="B211" s="23"/>
      <c r="C211" s="23"/>
      <c r="D211" s="23"/>
    </row>
    <row r="212" spans="1:4" ht="13.35" customHeight="1">
      <c r="A212" s="23"/>
      <c r="B212" s="23"/>
      <c r="C212" s="23"/>
      <c r="D212" s="23"/>
    </row>
    <row r="213" spans="1:4" ht="13.35" customHeight="1">
      <c r="A213" s="23"/>
      <c r="B213" s="23"/>
      <c r="C213" s="23"/>
      <c r="D213" s="23"/>
    </row>
    <row r="214" spans="1:4" ht="13.35" customHeight="1">
      <c r="A214" s="23"/>
      <c r="B214" s="23"/>
      <c r="C214" s="23"/>
      <c r="D214" s="23"/>
    </row>
    <row r="215" spans="1:4" ht="13.35" customHeight="1">
      <c r="A215" s="23"/>
      <c r="B215" s="23"/>
      <c r="C215" s="23"/>
      <c r="D215" s="23"/>
    </row>
    <row r="216" spans="1:4" ht="13.35" customHeight="1">
      <c r="A216" s="23"/>
      <c r="B216" s="23"/>
      <c r="C216" s="23"/>
      <c r="D216" s="23"/>
    </row>
    <row r="217" spans="1:4" ht="13.35" customHeight="1">
      <c r="A217" s="23"/>
      <c r="B217" s="23"/>
      <c r="C217" s="23"/>
      <c r="D217" s="23"/>
    </row>
    <row r="218" spans="1:4" ht="13.35" customHeight="1">
      <c r="A218" s="23"/>
      <c r="B218" s="23"/>
      <c r="C218" s="23"/>
      <c r="D218" s="23"/>
    </row>
    <row r="219" spans="1:4" ht="13.35" customHeight="1">
      <c r="A219" s="23"/>
      <c r="B219" s="23"/>
      <c r="C219" s="23"/>
      <c r="D219" s="23"/>
    </row>
    <row r="220" spans="1:4" ht="13.35" customHeight="1">
      <c r="A220" s="23"/>
      <c r="B220" s="23"/>
      <c r="C220" s="23"/>
      <c r="D220" s="23"/>
    </row>
    <row r="221" spans="1:4" ht="13.35" customHeight="1">
      <c r="A221" s="23"/>
      <c r="B221" s="23"/>
      <c r="C221" s="23"/>
      <c r="D221" s="23"/>
    </row>
    <row r="222" spans="1:4" ht="13.35" customHeight="1">
      <c r="A222" s="2"/>
      <c r="B222" s="2"/>
      <c r="C222" s="2"/>
      <c r="D222" s="2"/>
    </row>
    <row r="223" spans="1:4" ht="13.35" customHeight="1">
      <c r="A223" s="1"/>
      <c r="B223" s="1"/>
      <c r="C223" s="1"/>
      <c r="D223" s="1"/>
    </row>
    <row r="224" spans="1:4" ht="13.35" customHeight="1">
      <c r="A224" s="2"/>
      <c r="B224" s="2"/>
      <c r="C224" s="2"/>
      <c r="D224" s="2"/>
    </row>
    <row r="225" spans="1:4" ht="13.35" customHeight="1">
      <c r="A225" s="2"/>
      <c r="B225" s="2"/>
      <c r="C225" s="2"/>
      <c r="D225" s="2"/>
    </row>
    <row r="226" spans="1:4" ht="13.35" customHeight="1">
      <c r="A226" s="2"/>
      <c r="B226" s="2"/>
      <c r="C226" s="2"/>
      <c r="D226" s="2"/>
    </row>
    <row r="227" spans="1:4" ht="13.35" customHeight="1">
      <c r="A227" s="2"/>
      <c r="B227" s="2"/>
      <c r="C227" s="2"/>
      <c r="D227" s="2"/>
    </row>
    <row r="228" spans="1:4" ht="13.35" customHeight="1">
      <c r="A228" s="2"/>
      <c r="B228" s="2"/>
      <c r="C228" s="2"/>
      <c r="D228" s="2"/>
    </row>
    <row r="229" spans="1:4" ht="13.35" customHeight="1">
      <c r="A229" s="2"/>
      <c r="B229" s="2"/>
      <c r="C229" s="2"/>
      <c r="D229" s="2"/>
    </row>
    <row r="230" spans="1:4" ht="13.35" customHeight="1">
      <c r="A230" s="2"/>
      <c r="B230" s="2"/>
      <c r="C230" s="2"/>
      <c r="D230" s="2"/>
    </row>
    <row r="231" spans="1:4" ht="13.35" customHeight="1">
      <c r="A231" s="2"/>
      <c r="B231" s="2"/>
      <c r="C231" s="2"/>
      <c r="D231" s="2"/>
    </row>
    <row r="232" spans="1:4" ht="13.35" customHeight="1">
      <c r="A232" s="2"/>
      <c r="B232" s="2"/>
      <c r="C232" s="2"/>
      <c r="D232" s="2"/>
    </row>
    <row r="233" spans="1:4" ht="13.35" customHeight="1">
      <c r="A233" s="2"/>
      <c r="B233" s="2"/>
      <c r="C233" s="2"/>
      <c r="D233" s="2"/>
    </row>
    <row r="234" spans="1:4" ht="13.35" customHeight="1">
      <c r="A234" s="2"/>
      <c r="B234" s="2"/>
      <c r="C234" s="2"/>
      <c r="D234" s="2"/>
    </row>
    <row r="235" spans="1:4" ht="13.35" customHeight="1">
      <c r="A235" s="2"/>
      <c r="B235" s="2"/>
      <c r="C235" s="2"/>
      <c r="D235" s="2"/>
    </row>
    <row r="236" spans="1:4" ht="13.35" customHeight="1">
      <c r="A236" s="2"/>
      <c r="B236" s="2"/>
      <c r="C236" s="2"/>
      <c r="D236" s="2"/>
    </row>
    <row r="237" spans="1:4" ht="13.35" customHeight="1">
      <c r="A237" s="2"/>
      <c r="B237" s="2"/>
      <c r="C237" s="2"/>
      <c r="D237" s="2"/>
    </row>
    <row r="238" spans="1:4" ht="13.35" customHeight="1">
      <c r="A238" s="2"/>
      <c r="B238" s="2"/>
      <c r="C238" s="2"/>
      <c r="D238" s="2"/>
    </row>
    <row r="239" spans="1:4" ht="13.35" customHeight="1">
      <c r="A239" s="2"/>
      <c r="B239" s="2"/>
      <c r="C239" s="2"/>
      <c r="D239" s="2"/>
    </row>
    <row r="240" spans="1:4" ht="13.35" customHeight="1">
      <c r="A240" s="2"/>
      <c r="B240" s="2"/>
      <c r="C240" s="2"/>
      <c r="D240" s="2"/>
    </row>
    <row r="241" spans="1:4" ht="13.35" customHeight="1">
      <c r="A241" s="2"/>
      <c r="B241" s="2"/>
      <c r="C241" s="2"/>
      <c r="D241" s="2"/>
    </row>
    <row r="242" spans="1:4" ht="13.35" customHeight="1">
      <c r="A242" s="2"/>
      <c r="B242" s="2"/>
      <c r="C242" s="2"/>
      <c r="D242" s="2"/>
    </row>
    <row r="243" spans="1:4" ht="13.35" customHeight="1">
      <c r="A243" s="2"/>
      <c r="B243" s="2"/>
      <c r="C243" s="2"/>
      <c r="D243" s="2"/>
    </row>
    <row r="244" spans="1:4" ht="13.35" customHeight="1">
      <c r="A244" s="2"/>
      <c r="B244" s="2"/>
      <c r="C244" s="2"/>
      <c r="D244" s="2"/>
    </row>
    <row r="245" spans="1:4" ht="13.35" customHeight="1">
      <c r="A245" s="2"/>
      <c r="B245" s="2"/>
      <c r="C245" s="2"/>
      <c r="D245" s="2"/>
    </row>
    <row r="246" spans="1:4" ht="13.35" customHeight="1">
      <c r="A246" s="2"/>
      <c r="B246" s="2"/>
      <c r="C246" s="2"/>
      <c r="D246" s="2"/>
    </row>
    <row r="247" spans="1:4" ht="13.35" customHeight="1">
      <c r="A247" s="2"/>
      <c r="B247" s="2"/>
      <c r="C247" s="2"/>
      <c r="D247" s="2"/>
    </row>
    <row r="248" spans="1:4" ht="13.35" customHeight="1">
      <c r="A248" s="2"/>
      <c r="B248" s="2"/>
      <c r="C248" s="2"/>
      <c r="D248" s="2"/>
    </row>
    <row r="249" spans="1:4" ht="13.35" customHeight="1">
      <c r="A249" s="2"/>
      <c r="B249" s="2"/>
      <c r="C249" s="2"/>
      <c r="D249" s="2"/>
    </row>
    <row r="250" spans="1:4" ht="13.35" customHeight="1">
      <c r="A250" s="2"/>
      <c r="B250" s="2"/>
      <c r="C250" s="2"/>
      <c r="D250" s="2"/>
    </row>
    <row r="251" spans="1:4" ht="13.35" customHeight="1">
      <c r="A251" s="2"/>
      <c r="B251" s="2"/>
      <c r="C251" s="2"/>
      <c r="D251" s="2"/>
    </row>
    <row r="252" spans="1:4" ht="13.35" customHeight="1">
      <c r="A252" s="2"/>
      <c r="B252" s="2"/>
      <c r="C252" s="2"/>
      <c r="D252" s="2"/>
    </row>
    <row r="253" spans="1:4" ht="13.35" customHeight="1">
      <c r="A253" s="2"/>
      <c r="B253" s="2"/>
      <c r="C253" s="2"/>
      <c r="D253" s="2"/>
    </row>
    <row r="254" spans="1:4" ht="13.35" customHeight="1">
      <c r="A254" s="2"/>
      <c r="B254" s="2"/>
      <c r="C254" s="2"/>
      <c r="D254" s="2"/>
    </row>
    <row r="255" spans="1:4" ht="13.35" customHeight="1">
      <c r="A255" s="2"/>
      <c r="B255" s="2"/>
      <c r="C255" s="2"/>
      <c r="D255" s="2"/>
    </row>
    <row r="256" spans="1:4" ht="13.35" customHeight="1">
      <c r="A256" s="2"/>
      <c r="B256" s="2"/>
      <c r="C256" s="2"/>
      <c r="D256" s="2"/>
    </row>
    <row r="257" spans="1:4" ht="13.35" customHeight="1">
      <c r="A257" s="2"/>
      <c r="B257" s="2"/>
      <c r="C257" s="2"/>
      <c r="D257" s="2"/>
    </row>
    <row r="258" spans="1:4" ht="13.35" customHeight="1">
      <c r="A258" s="2"/>
      <c r="B258" s="2"/>
      <c r="C258" s="2"/>
      <c r="D258" s="2"/>
    </row>
    <row r="259" spans="1:4" ht="13.35" customHeight="1">
      <c r="A259" s="2"/>
      <c r="B259" s="2"/>
      <c r="C259" s="2"/>
      <c r="D259" s="2"/>
    </row>
    <row r="260" spans="1:4" ht="13.35" customHeight="1">
      <c r="A260" s="2"/>
      <c r="B260" s="2"/>
      <c r="C260" s="2"/>
      <c r="D260" s="2"/>
    </row>
    <row r="261" spans="1:4" ht="13.35" customHeight="1">
      <c r="A261" s="2"/>
      <c r="B261" s="2"/>
      <c r="C261" s="2"/>
      <c r="D261" s="2"/>
    </row>
    <row r="262" spans="1:4" ht="13.35" customHeight="1">
      <c r="A262" s="2"/>
      <c r="B262" s="2"/>
      <c r="C262" s="2"/>
      <c r="D262" s="2"/>
    </row>
    <row r="263" spans="1:4" ht="13.35" customHeight="1">
      <c r="A263" s="2"/>
      <c r="B263" s="2"/>
      <c r="C263" s="2"/>
      <c r="D263" s="2"/>
    </row>
    <row r="264" spans="1:4" ht="13.35" customHeight="1">
      <c r="A264" s="2"/>
      <c r="B264" s="2"/>
      <c r="C264" s="2"/>
      <c r="D264" s="2"/>
    </row>
  </sheetData>
  <autoFilter ref="E6:X183" xr:uid="{00000000-0009-0000-0000-000006000000}">
    <filterColumn colId="7">
      <customFilters>
        <customFilter operator="notEqual" val=" "/>
      </customFilters>
    </filterColumn>
  </autoFilter>
  <dataConsolidate/>
  <mergeCells count="3">
    <mergeCell ref="K5:M5"/>
    <mergeCell ref="O5:Y5"/>
    <mergeCell ref="E4:AA4"/>
  </mergeCells>
  <phoneticPr fontId="0" type="noConversion"/>
  <conditionalFormatting sqref="E7:E180">
    <cfRule type="duplicateValues" dxfId="55" priority="4000"/>
  </conditionalFormatting>
  <conditionalFormatting sqref="H7:H154 I155:I157 H158:H180">
    <cfRule type="expression" dxfId="54" priority="9">
      <formula>LEN(H7)&gt;24</formula>
    </cfRule>
  </conditionalFormatting>
  <conditionalFormatting sqref="Q7:Q180">
    <cfRule type="expression" dxfId="53" priority="6">
      <formula>LEN(Q7)&gt;32</formula>
    </cfRule>
  </conditionalFormatting>
  <printOptions horizontalCentered="1"/>
  <pageMargins left="0.39370078740157483" right="0.39370078740157483" top="0.59055118110236227" bottom="0.59055118110236227" header="0.59055118110236227" footer="0.39370078740157483"/>
  <pageSetup paperSize="8" scale="38" fitToHeight="0" orientation="landscape" r:id="rId1"/>
  <headerFooter scaleWithDoc="0" alignWithMargins="0"/>
  <rowBreaks count="4" manualBreakCount="4">
    <brk id="40" min="4" max="26" man="1"/>
    <brk id="66" min="4" max="26" man="1"/>
    <brk id="106" min="4" max="26" man="1"/>
    <brk id="150" min="4"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A82A-2DBF-42CF-B75F-0162AF900402}">
  <sheetPr codeName="Sheet16">
    <tabColor indexed="39"/>
    <pageSetUpPr fitToPage="1"/>
  </sheetPr>
  <dimension ref="A1:AI79"/>
  <sheetViews>
    <sheetView view="pageBreakPreview" topLeftCell="E1" zoomScale="70" zoomScaleNormal="40" zoomScaleSheetLayoutView="70" workbookViewId="0">
      <selection activeCell="E10" sqref="E10"/>
    </sheetView>
  </sheetViews>
  <sheetFormatPr defaultColWidth="18.6640625" defaultRowHeight="13.35" customHeight="1" outlineLevelCol="1"/>
  <cols>
    <col min="1" max="4" width="11.5" style="3" hidden="1" customWidth="1"/>
    <col min="5" max="5" width="26.1640625" style="15" customWidth="1"/>
    <col min="6" max="6" width="36.6640625" style="15" customWidth="1"/>
    <col min="7" max="7" width="96.33203125" style="15" customWidth="1" outlineLevel="1"/>
    <col min="8" max="8" width="59.6640625" style="15" bestFit="1" customWidth="1"/>
    <col min="9" max="9" width="23.6640625" style="15" bestFit="1" customWidth="1"/>
    <col min="10" max="10" width="14.33203125" style="15" customWidth="1"/>
    <col min="11" max="12" width="6.6640625" style="77" customWidth="1"/>
    <col min="13" max="13" width="36.6640625" style="77" bestFit="1" customWidth="1"/>
    <col min="14" max="14" width="36.6640625" style="77" customWidth="1"/>
    <col min="15" max="15" width="6.6640625" style="77" customWidth="1"/>
    <col min="16" max="16" width="40" style="77" bestFit="1" customWidth="1"/>
    <col min="17" max="17" width="43" style="22" bestFit="1" customWidth="1"/>
    <col min="18" max="24" width="9.33203125" style="23" customWidth="1"/>
    <col min="25" max="25" width="8.33203125" style="78" customWidth="1"/>
    <col min="26" max="26" width="85.6640625" style="23" customWidth="1"/>
    <col min="27" max="28" width="9.33203125" style="15" customWidth="1"/>
    <col min="29" max="29" width="79.6640625" style="15" customWidth="1"/>
    <col min="30" max="31" width="9.33203125" style="15" customWidth="1"/>
    <col min="32" max="32" width="14.1640625" style="15" bestFit="1" customWidth="1"/>
    <col min="33" max="33" width="9.33203125" style="15" customWidth="1"/>
    <col min="34" max="16384" width="18.6640625" style="15"/>
  </cols>
  <sheetData>
    <row r="1" spans="1:35" s="86" customFormat="1" ht="21" customHeight="1">
      <c r="A1" s="100"/>
      <c r="B1" s="100"/>
      <c r="C1" s="100"/>
      <c r="D1" s="100"/>
      <c r="E1" s="20" t="s">
        <v>1</v>
      </c>
      <c r="G1" s="110"/>
      <c r="H1" s="110"/>
      <c r="I1" s="110"/>
      <c r="J1" s="110"/>
      <c r="K1" s="25"/>
      <c r="L1" s="25"/>
      <c r="M1" s="100"/>
      <c r="N1" s="100"/>
      <c r="O1" s="100"/>
      <c r="P1" s="100"/>
      <c r="Q1" s="87"/>
      <c r="R1" s="100"/>
      <c r="S1" s="100"/>
      <c r="T1" s="100"/>
      <c r="U1" s="100"/>
      <c r="V1" s="100"/>
      <c r="W1" s="100"/>
      <c r="X1" s="100"/>
      <c r="Y1" s="111"/>
      <c r="Z1" s="100"/>
    </row>
    <row r="2" spans="1:35" s="86" customFormat="1" ht="21" customHeight="1">
      <c r="A2" s="100"/>
      <c r="B2" s="100"/>
      <c r="C2" s="100"/>
      <c r="D2" s="100"/>
      <c r="E2" s="20" t="s">
        <v>0</v>
      </c>
      <c r="G2" s="100"/>
      <c r="H2" s="100"/>
      <c r="I2" s="100"/>
      <c r="J2" s="100"/>
      <c r="K2" s="25"/>
      <c r="L2" s="25"/>
      <c r="M2" s="188"/>
      <c r="N2" s="188"/>
      <c r="O2" s="100"/>
      <c r="P2" s="100"/>
      <c r="Q2" s="87"/>
      <c r="R2" s="100"/>
      <c r="S2" s="100"/>
      <c r="T2" s="100"/>
      <c r="U2" s="100"/>
      <c r="V2" s="100"/>
      <c r="W2" s="100"/>
      <c r="X2" s="100"/>
      <c r="Y2" s="111" t="s">
        <v>4570</v>
      </c>
      <c r="Z2" s="100"/>
    </row>
    <row r="3" spans="1:35" s="86" customFormat="1" ht="21" customHeight="1" thickBot="1">
      <c r="A3" s="100"/>
      <c r="B3" s="100"/>
      <c r="C3" s="100"/>
      <c r="D3" s="100"/>
      <c r="E3" s="86" t="s">
        <v>2</v>
      </c>
      <c r="K3" s="35"/>
      <c r="L3" s="35"/>
      <c r="M3" s="274"/>
      <c r="Q3" s="87"/>
      <c r="R3" s="100"/>
      <c r="S3" s="100"/>
      <c r="T3" s="100"/>
      <c r="U3" s="100"/>
      <c r="V3" s="100"/>
      <c r="W3" s="100"/>
      <c r="X3" s="100"/>
      <c r="Y3" s="111"/>
      <c r="AD3" s="44"/>
    </row>
    <row r="4" spans="1:35" s="56" customFormat="1" ht="25.5" customHeight="1" thickBot="1">
      <c r="A4" s="52"/>
      <c r="B4" s="52"/>
      <c r="C4" s="52"/>
      <c r="D4" s="52"/>
      <c r="E4" s="1121" t="s">
        <v>4571</v>
      </c>
      <c r="F4" s="1122"/>
      <c r="G4" s="1122"/>
      <c r="H4" s="1122"/>
      <c r="I4" s="1122"/>
      <c r="J4" s="1122"/>
      <c r="K4" s="1122"/>
      <c r="L4" s="1122"/>
      <c r="M4" s="1122"/>
      <c r="N4" s="1122"/>
      <c r="O4" s="1122"/>
      <c r="P4" s="1122"/>
      <c r="Q4" s="1122"/>
      <c r="R4" s="1122"/>
      <c r="S4" s="1122"/>
      <c r="T4" s="1122"/>
      <c r="U4" s="1122"/>
      <c r="V4" s="1122"/>
      <c r="W4" s="1122"/>
      <c r="X4" s="1122"/>
      <c r="Y4" s="1122"/>
      <c r="Z4" s="1122"/>
      <c r="AA4" s="1123"/>
      <c r="AD4" s="44"/>
      <c r="AF4" s="112"/>
    </row>
    <row r="5" spans="1:35" s="56" customFormat="1" ht="18" customHeight="1">
      <c r="A5" s="52"/>
      <c r="B5" s="52"/>
      <c r="C5" s="52"/>
      <c r="D5" s="52"/>
      <c r="E5" s="214"/>
      <c r="K5" s="1124"/>
      <c r="L5" s="1125"/>
      <c r="M5" s="1126"/>
      <c r="N5" s="216"/>
      <c r="O5" s="1127" t="s">
        <v>4572</v>
      </c>
      <c r="P5" s="1128"/>
      <c r="Q5" s="1128"/>
      <c r="R5" s="1128"/>
      <c r="S5" s="1128"/>
      <c r="T5" s="1128"/>
      <c r="U5" s="1128"/>
      <c r="V5" s="1128"/>
      <c r="W5" s="1128"/>
      <c r="X5" s="1128"/>
      <c r="Y5" s="1129"/>
      <c r="Z5" s="217"/>
      <c r="AA5" s="212"/>
      <c r="AD5" s="44"/>
      <c r="AF5" s="112"/>
    </row>
    <row r="6" spans="1:35" s="56" customFormat="1" ht="111" customHeight="1">
      <c r="A6" s="207" t="s">
        <v>107</v>
      </c>
      <c r="B6" s="207" t="s">
        <v>108</v>
      </c>
      <c r="C6" s="207" t="s">
        <v>109</v>
      </c>
      <c r="D6" s="207" t="s">
        <v>110</v>
      </c>
      <c r="E6" s="51" t="s">
        <v>101</v>
      </c>
      <c r="F6" s="42" t="s">
        <v>102</v>
      </c>
      <c r="G6" s="42" t="s">
        <v>4137</v>
      </c>
      <c r="H6" s="42" t="s">
        <v>104</v>
      </c>
      <c r="I6" s="1005" t="s">
        <v>4138</v>
      </c>
      <c r="J6" s="1005" t="s">
        <v>4573</v>
      </c>
      <c r="K6" s="43" t="s">
        <v>4140</v>
      </c>
      <c r="L6" s="43" t="s">
        <v>4141</v>
      </c>
      <c r="M6" s="42" t="s">
        <v>4142</v>
      </c>
      <c r="N6" s="211" t="s">
        <v>4143</v>
      </c>
      <c r="O6" s="213" t="s">
        <v>4144</v>
      </c>
      <c r="P6" s="213" t="s">
        <v>4145</v>
      </c>
      <c r="Q6" s="236" t="s">
        <v>4146</v>
      </c>
      <c r="R6" s="234" t="s">
        <v>4147</v>
      </c>
      <c r="S6" s="234" t="s">
        <v>4148</v>
      </c>
      <c r="T6" s="235" t="s">
        <v>4149</v>
      </c>
      <c r="U6" s="235" t="s">
        <v>4150</v>
      </c>
      <c r="V6" s="155" t="s">
        <v>4151</v>
      </c>
      <c r="W6" s="155" t="s">
        <v>4152</v>
      </c>
      <c r="X6" s="155" t="s">
        <v>4153</v>
      </c>
      <c r="Y6" s="43" t="s">
        <v>4154</v>
      </c>
      <c r="Z6" s="42" t="s">
        <v>128</v>
      </c>
      <c r="AA6" s="42" t="s">
        <v>129</v>
      </c>
    </row>
    <row r="7" spans="1:35" s="2" customFormat="1" ht="64.5" customHeight="1">
      <c r="A7" s="23"/>
      <c r="B7" s="23"/>
      <c r="C7" s="23"/>
      <c r="D7" s="23"/>
      <c r="E7" s="221" t="s">
        <v>4574</v>
      </c>
      <c r="F7" s="311" t="s">
        <v>132</v>
      </c>
      <c r="G7" s="311" t="s">
        <v>4575</v>
      </c>
      <c r="H7" s="399" t="s">
        <v>4576</v>
      </c>
      <c r="I7" s="407" t="s">
        <v>4215</v>
      </c>
      <c r="J7" s="223" t="s">
        <v>53</v>
      </c>
      <c r="K7" s="224" t="s">
        <v>4125</v>
      </c>
      <c r="L7" s="246" t="s">
        <v>4125</v>
      </c>
      <c r="M7" s="224" t="s">
        <v>4577</v>
      </c>
      <c r="N7" s="224" t="s">
        <v>4577</v>
      </c>
      <c r="O7" s="246"/>
      <c r="P7" s="247"/>
      <c r="Q7" s="224"/>
      <c r="R7" s="224"/>
      <c r="S7" s="224"/>
      <c r="T7" s="223"/>
      <c r="U7" s="224"/>
      <c r="V7" s="224"/>
      <c r="W7" s="223"/>
      <c r="X7" s="248"/>
      <c r="Y7" s="231"/>
      <c r="Z7" s="231"/>
      <c r="AA7" s="223" t="s">
        <v>184</v>
      </c>
      <c r="AC7" s="682"/>
      <c r="AF7" s="237"/>
      <c r="AG7" s="237"/>
      <c r="AH7" s="237"/>
      <c r="AI7" s="237"/>
    </row>
    <row r="8" spans="1:35" s="2" customFormat="1" ht="64.5" customHeight="1">
      <c r="A8" s="23"/>
      <c r="B8" s="23"/>
      <c r="C8" s="23"/>
      <c r="D8" s="23"/>
      <c r="E8" s="221" t="s">
        <v>4578</v>
      </c>
      <c r="F8" s="311" t="s">
        <v>172</v>
      </c>
      <c r="G8" s="311" t="s">
        <v>4579</v>
      </c>
      <c r="H8" s="399" t="s">
        <v>174</v>
      </c>
      <c r="I8" s="407" t="s">
        <v>4215</v>
      </c>
      <c r="J8" s="223" t="s">
        <v>53</v>
      </c>
      <c r="K8" s="224" t="s">
        <v>4125</v>
      </c>
      <c r="L8" s="246" t="s">
        <v>4125</v>
      </c>
      <c r="M8" s="224" t="s">
        <v>4580</v>
      </c>
      <c r="N8" s="224" t="s">
        <v>4580</v>
      </c>
      <c r="O8" s="246"/>
      <c r="P8" s="247"/>
      <c r="Q8" s="224"/>
      <c r="R8" s="224"/>
      <c r="S8" s="224"/>
      <c r="T8" s="223"/>
      <c r="U8" s="224"/>
      <c r="V8" s="224"/>
      <c r="W8" s="223"/>
      <c r="X8" s="248"/>
      <c r="Y8" s="231"/>
      <c r="Z8" s="231"/>
      <c r="AA8" s="223" t="s">
        <v>184</v>
      </c>
      <c r="AC8" s="682"/>
      <c r="AF8" s="237"/>
      <c r="AG8" s="237"/>
      <c r="AH8" s="237"/>
      <c r="AI8" s="237"/>
    </row>
    <row r="9" spans="1:35" s="2" customFormat="1" ht="107.45" customHeight="1">
      <c r="A9" s="23"/>
      <c r="B9" s="23"/>
      <c r="C9" s="23"/>
      <c r="D9" s="23"/>
      <c r="E9" s="221" t="s">
        <v>4581</v>
      </c>
      <c r="F9" s="311" t="s">
        <v>172</v>
      </c>
      <c r="G9" s="311" t="s">
        <v>4582</v>
      </c>
      <c r="H9" s="399" t="s">
        <v>4583</v>
      </c>
      <c r="I9" s="407" t="s">
        <v>4215</v>
      </c>
      <c r="J9" s="223" t="s">
        <v>53</v>
      </c>
      <c r="K9" s="224" t="s">
        <v>4125</v>
      </c>
      <c r="L9" s="246" t="s">
        <v>4125</v>
      </c>
      <c r="M9" s="224" t="s">
        <v>4584</v>
      </c>
      <c r="N9" s="224" t="s">
        <v>4584</v>
      </c>
      <c r="O9" s="246"/>
      <c r="P9" s="247"/>
      <c r="Q9" s="224"/>
      <c r="R9" s="224"/>
      <c r="S9" s="224"/>
      <c r="T9" s="223"/>
      <c r="U9" s="224"/>
      <c r="V9" s="224"/>
      <c r="W9" s="223"/>
      <c r="X9" s="248"/>
      <c r="Y9" s="231"/>
      <c r="Z9" s="231" t="s">
        <v>4585</v>
      </c>
      <c r="AA9" s="223">
        <v>0</v>
      </c>
      <c r="AF9" s="237"/>
      <c r="AG9" s="237"/>
      <c r="AH9" s="237"/>
      <c r="AI9" s="237"/>
    </row>
    <row r="10" spans="1:35" s="2" customFormat="1" ht="96.6" customHeight="1">
      <c r="A10" s="23"/>
      <c r="B10" s="23"/>
      <c r="C10" s="23"/>
      <c r="D10" s="23"/>
      <c r="E10" s="5" t="s">
        <v>4586</v>
      </c>
      <c r="F10" s="292" t="s">
        <v>172</v>
      </c>
      <c r="G10" s="292" t="s">
        <v>4587</v>
      </c>
      <c r="H10" s="12" t="s">
        <v>4588</v>
      </c>
      <c r="I10" s="5" t="s">
        <v>4215</v>
      </c>
      <c r="J10" s="12" t="s">
        <v>53</v>
      </c>
      <c r="K10" s="13" t="s">
        <v>4125</v>
      </c>
      <c r="L10" s="80" t="s">
        <v>4125</v>
      </c>
      <c r="M10" s="224" t="s">
        <v>4589</v>
      </c>
      <c r="N10" s="224" t="s">
        <v>4589</v>
      </c>
      <c r="O10" s="80"/>
      <c r="P10" s="80"/>
      <c r="Q10" s="13"/>
      <c r="R10" s="13"/>
      <c r="S10" s="13"/>
      <c r="T10" s="12"/>
      <c r="U10" s="13"/>
      <c r="V10" s="13"/>
      <c r="W10" s="12"/>
      <c r="X10" s="410"/>
      <c r="Y10" s="8"/>
      <c r="Z10" s="231" t="s">
        <v>4590</v>
      </c>
      <c r="AA10" s="223">
        <v>0</v>
      </c>
      <c r="AF10" s="237"/>
      <c r="AG10" s="237"/>
      <c r="AH10" s="237"/>
      <c r="AI10" s="237"/>
    </row>
    <row r="11" spans="1:35" s="2" customFormat="1" ht="64.5" customHeight="1">
      <c r="A11" s="23"/>
      <c r="B11" s="23"/>
      <c r="C11" s="23"/>
      <c r="D11" s="23"/>
      <c r="E11" s="5" t="s">
        <v>4591</v>
      </c>
      <c r="F11" s="292" t="s">
        <v>172</v>
      </c>
      <c r="G11" s="292" t="s">
        <v>4592</v>
      </c>
      <c r="H11" s="12" t="s">
        <v>200</v>
      </c>
      <c r="I11" s="5" t="s">
        <v>4215</v>
      </c>
      <c r="J11" s="12" t="s">
        <v>53</v>
      </c>
      <c r="K11" s="13" t="s">
        <v>4125</v>
      </c>
      <c r="L11" s="80" t="s">
        <v>4125</v>
      </c>
      <c r="M11" s="224" t="s">
        <v>4593</v>
      </c>
      <c r="N11" s="224" t="s">
        <v>4593</v>
      </c>
      <c r="O11" s="80"/>
      <c r="P11" s="80"/>
      <c r="Q11" s="13"/>
      <c r="R11" s="13"/>
      <c r="S11" s="13"/>
      <c r="T11" s="12"/>
      <c r="U11" s="13"/>
      <c r="V11" s="13"/>
      <c r="W11" s="12"/>
      <c r="X11" s="410"/>
      <c r="Y11" s="8"/>
      <c r="Z11" s="231" t="s">
        <v>4594</v>
      </c>
      <c r="AA11" s="223">
        <v>0</v>
      </c>
      <c r="AC11" s="682"/>
      <c r="AF11" s="237"/>
      <c r="AG11" s="237"/>
      <c r="AH11" s="237"/>
      <c r="AI11" s="237"/>
    </row>
    <row r="12" spans="1:35" s="2" customFormat="1" ht="101.45" customHeight="1">
      <c r="A12" s="23"/>
      <c r="B12" s="23"/>
      <c r="C12" s="23"/>
      <c r="D12" s="23"/>
      <c r="E12" s="5" t="s">
        <v>4595</v>
      </c>
      <c r="F12" s="292" t="s">
        <v>172</v>
      </c>
      <c r="G12" s="292" t="s">
        <v>4596</v>
      </c>
      <c r="H12" s="12" t="s">
        <v>4597</v>
      </c>
      <c r="I12" s="5" t="s">
        <v>4215</v>
      </c>
      <c r="J12" s="12" t="s">
        <v>53</v>
      </c>
      <c r="K12" s="13" t="s">
        <v>4125</v>
      </c>
      <c r="L12" s="80" t="s">
        <v>4125</v>
      </c>
      <c r="M12" s="224" t="s">
        <v>4598</v>
      </c>
      <c r="N12" s="224" t="s">
        <v>4598</v>
      </c>
      <c r="O12" s="80"/>
      <c r="P12" s="80"/>
      <c r="Q12" s="13"/>
      <c r="R12" s="13"/>
      <c r="S12" s="13"/>
      <c r="T12" s="12"/>
      <c r="U12" s="13"/>
      <c r="V12" s="13"/>
      <c r="W12" s="12"/>
      <c r="X12" s="410"/>
      <c r="Y12" s="8"/>
      <c r="Z12" s="231" t="s">
        <v>4585</v>
      </c>
      <c r="AA12" s="223">
        <v>0</v>
      </c>
      <c r="AC12" s="682"/>
      <c r="AF12" s="237"/>
      <c r="AG12" s="237"/>
      <c r="AH12" s="237"/>
      <c r="AI12" s="237"/>
    </row>
    <row r="13" spans="1:35" s="2" customFormat="1" ht="101.45" customHeight="1">
      <c r="A13" s="23"/>
      <c r="B13" s="23"/>
      <c r="C13" s="23"/>
      <c r="D13" s="23"/>
      <c r="E13" s="5" t="s">
        <v>4599</v>
      </c>
      <c r="F13" s="292" t="s">
        <v>172</v>
      </c>
      <c r="G13" s="292" t="s">
        <v>4600</v>
      </c>
      <c r="H13" s="12" t="s">
        <v>4601</v>
      </c>
      <c r="I13" s="5" t="s">
        <v>4215</v>
      </c>
      <c r="J13" s="12" t="s">
        <v>53</v>
      </c>
      <c r="K13" s="13" t="s">
        <v>4125</v>
      </c>
      <c r="L13" s="80" t="s">
        <v>4125</v>
      </c>
      <c r="M13" s="224" t="s">
        <v>4602</v>
      </c>
      <c r="N13" s="224" t="s">
        <v>4602</v>
      </c>
      <c r="O13" s="80"/>
      <c r="P13" s="80"/>
      <c r="Q13" s="13"/>
      <c r="R13" s="13"/>
      <c r="S13" s="13"/>
      <c r="T13" s="12"/>
      <c r="U13" s="13"/>
      <c r="V13" s="13"/>
      <c r="W13" s="12"/>
      <c r="X13" s="410"/>
      <c r="Y13" s="8"/>
      <c r="Z13" s="231" t="s">
        <v>4590</v>
      </c>
      <c r="AA13" s="223">
        <v>0</v>
      </c>
      <c r="AC13" s="682"/>
      <c r="AF13" s="237"/>
      <c r="AG13" s="237"/>
      <c r="AH13" s="237"/>
      <c r="AI13" s="237"/>
    </row>
    <row r="14" spans="1:35" s="2" customFormat="1" ht="64.5" customHeight="1">
      <c r="A14" s="23"/>
      <c r="B14" s="23"/>
      <c r="C14" s="23"/>
      <c r="D14" s="23"/>
      <c r="E14" s="5" t="s">
        <v>4603</v>
      </c>
      <c r="F14" s="292" t="s">
        <v>223</v>
      </c>
      <c r="G14" s="292" t="s">
        <v>4604</v>
      </c>
      <c r="H14" s="12" t="s">
        <v>225</v>
      </c>
      <c r="I14" s="5" t="s">
        <v>4215</v>
      </c>
      <c r="J14" s="12" t="s">
        <v>53</v>
      </c>
      <c r="K14" s="13" t="s">
        <v>4125</v>
      </c>
      <c r="L14" s="80" t="s">
        <v>4125</v>
      </c>
      <c r="M14" s="224" t="s">
        <v>4605</v>
      </c>
      <c r="N14" s="224" t="s">
        <v>4605</v>
      </c>
      <c r="O14" s="80"/>
      <c r="P14" s="80"/>
      <c r="Q14" s="13"/>
      <c r="R14" s="13"/>
      <c r="S14" s="13"/>
      <c r="T14" s="12"/>
      <c r="U14" s="13"/>
      <c r="V14" s="13"/>
      <c r="W14" s="12"/>
      <c r="X14" s="410"/>
      <c r="Y14" s="8"/>
      <c r="Z14" s="231" t="s">
        <v>4594</v>
      </c>
      <c r="AA14" s="223">
        <v>0</v>
      </c>
      <c r="AC14" s="682"/>
      <c r="AF14" s="237"/>
      <c r="AG14" s="237"/>
      <c r="AH14" s="237"/>
      <c r="AI14" s="237"/>
    </row>
    <row r="15" spans="1:35" s="2" customFormat="1" ht="101.1" customHeight="1">
      <c r="A15" s="23"/>
      <c r="B15" s="23"/>
      <c r="C15" s="23"/>
      <c r="D15" s="23"/>
      <c r="E15" s="5" t="s">
        <v>4606</v>
      </c>
      <c r="F15" s="292" t="s">
        <v>223</v>
      </c>
      <c r="G15" s="292" t="s">
        <v>4607</v>
      </c>
      <c r="H15" s="12" t="s">
        <v>4608</v>
      </c>
      <c r="I15" s="5" t="s">
        <v>4215</v>
      </c>
      <c r="J15" s="12" t="s">
        <v>53</v>
      </c>
      <c r="K15" s="13" t="s">
        <v>4125</v>
      </c>
      <c r="L15" s="80" t="s">
        <v>4125</v>
      </c>
      <c r="M15" s="224" t="s">
        <v>4609</v>
      </c>
      <c r="N15" s="224" t="s">
        <v>4609</v>
      </c>
      <c r="O15" s="80"/>
      <c r="P15" s="80"/>
      <c r="Q15" s="13"/>
      <c r="R15" s="13"/>
      <c r="S15" s="13"/>
      <c r="T15" s="12"/>
      <c r="U15" s="13"/>
      <c r="V15" s="13"/>
      <c r="W15" s="12"/>
      <c r="X15" s="410"/>
      <c r="Y15" s="8"/>
      <c r="Z15" s="231" t="s">
        <v>4585</v>
      </c>
      <c r="AA15" s="223">
        <v>0</v>
      </c>
      <c r="AF15" s="237"/>
      <c r="AG15" s="237"/>
      <c r="AH15" s="237"/>
      <c r="AI15" s="237"/>
    </row>
    <row r="16" spans="1:35" s="2" customFormat="1" ht="101.1" customHeight="1">
      <c r="A16" s="23"/>
      <c r="B16" s="23"/>
      <c r="C16" s="23"/>
      <c r="D16" s="23"/>
      <c r="E16" s="5" t="s">
        <v>4610</v>
      </c>
      <c r="F16" s="292" t="s">
        <v>223</v>
      </c>
      <c r="G16" s="292" t="s">
        <v>4611</v>
      </c>
      <c r="H16" s="12" t="s">
        <v>4612</v>
      </c>
      <c r="I16" s="5" t="s">
        <v>4215</v>
      </c>
      <c r="J16" s="12" t="s">
        <v>53</v>
      </c>
      <c r="K16" s="13" t="s">
        <v>4125</v>
      </c>
      <c r="L16" s="80" t="s">
        <v>4125</v>
      </c>
      <c r="M16" s="224" t="s">
        <v>4613</v>
      </c>
      <c r="N16" s="224" t="s">
        <v>4613</v>
      </c>
      <c r="O16" s="80"/>
      <c r="P16" s="80"/>
      <c r="Q16" s="13"/>
      <c r="R16" s="13"/>
      <c r="S16" s="13"/>
      <c r="T16" s="12"/>
      <c r="U16" s="13"/>
      <c r="V16" s="13"/>
      <c r="W16" s="12"/>
      <c r="X16" s="410"/>
      <c r="Y16" s="8"/>
      <c r="Z16" s="231" t="s">
        <v>4590</v>
      </c>
      <c r="AA16" s="223">
        <v>0</v>
      </c>
      <c r="AF16" s="237"/>
      <c r="AG16" s="237"/>
      <c r="AH16" s="237"/>
      <c r="AI16" s="237"/>
    </row>
    <row r="17" spans="1:35" s="2" customFormat="1" ht="64.5" customHeight="1">
      <c r="A17" s="23"/>
      <c r="B17" s="23"/>
      <c r="C17" s="23"/>
      <c r="D17" s="23"/>
      <c r="E17" s="5" t="s">
        <v>4614</v>
      </c>
      <c r="F17" s="292" t="s">
        <v>223</v>
      </c>
      <c r="G17" s="292" t="s">
        <v>4615</v>
      </c>
      <c r="H17" s="12" t="s">
        <v>249</v>
      </c>
      <c r="I17" s="5" t="s">
        <v>4215</v>
      </c>
      <c r="J17" s="12" t="s">
        <v>53</v>
      </c>
      <c r="K17" s="13" t="s">
        <v>4125</v>
      </c>
      <c r="L17" s="80" t="s">
        <v>4125</v>
      </c>
      <c r="M17" s="224" t="s">
        <v>4616</v>
      </c>
      <c r="N17" s="224" t="s">
        <v>4616</v>
      </c>
      <c r="O17" s="80"/>
      <c r="P17" s="80"/>
      <c r="Q17" s="13"/>
      <c r="R17" s="13"/>
      <c r="S17" s="13"/>
      <c r="T17" s="12"/>
      <c r="U17" s="13"/>
      <c r="V17" s="13"/>
      <c r="W17" s="12"/>
      <c r="X17" s="410"/>
      <c r="Y17" s="8"/>
      <c r="Z17" s="231" t="s">
        <v>4594</v>
      </c>
      <c r="AA17" s="223">
        <v>0</v>
      </c>
      <c r="AC17" s="682"/>
      <c r="AF17" s="237"/>
      <c r="AG17" s="237"/>
      <c r="AH17" s="237"/>
      <c r="AI17" s="237"/>
    </row>
    <row r="18" spans="1:35" s="2" customFormat="1" ht="98.45" customHeight="1">
      <c r="A18" s="23"/>
      <c r="B18" s="23"/>
      <c r="C18" s="23"/>
      <c r="D18" s="23"/>
      <c r="E18" s="5" t="s">
        <v>4617</v>
      </c>
      <c r="F18" s="292" t="s">
        <v>223</v>
      </c>
      <c r="G18" s="292" t="s">
        <v>4618</v>
      </c>
      <c r="H18" s="12" t="s">
        <v>4619</v>
      </c>
      <c r="I18" s="5" t="s">
        <v>4215</v>
      </c>
      <c r="J18" s="12" t="s">
        <v>53</v>
      </c>
      <c r="K18" s="13" t="s">
        <v>4125</v>
      </c>
      <c r="L18" s="80" t="s">
        <v>4125</v>
      </c>
      <c r="M18" s="224" t="s">
        <v>4620</v>
      </c>
      <c r="N18" s="224" t="s">
        <v>4620</v>
      </c>
      <c r="O18" s="80"/>
      <c r="P18" s="80"/>
      <c r="Q18" s="13"/>
      <c r="R18" s="13"/>
      <c r="S18" s="13"/>
      <c r="T18" s="12"/>
      <c r="U18" s="13"/>
      <c r="V18" s="13"/>
      <c r="W18" s="12"/>
      <c r="X18" s="410"/>
      <c r="Y18" s="8"/>
      <c r="Z18" s="231" t="s">
        <v>4585</v>
      </c>
      <c r="AA18" s="223">
        <v>0</v>
      </c>
      <c r="AC18" s="682"/>
      <c r="AF18" s="237"/>
      <c r="AG18" s="237"/>
      <c r="AH18" s="237"/>
      <c r="AI18" s="237"/>
    </row>
    <row r="19" spans="1:35" s="2" customFormat="1" ht="98.45" customHeight="1">
      <c r="A19" s="23"/>
      <c r="B19" s="23"/>
      <c r="C19" s="23"/>
      <c r="D19" s="23"/>
      <c r="E19" s="5" t="s">
        <v>4621</v>
      </c>
      <c r="F19" s="292" t="s">
        <v>223</v>
      </c>
      <c r="G19" s="292" t="s">
        <v>4622</v>
      </c>
      <c r="H19" s="12" t="s">
        <v>4623</v>
      </c>
      <c r="I19" s="5" t="s">
        <v>4215</v>
      </c>
      <c r="J19" s="12" t="s">
        <v>53</v>
      </c>
      <c r="K19" s="13" t="s">
        <v>4125</v>
      </c>
      <c r="L19" s="80" t="s">
        <v>4125</v>
      </c>
      <c r="M19" s="224" t="s">
        <v>4624</v>
      </c>
      <c r="N19" s="224" t="s">
        <v>4624</v>
      </c>
      <c r="O19" s="80"/>
      <c r="P19" s="80"/>
      <c r="Q19" s="13"/>
      <c r="R19" s="13"/>
      <c r="S19" s="13"/>
      <c r="T19" s="12"/>
      <c r="U19" s="13"/>
      <c r="V19" s="13"/>
      <c r="W19" s="12"/>
      <c r="X19" s="410"/>
      <c r="Y19" s="8"/>
      <c r="Z19" s="231" t="s">
        <v>4590</v>
      </c>
      <c r="AA19" s="223">
        <v>0</v>
      </c>
      <c r="AC19" s="682"/>
      <c r="AF19" s="237"/>
      <c r="AG19" s="237"/>
      <c r="AH19" s="237"/>
      <c r="AI19" s="237"/>
    </row>
    <row r="20" spans="1:35" s="2" customFormat="1" ht="64.5" customHeight="1">
      <c r="A20" s="23"/>
      <c r="B20" s="23"/>
      <c r="C20" s="23"/>
      <c r="D20" s="23"/>
      <c r="E20" s="5" t="s">
        <v>4625</v>
      </c>
      <c r="F20" s="292" t="s">
        <v>223</v>
      </c>
      <c r="G20" s="292" t="s">
        <v>4626</v>
      </c>
      <c r="H20" s="12" t="s">
        <v>274</v>
      </c>
      <c r="I20" s="5" t="s">
        <v>4215</v>
      </c>
      <c r="J20" s="12" t="s">
        <v>53</v>
      </c>
      <c r="K20" s="13" t="s">
        <v>4125</v>
      </c>
      <c r="L20" s="80" t="s">
        <v>4125</v>
      </c>
      <c r="M20" s="224" t="s">
        <v>4627</v>
      </c>
      <c r="N20" s="224" t="s">
        <v>4627</v>
      </c>
      <c r="O20" s="80"/>
      <c r="P20" s="80"/>
      <c r="Q20" s="13"/>
      <c r="R20" s="13"/>
      <c r="S20" s="13"/>
      <c r="T20" s="12"/>
      <c r="U20" s="13"/>
      <c r="V20" s="13"/>
      <c r="W20" s="12"/>
      <c r="X20" s="410"/>
      <c r="Y20" s="8"/>
      <c r="Z20" s="231" t="s">
        <v>4594</v>
      </c>
      <c r="AA20" s="223">
        <v>0</v>
      </c>
      <c r="AC20" s="682"/>
      <c r="AF20" s="237"/>
      <c r="AG20" s="237"/>
      <c r="AH20" s="237"/>
      <c r="AI20" s="237"/>
    </row>
    <row r="21" spans="1:35" s="2" customFormat="1" ht="93.95" customHeight="1">
      <c r="A21" s="23"/>
      <c r="B21" s="23"/>
      <c r="C21" s="23"/>
      <c r="D21" s="23"/>
      <c r="E21" s="5" t="s">
        <v>4628</v>
      </c>
      <c r="F21" s="292" t="s">
        <v>223</v>
      </c>
      <c r="G21" s="292" t="s">
        <v>4629</v>
      </c>
      <c r="H21" s="12" t="s">
        <v>4630</v>
      </c>
      <c r="I21" s="5" t="s">
        <v>4215</v>
      </c>
      <c r="J21" s="12" t="s">
        <v>53</v>
      </c>
      <c r="K21" s="13" t="s">
        <v>4125</v>
      </c>
      <c r="L21" s="80" t="s">
        <v>4125</v>
      </c>
      <c r="M21" s="224" t="s">
        <v>4631</v>
      </c>
      <c r="N21" s="224" t="s">
        <v>4631</v>
      </c>
      <c r="O21" s="80"/>
      <c r="P21" s="80"/>
      <c r="Q21" s="13"/>
      <c r="R21" s="13"/>
      <c r="S21" s="13"/>
      <c r="T21" s="12"/>
      <c r="U21" s="13"/>
      <c r="V21" s="13"/>
      <c r="W21" s="12"/>
      <c r="X21" s="410"/>
      <c r="Y21" s="8"/>
      <c r="Z21" s="231" t="s">
        <v>4585</v>
      </c>
      <c r="AA21" s="223">
        <v>0</v>
      </c>
      <c r="AC21" s="682"/>
      <c r="AF21" s="237"/>
      <c r="AG21" s="237"/>
      <c r="AH21" s="237"/>
      <c r="AI21" s="237"/>
    </row>
    <row r="22" spans="1:35" s="2" customFormat="1" ht="93.95" customHeight="1">
      <c r="A22" s="23"/>
      <c r="B22" s="23"/>
      <c r="C22" s="23"/>
      <c r="D22" s="23"/>
      <c r="E22" s="17" t="s">
        <v>4632</v>
      </c>
      <c r="F22" s="369" t="s">
        <v>223</v>
      </c>
      <c r="G22" s="369" t="s">
        <v>4633</v>
      </c>
      <c r="H22" s="1036" t="s">
        <v>4634</v>
      </c>
      <c r="I22" s="17" t="s">
        <v>4215</v>
      </c>
      <c r="J22" s="1036" t="s">
        <v>53</v>
      </c>
      <c r="K22" s="233" t="s">
        <v>4125</v>
      </c>
      <c r="L22" s="1012" t="s">
        <v>4125</v>
      </c>
      <c r="M22" s="233" t="s">
        <v>4635</v>
      </c>
      <c r="N22" s="233" t="s">
        <v>4635</v>
      </c>
      <c r="O22" s="1012"/>
      <c r="P22" s="1012"/>
      <c r="Q22" s="233"/>
      <c r="R22" s="233"/>
      <c r="S22" s="233"/>
      <c r="T22" s="1036"/>
      <c r="U22" s="233"/>
      <c r="V22" s="233"/>
      <c r="W22" s="1036"/>
      <c r="X22" s="1037"/>
      <c r="Y22" s="1038"/>
      <c r="Z22" s="1038" t="s">
        <v>4590</v>
      </c>
      <c r="AA22" s="1036">
        <v>0</v>
      </c>
      <c r="AC22" s="682"/>
      <c r="AF22" s="237"/>
      <c r="AG22" s="237"/>
      <c r="AH22" s="237"/>
      <c r="AI22" s="237"/>
    </row>
    <row r="23" spans="1:35" s="2" customFormat="1" ht="72.599999999999994" customHeight="1">
      <c r="A23" s="12"/>
      <c r="B23" s="12"/>
      <c r="C23" s="12"/>
      <c r="D23" s="12"/>
      <c r="E23" s="5" t="s">
        <v>4636</v>
      </c>
      <c r="F23" s="292" t="s">
        <v>223</v>
      </c>
      <c r="G23" s="292" t="s">
        <v>4637</v>
      </c>
      <c r="H23" s="12" t="s">
        <v>298</v>
      </c>
      <c r="I23" s="5" t="s">
        <v>4215</v>
      </c>
      <c r="J23" s="12" t="s">
        <v>53</v>
      </c>
      <c r="K23" s="13" t="s">
        <v>4125</v>
      </c>
      <c r="L23" s="80" t="s">
        <v>4125</v>
      </c>
      <c r="M23" s="13" t="s">
        <v>4638</v>
      </c>
      <c r="N23" s="13" t="s">
        <v>4638</v>
      </c>
      <c r="O23" s="80"/>
      <c r="P23" s="80"/>
      <c r="Q23" s="13"/>
      <c r="R23" s="13"/>
      <c r="S23" s="13"/>
      <c r="T23" s="12"/>
      <c r="U23" s="13"/>
      <c r="V23" s="13"/>
      <c r="W23" s="12"/>
      <c r="X23" s="410"/>
      <c r="Y23" s="8"/>
      <c r="Z23" s="8" t="s">
        <v>4594</v>
      </c>
      <c r="AA23" s="12">
        <v>0</v>
      </c>
      <c r="AC23" s="682"/>
      <c r="AF23" s="237"/>
      <c r="AG23" s="237"/>
      <c r="AH23" s="237"/>
      <c r="AI23" s="237"/>
    </row>
    <row r="24" spans="1:35" s="2" customFormat="1" ht="97.5" customHeight="1">
      <c r="A24" s="12"/>
      <c r="B24" s="12"/>
      <c r="C24" s="12"/>
      <c r="D24" s="12"/>
      <c r="E24" s="5" t="s">
        <v>4639</v>
      </c>
      <c r="F24" s="292" t="s">
        <v>223</v>
      </c>
      <c r="G24" s="292" t="s">
        <v>4640</v>
      </c>
      <c r="H24" s="12" t="s">
        <v>4641</v>
      </c>
      <c r="I24" s="5" t="s">
        <v>4215</v>
      </c>
      <c r="J24" s="12" t="s">
        <v>53</v>
      </c>
      <c r="K24" s="13" t="s">
        <v>4125</v>
      </c>
      <c r="L24" s="80" t="s">
        <v>4125</v>
      </c>
      <c r="M24" s="13" t="s">
        <v>4642</v>
      </c>
      <c r="N24" s="13" t="s">
        <v>4642</v>
      </c>
      <c r="O24" s="80"/>
      <c r="P24" s="80"/>
      <c r="Q24" s="13"/>
      <c r="R24" s="13"/>
      <c r="S24" s="13"/>
      <c r="T24" s="12"/>
      <c r="U24" s="13"/>
      <c r="V24" s="13"/>
      <c r="W24" s="12"/>
      <c r="X24" s="410"/>
      <c r="Y24" s="8"/>
      <c r="Z24" s="8" t="s">
        <v>4585</v>
      </c>
      <c r="AA24" s="12">
        <v>0</v>
      </c>
      <c r="AC24" s="682"/>
      <c r="AF24" s="237"/>
      <c r="AG24" s="237"/>
      <c r="AH24" s="237"/>
      <c r="AI24" s="237"/>
    </row>
    <row r="25" spans="1:35" s="2" customFormat="1" ht="97.5" customHeight="1">
      <c r="A25" s="23"/>
      <c r="B25" s="23"/>
      <c r="C25" s="23"/>
      <c r="D25" s="23"/>
      <c r="E25" s="18" t="s">
        <v>4643</v>
      </c>
      <c r="F25" s="305" t="s">
        <v>223</v>
      </c>
      <c r="G25" s="305" t="s">
        <v>4644</v>
      </c>
      <c r="H25" s="184" t="s">
        <v>4645</v>
      </c>
      <c r="I25" s="18" t="s">
        <v>4215</v>
      </c>
      <c r="J25" s="184" t="s">
        <v>53</v>
      </c>
      <c r="K25" s="74" t="s">
        <v>4125</v>
      </c>
      <c r="L25" s="1014" t="s">
        <v>4125</v>
      </c>
      <c r="M25" s="602" t="s">
        <v>4646</v>
      </c>
      <c r="N25" s="602" t="s">
        <v>4646</v>
      </c>
      <c r="O25" s="1014"/>
      <c r="P25" s="1014"/>
      <c r="Q25" s="74"/>
      <c r="R25" s="74"/>
      <c r="S25" s="74"/>
      <c r="T25" s="184"/>
      <c r="U25" s="74"/>
      <c r="V25" s="74"/>
      <c r="W25" s="184"/>
      <c r="X25" s="1039"/>
      <c r="Y25" s="697"/>
      <c r="Z25" s="765" t="s">
        <v>4590</v>
      </c>
      <c r="AA25" s="398">
        <v>0</v>
      </c>
      <c r="AF25" s="237"/>
      <c r="AG25" s="237"/>
      <c r="AH25" s="237"/>
      <c r="AI25" s="237"/>
    </row>
    <row r="26" spans="1:35" s="2" customFormat="1" ht="64.5" customHeight="1">
      <c r="A26" s="23"/>
      <c r="B26" s="23"/>
      <c r="C26" s="23"/>
      <c r="D26" s="23"/>
      <c r="E26" s="5" t="s">
        <v>4647</v>
      </c>
      <c r="F26" s="292" t="s">
        <v>223</v>
      </c>
      <c r="G26" s="292" t="s">
        <v>4648</v>
      </c>
      <c r="H26" s="12" t="s">
        <v>4649</v>
      </c>
      <c r="I26" s="5" t="s">
        <v>4215</v>
      </c>
      <c r="J26" s="12" t="s">
        <v>53</v>
      </c>
      <c r="K26" s="13" t="s">
        <v>4125</v>
      </c>
      <c r="L26" s="80" t="s">
        <v>4125</v>
      </c>
      <c r="M26" s="224" t="s">
        <v>4650</v>
      </c>
      <c r="N26" s="224" t="s">
        <v>4650</v>
      </c>
      <c r="O26" s="80"/>
      <c r="P26" s="80"/>
      <c r="Q26" s="13"/>
      <c r="R26" s="13"/>
      <c r="S26" s="13"/>
      <c r="T26" s="12"/>
      <c r="U26" s="13"/>
      <c r="V26" s="13"/>
      <c r="W26" s="12"/>
      <c r="X26" s="410"/>
      <c r="Y26" s="8"/>
      <c r="Z26" s="8"/>
      <c r="AA26" s="223" t="s">
        <v>184</v>
      </c>
      <c r="AF26" s="237"/>
      <c r="AG26" s="237"/>
      <c r="AH26" s="237"/>
      <c r="AI26" s="237"/>
    </row>
    <row r="27" spans="1:35" s="2" customFormat="1" ht="64.5" customHeight="1">
      <c r="A27" s="23"/>
      <c r="B27" s="23"/>
      <c r="C27" s="23"/>
      <c r="D27" s="23"/>
      <c r="E27" s="5" t="s">
        <v>4651</v>
      </c>
      <c r="F27" s="292" t="s">
        <v>223</v>
      </c>
      <c r="G27" s="292" t="s">
        <v>4652</v>
      </c>
      <c r="H27" s="12" t="s">
        <v>4653</v>
      </c>
      <c r="I27" s="5" t="s">
        <v>4215</v>
      </c>
      <c r="J27" s="12" t="s">
        <v>53</v>
      </c>
      <c r="K27" s="13" t="s">
        <v>4125</v>
      </c>
      <c r="L27" s="80" t="s">
        <v>4125</v>
      </c>
      <c r="M27" s="224" t="s">
        <v>4654</v>
      </c>
      <c r="N27" s="224" t="s">
        <v>4654</v>
      </c>
      <c r="O27" s="80"/>
      <c r="P27" s="80"/>
      <c r="Q27" s="13"/>
      <c r="R27" s="13"/>
      <c r="S27" s="13"/>
      <c r="T27" s="12"/>
      <c r="U27" s="13"/>
      <c r="V27" s="13"/>
      <c r="W27" s="12"/>
      <c r="X27" s="410"/>
      <c r="Y27" s="8"/>
      <c r="Z27" s="8"/>
      <c r="AA27" s="223" t="s">
        <v>184</v>
      </c>
      <c r="AF27" s="237"/>
      <c r="AG27" s="237"/>
      <c r="AH27" s="237"/>
      <c r="AI27" s="237"/>
    </row>
    <row r="28" spans="1:35" s="2" customFormat="1" ht="64.5" customHeight="1">
      <c r="A28" s="23"/>
      <c r="B28" s="23"/>
      <c r="C28" s="23"/>
      <c r="D28" s="23"/>
      <c r="E28" s="221" t="s">
        <v>4655</v>
      </c>
      <c r="F28" s="311" t="s">
        <v>500</v>
      </c>
      <c r="G28" s="311" t="s">
        <v>4656</v>
      </c>
      <c r="H28" s="223" t="s">
        <v>4657</v>
      </c>
      <c r="I28" s="221" t="s">
        <v>4658</v>
      </c>
      <c r="J28" s="223" t="s">
        <v>45</v>
      </c>
      <c r="K28" s="224" t="s">
        <v>4125</v>
      </c>
      <c r="L28" s="246" t="s">
        <v>4125</v>
      </c>
      <c r="M28" s="224" t="s">
        <v>4659</v>
      </c>
      <c r="N28" s="224" t="s">
        <v>4659</v>
      </c>
      <c r="O28" s="246"/>
      <c r="P28" s="246"/>
      <c r="Q28" s="224"/>
      <c r="R28" s="224"/>
      <c r="S28" s="224"/>
      <c r="T28" s="223"/>
      <c r="U28" s="224"/>
      <c r="V28" s="224"/>
      <c r="W28" s="223"/>
      <c r="X28" s="410"/>
      <c r="Y28" s="231"/>
      <c r="Z28" s="231"/>
      <c r="AA28" s="223" t="s">
        <v>138</v>
      </c>
      <c r="AF28" s="237"/>
      <c r="AG28" s="237"/>
      <c r="AH28" s="237"/>
      <c r="AI28" s="237"/>
    </row>
    <row r="29" spans="1:35" s="2" customFormat="1" ht="64.5" customHeight="1">
      <c r="A29" s="23"/>
      <c r="B29" s="23"/>
      <c r="C29" s="23"/>
      <c r="D29" s="23"/>
      <c r="E29" s="221" t="s">
        <v>4660</v>
      </c>
      <c r="F29" s="311" t="s">
        <v>538</v>
      </c>
      <c r="G29" s="311" t="s">
        <v>4661</v>
      </c>
      <c r="H29" s="223" t="s">
        <v>4662</v>
      </c>
      <c r="I29" s="221" t="s">
        <v>4663</v>
      </c>
      <c r="J29" s="223" t="s">
        <v>49</v>
      </c>
      <c r="K29" s="224" t="s">
        <v>4125</v>
      </c>
      <c r="L29" s="246" t="s">
        <v>4125</v>
      </c>
      <c r="M29" s="224" t="s">
        <v>4664</v>
      </c>
      <c r="N29" s="224" t="s">
        <v>4664</v>
      </c>
      <c r="O29" s="246"/>
      <c r="P29" s="246"/>
      <c r="Q29" s="224"/>
      <c r="R29" s="224"/>
      <c r="S29" s="224"/>
      <c r="T29" s="223"/>
      <c r="U29" s="224"/>
      <c r="V29" s="224"/>
      <c r="W29" s="223"/>
      <c r="X29" s="248"/>
      <c r="Y29" s="231"/>
      <c r="Z29" s="231"/>
      <c r="AA29" s="223" t="s">
        <v>184</v>
      </c>
      <c r="AC29" s="688"/>
      <c r="AF29" s="237"/>
      <c r="AG29" s="237"/>
      <c r="AH29" s="237"/>
      <c r="AI29" s="237"/>
    </row>
    <row r="30" spans="1:35" s="2" customFormat="1" ht="64.5" customHeight="1">
      <c r="A30" s="23"/>
      <c r="B30" s="23"/>
      <c r="C30" s="23"/>
      <c r="D30" s="23"/>
      <c r="E30" s="221" t="s">
        <v>4665</v>
      </c>
      <c r="F30" s="311" t="s">
        <v>538</v>
      </c>
      <c r="G30" s="311" t="s">
        <v>4666</v>
      </c>
      <c r="H30" s="223" t="s">
        <v>4667</v>
      </c>
      <c r="I30" s="221" t="s">
        <v>4663</v>
      </c>
      <c r="J30" s="223" t="s">
        <v>49</v>
      </c>
      <c r="K30" s="224" t="s">
        <v>4125</v>
      </c>
      <c r="L30" s="246" t="s">
        <v>4125</v>
      </c>
      <c r="M30" s="224" t="s">
        <v>4668</v>
      </c>
      <c r="N30" s="224" t="s">
        <v>4668</v>
      </c>
      <c r="O30" s="246"/>
      <c r="P30" s="246"/>
      <c r="Q30" s="224"/>
      <c r="R30" s="224"/>
      <c r="S30" s="224"/>
      <c r="T30" s="223"/>
      <c r="U30" s="224"/>
      <c r="V30" s="224"/>
      <c r="W30" s="223"/>
      <c r="X30" s="248"/>
      <c r="Y30" s="231"/>
      <c r="Z30" s="231"/>
      <c r="AA30" s="223" t="s">
        <v>184</v>
      </c>
      <c r="AC30" s="688"/>
      <c r="AF30" s="237"/>
      <c r="AG30" s="237"/>
      <c r="AH30" s="237"/>
      <c r="AI30" s="237"/>
    </row>
    <row r="31" spans="1:35" s="2" customFormat="1" ht="64.5" customHeight="1">
      <c r="A31" s="23"/>
      <c r="B31" s="23"/>
      <c r="C31" s="23"/>
      <c r="D31" s="23"/>
      <c r="E31" s="221" t="s">
        <v>4669</v>
      </c>
      <c r="F31" s="311" t="s">
        <v>538</v>
      </c>
      <c r="G31" s="311" t="s">
        <v>4670</v>
      </c>
      <c r="H31" s="223" t="s">
        <v>4364</v>
      </c>
      <c r="I31" s="221" t="s">
        <v>4663</v>
      </c>
      <c r="J31" s="223" t="s">
        <v>49</v>
      </c>
      <c r="K31" s="224" t="s">
        <v>4125</v>
      </c>
      <c r="L31" s="246" t="s">
        <v>4125</v>
      </c>
      <c r="M31" s="224" t="s">
        <v>4671</v>
      </c>
      <c r="N31" s="224" t="s">
        <v>4671</v>
      </c>
      <c r="O31" s="246"/>
      <c r="P31" s="246"/>
      <c r="Q31" s="224"/>
      <c r="R31" s="224"/>
      <c r="S31" s="224"/>
      <c r="T31" s="223"/>
      <c r="U31" s="224"/>
      <c r="V31" s="224"/>
      <c r="W31" s="223"/>
      <c r="X31" s="248"/>
      <c r="Y31" s="231"/>
      <c r="Z31" s="231"/>
      <c r="AA31" s="223">
        <v>0</v>
      </c>
      <c r="AC31" s="680"/>
      <c r="AF31" s="237"/>
      <c r="AG31" s="237"/>
      <c r="AH31" s="237"/>
      <c r="AI31" s="237"/>
    </row>
    <row r="32" spans="1:35" s="2" customFormat="1" ht="64.5" customHeight="1">
      <c r="A32" s="23"/>
      <c r="B32" s="23"/>
      <c r="C32" s="23"/>
      <c r="D32" s="23"/>
      <c r="E32" s="221" t="s">
        <v>4672</v>
      </c>
      <c r="F32" s="311" t="s">
        <v>566</v>
      </c>
      <c r="G32" s="311" t="s">
        <v>4673</v>
      </c>
      <c r="H32" s="223" t="s">
        <v>4674</v>
      </c>
      <c r="I32" s="221" t="s">
        <v>4658</v>
      </c>
      <c r="J32" s="223" t="s">
        <v>45</v>
      </c>
      <c r="K32" s="224" t="s">
        <v>4125</v>
      </c>
      <c r="L32" s="246" t="s">
        <v>4125</v>
      </c>
      <c r="M32" s="224" t="s">
        <v>4675</v>
      </c>
      <c r="N32" s="224" t="s">
        <v>4675</v>
      </c>
      <c r="O32" s="246"/>
      <c r="P32" s="224"/>
      <c r="Q32" s="224"/>
      <c r="R32" s="224"/>
      <c r="S32" s="224"/>
      <c r="T32" s="223"/>
      <c r="U32" s="224"/>
      <c r="V32" s="224"/>
      <c r="W32" s="223"/>
      <c r="X32" s="248"/>
      <c r="Y32" s="231"/>
      <c r="Z32" s="231"/>
      <c r="AA32" s="223">
        <v>1</v>
      </c>
      <c r="AC32" s="681"/>
      <c r="AF32" s="237"/>
      <c r="AG32" s="237"/>
      <c r="AH32" s="237"/>
      <c r="AI32" s="237"/>
    </row>
    <row r="33" spans="1:35" s="2" customFormat="1" ht="64.5" customHeight="1">
      <c r="A33" s="23"/>
      <c r="B33" s="23"/>
      <c r="C33" s="23"/>
      <c r="D33" s="23"/>
      <c r="E33" s="221" t="s">
        <v>4676</v>
      </c>
      <c r="F33" s="311" t="s">
        <v>566</v>
      </c>
      <c r="G33" s="311" t="s">
        <v>4677</v>
      </c>
      <c r="H33" s="223" t="s">
        <v>4678</v>
      </c>
      <c r="I33" s="221" t="s">
        <v>4658</v>
      </c>
      <c r="J33" s="223" t="s">
        <v>45</v>
      </c>
      <c r="K33" s="224" t="s">
        <v>4125</v>
      </c>
      <c r="L33" s="246" t="s">
        <v>4125</v>
      </c>
      <c r="M33" s="224" t="s">
        <v>4679</v>
      </c>
      <c r="N33" s="224" t="s">
        <v>4679</v>
      </c>
      <c r="O33" s="246"/>
      <c r="P33" s="224"/>
      <c r="Q33" s="224"/>
      <c r="R33" s="224"/>
      <c r="S33" s="224"/>
      <c r="T33" s="223"/>
      <c r="U33" s="224"/>
      <c r="V33" s="224"/>
      <c r="W33" s="223"/>
      <c r="X33" s="248"/>
      <c r="Y33" s="231"/>
      <c r="Z33" s="231"/>
      <c r="AA33" s="223">
        <v>1</v>
      </c>
      <c r="AC33" s="681"/>
      <c r="AF33" s="237"/>
      <c r="AG33" s="237"/>
      <c r="AH33" s="237"/>
      <c r="AI33" s="237"/>
    </row>
    <row r="34" spans="1:35" s="2" customFormat="1" ht="64.5" customHeight="1">
      <c r="A34" s="23"/>
      <c r="B34" s="23"/>
      <c r="C34" s="23"/>
      <c r="D34" s="23"/>
      <c r="E34" s="221" t="s">
        <v>4680</v>
      </c>
      <c r="F34" s="311" t="s">
        <v>584</v>
      </c>
      <c r="G34" s="311" t="s">
        <v>4681</v>
      </c>
      <c r="H34" s="399" t="s">
        <v>787</v>
      </c>
      <c r="I34" s="407" t="s">
        <v>4215</v>
      </c>
      <c r="J34" s="223" t="s">
        <v>53</v>
      </c>
      <c r="K34" s="224" t="s">
        <v>4125</v>
      </c>
      <c r="L34" s="246" t="s">
        <v>4125</v>
      </c>
      <c r="M34" s="224" t="s">
        <v>4682</v>
      </c>
      <c r="N34" s="224" t="s">
        <v>4160</v>
      </c>
      <c r="O34" s="246"/>
      <c r="P34" s="247"/>
      <c r="Q34" s="224"/>
      <c r="R34" s="224"/>
      <c r="S34" s="224"/>
      <c r="T34" s="223"/>
      <c r="U34" s="224"/>
      <c r="V34" s="224"/>
      <c r="W34" s="223"/>
      <c r="X34" s="248"/>
      <c r="Y34" s="231"/>
      <c r="Z34" s="231"/>
      <c r="AA34" s="223" t="s">
        <v>184</v>
      </c>
      <c r="AF34" s="237"/>
      <c r="AG34" s="237"/>
      <c r="AH34" s="237"/>
      <c r="AI34" s="237"/>
    </row>
    <row r="35" spans="1:35" s="2" customFormat="1" ht="64.5" customHeight="1">
      <c r="A35" s="23"/>
      <c r="B35" s="23"/>
      <c r="C35" s="23"/>
      <c r="D35" s="23"/>
      <c r="E35" s="241"/>
      <c r="F35" s="241"/>
      <c r="G35" s="239"/>
      <c r="H35" s="383"/>
      <c r="I35" s="241"/>
      <c r="J35" s="222"/>
      <c r="K35" s="232"/>
      <c r="L35" s="230"/>
      <c r="M35" s="232" t="s">
        <v>4683</v>
      </c>
      <c r="N35" s="232" t="s">
        <v>4683</v>
      </c>
      <c r="O35" s="230"/>
      <c r="P35" s="408"/>
      <c r="Q35" s="232"/>
      <c r="R35" s="232"/>
      <c r="S35" s="232"/>
      <c r="T35" s="222"/>
      <c r="U35" s="232"/>
      <c r="V35" s="232"/>
      <c r="W35" s="222"/>
      <c r="X35" s="409"/>
      <c r="Y35" s="240"/>
      <c r="Z35" s="240"/>
      <c r="AA35" s="225" t="s">
        <v>184</v>
      </c>
      <c r="AF35" s="237"/>
      <c r="AG35" s="237"/>
      <c r="AH35" s="237"/>
      <c r="AI35" s="237"/>
    </row>
    <row r="36" spans="1:35" s="2" customFormat="1" ht="64.5" customHeight="1">
      <c r="A36" s="23"/>
      <c r="B36" s="23"/>
      <c r="C36" s="23"/>
      <c r="D36" s="23"/>
      <c r="E36" s="221" t="s">
        <v>4684</v>
      </c>
      <c r="F36" s="311" t="s">
        <v>584</v>
      </c>
      <c r="G36" s="311" t="s">
        <v>4685</v>
      </c>
      <c r="H36" s="399" t="s">
        <v>4686</v>
      </c>
      <c r="I36" s="407" t="s">
        <v>4215</v>
      </c>
      <c r="J36" s="223" t="s">
        <v>53</v>
      </c>
      <c r="K36" s="224" t="s">
        <v>4125</v>
      </c>
      <c r="L36" s="246" t="s">
        <v>4125</v>
      </c>
      <c r="M36" s="224" t="s">
        <v>4682</v>
      </c>
      <c r="N36" s="224" t="s">
        <v>4160</v>
      </c>
      <c r="O36" s="246"/>
      <c r="P36" s="247"/>
      <c r="Q36" s="224"/>
      <c r="R36" s="224"/>
      <c r="S36" s="224"/>
      <c r="T36" s="223"/>
      <c r="U36" s="224"/>
      <c r="V36" s="224"/>
      <c r="W36" s="223"/>
      <c r="X36" s="248"/>
      <c r="Y36" s="231"/>
      <c r="Z36" s="231"/>
      <c r="AA36" s="223" t="s">
        <v>184</v>
      </c>
      <c r="AF36" s="237"/>
      <c r="AG36" s="237"/>
      <c r="AH36" s="237"/>
      <c r="AI36" s="237"/>
    </row>
    <row r="37" spans="1:35" s="2" customFormat="1" ht="64.5" customHeight="1">
      <c r="A37" s="23"/>
      <c r="B37" s="23"/>
      <c r="C37" s="23"/>
      <c r="D37" s="23"/>
      <c r="E37" s="241"/>
      <c r="F37" s="241"/>
      <c r="G37" s="239"/>
      <c r="H37" s="383"/>
      <c r="I37" s="241"/>
      <c r="J37" s="222"/>
      <c r="K37" s="232"/>
      <c r="L37" s="230"/>
      <c r="M37" s="232" t="s">
        <v>4687</v>
      </c>
      <c r="N37" s="232" t="s">
        <v>4687</v>
      </c>
      <c r="O37" s="230"/>
      <c r="P37" s="408"/>
      <c r="Q37" s="232"/>
      <c r="R37" s="232"/>
      <c r="S37" s="232"/>
      <c r="T37" s="222"/>
      <c r="U37" s="232"/>
      <c r="V37" s="232"/>
      <c r="W37" s="222"/>
      <c r="X37" s="409"/>
      <c r="Y37" s="240"/>
      <c r="Z37" s="240"/>
      <c r="AA37" s="225" t="s">
        <v>184</v>
      </c>
      <c r="AF37" s="237"/>
      <c r="AG37" s="237"/>
      <c r="AH37" s="237"/>
      <c r="AI37" s="237"/>
    </row>
    <row r="38" spans="1:35" s="2" customFormat="1" ht="64.5" customHeight="1">
      <c r="A38" s="23"/>
      <c r="B38" s="23"/>
      <c r="C38" s="23"/>
      <c r="D38" s="23"/>
      <c r="E38" s="221" t="s">
        <v>4688</v>
      </c>
      <c r="F38" s="311" t="s">
        <v>584</v>
      </c>
      <c r="G38" s="311" t="s">
        <v>4689</v>
      </c>
      <c r="H38" s="399" t="s">
        <v>4690</v>
      </c>
      <c r="I38" s="407" t="s">
        <v>4215</v>
      </c>
      <c r="J38" s="223" t="s">
        <v>53</v>
      </c>
      <c r="K38" s="224" t="s">
        <v>4125</v>
      </c>
      <c r="L38" s="246" t="s">
        <v>4125</v>
      </c>
      <c r="M38" s="224" t="s">
        <v>4682</v>
      </c>
      <c r="N38" s="224" t="s">
        <v>4160</v>
      </c>
      <c r="O38" s="246"/>
      <c r="P38" s="247"/>
      <c r="Q38" s="224"/>
      <c r="R38" s="224"/>
      <c r="S38" s="224"/>
      <c r="T38" s="223"/>
      <c r="U38" s="224"/>
      <c r="V38" s="224"/>
      <c r="W38" s="223"/>
      <c r="X38" s="248"/>
      <c r="Y38" s="231"/>
      <c r="Z38" s="231"/>
      <c r="AA38" s="223" t="s">
        <v>184</v>
      </c>
      <c r="AF38" s="237"/>
      <c r="AG38" s="237"/>
      <c r="AH38" s="237"/>
      <c r="AI38" s="237"/>
    </row>
    <row r="39" spans="1:35" s="2" customFormat="1" ht="64.5" customHeight="1">
      <c r="A39" s="23"/>
      <c r="B39" s="23"/>
      <c r="C39" s="23"/>
      <c r="D39" s="23"/>
      <c r="E39" s="241"/>
      <c r="F39" s="241"/>
      <c r="G39" s="239"/>
      <c r="H39" s="383"/>
      <c r="I39" s="241"/>
      <c r="J39" s="222"/>
      <c r="K39" s="232"/>
      <c r="L39" s="230"/>
      <c r="M39" s="232" t="s">
        <v>4691</v>
      </c>
      <c r="N39" s="232" t="s">
        <v>4691</v>
      </c>
      <c r="O39" s="230"/>
      <c r="P39" s="408"/>
      <c r="Q39" s="232"/>
      <c r="R39" s="232"/>
      <c r="S39" s="232"/>
      <c r="T39" s="222"/>
      <c r="U39" s="232"/>
      <c r="V39" s="232"/>
      <c r="W39" s="222"/>
      <c r="X39" s="409"/>
      <c r="Y39" s="240"/>
      <c r="Z39" s="240"/>
      <c r="AA39" s="225" t="s">
        <v>184</v>
      </c>
      <c r="AF39" s="237"/>
      <c r="AG39" s="237"/>
      <c r="AH39" s="237"/>
      <c r="AI39" s="237"/>
    </row>
    <row r="40" spans="1:35" s="2" customFormat="1" ht="64.5" customHeight="1">
      <c r="A40" s="23"/>
      <c r="B40" s="23"/>
      <c r="C40" s="23"/>
      <c r="D40" s="23"/>
      <c r="E40" s="221" t="s">
        <v>4692</v>
      </c>
      <c r="F40" s="311" t="s">
        <v>584</v>
      </c>
      <c r="G40" s="311" t="s">
        <v>4693</v>
      </c>
      <c r="H40" s="399" t="s">
        <v>4694</v>
      </c>
      <c r="I40" s="407" t="s">
        <v>4663</v>
      </c>
      <c r="J40" s="223" t="s">
        <v>49</v>
      </c>
      <c r="K40" s="224" t="s">
        <v>4125</v>
      </c>
      <c r="L40" s="246" t="s">
        <v>4125</v>
      </c>
      <c r="M40" s="224" t="s">
        <v>4682</v>
      </c>
      <c r="N40" s="224" t="s">
        <v>4160</v>
      </c>
      <c r="O40" s="246"/>
      <c r="P40" s="247"/>
      <c r="Q40" s="224"/>
      <c r="R40" s="224"/>
      <c r="S40" s="224"/>
      <c r="T40" s="223"/>
      <c r="U40" s="224"/>
      <c r="V40" s="224"/>
      <c r="W40" s="223"/>
      <c r="X40" s="248"/>
      <c r="Y40" s="231"/>
      <c r="Z40" s="231"/>
      <c r="AA40" s="223" t="s">
        <v>184</v>
      </c>
      <c r="AF40" s="237"/>
      <c r="AG40" s="237"/>
      <c r="AH40" s="237"/>
      <c r="AI40" s="237"/>
    </row>
    <row r="41" spans="1:35" s="2" customFormat="1" ht="64.5" customHeight="1">
      <c r="A41" s="23"/>
      <c r="B41" s="23"/>
      <c r="C41" s="23"/>
      <c r="D41" s="23"/>
      <c r="E41" s="241"/>
      <c r="F41" s="241"/>
      <c r="G41" s="239"/>
      <c r="H41" s="383"/>
      <c r="I41" s="241"/>
      <c r="J41" s="222"/>
      <c r="K41" s="232"/>
      <c r="L41" s="230"/>
      <c r="M41" s="232" t="s">
        <v>4679</v>
      </c>
      <c r="N41" s="232" t="s">
        <v>4679</v>
      </c>
      <c r="O41" s="230"/>
      <c r="P41" s="408"/>
      <c r="Q41" s="232"/>
      <c r="R41" s="232"/>
      <c r="S41" s="232"/>
      <c r="T41" s="222"/>
      <c r="U41" s="232"/>
      <c r="V41" s="232"/>
      <c r="W41" s="222"/>
      <c r="X41" s="409"/>
      <c r="Y41" s="240"/>
      <c r="Z41" s="240"/>
      <c r="AA41" s="225" t="s">
        <v>184</v>
      </c>
      <c r="AF41" s="237"/>
      <c r="AG41" s="237"/>
      <c r="AH41" s="237"/>
      <c r="AI41" s="237"/>
    </row>
    <row r="42" spans="1:35" s="2" customFormat="1" ht="64.5" customHeight="1">
      <c r="A42" s="23"/>
      <c r="B42" s="23"/>
      <c r="C42" s="23"/>
      <c r="D42" s="23"/>
      <c r="E42" s="221" t="s">
        <v>4695</v>
      </c>
      <c r="F42" s="311" t="s">
        <v>596</v>
      </c>
      <c r="G42" s="311" t="s">
        <v>4696</v>
      </c>
      <c r="H42" s="399" t="s">
        <v>4697</v>
      </c>
      <c r="I42" s="407" t="s">
        <v>4658</v>
      </c>
      <c r="J42" s="223" t="s">
        <v>45</v>
      </c>
      <c r="K42" s="224" t="s">
        <v>4125</v>
      </c>
      <c r="L42" s="246" t="s">
        <v>4125</v>
      </c>
      <c r="M42" s="224" t="s">
        <v>4698</v>
      </c>
      <c r="N42" s="224" t="s">
        <v>4698</v>
      </c>
      <c r="O42" s="246"/>
      <c r="P42" s="224"/>
      <c r="Q42" s="224"/>
      <c r="R42" s="224"/>
      <c r="S42" s="224"/>
      <c r="T42" s="223"/>
      <c r="U42" s="224"/>
      <c r="V42" s="224"/>
      <c r="W42" s="223"/>
      <c r="X42" s="248"/>
      <c r="Y42" s="231"/>
      <c r="Z42" s="231"/>
      <c r="AA42" s="223">
        <v>1</v>
      </c>
      <c r="AC42" s="681"/>
      <c r="AF42" s="237"/>
      <c r="AG42" s="237"/>
      <c r="AH42" s="237"/>
      <c r="AI42" s="237"/>
    </row>
    <row r="43" spans="1:35" s="2" customFormat="1" ht="64.5" customHeight="1">
      <c r="A43" s="23"/>
      <c r="B43" s="23"/>
      <c r="C43" s="23"/>
      <c r="D43" s="23"/>
      <c r="E43" s="221" t="s">
        <v>4699</v>
      </c>
      <c r="F43" s="311" t="s">
        <v>596</v>
      </c>
      <c r="G43" s="311" t="s">
        <v>4700</v>
      </c>
      <c r="H43" s="399" t="s">
        <v>4701</v>
      </c>
      <c r="I43" s="407" t="s">
        <v>4658</v>
      </c>
      <c r="J43" s="223" t="s">
        <v>45</v>
      </c>
      <c r="K43" s="224" t="s">
        <v>4125</v>
      </c>
      <c r="L43" s="246" t="s">
        <v>4125</v>
      </c>
      <c r="M43" s="224" t="s">
        <v>4702</v>
      </c>
      <c r="N43" s="224" t="s">
        <v>4702</v>
      </c>
      <c r="O43" s="246"/>
      <c r="P43" s="224"/>
      <c r="Q43" s="224"/>
      <c r="R43" s="224"/>
      <c r="S43" s="224"/>
      <c r="T43" s="223"/>
      <c r="U43" s="224"/>
      <c r="V43" s="224"/>
      <c r="W43" s="223"/>
      <c r="X43" s="248"/>
      <c r="Y43" s="231"/>
      <c r="Z43" s="231"/>
      <c r="AA43" s="223">
        <v>1</v>
      </c>
      <c r="AC43" s="681"/>
      <c r="AF43" s="237"/>
      <c r="AG43" s="237"/>
      <c r="AH43" s="237"/>
      <c r="AI43" s="237"/>
    </row>
    <row r="44" spans="1:35" s="2" customFormat="1" ht="64.5" customHeight="1">
      <c r="A44" s="23"/>
      <c r="B44" s="23"/>
      <c r="C44" s="23"/>
      <c r="D44" s="23"/>
      <c r="E44" s="221" t="s">
        <v>4703</v>
      </c>
      <c r="F44" s="311" t="s">
        <v>613</v>
      </c>
      <c r="G44" s="311" t="s">
        <v>4704</v>
      </c>
      <c r="H44" s="399" t="s">
        <v>803</v>
      </c>
      <c r="I44" s="407" t="s">
        <v>4215</v>
      </c>
      <c r="J44" s="223" t="s">
        <v>53</v>
      </c>
      <c r="K44" s="224" t="s">
        <v>4125</v>
      </c>
      <c r="L44" s="246" t="s">
        <v>4125</v>
      </c>
      <c r="M44" s="224" t="s">
        <v>4705</v>
      </c>
      <c r="N44" s="224" t="s">
        <v>4160</v>
      </c>
      <c r="O44" s="246"/>
      <c r="P44" s="247"/>
      <c r="Q44" s="224"/>
      <c r="R44" s="224"/>
      <c r="S44" s="224"/>
      <c r="T44" s="223"/>
      <c r="U44" s="224"/>
      <c r="V44" s="224"/>
      <c r="W44" s="223"/>
      <c r="X44" s="248"/>
      <c r="Y44" s="231"/>
      <c r="Z44" s="231"/>
      <c r="AA44" s="223" t="s">
        <v>184</v>
      </c>
      <c r="AC44" s="682"/>
      <c r="AF44" s="237"/>
      <c r="AG44" s="237"/>
      <c r="AH44" s="237"/>
      <c r="AI44" s="237"/>
    </row>
    <row r="45" spans="1:35" s="2" customFormat="1" ht="64.5" customHeight="1">
      <c r="A45" s="23"/>
      <c r="B45" s="23"/>
      <c r="C45" s="23"/>
      <c r="D45" s="23"/>
      <c r="E45" s="241"/>
      <c r="F45" s="241"/>
      <c r="G45" s="239"/>
      <c r="H45" s="383"/>
      <c r="I45" s="241"/>
      <c r="J45" s="222"/>
      <c r="K45" s="232"/>
      <c r="L45" s="230"/>
      <c r="M45" s="232" t="s">
        <v>4706</v>
      </c>
      <c r="N45" s="232" t="s">
        <v>4706</v>
      </c>
      <c r="O45" s="230"/>
      <c r="P45" s="408"/>
      <c r="Q45" s="232"/>
      <c r="R45" s="232"/>
      <c r="S45" s="232"/>
      <c r="T45" s="222"/>
      <c r="U45" s="232"/>
      <c r="V45" s="232"/>
      <c r="W45" s="222"/>
      <c r="X45" s="409"/>
      <c r="Y45" s="240"/>
      <c r="Z45" s="240"/>
      <c r="AA45" s="225" t="s">
        <v>184</v>
      </c>
      <c r="AF45" s="237"/>
      <c r="AG45" s="237"/>
      <c r="AH45" s="237"/>
      <c r="AI45" s="237"/>
    </row>
    <row r="46" spans="1:35" s="2" customFormat="1" ht="64.5" customHeight="1">
      <c r="A46" s="23"/>
      <c r="B46" s="23"/>
      <c r="C46" s="23"/>
      <c r="D46" s="23"/>
      <c r="E46" s="221" t="s">
        <v>4707</v>
      </c>
      <c r="F46" s="311" t="s">
        <v>613</v>
      </c>
      <c r="G46" s="311" t="s">
        <v>4708</v>
      </c>
      <c r="H46" s="399" t="s">
        <v>4709</v>
      </c>
      <c r="I46" s="407" t="s">
        <v>4215</v>
      </c>
      <c r="J46" s="223" t="s">
        <v>53</v>
      </c>
      <c r="K46" s="224" t="s">
        <v>4125</v>
      </c>
      <c r="L46" s="246" t="s">
        <v>4125</v>
      </c>
      <c r="M46" s="224" t="s">
        <v>4705</v>
      </c>
      <c r="N46" s="224" t="s">
        <v>4160</v>
      </c>
      <c r="O46" s="246"/>
      <c r="P46" s="247"/>
      <c r="Q46" s="224"/>
      <c r="R46" s="224"/>
      <c r="S46" s="224"/>
      <c r="T46" s="223"/>
      <c r="U46" s="224"/>
      <c r="V46" s="224"/>
      <c r="W46" s="223"/>
      <c r="X46" s="248"/>
      <c r="Y46" s="231"/>
      <c r="Z46" s="231"/>
      <c r="AA46" s="223" t="s">
        <v>184</v>
      </c>
      <c r="AF46" s="237"/>
      <c r="AG46" s="237"/>
      <c r="AH46" s="237"/>
      <c r="AI46" s="237"/>
    </row>
    <row r="47" spans="1:35" s="2" customFormat="1" ht="64.5" customHeight="1">
      <c r="A47" s="23"/>
      <c r="B47" s="23"/>
      <c r="C47" s="23"/>
      <c r="D47" s="23"/>
      <c r="E47" s="241"/>
      <c r="F47" s="241"/>
      <c r="G47" s="239"/>
      <c r="H47" s="383"/>
      <c r="I47" s="241"/>
      <c r="J47" s="222"/>
      <c r="K47" s="232"/>
      <c r="L47" s="230"/>
      <c r="M47" s="232" t="s">
        <v>4710</v>
      </c>
      <c r="N47" s="232" t="s">
        <v>4710</v>
      </c>
      <c r="O47" s="230"/>
      <c r="P47" s="408"/>
      <c r="Q47" s="232"/>
      <c r="R47" s="232"/>
      <c r="S47" s="232"/>
      <c r="T47" s="222"/>
      <c r="U47" s="232"/>
      <c r="V47" s="232"/>
      <c r="W47" s="222"/>
      <c r="X47" s="409"/>
      <c r="Y47" s="240"/>
      <c r="Z47" s="240"/>
      <c r="AA47" s="225" t="s">
        <v>184</v>
      </c>
      <c r="AF47" s="237"/>
      <c r="AG47" s="237"/>
      <c r="AH47" s="237"/>
      <c r="AI47" s="237"/>
    </row>
    <row r="48" spans="1:35" s="2" customFormat="1" ht="64.5" customHeight="1">
      <c r="A48" s="23"/>
      <c r="B48" s="23"/>
      <c r="C48" s="23"/>
      <c r="D48" s="23"/>
      <c r="E48" s="17" t="s">
        <v>4711</v>
      </c>
      <c r="F48" s="311" t="s">
        <v>613</v>
      </c>
      <c r="G48" s="369" t="s">
        <v>4712</v>
      </c>
      <c r="H48" s="185" t="s">
        <v>4713</v>
      </c>
      <c r="I48" s="242" t="s">
        <v>4215</v>
      </c>
      <c r="J48" s="223" t="s">
        <v>53</v>
      </c>
      <c r="K48" s="233" t="s">
        <v>4125</v>
      </c>
      <c r="L48" s="1012" t="s">
        <v>4125</v>
      </c>
      <c r="M48" s="224" t="s">
        <v>4705</v>
      </c>
      <c r="N48" s="224" t="s">
        <v>4160</v>
      </c>
      <c r="O48" s="246"/>
      <c r="P48" s="247"/>
      <c r="Q48" s="224"/>
      <c r="R48" s="224"/>
      <c r="S48" s="224"/>
      <c r="T48" s="223"/>
      <c r="U48" s="224"/>
      <c r="V48" s="224"/>
      <c r="W48" s="223"/>
      <c r="X48" s="248"/>
      <c r="Y48" s="231"/>
      <c r="Z48" s="231"/>
      <c r="AA48" s="223" t="s">
        <v>184</v>
      </c>
      <c r="AF48" s="237"/>
      <c r="AG48" s="237"/>
      <c r="AH48" s="237"/>
      <c r="AI48" s="237"/>
    </row>
    <row r="49" spans="1:35" s="2" customFormat="1" ht="64.5" customHeight="1">
      <c r="A49" s="23"/>
      <c r="B49" s="23"/>
      <c r="C49" s="23"/>
      <c r="D49" s="23"/>
      <c r="E49" s="241"/>
      <c r="F49" s="18"/>
      <c r="G49" s="239"/>
      <c r="H49" s="383"/>
      <c r="I49" s="241"/>
      <c r="J49" s="222"/>
      <c r="K49" s="232"/>
      <c r="L49" s="230"/>
      <c r="M49" s="232" t="s">
        <v>4714</v>
      </c>
      <c r="N49" s="74" t="s">
        <v>4714</v>
      </c>
      <c r="O49" s="230"/>
      <c r="P49" s="408"/>
      <c r="Q49" s="232"/>
      <c r="R49" s="232"/>
      <c r="S49" s="232"/>
      <c r="T49" s="222"/>
      <c r="U49" s="232"/>
      <c r="V49" s="232"/>
      <c r="W49" s="222"/>
      <c r="X49" s="409"/>
      <c r="Y49" s="240"/>
      <c r="Z49" s="240"/>
      <c r="AA49" s="245" t="s">
        <v>184</v>
      </c>
      <c r="AF49" s="237"/>
      <c r="AG49" s="237"/>
      <c r="AH49" s="237"/>
      <c r="AI49" s="237"/>
    </row>
    <row r="50" spans="1:35" s="2" customFormat="1" ht="64.5" customHeight="1">
      <c r="A50" s="23"/>
      <c r="B50" s="23"/>
      <c r="C50" s="23"/>
      <c r="D50" s="23"/>
      <c r="E50" s="17" t="s">
        <v>4715</v>
      </c>
      <c r="F50" s="369" t="s">
        <v>613</v>
      </c>
      <c r="G50" s="369" t="s">
        <v>4716</v>
      </c>
      <c r="H50" s="185" t="s">
        <v>4717</v>
      </c>
      <c r="I50" s="242" t="s">
        <v>4663</v>
      </c>
      <c r="J50" s="1036" t="s">
        <v>49</v>
      </c>
      <c r="K50" s="233" t="s">
        <v>4125</v>
      </c>
      <c r="L50" s="1012" t="s">
        <v>4125</v>
      </c>
      <c r="M50" s="233" t="s">
        <v>4705</v>
      </c>
      <c r="N50" s="233" t="s">
        <v>4160</v>
      </c>
      <c r="O50" s="1012"/>
      <c r="P50" s="1040"/>
      <c r="Q50" s="233"/>
      <c r="R50" s="233"/>
      <c r="S50" s="233"/>
      <c r="T50" s="1036"/>
      <c r="U50" s="233"/>
      <c r="V50" s="233"/>
      <c r="W50" s="1036"/>
      <c r="X50" s="1037"/>
      <c r="Y50" s="1038"/>
      <c r="Z50" s="1038"/>
      <c r="AA50" s="1036" t="s">
        <v>184</v>
      </c>
      <c r="AC50" s="682"/>
      <c r="AF50" s="237"/>
      <c r="AG50" s="237"/>
      <c r="AH50" s="237"/>
      <c r="AI50" s="237"/>
    </row>
    <row r="51" spans="1:35" s="2" customFormat="1" ht="64.5" customHeight="1">
      <c r="A51" s="12"/>
      <c r="B51" s="12"/>
      <c r="C51" s="12"/>
      <c r="D51" s="12"/>
      <c r="E51" s="5"/>
      <c r="F51" s="5"/>
      <c r="G51" s="6"/>
      <c r="H51" s="969"/>
      <c r="I51" s="5"/>
      <c r="J51" s="12"/>
      <c r="K51" s="13"/>
      <c r="L51" s="80"/>
      <c r="M51" s="13" t="s">
        <v>4718</v>
      </c>
      <c r="N51" s="13" t="s">
        <v>4718</v>
      </c>
      <c r="O51" s="80"/>
      <c r="P51" s="80"/>
      <c r="Q51" s="13"/>
      <c r="R51" s="13"/>
      <c r="S51" s="13"/>
      <c r="T51" s="12"/>
      <c r="U51" s="13"/>
      <c r="V51" s="13"/>
      <c r="W51" s="12"/>
      <c r="X51" s="410"/>
      <c r="Y51" s="8"/>
      <c r="Z51" s="8"/>
      <c r="AA51" s="5" t="s">
        <v>184</v>
      </c>
      <c r="AF51" s="237"/>
      <c r="AG51" s="237"/>
      <c r="AH51" s="237"/>
      <c r="AI51" s="237"/>
    </row>
    <row r="52" spans="1:35" s="2" customFormat="1" ht="14.25">
      <c r="A52" s="716"/>
      <c r="B52" s="12"/>
      <c r="C52" s="12"/>
      <c r="D52" s="12"/>
      <c r="E52" s="205" t="s">
        <v>2074</v>
      </c>
      <c r="F52" s="5"/>
      <c r="G52" s="178"/>
      <c r="H52" s="178"/>
      <c r="I52" s="178"/>
      <c r="J52" s="178"/>
      <c r="K52" s="13"/>
      <c r="L52" s="13"/>
      <c r="M52" s="13"/>
      <c r="N52" s="13"/>
      <c r="O52" s="80"/>
      <c r="P52" s="80"/>
      <c r="Q52" s="12"/>
      <c r="R52" s="13"/>
      <c r="S52" s="12"/>
      <c r="T52" s="12"/>
      <c r="U52" s="12"/>
      <c r="V52" s="13"/>
      <c r="W52" s="12"/>
      <c r="X52" s="12"/>
      <c r="Y52" s="8"/>
      <c r="Z52" s="178"/>
      <c r="AA52" s="716"/>
      <c r="AF52" s="237"/>
      <c r="AG52" s="237"/>
      <c r="AH52" s="237"/>
      <c r="AI52" s="237"/>
    </row>
    <row r="53" spans="1:35" s="2" customFormat="1" ht="50.25" customHeight="1">
      <c r="B53" s="23"/>
      <c r="C53" s="23"/>
      <c r="D53" s="23"/>
      <c r="E53" s="954"/>
      <c r="F53" s="3"/>
      <c r="G53" s="829"/>
      <c r="H53" s="829"/>
      <c r="I53" s="829"/>
      <c r="J53" s="829"/>
      <c r="K53" s="79"/>
      <c r="L53" s="79"/>
      <c r="M53" s="79"/>
      <c r="N53" s="79"/>
      <c r="O53" s="68"/>
      <c r="P53" s="68"/>
      <c r="Q53" s="23"/>
      <c r="R53" s="79"/>
      <c r="S53" s="23"/>
      <c r="T53" s="23"/>
      <c r="U53" s="23"/>
      <c r="V53" s="79"/>
      <c r="W53" s="23"/>
      <c r="X53" s="23"/>
      <c r="Y53" s="133"/>
      <c r="Z53" s="829"/>
      <c r="AF53" s="237"/>
      <c r="AG53" s="237"/>
      <c r="AH53" s="237"/>
      <c r="AI53" s="237"/>
    </row>
    <row r="54" spans="1:35" s="2" customFormat="1" ht="14.25">
      <c r="B54" s="23"/>
      <c r="C54" s="23"/>
      <c r="D54" s="23"/>
      <c r="E54" s="12">
        <f>COUNTA(E7:E51)</f>
        <v>37</v>
      </c>
      <c r="F54" s="3"/>
      <c r="G54" s="829"/>
      <c r="H54" s="829"/>
      <c r="I54" s="829"/>
      <c r="J54" s="829"/>
      <c r="K54" s="79"/>
      <c r="L54" s="68"/>
      <c r="M54" s="79"/>
      <c r="N54" s="79"/>
      <c r="O54" s="68"/>
      <c r="P54" s="23"/>
      <c r="Q54" s="23"/>
      <c r="R54" s="79"/>
      <c r="S54" s="23"/>
      <c r="T54" s="23"/>
      <c r="U54" s="23"/>
      <c r="V54" s="79"/>
      <c r="W54" s="23"/>
      <c r="X54" s="23"/>
      <c r="Y54" s="133"/>
      <c r="Z54" s="829"/>
    </row>
    <row r="55" spans="1:35" ht="13.35" customHeight="1">
      <c r="A55" s="15"/>
      <c r="B55" s="2"/>
      <c r="C55" s="2"/>
      <c r="D55" s="2"/>
      <c r="Z55" s="279"/>
    </row>
    <row r="56" spans="1:35" ht="13.35" customHeight="1">
      <c r="A56" s="2"/>
      <c r="B56" s="2"/>
      <c r="C56" s="2"/>
      <c r="D56" s="2"/>
    </row>
    <row r="57" spans="1:35" ht="13.35" customHeight="1">
      <c r="A57" s="2"/>
      <c r="B57" s="2"/>
      <c r="C57" s="2"/>
      <c r="D57" s="2"/>
    </row>
    <row r="58" spans="1:35" ht="13.35" customHeight="1">
      <c r="A58" s="2"/>
      <c r="B58" s="2"/>
      <c r="C58" s="2"/>
      <c r="D58" s="2"/>
    </row>
    <row r="59" spans="1:35" ht="13.35" customHeight="1">
      <c r="A59" s="2"/>
      <c r="B59" s="2"/>
      <c r="C59" s="2"/>
      <c r="D59" s="2"/>
    </row>
    <row r="60" spans="1:35" ht="13.35" customHeight="1">
      <c r="A60" s="2"/>
      <c r="B60" s="2"/>
      <c r="C60" s="2"/>
      <c r="D60" s="2"/>
    </row>
    <row r="61" spans="1:35" ht="13.35" customHeight="1">
      <c r="A61" s="2"/>
      <c r="B61" s="2"/>
      <c r="C61" s="2"/>
      <c r="D61" s="2"/>
    </row>
    <row r="62" spans="1:35" ht="13.35" customHeight="1">
      <c r="A62" s="2"/>
      <c r="B62" s="2"/>
      <c r="C62" s="2"/>
      <c r="D62" s="2"/>
    </row>
    <row r="63" spans="1:35" ht="13.35" customHeight="1">
      <c r="A63" s="2"/>
      <c r="B63" s="2"/>
      <c r="C63" s="2"/>
      <c r="D63" s="2"/>
    </row>
    <row r="64" spans="1:35" ht="13.35" customHeight="1">
      <c r="A64" s="2"/>
      <c r="B64" s="2"/>
      <c r="C64" s="2"/>
      <c r="D64" s="2"/>
    </row>
    <row r="65" spans="1:4" ht="13.35" customHeight="1">
      <c r="A65" s="2"/>
      <c r="B65" s="2"/>
      <c r="C65" s="2"/>
      <c r="D65" s="2"/>
    </row>
    <row r="66" spans="1:4" ht="13.35" customHeight="1">
      <c r="A66" s="2"/>
      <c r="B66" s="2"/>
      <c r="C66" s="2"/>
      <c r="D66" s="2"/>
    </row>
    <row r="67" spans="1:4" ht="13.35" customHeight="1">
      <c r="A67" s="2"/>
      <c r="B67" s="2"/>
      <c r="C67" s="2"/>
      <c r="D67" s="2"/>
    </row>
    <row r="68" spans="1:4" ht="13.35" customHeight="1">
      <c r="A68" s="2"/>
      <c r="B68" s="2"/>
      <c r="C68" s="2"/>
      <c r="D68" s="2"/>
    </row>
    <row r="69" spans="1:4" ht="13.35" customHeight="1">
      <c r="A69" s="2"/>
      <c r="B69" s="2"/>
      <c r="C69" s="2"/>
      <c r="D69" s="2"/>
    </row>
    <row r="70" spans="1:4" ht="13.35" customHeight="1">
      <c r="A70" s="2"/>
      <c r="B70" s="2"/>
      <c r="C70" s="2"/>
      <c r="D70" s="2"/>
    </row>
    <row r="71" spans="1:4" ht="13.35" customHeight="1">
      <c r="A71" s="2"/>
      <c r="B71" s="2"/>
      <c r="C71" s="2"/>
      <c r="D71" s="2"/>
    </row>
    <row r="72" spans="1:4" ht="13.35" customHeight="1">
      <c r="A72" s="2"/>
      <c r="B72" s="2"/>
      <c r="C72" s="2"/>
      <c r="D72" s="2"/>
    </row>
    <row r="73" spans="1:4" ht="13.35" customHeight="1">
      <c r="A73" s="2"/>
      <c r="B73" s="2"/>
      <c r="C73" s="2"/>
      <c r="D73" s="2"/>
    </row>
    <row r="74" spans="1:4" ht="13.35" customHeight="1">
      <c r="A74" s="2"/>
      <c r="B74" s="2"/>
      <c r="C74" s="2"/>
      <c r="D74" s="2"/>
    </row>
    <row r="75" spans="1:4" ht="13.35" customHeight="1">
      <c r="A75" s="2"/>
      <c r="B75" s="2"/>
      <c r="C75" s="2"/>
      <c r="D75" s="2"/>
    </row>
    <row r="76" spans="1:4" ht="13.35" customHeight="1">
      <c r="A76" s="2"/>
      <c r="B76" s="2"/>
      <c r="C76" s="2"/>
      <c r="D76" s="2"/>
    </row>
    <row r="77" spans="1:4" ht="13.35" customHeight="1">
      <c r="A77" s="2"/>
      <c r="B77" s="2"/>
      <c r="C77" s="2"/>
      <c r="D77" s="2"/>
    </row>
    <row r="78" spans="1:4" ht="13.35" customHeight="1">
      <c r="A78" s="2"/>
      <c r="B78" s="2"/>
      <c r="C78" s="2"/>
      <c r="D78" s="2"/>
    </row>
    <row r="79" spans="1:4" ht="13.35" customHeight="1">
      <c r="A79" s="2"/>
      <c r="B79" s="2"/>
      <c r="C79" s="2"/>
      <c r="D79" s="2"/>
    </row>
  </sheetData>
  <autoFilter ref="E6:Z54" xr:uid="{00000000-0009-0000-0000-000006000000}"/>
  <dataConsolidate/>
  <mergeCells count="3">
    <mergeCell ref="K5:M5"/>
    <mergeCell ref="O5:Y5"/>
    <mergeCell ref="E4:AA4"/>
  </mergeCells>
  <conditionalFormatting sqref="E7:E51">
    <cfRule type="expression" dxfId="52" priority="4098">
      <formula>LEN(E7)&gt;16</formula>
    </cfRule>
    <cfRule type="duplicateValues" dxfId="51" priority="4099"/>
  </conditionalFormatting>
  <conditionalFormatting sqref="H7:H51">
    <cfRule type="expression" dxfId="50" priority="5">
      <formula>LEN(H7)&gt;24</formula>
    </cfRule>
  </conditionalFormatting>
  <conditionalFormatting sqref="Q7:Q51">
    <cfRule type="expression" dxfId="49" priority="3">
      <formula>LEN(Q7)&gt;32</formula>
    </cfRule>
  </conditionalFormatting>
  <printOptions horizontalCentered="1"/>
  <pageMargins left="0.39370078740157483" right="0.39370078740157483" top="0.59055118110236227" bottom="0.59055118110236227" header="0.59055118110236227" footer="0.39370078740157483"/>
  <pageSetup paperSize="8" scale="42" fitToHeight="0" orientation="landscape" r:id="rId1"/>
  <headerFooter scaleWithDoc="0" alignWithMargins="0"/>
  <rowBreaks count="2" manualBreakCount="2">
    <brk id="23" min="4" max="32" man="1"/>
    <brk id="45" min="4" max="32" man="1"/>
  </rowBreaks>
  <colBreaks count="1" manualBreakCount="1">
    <brk id="6" max="5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filterMode="1">
    <tabColor indexed="12"/>
    <pageSetUpPr fitToPage="1"/>
  </sheetPr>
  <dimension ref="A1:BJ77"/>
  <sheetViews>
    <sheetView view="pageBreakPreview" topLeftCell="E4" zoomScale="70" zoomScaleNormal="55" zoomScaleSheetLayoutView="70" workbookViewId="0">
      <selection activeCell="V41" sqref="V41"/>
    </sheetView>
  </sheetViews>
  <sheetFormatPr defaultColWidth="18.6640625" defaultRowHeight="13.35" customHeight="1" outlineLevelCol="1"/>
  <cols>
    <col min="1" max="1" width="19.1640625" style="2" hidden="1" customWidth="1" outlineLevel="1"/>
    <col min="2" max="2" width="14.5" style="2" hidden="1" customWidth="1" outlineLevel="1"/>
    <col min="3" max="3" width="19.1640625" style="2" hidden="1" customWidth="1" outlineLevel="1"/>
    <col min="4" max="4" width="15.5" style="2" hidden="1" customWidth="1" outlineLevel="1"/>
    <col min="5" max="5" width="27" style="2" customWidth="1" collapsed="1"/>
    <col min="6" max="6" width="27" style="2" bestFit="1" customWidth="1"/>
    <col min="7" max="7" width="30.33203125" style="3" customWidth="1"/>
    <col min="8" max="8" width="56.6640625" style="2" customWidth="1" outlineLevel="1"/>
    <col min="9" max="9" width="42.33203125" style="2" customWidth="1"/>
    <col min="10" max="10" width="22.33203125" style="2" customWidth="1"/>
    <col min="11" max="12" width="10.6640625" style="2" customWidth="1"/>
    <col min="13" max="13" width="14.6640625" style="2" customWidth="1"/>
    <col min="14" max="14" width="38.1640625" style="2" bestFit="1" customWidth="1"/>
    <col min="15" max="17" width="10.6640625" style="10" customWidth="1"/>
    <col min="18" max="18" width="15.6640625" style="96" customWidth="1"/>
    <col min="19" max="19" width="15.6640625" style="103" customWidth="1"/>
    <col min="20" max="20" width="15.6640625" style="102" customWidth="1"/>
    <col min="21" max="33" width="10.6640625" style="96" customWidth="1"/>
    <col min="34" max="40" width="10.6640625" style="96" customWidth="1" outlineLevel="1"/>
    <col min="41" max="41" width="50.5" style="96" customWidth="1" outlineLevel="1"/>
    <col min="42" max="42" width="21.6640625" style="3" customWidth="1" outlineLevel="1"/>
    <col min="43" max="43" width="21.6640625" style="19" customWidth="1" outlineLevel="1"/>
    <col min="44" max="44" width="21" style="19" customWidth="1" outlineLevel="1"/>
    <col min="45" max="45" width="21.1640625" style="19" customWidth="1" outlineLevel="1"/>
    <col min="46" max="46" width="18.5" style="3" customWidth="1" outlineLevel="1"/>
    <col min="47" max="47" width="68" style="3" customWidth="1" outlineLevel="1"/>
    <col min="48" max="48" width="31.1640625" style="3" customWidth="1" outlineLevel="1"/>
    <col min="49" max="49" width="23.6640625" style="3" customWidth="1" outlineLevel="1"/>
    <col min="50" max="50" width="15" style="3" customWidth="1" outlineLevel="1"/>
    <col min="51" max="51" width="13.6640625" style="3" customWidth="1" outlineLevel="1"/>
    <col min="52" max="52" width="15" style="3" customWidth="1" outlineLevel="1"/>
    <col min="53" max="53" width="102.1640625" style="11" bestFit="1" customWidth="1"/>
    <col min="54" max="54" width="7" style="3" bestFit="1" customWidth="1"/>
    <col min="55" max="55" width="45" style="713" customWidth="1"/>
    <col min="56" max="56" width="33.6640625" style="2" bestFit="1" customWidth="1"/>
    <col min="57" max="16384" width="18.6640625" style="2"/>
  </cols>
  <sheetData>
    <row r="1" spans="1:57" s="31" customFormat="1" ht="21.75" customHeight="1">
      <c r="E1" s="20" t="s">
        <v>1</v>
      </c>
      <c r="F1" s="20"/>
      <c r="H1" s="20"/>
      <c r="I1" s="20"/>
      <c r="J1" s="139"/>
      <c r="K1" s="20"/>
      <c r="L1" s="20"/>
      <c r="M1" s="20"/>
      <c r="N1" s="20"/>
      <c r="R1" s="29"/>
      <c r="S1" s="29"/>
      <c r="T1" s="29"/>
      <c r="U1" s="98"/>
      <c r="V1" s="98"/>
      <c r="W1" s="98"/>
      <c r="X1" s="98"/>
      <c r="Y1" s="98"/>
      <c r="Z1" s="98"/>
      <c r="AA1" s="98"/>
      <c r="AB1" s="98"/>
      <c r="AC1" s="98"/>
      <c r="AD1" s="98"/>
      <c r="AE1" s="98"/>
      <c r="AF1" s="98"/>
      <c r="AG1" s="98"/>
      <c r="AH1" s="99"/>
      <c r="AI1" s="98"/>
      <c r="AJ1" s="99"/>
      <c r="AK1" s="98"/>
      <c r="AL1" s="99"/>
      <c r="AM1" s="99"/>
      <c r="AN1" s="99"/>
      <c r="AO1" s="99"/>
      <c r="AQ1" s="40"/>
      <c r="AR1" s="40"/>
      <c r="AS1" s="40"/>
      <c r="AT1" s="32"/>
      <c r="AU1" s="33"/>
      <c r="AV1" s="33"/>
      <c r="AW1" s="33"/>
      <c r="AX1" s="27"/>
      <c r="AY1" s="27"/>
      <c r="AZ1" s="27"/>
      <c r="BA1" s="32"/>
      <c r="BB1" s="27"/>
      <c r="BC1" s="713"/>
    </row>
    <row r="2" spans="1:57" s="31" customFormat="1" ht="21.75" customHeight="1">
      <c r="E2" s="20" t="s">
        <v>0</v>
      </c>
      <c r="F2" s="20"/>
      <c r="H2" s="20"/>
      <c r="I2" s="20"/>
      <c r="J2" s="2"/>
      <c r="K2" s="20"/>
      <c r="L2" s="20"/>
      <c r="M2" s="20"/>
      <c r="N2" s="20"/>
      <c r="R2" s="85"/>
      <c r="S2" s="85"/>
      <c r="T2" s="85"/>
      <c r="U2" s="200"/>
      <c r="V2" s="85"/>
      <c r="W2" s="85"/>
      <c r="X2" s="85"/>
      <c r="Y2" s="85"/>
      <c r="Z2" s="85"/>
      <c r="AA2" s="85"/>
      <c r="AB2" s="85"/>
      <c r="AC2" s="85"/>
      <c r="AD2" s="85"/>
      <c r="AE2" s="85"/>
      <c r="AF2" s="85"/>
      <c r="AG2" s="85"/>
      <c r="AH2" s="85"/>
      <c r="AI2" s="85"/>
      <c r="AJ2" s="85"/>
      <c r="AK2" s="85"/>
      <c r="AL2" s="85"/>
      <c r="AM2" s="85"/>
      <c r="AN2" s="85"/>
      <c r="AO2" s="85"/>
      <c r="AQ2" s="40"/>
      <c r="AR2" s="40"/>
      <c r="AS2" s="40"/>
      <c r="AT2" s="32"/>
      <c r="AU2" s="33"/>
      <c r="AV2" s="33"/>
      <c r="AW2" s="33"/>
      <c r="AX2" s="27"/>
      <c r="AY2" s="27"/>
      <c r="AZ2" s="27"/>
      <c r="BA2" s="32"/>
      <c r="BB2" s="27"/>
      <c r="BC2" s="713"/>
      <c r="BD2" s="1"/>
      <c r="BE2" s="96"/>
    </row>
    <row r="3" spans="1:57" s="31" customFormat="1" ht="21.75" customHeight="1" thickBot="1">
      <c r="E3" s="86" t="s">
        <v>2</v>
      </c>
      <c r="F3" s="86"/>
      <c r="H3" s="26"/>
      <c r="I3" s="26"/>
      <c r="J3" s="26"/>
      <c r="K3" s="26"/>
      <c r="L3" s="26"/>
      <c r="M3" s="26"/>
      <c r="N3" s="26"/>
      <c r="R3" s="104"/>
      <c r="S3" s="104"/>
      <c r="T3" s="85"/>
      <c r="U3" s="104"/>
      <c r="V3" s="104"/>
      <c r="W3" s="104"/>
      <c r="X3" s="104"/>
      <c r="Y3" s="104"/>
      <c r="Z3" s="104"/>
      <c r="AA3" s="104"/>
      <c r="AB3" s="104"/>
      <c r="AC3" s="104"/>
      <c r="AD3" s="104"/>
      <c r="AE3" s="104"/>
      <c r="AF3" s="104"/>
      <c r="AG3" s="104"/>
      <c r="AH3" s="85"/>
      <c r="AI3" s="104"/>
      <c r="AJ3" s="85"/>
      <c r="AK3" s="104"/>
      <c r="AL3" s="85"/>
      <c r="AM3" s="104"/>
      <c r="AN3" s="85"/>
      <c r="AO3" s="85"/>
      <c r="AP3" s="34"/>
      <c r="AQ3" s="41"/>
      <c r="AR3" s="41"/>
      <c r="AS3" s="41"/>
      <c r="AT3" s="39"/>
      <c r="AU3" s="38"/>
      <c r="AV3" s="38"/>
      <c r="AW3" s="38"/>
      <c r="AX3" s="28"/>
      <c r="AY3" s="28"/>
      <c r="AZ3" s="28"/>
      <c r="BA3" s="39"/>
      <c r="BB3" s="27"/>
      <c r="BC3" s="713"/>
      <c r="BD3" s="1"/>
      <c r="BE3" s="96"/>
    </row>
    <row r="4" spans="1:57" s="44" customFormat="1" ht="21" thickBot="1">
      <c r="E4" s="1133" t="s">
        <v>68</v>
      </c>
      <c r="F4" s="1122"/>
      <c r="G4" s="1122"/>
      <c r="H4" s="1122"/>
      <c r="I4" s="1122"/>
      <c r="J4" s="1122"/>
      <c r="K4" s="1122"/>
      <c r="L4" s="1122"/>
      <c r="M4" s="1122"/>
      <c r="N4" s="1122"/>
      <c r="O4" s="1122"/>
      <c r="P4" s="1122"/>
      <c r="Q4" s="1122"/>
      <c r="R4" s="1122"/>
      <c r="S4" s="1122"/>
      <c r="T4" s="1122"/>
      <c r="U4" s="1122"/>
      <c r="V4" s="1122"/>
      <c r="W4" s="1122"/>
      <c r="X4" s="1122"/>
      <c r="Y4" s="1122"/>
      <c r="Z4" s="1122"/>
      <c r="AA4" s="1122"/>
      <c r="AB4" s="1122"/>
      <c r="AC4" s="1122"/>
      <c r="AD4" s="1122"/>
      <c r="AE4" s="1122"/>
      <c r="AF4" s="1122"/>
      <c r="AG4" s="1122"/>
      <c r="AH4" s="1122"/>
      <c r="AI4" s="1122"/>
      <c r="AJ4" s="1122"/>
      <c r="AK4" s="1122"/>
      <c r="AL4" s="1122"/>
      <c r="AM4" s="1122"/>
      <c r="AN4" s="1122"/>
      <c r="AO4" s="1122"/>
      <c r="AP4" s="1122"/>
      <c r="AQ4" s="1122"/>
      <c r="AR4" s="1122"/>
      <c r="AS4" s="1122"/>
      <c r="AT4" s="1122"/>
      <c r="AU4" s="1122"/>
      <c r="AV4" s="1122"/>
      <c r="AW4" s="1122"/>
      <c r="AX4" s="1122"/>
      <c r="AY4" s="1122"/>
      <c r="AZ4" s="1122"/>
      <c r="BA4" s="1122"/>
      <c r="BB4" s="1134"/>
      <c r="BC4" s="713"/>
      <c r="BD4" s="1"/>
      <c r="BE4" s="96"/>
    </row>
    <row r="5" spans="1:57" s="56" customFormat="1" ht="15" customHeight="1">
      <c r="E5" s="182"/>
      <c r="F5" s="140"/>
      <c r="G5" s="210"/>
      <c r="H5" s="91"/>
      <c r="I5" s="91"/>
      <c r="J5" s="91"/>
      <c r="K5" s="1138" t="s">
        <v>4719</v>
      </c>
      <c r="L5" s="1139"/>
      <c r="M5" s="1140"/>
      <c r="N5" s="1007"/>
      <c r="O5" s="1130" t="s">
        <v>4720</v>
      </c>
      <c r="P5" s="1131"/>
      <c r="Q5" s="1132"/>
      <c r="R5" s="1092" t="s">
        <v>87</v>
      </c>
      <c r="S5" s="1093"/>
      <c r="T5" s="1136"/>
      <c r="U5" s="1135" t="s">
        <v>105</v>
      </c>
      <c r="V5" s="1093"/>
      <c r="W5" s="1093"/>
      <c r="X5" s="1093"/>
      <c r="Y5" s="1093"/>
      <c r="Z5" s="1093"/>
      <c r="AA5" s="1093"/>
      <c r="AB5" s="1093"/>
      <c r="AC5" s="1093"/>
      <c r="AD5" s="1093"/>
      <c r="AE5" s="1093"/>
      <c r="AF5" s="1136"/>
      <c r="AG5" s="1135" t="s">
        <v>38</v>
      </c>
      <c r="AH5" s="1093"/>
      <c r="AI5" s="1093"/>
      <c r="AJ5" s="1093"/>
      <c r="AK5" s="1093"/>
      <c r="AL5" s="1093"/>
      <c r="AM5" s="1093"/>
      <c r="AN5" s="1136"/>
      <c r="AO5" s="1004"/>
      <c r="AP5" s="1137" t="s">
        <v>4721</v>
      </c>
      <c r="AQ5" s="1125"/>
      <c r="AR5" s="1125"/>
      <c r="AS5" s="1125"/>
      <c r="AT5" s="1125"/>
      <c r="AU5" s="1125"/>
      <c r="AV5" s="1125"/>
      <c r="AW5" s="1125"/>
      <c r="AX5" s="1125"/>
      <c r="AY5" s="1125"/>
      <c r="AZ5" s="1126"/>
      <c r="BA5" s="1141" t="s">
        <v>4722</v>
      </c>
      <c r="BB5" s="1008" t="s">
        <v>129</v>
      </c>
      <c r="BC5" s="715"/>
      <c r="BD5" s="1"/>
      <c r="BE5" s="96"/>
    </row>
    <row r="6" spans="1:57" s="56" customFormat="1" ht="68.25" customHeight="1">
      <c r="A6" s="1052" t="s">
        <v>107</v>
      </c>
      <c r="B6" s="1052" t="s">
        <v>108</v>
      </c>
      <c r="C6" s="1052" t="s">
        <v>109</v>
      </c>
      <c r="D6" s="1052" t="s">
        <v>110</v>
      </c>
      <c r="E6" s="92" t="s">
        <v>100</v>
      </c>
      <c r="F6" s="66" t="s">
        <v>101</v>
      </c>
      <c r="G6" s="1002" t="s">
        <v>102</v>
      </c>
      <c r="H6" s="203" t="s">
        <v>4723</v>
      </c>
      <c r="I6" s="1009" t="s">
        <v>104</v>
      </c>
      <c r="J6" s="92" t="s">
        <v>4724</v>
      </c>
      <c r="K6" s="51" t="s">
        <v>4140</v>
      </c>
      <c r="L6" s="51" t="s">
        <v>4141</v>
      </c>
      <c r="M6" s="51" t="s">
        <v>4725</v>
      </c>
      <c r="N6" s="92" t="s">
        <v>4726</v>
      </c>
      <c r="O6" s="1015" t="s">
        <v>112</v>
      </c>
      <c r="P6" s="358" t="s">
        <v>113</v>
      </c>
      <c r="Q6" s="359" t="s">
        <v>114</v>
      </c>
      <c r="R6" s="220" t="s">
        <v>112</v>
      </c>
      <c r="S6" s="277" t="s">
        <v>113</v>
      </c>
      <c r="T6" s="220" t="s">
        <v>114</v>
      </c>
      <c r="U6" s="354" t="s">
        <v>81</v>
      </c>
      <c r="V6" s="220" t="s">
        <v>115</v>
      </c>
      <c r="W6" s="355" t="s">
        <v>116</v>
      </c>
      <c r="X6" s="220" t="s">
        <v>75</v>
      </c>
      <c r="Y6" s="220" t="s">
        <v>117</v>
      </c>
      <c r="Z6" s="355" t="s">
        <v>118</v>
      </c>
      <c r="AA6" s="220" t="s">
        <v>78</v>
      </c>
      <c r="AB6" s="220" t="s">
        <v>119</v>
      </c>
      <c r="AC6" s="355" t="s">
        <v>120</v>
      </c>
      <c r="AD6" s="220" t="s">
        <v>83</v>
      </c>
      <c r="AE6" s="220" t="s">
        <v>121</v>
      </c>
      <c r="AF6" s="606" t="s">
        <v>122</v>
      </c>
      <c r="AG6" s="356" t="s">
        <v>69</v>
      </c>
      <c r="AH6" s="218" t="s">
        <v>123</v>
      </c>
      <c r="AI6" s="357" t="s">
        <v>63</v>
      </c>
      <c r="AJ6" s="218" t="s">
        <v>124</v>
      </c>
      <c r="AK6" s="357" t="s">
        <v>66</v>
      </c>
      <c r="AL6" s="218" t="s">
        <v>125</v>
      </c>
      <c r="AM6" s="357" t="s">
        <v>72</v>
      </c>
      <c r="AN6" s="218" t="s">
        <v>126</v>
      </c>
      <c r="AO6" s="608" t="s">
        <v>127</v>
      </c>
      <c r="AP6" s="1009" t="s">
        <v>4727</v>
      </c>
      <c r="AQ6" s="48" t="s">
        <v>4728</v>
      </c>
      <c r="AR6" s="48" t="s">
        <v>4729</v>
      </c>
      <c r="AS6" s="48" t="s">
        <v>4730</v>
      </c>
      <c r="AT6" s="1009" t="s">
        <v>114</v>
      </c>
      <c r="AU6" s="1009" t="s">
        <v>4731</v>
      </c>
      <c r="AV6" s="1009" t="s">
        <v>4732</v>
      </c>
      <c r="AW6" s="92" t="s">
        <v>4733</v>
      </c>
      <c r="AX6" s="1009" t="s">
        <v>4734</v>
      </c>
      <c r="AY6" s="1009" t="s">
        <v>4735</v>
      </c>
      <c r="AZ6" s="1009" t="s">
        <v>4736</v>
      </c>
      <c r="BA6" s="1142"/>
      <c r="BB6" s="1009"/>
      <c r="BC6" s="715"/>
    </row>
    <row r="7" spans="1:57" s="56" customFormat="1" ht="351.75" hidden="1" customHeight="1">
      <c r="A7" s="23"/>
      <c r="B7" s="23"/>
      <c r="C7" s="23"/>
      <c r="D7" s="207"/>
      <c r="E7" s="18" t="s">
        <v>4737</v>
      </c>
      <c r="F7" s="18" t="s">
        <v>4577</v>
      </c>
      <c r="G7" s="18" t="s">
        <v>132</v>
      </c>
      <c r="H7" s="1051" t="s">
        <v>4738</v>
      </c>
      <c r="I7" s="184" t="s">
        <v>4739</v>
      </c>
      <c r="J7" s="751" t="s">
        <v>4141</v>
      </c>
      <c r="K7" s="751" t="s">
        <v>4125</v>
      </c>
      <c r="L7" s="751" t="s">
        <v>4125</v>
      </c>
      <c r="M7" s="751"/>
      <c r="N7" s="18" t="s">
        <v>4737</v>
      </c>
      <c r="O7" s="74">
        <v>50</v>
      </c>
      <c r="P7" s="74">
        <v>102</v>
      </c>
      <c r="Q7" s="74" t="s">
        <v>4740</v>
      </c>
      <c r="R7" s="74">
        <v>0</v>
      </c>
      <c r="S7" s="74">
        <v>120</v>
      </c>
      <c r="T7" s="74" t="s">
        <v>4740</v>
      </c>
      <c r="U7" s="184"/>
      <c r="V7" s="184"/>
      <c r="W7" s="184"/>
      <c r="X7" s="184"/>
      <c r="Y7" s="184"/>
      <c r="Z7" s="184"/>
      <c r="AA7" s="184"/>
      <c r="AB7" s="184"/>
      <c r="AC7" s="184"/>
      <c r="AD7" s="184"/>
      <c r="AE7" s="184"/>
      <c r="AF7" s="986"/>
      <c r="AG7" s="758"/>
      <c r="AH7" s="184"/>
      <c r="AI7" s="943">
        <v>40</v>
      </c>
      <c r="AJ7" s="184">
        <v>5</v>
      </c>
      <c r="AK7" s="425">
        <v>103</v>
      </c>
      <c r="AL7" s="74">
        <v>5</v>
      </c>
      <c r="AM7" s="184"/>
      <c r="AN7" s="616"/>
      <c r="AO7" s="757"/>
      <c r="AP7" s="74">
        <v>0</v>
      </c>
      <c r="AQ7" s="411">
        <v>100</v>
      </c>
      <c r="AR7" s="411">
        <v>0</v>
      </c>
      <c r="AS7" s="411">
        <v>100</v>
      </c>
      <c r="AT7" s="412" t="s">
        <v>4741</v>
      </c>
      <c r="AU7" s="440" t="s">
        <v>4575</v>
      </c>
      <c r="AV7" s="74" t="s">
        <v>4574</v>
      </c>
      <c r="AW7" s="412" t="s">
        <v>4742</v>
      </c>
      <c r="AX7" s="74"/>
      <c r="AY7" s="74"/>
      <c r="AZ7" s="74"/>
      <c r="BA7" s="697" t="s">
        <v>4743</v>
      </c>
      <c r="BB7" s="74">
        <v>1</v>
      </c>
      <c r="BC7" s="687"/>
      <c r="BD7" s="275"/>
    </row>
    <row r="8" spans="1:57" s="56" customFormat="1" ht="296.25" hidden="1" customHeight="1">
      <c r="A8" s="298"/>
      <c r="B8" s="298"/>
      <c r="C8" s="298"/>
      <c r="D8" s="318"/>
      <c r="E8" s="221" t="s">
        <v>4744</v>
      </c>
      <c r="F8" s="311" t="s">
        <v>4745</v>
      </c>
      <c r="G8" s="311" t="s">
        <v>132</v>
      </c>
      <c r="H8" s="304" t="s">
        <v>4746</v>
      </c>
      <c r="I8" s="300" t="s">
        <v>4747</v>
      </c>
      <c r="J8" s="413" t="s">
        <v>4141</v>
      </c>
      <c r="K8" s="413" t="s">
        <v>4125</v>
      </c>
      <c r="L8" s="413" t="s">
        <v>4125</v>
      </c>
      <c r="M8" s="413"/>
      <c r="N8" s="311" t="s">
        <v>4744</v>
      </c>
      <c r="O8" s="224">
        <v>100</v>
      </c>
      <c r="P8" s="224">
        <v>400</v>
      </c>
      <c r="Q8" s="224" t="s">
        <v>778</v>
      </c>
      <c r="R8" s="224">
        <v>0</v>
      </c>
      <c r="S8" s="224">
        <v>6000</v>
      </c>
      <c r="T8" s="301" t="s">
        <v>778</v>
      </c>
      <c r="U8" s="300"/>
      <c r="V8" s="300"/>
      <c r="W8" s="300"/>
      <c r="X8" s="300"/>
      <c r="Y8" s="300"/>
      <c r="Z8" s="300"/>
      <c r="AA8" s="300"/>
      <c r="AB8" s="300"/>
      <c r="AC8" s="300"/>
      <c r="AD8" s="300"/>
      <c r="AE8" s="300"/>
      <c r="AF8" s="299"/>
      <c r="AG8" s="614"/>
      <c r="AH8" s="224"/>
      <c r="AI8" s="224">
        <v>50</v>
      </c>
      <c r="AJ8" s="224">
        <v>5</v>
      </c>
      <c r="AK8" s="224">
        <v>450</v>
      </c>
      <c r="AL8" s="224">
        <v>5</v>
      </c>
      <c r="AM8" s="223"/>
      <c r="AN8" s="615"/>
      <c r="AO8" s="610"/>
      <c r="AP8" s="224">
        <v>0</v>
      </c>
      <c r="AQ8" s="414">
        <v>100</v>
      </c>
      <c r="AR8" s="414">
        <v>0</v>
      </c>
      <c r="AS8" s="414">
        <v>100</v>
      </c>
      <c r="AT8" s="415" t="s">
        <v>4741</v>
      </c>
      <c r="AU8" s="439" t="s">
        <v>4582</v>
      </c>
      <c r="AV8" s="224" t="s">
        <v>4581</v>
      </c>
      <c r="AW8" s="415" t="s">
        <v>4742</v>
      </c>
      <c r="AX8" s="301"/>
      <c r="AY8" s="301"/>
      <c r="AZ8" s="301"/>
      <c r="BA8" s="416" t="s">
        <v>4748</v>
      </c>
      <c r="BB8" s="301">
        <v>0</v>
      </c>
      <c r="BC8" s="687"/>
      <c r="BD8" s="275"/>
    </row>
    <row r="9" spans="1:57" s="56" customFormat="1" ht="174.75" hidden="1" customHeight="1">
      <c r="A9" s="298"/>
      <c r="B9" s="298"/>
      <c r="C9" s="298"/>
      <c r="D9" s="318"/>
      <c r="E9" s="592"/>
      <c r="F9" s="635"/>
      <c r="G9" s="635"/>
      <c r="H9" s="935"/>
      <c r="I9" s="639"/>
      <c r="J9" s="936"/>
      <c r="K9" s="936"/>
      <c r="L9" s="936"/>
      <c r="M9" s="936"/>
      <c r="N9" s="635"/>
      <c r="O9" s="769"/>
      <c r="P9" s="769"/>
      <c r="Q9" s="769"/>
      <c r="R9" s="769"/>
      <c r="S9" s="769"/>
      <c r="T9" s="437"/>
      <c r="U9" s="639"/>
      <c r="V9" s="639"/>
      <c r="W9" s="639"/>
      <c r="X9" s="639"/>
      <c r="Y9" s="639"/>
      <c r="Z9" s="639"/>
      <c r="AA9" s="639"/>
      <c r="AB9" s="639"/>
      <c r="AC9" s="639"/>
      <c r="AD9" s="639"/>
      <c r="AE9" s="639"/>
      <c r="AF9" s="638"/>
      <c r="AG9" s="937"/>
      <c r="AH9" s="770"/>
      <c r="AI9" s="770"/>
      <c r="AJ9" s="770"/>
      <c r="AK9" s="770"/>
      <c r="AL9" s="770"/>
      <c r="AM9" s="770"/>
      <c r="AN9" s="938"/>
      <c r="AO9" s="939"/>
      <c r="AP9" s="769">
        <v>0</v>
      </c>
      <c r="AQ9" s="940">
        <v>100</v>
      </c>
      <c r="AR9" s="940">
        <v>30</v>
      </c>
      <c r="AS9" s="940">
        <v>100</v>
      </c>
      <c r="AT9" s="941" t="s">
        <v>4741</v>
      </c>
      <c r="AU9" s="942" t="s">
        <v>4587</v>
      </c>
      <c r="AV9" s="769" t="s">
        <v>4586</v>
      </c>
      <c r="AW9" s="941" t="s">
        <v>4742</v>
      </c>
      <c r="AX9" s="437"/>
      <c r="AY9" s="437"/>
      <c r="AZ9" s="437"/>
      <c r="BA9" s="652" t="s">
        <v>4749</v>
      </c>
      <c r="BB9" s="437">
        <v>0</v>
      </c>
      <c r="BC9" s="687"/>
      <c r="BD9" s="275"/>
    </row>
    <row r="10" spans="1:57" s="56" customFormat="1" ht="315.75" hidden="1" customHeight="1">
      <c r="A10" s="945"/>
      <c r="B10" s="946"/>
      <c r="C10" s="946"/>
      <c r="D10" s="947"/>
      <c r="E10" s="292" t="s">
        <v>4750</v>
      </c>
      <c r="F10" s="292" t="s">
        <v>4580</v>
      </c>
      <c r="G10" s="292" t="s">
        <v>172</v>
      </c>
      <c r="H10" s="321" t="s">
        <v>4751</v>
      </c>
      <c r="I10" s="294" t="s">
        <v>4752</v>
      </c>
      <c r="J10" s="421" t="s">
        <v>4141</v>
      </c>
      <c r="K10" s="421" t="s">
        <v>4125</v>
      </c>
      <c r="L10" s="421" t="s">
        <v>4125</v>
      </c>
      <c r="M10" s="421"/>
      <c r="N10" s="292" t="s">
        <v>4750</v>
      </c>
      <c r="O10" s="13">
        <v>50</v>
      </c>
      <c r="P10" s="13">
        <v>102</v>
      </c>
      <c r="Q10" s="13" t="s">
        <v>4740</v>
      </c>
      <c r="R10" s="13">
        <v>0</v>
      </c>
      <c r="S10" s="13">
        <v>120</v>
      </c>
      <c r="T10" s="13" t="s">
        <v>4740</v>
      </c>
      <c r="U10" s="294"/>
      <c r="V10" s="294"/>
      <c r="W10" s="294"/>
      <c r="X10" s="294"/>
      <c r="Y10" s="294"/>
      <c r="Z10" s="294"/>
      <c r="AA10" s="294"/>
      <c r="AB10" s="294"/>
      <c r="AC10" s="294"/>
      <c r="AD10" s="294"/>
      <c r="AE10" s="294"/>
      <c r="AF10" s="607"/>
      <c r="AG10" s="612"/>
      <c r="AH10" s="12"/>
      <c r="AI10" s="698">
        <v>40</v>
      </c>
      <c r="AJ10" s="12">
        <v>5</v>
      </c>
      <c r="AK10" s="699">
        <v>103</v>
      </c>
      <c r="AL10" s="13">
        <v>5</v>
      </c>
      <c r="AM10" s="12"/>
      <c r="AN10" s="613"/>
      <c r="AO10" s="609"/>
      <c r="AP10" s="13">
        <v>0</v>
      </c>
      <c r="AQ10" s="754">
        <v>100</v>
      </c>
      <c r="AR10" s="754">
        <v>0</v>
      </c>
      <c r="AS10" s="754">
        <v>100</v>
      </c>
      <c r="AT10" s="422" t="s">
        <v>4741</v>
      </c>
      <c r="AU10" s="438" t="s">
        <v>4579</v>
      </c>
      <c r="AV10" s="13" t="s">
        <v>4578</v>
      </c>
      <c r="AW10" s="422" t="s">
        <v>4742</v>
      </c>
      <c r="AX10" s="293"/>
      <c r="AY10" s="293"/>
      <c r="AZ10" s="293"/>
      <c r="BA10" s="8" t="s">
        <v>4743</v>
      </c>
      <c r="BB10" s="293">
        <v>0</v>
      </c>
      <c r="BC10" s="687"/>
      <c r="BD10" s="275"/>
    </row>
    <row r="11" spans="1:57" s="56" customFormat="1" ht="315.75" hidden="1" customHeight="1">
      <c r="A11" s="948"/>
      <c r="B11" s="298"/>
      <c r="C11" s="298"/>
      <c r="D11" s="318"/>
      <c r="E11" s="311" t="s">
        <v>4753</v>
      </c>
      <c r="F11" s="311" t="s">
        <v>4754</v>
      </c>
      <c r="G11" s="311" t="s">
        <v>172</v>
      </c>
      <c r="H11" s="304" t="s">
        <v>4755</v>
      </c>
      <c r="I11" s="300" t="s">
        <v>4756</v>
      </c>
      <c r="J11" s="413" t="s">
        <v>4141</v>
      </c>
      <c r="K11" s="413" t="s">
        <v>4125</v>
      </c>
      <c r="L11" s="413" t="s">
        <v>4125</v>
      </c>
      <c r="M11" s="413"/>
      <c r="N11" s="311" t="s">
        <v>4753</v>
      </c>
      <c r="O11" s="224">
        <v>100</v>
      </c>
      <c r="P11" s="224">
        <v>400</v>
      </c>
      <c r="Q11" s="224" t="s">
        <v>778</v>
      </c>
      <c r="R11" s="224">
        <v>0</v>
      </c>
      <c r="S11" s="224">
        <v>6000</v>
      </c>
      <c r="T11" s="301" t="s">
        <v>778</v>
      </c>
      <c r="U11" s="300"/>
      <c r="V11" s="300"/>
      <c r="W11" s="300"/>
      <c r="X11" s="300"/>
      <c r="Y11" s="300"/>
      <c r="Z11" s="300"/>
      <c r="AA11" s="300"/>
      <c r="AB11" s="300"/>
      <c r="AC11" s="300"/>
      <c r="AD11" s="300"/>
      <c r="AE11" s="300"/>
      <c r="AF11" s="299"/>
      <c r="AG11" s="614"/>
      <c r="AH11" s="224"/>
      <c r="AI11" s="224">
        <v>50</v>
      </c>
      <c r="AJ11" s="224">
        <v>5</v>
      </c>
      <c r="AK11" s="224">
        <v>450</v>
      </c>
      <c r="AL11" s="224">
        <v>5</v>
      </c>
      <c r="AM11" s="223"/>
      <c r="AN11" s="615"/>
      <c r="AO11" s="610"/>
      <c r="AP11" s="224">
        <v>0</v>
      </c>
      <c r="AQ11" s="414">
        <v>100</v>
      </c>
      <c r="AR11" s="414">
        <v>0</v>
      </c>
      <c r="AS11" s="414">
        <v>100</v>
      </c>
      <c r="AT11" s="415" t="s">
        <v>4741</v>
      </c>
      <c r="AU11" s="439" t="s">
        <v>4596</v>
      </c>
      <c r="AV11" s="224" t="s">
        <v>4595</v>
      </c>
      <c r="AW11" s="415" t="s">
        <v>4742</v>
      </c>
      <c r="AX11" s="301"/>
      <c r="AY11" s="301"/>
      <c r="AZ11" s="301"/>
      <c r="BA11" s="416" t="s">
        <v>4748</v>
      </c>
      <c r="BB11" s="301">
        <v>0</v>
      </c>
      <c r="BC11" s="687"/>
      <c r="BD11" s="275"/>
    </row>
    <row r="12" spans="1:57" s="56" customFormat="1" ht="174.75" hidden="1" customHeight="1">
      <c r="A12" s="443"/>
      <c r="B12" s="534"/>
      <c r="C12" s="534"/>
      <c r="D12" s="675"/>
      <c r="E12" s="375"/>
      <c r="F12" s="375"/>
      <c r="G12" s="375"/>
      <c r="H12" s="347"/>
      <c r="I12" s="387"/>
      <c r="J12" s="417"/>
      <c r="K12" s="417"/>
      <c r="L12" s="417"/>
      <c r="M12" s="417"/>
      <c r="N12" s="375"/>
      <c r="O12" s="232"/>
      <c r="P12" s="232"/>
      <c r="Q12" s="232"/>
      <c r="R12" s="232"/>
      <c r="S12" s="232"/>
      <c r="T12" s="388"/>
      <c r="U12" s="387"/>
      <c r="V12" s="387"/>
      <c r="W12" s="387"/>
      <c r="X12" s="387"/>
      <c r="Y12" s="387"/>
      <c r="Z12" s="387"/>
      <c r="AA12" s="387"/>
      <c r="AB12" s="387"/>
      <c r="AC12" s="387"/>
      <c r="AD12" s="387"/>
      <c r="AE12" s="387"/>
      <c r="AF12" s="386"/>
      <c r="AG12" s="617"/>
      <c r="AH12" s="222"/>
      <c r="AI12" s="222"/>
      <c r="AJ12" s="222"/>
      <c r="AK12" s="222"/>
      <c r="AL12" s="222"/>
      <c r="AM12" s="222"/>
      <c r="AN12" s="618"/>
      <c r="AO12" s="611"/>
      <c r="AP12" s="232">
        <v>0</v>
      </c>
      <c r="AQ12" s="419">
        <v>100</v>
      </c>
      <c r="AR12" s="419">
        <v>30</v>
      </c>
      <c r="AS12" s="419">
        <v>100</v>
      </c>
      <c r="AT12" s="420" t="s">
        <v>4741</v>
      </c>
      <c r="AU12" s="441" t="s">
        <v>4600</v>
      </c>
      <c r="AV12" s="232" t="s">
        <v>4599</v>
      </c>
      <c r="AW12" s="420" t="s">
        <v>4742</v>
      </c>
      <c r="AX12" s="388"/>
      <c r="AY12" s="388"/>
      <c r="AZ12" s="388"/>
      <c r="BA12" s="418" t="s">
        <v>4749</v>
      </c>
      <c r="BB12" s="388">
        <v>0</v>
      </c>
      <c r="BC12" s="687"/>
      <c r="BD12" s="275"/>
    </row>
    <row r="13" spans="1:57" s="56" customFormat="1" ht="342" hidden="1" customHeight="1">
      <c r="A13" s="298"/>
      <c r="B13" s="298"/>
      <c r="C13" s="298"/>
      <c r="D13" s="318"/>
      <c r="E13" s="305" t="s">
        <v>4757</v>
      </c>
      <c r="F13" s="305" t="s">
        <v>4593</v>
      </c>
      <c r="G13" s="305" t="s">
        <v>172</v>
      </c>
      <c r="H13" s="319" t="s">
        <v>4758</v>
      </c>
      <c r="I13" s="297" t="s">
        <v>4759</v>
      </c>
      <c r="J13" s="229" t="s">
        <v>4141</v>
      </c>
      <c r="K13" s="229" t="s">
        <v>4125</v>
      </c>
      <c r="L13" s="229" t="s">
        <v>4125</v>
      </c>
      <c r="M13" s="229"/>
      <c r="N13" s="305" t="s">
        <v>4757</v>
      </c>
      <c r="O13" s="74">
        <v>50</v>
      </c>
      <c r="P13" s="74">
        <v>102</v>
      </c>
      <c r="Q13" s="74" t="s">
        <v>4740</v>
      </c>
      <c r="R13" s="74">
        <v>0</v>
      </c>
      <c r="S13" s="74">
        <v>120</v>
      </c>
      <c r="T13" s="74" t="s">
        <v>4740</v>
      </c>
      <c r="U13" s="297"/>
      <c r="V13" s="297"/>
      <c r="W13" s="297"/>
      <c r="X13" s="297"/>
      <c r="Y13" s="297"/>
      <c r="Z13" s="297"/>
      <c r="AA13" s="297"/>
      <c r="AB13" s="297"/>
      <c r="AC13" s="297"/>
      <c r="AD13" s="297"/>
      <c r="AE13" s="297"/>
      <c r="AF13" s="443"/>
      <c r="AG13" s="758"/>
      <c r="AH13" s="184"/>
      <c r="AI13" s="943">
        <v>40</v>
      </c>
      <c r="AJ13" s="184">
        <v>5</v>
      </c>
      <c r="AK13" s="425">
        <v>103</v>
      </c>
      <c r="AL13" s="74">
        <v>5</v>
      </c>
      <c r="AM13" s="184"/>
      <c r="AN13" s="616"/>
      <c r="AO13" s="944"/>
      <c r="AP13" s="74">
        <v>0</v>
      </c>
      <c r="AQ13" s="411">
        <v>100</v>
      </c>
      <c r="AR13" s="411">
        <v>0</v>
      </c>
      <c r="AS13" s="411">
        <v>100</v>
      </c>
      <c r="AT13" s="412" t="s">
        <v>4741</v>
      </c>
      <c r="AU13" s="440" t="s">
        <v>4592</v>
      </c>
      <c r="AV13" s="74" t="s">
        <v>4591</v>
      </c>
      <c r="AW13" s="412" t="s">
        <v>4742</v>
      </c>
      <c r="AX13" s="296"/>
      <c r="AY13" s="296"/>
      <c r="AZ13" s="296"/>
      <c r="BA13" s="697" t="s">
        <v>4743</v>
      </c>
      <c r="BB13" s="296">
        <v>0</v>
      </c>
      <c r="BC13" s="687"/>
      <c r="BD13" s="275"/>
    </row>
    <row r="14" spans="1:57" s="56" customFormat="1" ht="342" hidden="1" customHeight="1">
      <c r="A14" s="298"/>
      <c r="B14" s="298"/>
      <c r="C14" s="298"/>
      <c r="D14" s="318"/>
      <c r="E14" s="311" t="s">
        <v>4760</v>
      </c>
      <c r="F14" s="311" t="s">
        <v>4761</v>
      </c>
      <c r="G14" s="311" t="s">
        <v>172</v>
      </c>
      <c r="H14" s="304" t="s">
        <v>4762</v>
      </c>
      <c r="I14" s="300" t="s">
        <v>4763</v>
      </c>
      <c r="J14" s="413" t="s">
        <v>4141</v>
      </c>
      <c r="K14" s="413" t="s">
        <v>4125</v>
      </c>
      <c r="L14" s="413" t="s">
        <v>4125</v>
      </c>
      <c r="M14" s="413"/>
      <c r="N14" s="311" t="s">
        <v>4760</v>
      </c>
      <c r="O14" s="224">
        <v>100</v>
      </c>
      <c r="P14" s="224">
        <v>400</v>
      </c>
      <c r="Q14" s="224" t="s">
        <v>778</v>
      </c>
      <c r="R14" s="224">
        <v>0</v>
      </c>
      <c r="S14" s="224">
        <v>6000</v>
      </c>
      <c r="T14" s="301" t="s">
        <v>778</v>
      </c>
      <c r="U14" s="300"/>
      <c r="V14" s="300"/>
      <c r="W14" s="300"/>
      <c r="X14" s="300"/>
      <c r="Y14" s="300"/>
      <c r="Z14" s="300"/>
      <c r="AA14" s="300"/>
      <c r="AB14" s="300"/>
      <c r="AC14" s="300"/>
      <c r="AD14" s="300"/>
      <c r="AE14" s="300"/>
      <c r="AF14" s="299"/>
      <c r="AG14" s="614"/>
      <c r="AH14" s="224"/>
      <c r="AI14" s="224">
        <v>50</v>
      </c>
      <c r="AJ14" s="224">
        <v>5</v>
      </c>
      <c r="AK14" s="224">
        <v>450</v>
      </c>
      <c r="AL14" s="224">
        <v>5</v>
      </c>
      <c r="AM14" s="223"/>
      <c r="AN14" s="615"/>
      <c r="AO14" s="610"/>
      <c r="AP14" s="224">
        <v>0</v>
      </c>
      <c r="AQ14" s="414">
        <v>100</v>
      </c>
      <c r="AR14" s="414">
        <v>0</v>
      </c>
      <c r="AS14" s="414">
        <v>100</v>
      </c>
      <c r="AT14" s="415" t="s">
        <v>4741</v>
      </c>
      <c r="AU14" s="439" t="s">
        <v>4607</v>
      </c>
      <c r="AV14" s="224" t="s">
        <v>4606</v>
      </c>
      <c r="AW14" s="415" t="s">
        <v>4742</v>
      </c>
      <c r="AX14" s="301"/>
      <c r="AY14" s="301"/>
      <c r="AZ14" s="301"/>
      <c r="BA14" s="416" t="s">
        <v>4748</v>
      </c>
      <c r="BB14" s="301">
        <v>0</v>
      </c>
      <c r="BC14" s="687"/>
      <c r="BD14" s="275"/>
    </row>
    <row r="15" spans="1:57" s="56" customFormat="1" ht="174.75" hidden="1" customHeight="1">
      <c r="A15" s="298"/>
      <c r="B15" s="298"/>
      <c r="C15" s="298"/>
      <c r="D15" s="318"/>
      <c r="E15" s="375"/>
      <c r="F15" s="375"/>
      <c r="G15" s="375"/>
      <c r="H15" s="347"/>
      <c r="I15" s="387"/>
      <c r="J15" s="417"/>
      <c r="K15" s="417"/>
      <c r="L15" s="417"/>
      <c r="M15" s="417"/>
      <c r="N15" s="375"/>
      <c r="O15" s="232"/>
      <c r="P15" s="232"/>
      <c r="Q15" s="232"/>
      <c r="R15" s="232"/>
      <c r="S15" s="232"/>
      <c r="T15" s="388"/>
      <c r="U15" s="387"/>
      <c r="V15" s="387"/>
      <c r="W15" s="387"/>
      <c r="X15" s="387"/>
      <c r="Y15" s="387"/>
      <c r="Z15" s="387"/>
      <c r="AA15" s="387"/>
      <c r="AB15" s="387"/>
      <c r="AC15" s="387"/>
      <c r="AD15" s="387"/>
      <c r="AE15" s="387"/>
      <c r="AF15" s="386"/>
      <c r="AG15" s="617"/>
      <c r="AH15" s="222"/>
      <c r="AI15" s="222"/>
      <c r="AJ15" s="222"/>
      <c r="AK15" s="222"/>
      <c r="AL15" s="222"/>
      <c r="AM15" s="222"/>
      <c r="AN15" s="618"/>
      <c r="AO15" s="611"/>
      <c r="AP15" s="232">
        <v>0</v>
      </c>
      <c r="AQ15" s="419">
        <v>100</v>
      </c>
      <c r="AR15" s="419">
        <v>30</v>
      </c>
      <c r="AS15" s="419">
        <v>100</v>
      </c>
      <c r="AT15" s="420" t="s">
        <v>4741</v>
      </c>
      <c r="AU15" s="441" t="s">
        <v>4611</v>
      </c>
      <c r="AV15" s="232" t="s">
        <v>4610</v>
      </c>
      <c r="AW15" s="420" t="s">
        <v>4742</v>
      </c>
      <c r="AX15" s="388"/>
      <c r="AY15" s="388"/>
      <c r="AZ15" s="388"/>
      <c r="BA15" s="418" t="s">
        <v>4749</v>
      </c>
      <c r="BB15" s="388">
        <v>0</v>
      </c>
      <c r="BC15" s="687"/>
      <c r="BD15" s="275"/>
    </row>
    <row r="16" spans="1:57" s="56" customFormat="1" ht="324.75" hidden="1" customHeight="1">
      <c r="A16" s="298"/>
      <c r="B16" s="298"/>
      <c r="C16" s="298"/>
      <c r="D16" s="318"/>
      <c r="E16" s="292" t="s">
        <v>4764</v>
      </c>
      <c r="F16" s="292" t="s">
        <v>4605</v>
      </c>
      <c r="G16" s="292" t="s">
        <v>223</v>
      </c>
      <c r="H16" s="321" t="s">
        <v>4765</v>
      </c>
      <c r="I16" s="294" t="s">
        <v>4766</v>
      </c>
      <c r="J16" s="229" t="s">
        <v>4141</v>
      </c>
      <c r="K16" s="229" t="s">
        <v>4125</v>
      </c>
      <c r="L16" s="229" t="s">
        <v>4125</v>
      </c>
      <c r="M16" s="229"/>
      <c r="N16" s="305" t="s">
        <v>4764</v>
      </c>
      <c r="O16" s="13">
        <v>50</v>
      </c>
      <c r="P16" s="13">
        <v>102</v>
      </c>
      <c r="Q16" s="13" t="s">
        <v>4740</v>
      </c>
      <c r="R16" s="13">
        <v>0</v>
      </c>
      <c r="S16" s="13">
        <v>120</v>
      </c>
      <c r="T16" s="13" t="s">
        <v>4740</v>
      </c>
      <c r="U16" s="294"/>
      <c r="V16" s="294"/>
      <c r="W16" s="294"/>
      <c r="X16" s="294"/>
      <c r="Y16" s="294"/>
      <c r="Z16" s="294"/>
      <c r="AA16" s="294"/>
      <c r="AB16" s="294"/>
      <c r="AC16" s="294"/>
      <c r="AD16" s="294"/>
      <c r="AE16" s="294"/>
      <c r="AF16" s="607"/>
      <c r="AG16" s="612"/>
      <c r="AH16" s="12"/>
      <c r="AI16" s="698">
        <v>40</v>
      </c>
      <c r="AJ16" s="12">
        <v>5</v>
      </c>
      <c r="AK16" s="699">
        <v>103</v>
      </c>
      <c r="AL16" s="13">
        <v>5</v>
      </c>
      <c r="AM16" s="184"/>
      <c r="AN16" s="616"/>
      <c r="AO16" s="609"/>
      <c r="AP16" s="74">
        <v>0</v>
      </c>
      <c r="AQ16" s="411">
        <v>100</v>
      </c>
      <c r="AR16" s="411">
        <v>0</v>
      </c>
      <c r="AS16" s="411">
        <v>100</v>
      </c>
      <c r="AT16" s="412" t="s">
        <v>4741</v>
      </c>
      <c r="AU16" s="438" t="s">
        <v>4604</v>
      </c>
      <c r="AV16" s="74" t="s">
        <v>4603</v>
      </c>
      <c r="AW16" s="412" t="s">
        <v>4742</v>
      </c>
      <c r="AX16" s="296"/>
      <c r="AY16" s="296"/>
      <c r="AZ16" s="296"/>
      <c r="BA16" s="8" t="s">
        <v>4743</v>
      </c>
      <c r="BB16" s="296">
        <v>0</v>
      </c>
      <c r="BC16" s="687"/>
      <c r="BD16" s="275"/>
    </row>
    <row r="17" spans="1:56" s="56" customFormat="1" ht="324.75" hidden="1" customHeight="1">
      <c r="A17" s="298"/>
      <c r="B17" s="298"/>
      <c r="C17" s="298"/>
      <c r="D17" s="318"/>
      <c r="E17" s="311" t="s">
        <v>4767</v>
      </c>
      <c r="F17" s="311" t="s">
        <v>4768</v>
      </c>
      <c r="G17" s="311" t="s">
        <v>223</v>
      </c>
      <c r="H17" s="304" t="s">
        <v>4769</v>
      </c>
      <c r="I17" s="300" t="s">
        <v>4770</v>
      </c>
      <c r="J17" s="413" t="s">
        <v>4141</v>
      </c>
      <c r="K17" s="413" t="s">
        <v>4125</v>
      </c>
      <c r="L17" s="413" t="s">
        <v>4125</v>
      </c>
      <c r="M17" s="413"/>
      <c r="N17" s="311" t="s">
        <v>4767</v>
      </c>
      <c r="O17" s="224">
        <v>100</v>
      </c>
      <c r="P17" s="224">
        <v>400</v>
      </c>
      <c r="Q17" s="224" t="s">
        <v>778</v>
      </c>
      <c r="R17" s="224">
        <v>0</v>
      </c>
      <c r="S17" s="224">
        <v>6000</v>
      </c>
      <c r="T17" s="301" t="s">
        <v>778</v>
      </c>
      <c r="U17" s="300"/>
      <c r="V17" s="300"/>
      <c r="W17" s="300"/>
      <c r="X17" s="300"/>
      <c r="Y17" s="300"/>
      <c r="Z17" s="300"/>
      <c r="AA17" s="300"/>
      <c r="AB17" s="300"/>
      <c r="AC17" s="300"/>
      <c r="AD17" s="300"/>
      <c r="AE17" s="300"/>
      <c r="AF17" s="299"/>
      <c r="AG17" s="614"/>
      <c r="AH17" s="224"/>
      <c r="AI17" s="224">
        <v>50</v>
      </c>
      <c r="AJ17" s="224">
        <v>5</v>
      </c>
      <c r="AK17" s="224">
        <v>450</v>
      </c>
      <c r="AL17" s="224">
        <v>5</v>
      </c>
      <c r="AM17" s="223"/>
      <c r="AN17" s="615"/>
      <c r="AO17" s="610"/>
      <c r="AP17" s="224">
        <v>0</v>
      </c>
      <c r="AQ17" s="414">
        <v>100</v>
      </c>
      <c r="AR17" s="414">
        <v>0</v>
      </c>
      <c r="AS17" s="414">
        <v>100</v>
      </c>
      <c r="AT17" s="415" t="s">
        <v>4741</v>
      </c>
      <c r="AU17" s="439" t="s">
        <v>4618</v>
      </c>
      <c r="AV17" s="224" t="s">
        <v>4617</v>
      </c>
      <c r="AW17" s="415" t="s">
        <v>4742</v>
      </c>
      <c r="AX17" s="301"/>
      <c r="AY17" s="301"/>
      <c r="AZ17" s="301"/>
      <c r="BA17" s="416" t="s">
        <v>4748</v>
      </c>
      <c r="BB17" s="301">
        <v>0</v>
      </c>
      <c r="BC17" s="687"/>
      <c r="BD17" s="275"/>
    </row>
    <row r="18" spans="1:56" s="56" customFormat="1" ht="174.75" hidden="1" customHeight="1">
      <c r="A18" s="298"/>
      <c r="B18" s="298"/>
      <c r="C18" s="298"/>
      <c r="D18" s="318"/>
      <c r="E18" s="375"/>
      <c r="F18" s="375"/>
      <c r="G18" s="375"/>
      <c r="H18" s="347"/>
      <c r="I18" s="387"/>
      <c r="J18" s="417"/>
      <c r="K18" s="417"/>
      <c r="L18" s="417"/>
      <c r="M18" s="417"/>
      <c r="N18" s="375"/>
      <c r="O18" s="232"/>
      <c r="P18" s="232"/>
      <c r="Q18" s="232"/>
      <c r="R18" s="232"/>
      <c r="S18" s="232"/>
      <c r="T18" s="388"/>
      <c r="U18" s="387"/>
      <c r="V18" s="387"/>
      <c r="W18" s="387"/>
      <c r="X18" s="387"/>
      <c r="Y18" s="387"/>
      <c r="Z18" s="387"/>
      <c r="AA18" s="387"/>
      <c r="AB18" s="387"/>
      <c r="AC18" s="387"/>
      <c r="AD18" s="387"/>
      <c r="AE18" s="387"/>
      <c r="AF18" s="386"/>
      <c r="AG18" s="617"/>
      <c r="AH18" s="222"/>
      <c r="AI18" s="222"/>
      <c r="AJ18" s="222"/>
      <c r="AK18" s="222"/>
      <c r="AL18" s="222"/>
      <c r="AM18" s="222"/>
      <c r="AN18" s="618"/>
      <c r="AO18" s="611"/>
      <c r="AP18" s="232">
        <v>0</v>
      </c>
      <c r="AQ18" s="419">
        <v>100</v>
      </c>
      <c r="AR18" s="419">
        <v>30</v>
      </c>
      <c r="AS18" s="419">
        <v>100</v>
      </c>
      <c r="AT18" s="420" t="s">
        <v>4741</v>
      </c>
      <c r="AU18" s="441" t="s">
        <v>4622</v>
      </c>
      <c r="AV18" s="232" t="s">
        <v>4621</v>
      </c>
      <c r="AW18" s="420" t="s">
        <v>4742</v>
      </c>
      <c r="AX18" s="388"/>
      <c r="AY18" s="388"/>
      <c r="AZ18" s="388"/>
      <c r="BA18" s="240" t="s">
        <v>4749</v>
      </c>
      <c r="BB18" s="232">
        <v>0</v>
      </c>
      <c r="BC18" s="687"/>
      <c r="BD18" s="275"/>
    </row>
    <row r="19" spans="1:56" s="56" customFormat="1" ht="360" hidden="1" customHeight="1">
      <c r="A19" s="298"/>
      <c r="B19" s="298"/>
      <c r="C19" s="298"/>
      <c r="D19" s="318"/>
      <c r="E19" s="292" t="s">
        <v>4771</v>
      </c>
      <c r="F19" s="292" t="s">
        <v>4616</v>
      </c>
      <c r="G19" s="292" t="s">
        <v>223</v>
      </c>
      <c r="H19" s="321" t="s">
        <v>4772</v>
      </c>
      <c r="I19" s="294" t="s">
        <v>4773</v>
      </c>
      <c r="J19" s="229" t="s">
        <v>4141</v>
      </c>
      <c r="K19" s="229" t="s">
        <v>4125</v>
      </c>
      <c r="L19" s="229" t="s">
        <v>4125</v>
      </c>
      <c r="M19" s="229"/>
      <c r="N19" s="305" t="s">
        <v>4771</v>
      </c>
      <c r="O19" s="13">
        <v>50</v>
      </c>
      <c r="P19" s="13">
        <v>102</v>
      </c>
      <c r="Q19" s="13" t="s">
        <v>4740</v>
      </c>
      <c r="R19" s="13">
        <v>0</v>
      </c>
      <c r="S19" s="13">
        <v>120</v>
      </c>
      <c r="T19" s="13" t="s">
        <v>4740</v>
      </c>
      <c r="U19" s="294"/>
      <c r="V19" s="294"/>
      <c r="W19" s="294"/>
      <c r="X19" s="294"/>
      <c r="Y19" s="294"/>
      <c r="Z19" s="294"/>
      <c r="AA19" s="294"/>
      <c r="AB19" s="294"/>
      <c r="AC19" s="294"/>
      <c r="AD19" s="294"/>
      <c r="AE19" s="294"/>
      <c r="AF19" s="607"/>
      <c r="AG19" s="612"/>
      <c r="AH19" s="12"/>
      <c r="AI19" s="698">
        <v>40</v>
      </c>
      <c r="AJ19" s="12">
        <v>5</v>
      </c>
      <c r="AK19" s="699">
        <v>103</v>
      </c>
      <c r="AL19" s="13">
        <v>5</v>
      </c>
      <c r="AM19" s="12"/>
      <c r="AN19" s="613"/>
      <c r="AO19" s="609"/>
      <c r="AP19" s="74">
        <v>0</v>
      </c>
      <c r="AQ19" s="411">
        <v>100</v>
      </c>
      <c r="AR19" s="411">
        <v>0</v>
      </c>
      <c r="AS19" s="411">
        <v>100</v>
      </c>
      <c r="AT19" s="412" t="s">
        <v>4741</v>
      </c>
      <c r="AU19" s="438" t="s">
        <v>4615</v>
      </c>
      <c r="AV19" s="74" t="s">
        <v>4614</v>
      </c>
      <c r="AW19" s="412" t="s">
        <v>4742</v>
      </c>
      <c r="AX19" s="296"/>
      <c r="AY19" s="296"/>
      <c r="AZ19" s="296"/>
      <c r="BA19" s="697" t="s">
        <v>4743</v>
      </c>
      <c r="BB19" s="296">
        <v>0</v>
      </c>
      <c r="BC19" s="687"/>
      <c r="BD19" s="275"/>
    </row>
    <row r="20" spans="1:56" s="56" customFormat="1" ht="360" hidden="1" customHeight="1">
      <c r="A20" s="298"/>
      <c r="B20" s="298"/>
      <c r="C20" s="298"/>
      <c r="D20" s="318"/>
      <c r="E20" s="311" t="s">
        <v>4774</v>
      </c>
      <c r="F20" s="311" t="s">
        <v>4775</v>
      </c>
      <c r="G20" s="311" t="s">
        <v>223</v>
      </c>
      <c r="H20" s="304" t="s">
        <v>4776</v>
      </c>
      <c r="I20" s="300" t="s">
        <v>4777</v>
      </c>
      <c r="J20" s="413" t="s">
        <v>4141</v>
      </c>
      <c r="K20" s="413" t="s">
        <v>4125</v>
      </c>
      <c r="L20" s="413" t="s">
        <v>4125</v>
      </c>
      <c r="M20" s="413"/>
      <c r="N20" s="311" t="s">
        <v>4774</v>
      </c>
      <c r="O20" s="224">
        <v>100</v>
      </c>
      <c r="P20" s="224">
        <v>400</v>
      </c>
      <c r="Q20" s="224" t="s">
        <v>778</v>
      </c>
      <c r="R20" s="224">
        <v>0</v>
      </c>
      <c r="S20" s="224">
        <v>6000</v>
      </c>
      <c r="T20" s="301" t="s">
        <v>778</v>
      </c>
      <c r="U20" s="300"/>
      <c r="V20" s="300"/>
      <c r="W20" s="300"/>
      <c r="X20" s="300"/>
      <c r="Y20" s="300"/>
      <c r="Z20" s="300"/>
      <c r="AA20" s="300"/>
      <c r="AB20" s="300"/>
      <c r="AC20" s="300"/>
      <c r="AD20" s="300"/>
      <c r="AE20" s="300"/>
      <c r="AF20" s="299"/>
      <c r="AG20" s="614"/>
      <c r="AH20" s="224"/>
      <c r="AI20" s="224">
        <v>50</v>
      </c>
      <c r="AJ20" s="224">
        <v>5</v>
      </c>
      <c r="AK20" s="224">
        <v>450</v>
      </c>
      <c r="AL20" s="224">
        <v>5</v>
      </c>
      <c r="AM20" s="223"/>
      <c r="AN20" s="615"/>
      <c r="AO20" s="610"/>
      <c r="AP20" s="224">
        <v>0</v>
      </c>
      <c r="AQ20" s="414">
        <v>100</v>
      </c>
      <c r="AR20" s="414">
        <v>0</v>
      </c>
      <c r="AS20" s="414">
        <v>100</v>
      </c>
      <c r="AT20" s="415" t="s">
        <v>4741</v>
      </c>
      <c r="AU20" s="439" t="s">
        <v>4629</v>
      </c>
      <c r="AV20" s="224" t="s">
        <v>4628</v>
      </c>
      <c r="AW20" s="415" t="s">
        <v>4742</v>
      </c>
      <c r="AX20" s="301"/>
      <c r="AY20" s="301"/>
      <c r="AZ20" s="301"/>
      <c r="BA20" s="416" t="s">
        <v>4748</v>
      </c>
      <c r="BB20" s="301">
        <v>0</v>
      </c>
      <c r="BC20" s="687"/>
      <c r="BD20" s="275"/>
    </row>
    <row r="21" spans="1:56" s="56" customFormat="1" ht="174.75" hidden="1" customHeight="1">
      <c r="A21" s="298"/>
      <c r="B21" s="298"/>
      <c r="C21" s="298"/>
      <c r="D21" s="318"/>
      <c r="E21" s="375"/>
      <c r="F21" s="375"/>
      <c r="G21" s="375"/>
      <c r="H21" s="347"/>
      <c r="I21" s="387"/>
      <c r="J21" s="417"/>
      <c r="K21" s="417"/>
      <c r="L21" s="417"/>
      <c r="M21" s="417"/>
      <c r="N21" s="375"/>
      <c r="O21" s="232"/>
      <c r="P21" s="232"/>
      <c r="Q21" s="232"/>
      <c r="R21" s="232"/>
      <c r="S21" s="232"/>
      <c r="T21" s="388"/>
      <c r="U21" s="387"/>
      <c r="V21" s="387"/>
      <c r="W21" s="387"/>
      <c r="X21" s="387"/>
      <c r="Y21" s="387"/>
      <c r="Z21" s="387"/>
      <c r="AA21" s="387"/>
      <c r="AB21" s="387"/>
      <c r="AC21" s="387"/>
      <c r="AD21" s="387"/>
      <c r="AE21" s="387"/>
      <c r="AF21" s="386"/>
      <c r="AG21" s="617"/>
      <c r="AH21" s="222"/>
      <c r="AI21" s="222"/>
      <c r="AJ21" s="222"/>
      <c r="AK21" s="222"/>
      <c r="AL21" s="222"/>
      <c r="AM21" s="222"/>
      <c r="AN21" s="618"/>
      <c r="AO21" s="611"/>
      <c r="AP21" s="232">
        <v>0</v>
      </c>
      <c r="AQ21" s="419">
        <v>100</v>
      </c>
      <c r="AR21" s="419">
        <v>30</v>
      </c>
      <c r="AS21" s="419">
        <v>100</v>
      </c>
      <c r="AT21" s="420" t="s">
        <v>4741</v>
      </c>
      <c r="AU21" s="441" t="s">
        <v>4633</v>
      </c>
      <c r="AV21" s="232" t="s">
        <v>4632</v>
      </c>
      <c r="AW21" s="420" t="s">
        <v>4742</v>
      </c>
      <c r="AX21" s="388"/>
      <c r="AY21" s="388"/>
      <c r="AZ21" s="388"/>
      <c r="BA21" s="418" t="s">
        <v>4749</v>
      </c>
      <c r="BB21" s="388">
        <v>0</v>
      </c>
      <c r="BC21" s="687"/>
      <c r="BD21" s="275"/>
    </row>
    <row r="22" spans="1:56" s="56" customFormat="1" ht="320.25" hidden="1" customHeight="1">
      <c r="A22" s="298"/>
      <c r="B22" s="298"/>
      <c r="C22" s="298"/>
      <c r="D22" s="318"/>
      <c r="E22" s="292" t="s">
        <v>4778</v>
      </c>
      <c r="F22" s="292" t="s">
        <v>4627</v>
      </c>
      <c r="G22" s="292" t="s">
        <v>223</v>
      </c>
      <c r="H22" s="321" t="s">
        <v>4779</v>
      </c>
      <c r="I22" s="294" t="s">
        <v>4780</v>
      </c>
      <c r="J22" s="229" t="s">
        <v>4141</v>
      </c>
      <c r="K22" s="229" t="s">
        <v>4125</v>
      </c>
      <c r="L22" s="229" t="s">
        <v>4125</v>
      </c>
      <c r="M22" s="229"/>
      <c r="N22" s="305" t="s">
        <v>4778</v>
      </c>
      <c r="O22" s="13">
        <v>50</v>
      </c>
      <c r="P22" s="13">
        <v>102</v>
      </c>
      <c r="Q22" s="13" t="s">
        <v>4740</v>
      </c>
      <c r="R22" s="13">
        <v>0</v>
      </c>
      <c r="S22" s="13">
        <v>120</v>
      </c>
      <c r="T22" s="13" t="s">
        <v>4740</v>
      </c>
      <c r="U22" s="294"/>
      <c r="V22" s="294"/>
      <c r="W22" s="294"/>
      <c r="X22" s="294"/>
      <c r="Y22" s="294"/>
      <c r="Z22" s="294"/>
      <c r="AA22" s="294"/>
      <c r="AB22" s="294"/>
      <c r="AC22" s="294"/>
      <c r="AD22" s="294"/>
      <c r="AE22" s="294"/>
      <c r="AF22" s="607"/>
      <c r="AG22" s="612"/>
      <c r="AH22" s="12"/>
      <c r="AI22" s="698">
        <v>40</v>
      </c>
      <c r="AJ22" s="12">
        <v>5</v>
      </c>
      <c r="AK22" s="699">
        <v>103</v>
      </c>
      <c r="AL22" s="13">
        <v>5</v>
      </c>
      <c r="AM22" s="12"/>
      <c r="AN22" s="613"/>
      <c r="AO22" s="609"/>
      <c r="AP22" s="74">
        <v>0</v>
      </c>
      <c r="AQ22" s="411">
        <v>100</v>
      </c>
      <c r="AR22" s="411">
        <v>0</v>
      </c>
      <c r="AS22" s="411">
        <v>100</v>
      </c>
      <c r="AT22" s="412" t="s">
        <v>4741</v>
      </c>
      <c r="AU22" s="438" t="s">
        <v>4626</v>
      </c>
      <c r="AV22" s="74" t="s">
        <v>4625</v>
      </c>
      <c r="AW22" s="412" t="s">
        <v>4742</v>
      </c>
      <c r="AX22" s="296"/>
      <c r="AY22" s="296"/>
      <c r="AZ22" s="296"/>
      <c r="BA22" s="8" t="s">
        <v>4743</v>
      </c>
      <c r="BB22" s="296">
        <v>0</v>
      </c>
      <c r="BC22" s="687"/>
      <c r="BD22" s="275"/>
    </row>
    <row r="23" spans="1:56" s="56" customFormat="1" ht="320.25" hidden="1" customHeight="1">
      <c r="A23" s="298"/>
      <c r="B23" s="298"/>
      <c r="C23" s="298"/>
      <c r="D23" s="318"/>
      <c r="E23" s="311" t="s">
        <v>4781</v>
      </c>
      <c r="F23" s="311" t="s">
        <v>4782</v>
      </c>
      <c r="G23" s="311" t="s">
        <v>223</v>
      </c>
      <c r="H23" s="304" t="s">
        <v>4783</v>
      </c>
      <c r="I23" s="300" t="s">
        <v>4784</v>
      </c>
      <c r="J23" s="413" t="s">
        <v>4141</v>
      </c>
      <c r="K23" s="413" t="s">
        <v>4125</v>
      </c>
      <c r="L23" s="413" t="s">
        <v>4125</v>
      </c>
      <c r="M23" s="413"/>
      <c r="N23" s="311" t="s">
        <v>4781</v>
      </c>
      <c r="O23" s="224">
        <v>100</v>
      </c>
      <c r="P23" s="224">
        <v>400</v>
      </c>
      <c r="Q23" s="224" t="s">
        <v>778</v>
      </c>
      <c r="R23" s="224">
        <v>0</v>
      </c>
      <c r="S23" s="224">
        <v>6000</v>
      </c>
      <c r="T23" s="301" t="s">
        <v>778</v>
      </c>
      <c r="U23" s="300"/>
      <c r="V23" s="300"/>
      <c r="W23" s="300"/>
      <c r="X23" s="300"/>
      <c r="Y23" s="300"/>
      <c r="Z23" s="300"/>
      <c r="AA23" s="300"/>
      <c r="AB23" s="300"/>
      <c r="AC23" s="300"/>
      <c r="AD23" s="300"/>
      <c r="AE23" s="300"/>
      <c r="AF23" s="299"/>
      <c r="AG23" s="614"/>
      <c r="AH23" s="224"/>
      <c r="AI23" s="224">
        <v>50</v>
      </c>
      <c r="AJ23" s="224">
        <v>5</v>
      </c>
      <c r="AK23" s="224">
        <v>450</v>
      </c>
      <c r="AL23" s="224">
        <v>5</v>
      </c>
      <c r="AM23" s="223"/>
      <c r="AN23" s="615"/>
      <c r="AO23" s="610"/>
      <c r="AP23" s="224">
        <v>0</v>
      </c>
      <c r="AQ23" s="414">
        <v>100</v>
      </c>
      <c r="AR23" s="414">
        <v>0</v>
      </c>
      <c r="AS23" s="414">
        <v>100</v>
      </c>
      <c r="AT23" s="415" t="s">
        <v>4741</v>
      </c>
      <c r="AU23" s="439" t="s">
        <v>4640</v>
      </c>
      <c r="AV23" s="224" t="s">
        <v>4639</v>
      </c>
      <c r="AW23" s="415" t="s">
        <v>4742</v>
      </c>
      <c r="AX23" s="301"/>
      <c r="AY23" s="301"/>
      <c r="AZ23" s="301"/>
      <c r="BA23" s="416" t="s">
        <v>4748</v>
      </c>
      <c r="BB23" s="301">
        <v>0</v>
      </c>
      <c r="BC23" s="687"/>
      <c r="BD23" s="275"/>
    </row>
    <row r="24" spans="1:56" s="56" customFormat="1" ht="174.75" hidden="1" customHeight="1">
      <c r="A24" s="298"/>
      <c r="B24" s="298"/>
      <c r="C24" s="298"/>
      <c r="D24" s="318"/>
      <c r="E24" s="375"/>
      <c r="F24" s="375"/>
      <c r="G24" s="375"/>
      <c r="H24" s="347"/>
      <c r="I24" s="387"/>
      <c r="J24" s="417"/>
      <c r="K24" s="417"/>
      <c r="L24" s="417"/>
      <c r="M24" s="417"/>
      <c r="N24" s="375"/>
      <c r="O24" s="232"/>
      <c r="P24" s="232"/>
      <c r="Q24" s="232"/>
      <c r="R24" s="232"/>
      <c r="S24" s="232"/>
      <c r="T24" s="388"/>
      <c r="U24" s="387"/>
      <c r="V24" s="387"/>
      <c r="W24" s="387"/>
      <c r="X24" s="387"/>
      <c r="Y24" s="387"/>
      <c r="Z24" s="387"/>
      <c r="AA24" s="387"/>
      <c r="AB24" s="387"/>
      <c r="AC24" s="387"/>
      <c r="AD24" s="387"/>
      <c r="AE24" s="387"/>
      <c r="AF24" s="386"/>
      <c r="AG24" s="617"/>
      <c r="AH24" s="222"/>
      <c r="AI24" s="222"/>
      <c r="AJ24" s="222"/>
      <c r="AK24" s="222"/>
      <c r="AL24" s="222"/>
      <c r="AM24" s="222"/>
      <c r="AN24" s="618"/>
      <c r="AO24" s="611"/>
      <c r="AP24" s="232">
        <v>0</v>
      </c>
      <c r="AQ24" s="419">
        <v>100</v>
      </c>
      <c r="AR24" s="419">
        <v>30</v>
      </c>
      <c r="AS24" s="419">
        <v>100</v>
      </c>
      <c r="AT24" s="420" t="s">
        <v>4741</v>
      </c>
      <c r="AU24" s="441" t="s">
        <v>4644</v>
      </c>
      <c r="AV24" s="232" t="s">
        <v>4643</v>
      </c>
      <c r="AW24" s="420" t="s">
        <v>4742</v>
      </c>
      <c r="AX24" s="388"/>
      <c r="AY24" s="388"/>
      <c r="AZ24" s="388"/>
      <c r="BA24" s="418" t="s">
        <v>4749</v>
      </c>
      <c r="BB24" s="388">
        <v>0</v>
      </c>
      <c r="BC24" s="687"/>
      <c r="BD24" s="275"/>
    </row>
    <row r="25" spans="1:56" s="56" customFormat="1" ht="324.75" hidden="1" customHeight="1">
      <c r="A25" s="298"/>
      <c r="B25" s="298"/>
      <c r="C25" s="298"/>
      <c r="D25" s="318"/>
      <c r="E25" s="292" t="s">
        <v>4785</v>
      </c>
      <c r="F25" s="292" t="s">
        <v>4638</v>
      </c>
      <c r="G25" s="292" t="s">
        <v>223</v>
      </c>
      <c r="H25" s="321" t="s">
        <v>4786</v>
      </c>
      <c r="I25" s="294" t="s">
        <v>4787</v>
      </c>
      <c r="J25" s="229" t="s">
        <v>4141</v>
      </c>
      <c r="K25" s="229" t="s">
        <v>4125</v>
      </c>
      <c r="L25" s="229" t="s">
        <v>4125</v>
      </c>
      <c r="M25" s="229"/>
      <c r="N25" s="305" t="s">
        <v>4785</v>
      </c>
      <c r="O25" s="13">
        <v>50</v>
      </c>
      <c r="P25" s="13">
        <v>102</v>
      </c>
      <c r="Q25" s="13" t="s">
        <v>4740</v>
      </c>
      <c r="R25" s="13">
        <v>0</v>
      </c>
      <c r="S25" s="13">
        <v>120</v>
      </c>
      <c r="T25" s="13" t="s">
        <v>4740</v>
      </c>
      <c r="U25" s="294"/>
      <c r="V25" s="294"/>
      <c r="W25" s="294"/>
      <c r="X25" s="294"/>
      <c r="Y25" s="294"/>
      <c r="Z25" s="294"/>
      <c r="AA25" s="294"/>
      <c r="AB25" s="294"/>
      <c r="AC25" s="294"/>
      <c r="AD25" s="294"/>
      <c r="AE25" s="294"/>
      <c r="AF25" s="607"/>
      <c r="AG25" s="612"/>
      <c r="AH25" s="12"/>
      <c r="AI25" s="698">
        <v>40</v>
      </c>
      <c r="AJ25" s="12">
        <v>5</v>
      </c>
      <c r="AK25" s="699">
        <v>103</v>
      </c>
      <c r="AL25" s="13">
        <v>5</v>
      </c>
      <c r="AM25" s="12"/>
      <c r="AN25" s="613"/>
      <c r="AO25" s="609"/>
      <c r="AP25" s="74">
        <v>0</v>
      </c>
      <c r="AQ25" s="411">
        <v>100</v>
      </c>
      <c r="AR25" s="411">
        <v>0</v>
      </c>
      <c r="AS25" s="411">
        <v>100</v>
      </c>
      <c r="AT25" s="412" t="s">
        <v>4741</v>
      </c>
      <c r="AU25" s="438" t="s">
        <v>4637</v>
      </c>
      <c r="AV25" s="74" t="s">
        <v>4636</v>
      </c>
      <c r="AW25" s="412" t="s">
        <v>4742</v>
      </c>
      <c r="AX25" s="296"/>
      <c r="AY25" s="296"/>
      <c r="AZ25" s="296"/>
      <c r="BA25" s="8" t="s">
        <v>4743</v>
      </c>
      <c r="BB25" s="296">
        <v>0</v>
      </c>
      <c r="BC25" s="687"/>
      <c r="BD25" s="275"/>
    </row>
    <row r="26" spans="1:56" s="56" customFormat="1" ht="324.75" hidden="1" customHeight="1">
      <c r="A26" s="298"/>
      <c r="B26" s="298"/>
      <c r="C26" s="298"/>
      <c r="D26" s="318"/>
      <c r="E26" s="311" t="s">
        <v>4788</v>
      </c>
      <c r="F26" s="311" t="s">
        <v>4789</v>
      </c>
      <c r="G26" s="311" t="s">
        <v>223</v>
      </c>
      <c r="H26" s="304" t="s">
        <v>4790</v>
      </c>
      <c r="I26" s="300" t="s">
        <v>4791</v>
      </c>
      <c r="J26" s="413" t="s">
        <v>4141</v>
      </c>
      <c r="K26" s="413" t="s">
        <v>4125</v>
      </c>
      <c r="L26" s="413" t="s">
        <v>4125</v>
      </c>
      <c r="M26" s="413"/>
      <c r="N26" s="311" t="s">
        <v>4788</v>
      </c>
      <c r="O26" s="224">
        <v>100</v>
      </c>
      <c r="P26" s="224">
        <v>400</v>
      </c>
      <c r="Q26" s="224" t="s">
        <v>778</v>
      </c>
      <c r="R26" s="224">
        <v>0</v>
      </c>
      <c r="S26" s="224">
        <v>6000</v>
      </c>
      <c r="T26" s="301" t="s">
        <v>778</v>
      </c>
      <c r="U26" s="300"/>
      <c r="V26" s="300"/>
      <c r="W26" s="300"/>
      <c r="X26" s="300"/>
      <c r="Y26" s="300"/>
      <c r="Z26" s="300"/>
      <c r="AA26" s="300"/>
      <c r="AB26" s="300"/>
      <c r="AC26" s="300"/>
      <c r="AD26" s="300"/>
      <c r="AE26" s="300"/>
      <c r="AF26" s="299"/>
      <c r="AG26" s="614"/>
      <c r="AH26" s="224"/>
      <c r="AI26" s="224">
        <v>50</v>
      </c>
      <c r="AJ26" s="224">
        <v>5</v>
      </c>
      <c r="AK26" s="224">
        <v>450</v>
      </c>
      <c r="AL26" s="224">
        <v>5</v>
      </c>
      <c r="AM26" s="223"/>
      <c r="AN26" s="615"/>
      <c r="AO26" s="610"/>
      <c r="AP26" s="224">
        <v>0</v>
      </c>
      <c r="AQ26" s="414">
        <v>100</v>
      </c>
      <c r="AR26" s="414">
        <v>0</v>
      </c>
      <c r="AS26" s="414">
        <v>100</v>
      </c>
      <c r="AT26" s="415" t="s">
        <v>4741</v>
      </c>
      <c r="AU26" s="439" t="s">
        <v>4648</v>
      </c>
      <c r="AV26" s="224" t="s">
        <v>4647</v>
      </c>
      <c r="AW26" s="415" t="s">
        <v>4742</v>
      </c>
      <c r="AX26" s="301"/>
      <c r="AY26" s="301"/>
      <c r="AZ26" s="301"/>
      <c r="BA26" s="416" t="s">
        <v>4748</v>
      </c>
      <c r="BB26" s="301">
        <v>0</v>
      </c>
      <c r="BC26" s="687"/>
      <c r="BD26" s="275"/>
    </row>
    <row r="27" spans="1:56" s="56" customFormat="1" ht="174.75" hidden="1" customHeight="1">
      <c r="A27" s="298"/>
      <c r="B27" s="298"/>
      <c r="C27" s="298"/>
      <c r="D27" s="318"/>
      <c r="E27" s="375"/>
      <c r="F27" s="375"/>
      <c r="G27" s="375"/>
      <c r="H27" s="347"/>
      <c r="I27" s="387"/>
      <c r="J27" s="417"/>
      <c r="K27" s="417"/>
      <c r="L27" s="417"/>
      <c r="M27" s="417"/>
      <c r="N27" s="375"/>
      <c r="O27" s="232"/>
      <c r="P27" s="232"/>
      <c r="Q27" s="232"/>
      <c r="R27" s="232"/>
      <c r="S27" s="232"/>
      <c r="T27" s="388"/>
      <c r="U27" s="387"/>
      <c r="V27" s="387"/>
      <c r="W27" s="387"/>
      <c r="X27" s="387"/>
      <c r="Y27" s="387"/>
      <c r="Z27" s="387"/>
      <c r="AA27" s="387"/>
      <c r="AB27" s="387"/>
      <c r="AC27" s="387"/>
      <c r="AD27" s="387"/>
      <c r="AE27" s="387"/>
      <c r="AF27" s="386"/>
      <c r="AG27" s="617"/>
      <c r="AH27" s="222"/>
      <c r="AI27" s="222"/>
      <c r="AJ27" s="222"/>
      <c r="AK27" s="222"/>
      <c r="AL27" s="222"/>
      <c r="AM27" s="222"/>
      <c r="AN27" s="618"/>
      <c r="AO27" s="611"/>
      <c r="AP27" s="232">
        <v>0</v>
      </c>
      <c r="AQ27" s="419">
        <v>100</v>
      </c>
      <c r="AR27" s="419">
        <v>30</v>
      </c>
      <c r="AS27" s="419">
        <v>100</v>
      </c>
      <c r="AT27" s="420" t="s">
        <v>4741</v>
      </c>
      <c r="AU27" s="441" t="s">
        <v>4652</v>
      </c>
      <c r="AV27" s="232" t="s">
        <v>4651</v>
      </c>
      <c r="AW27" s="420" t="s">
        <v>4742</v>
      </c>
      <c r="AX27" s="388"/>
      <c r="AY27" s="388"/>
      <c r="AZ27" s="388"/>
      <c r="BA27" s="418" t="s">
        <v>4749</v>
      </c>
      <c r="BB27" s="388">
        <v>0</v>
      </c>
      <c r="BC27" s="687"/>
      <c r="BD27" s="275"/>
    </row>
    <row r="28" spans="1:56" s="56" customFormat="1" ht="174.75" hidden="1" customHeight="1">
      <c r="A28" s="23"/>
      <c r="B28" s="23"/>
      <c r="C28" s="23"/>
      <c r="D28" s="207"/>
      <c r="E28" s="5" t="s">
        <v>4792</v>
      </c>
      <c r="F28" s="5" t="s">
        <v>4793</v>
      </c>
      <c r="G28" s="221" t="s">
        <v>809</v>
      </c>
      <c r="H28" s="749" t="s">
        <v>4794</v>
      </c>
      <c r="I28" s="12" t="s">
        <v>4795</v>
      </c>
      <c r="J28" s="753" t="s">
        <v>4141</v>
      </c>
      <c r="K28" s="753" t="s">
        <v>4125</v>
      </c>
      <c r="L28" s="753" t="s">
        <v>4125</v>
      </c>
      <c r="M28" s="750"/>
      <c r="N28" s="5" t="s">
        <v>4792</v>
      </c>
      <c r="O28" s="13">
        <v>25</v>
      </c>
      <c r="P28" s="13">
        <v>80</v>
      </c>
      <c r="Q28" s="13" t="s">
        <v>41</v>
      </c>
      <c r="R28" s="13">
        <v>0</v>
      </c>
      <c r="S28" s="13">
        <v>100</v>
      </c>
      <c r="T28" s="13" t="s">
        <v>41</v>
      </c>
      <c r="U28" s="12"/>
      <c r="V28" s="12"/>
      <c r="W28" s="12"/>
      <c r="X28" s="12"/>
      <c r="Y28" s="12"/>
      <c r="Z28" s="12"/>
      <c r="AA28" s="12"/>
      <c r="AB28" s="12"/>
      <c r="AC28" s="12"/>
      <c r="AD28" s="12"/>
      <c r="AE28" s="12"/>
      <c r="AF28" s="752"/>
      <c r="AG28" s="612">
        <v>20</v>
      </c>
      <c r="AH28" s="12">
        <v>5</v>
      </c>
      <c r="AI28" s="12">
        <v>30</v>
      </c>
      <c r="AJ28" s="12">
        <v>5</v>
      </c>
      <c r="AK28" s="12">
        <v>85</v>
      </c>
      <c r="AL28" s="12">
        <v>5</v>
      </c>
      <c r="AM28" s="12"/>
      <c r="AN28" s="613"/>
      <c r="AO28" s="186"/>
      <c r="AP28" s="74">
        <v>0</v>
      </c>
      <c r="AQ28" s="411">
        <v>100</v>
      </c>
      <c r="AR28" s="411">
        <v>40</v>
      </c>
      <c r="AS28" s="411">
        <v>100</v>
      </c>
      <c r="AT28" s="412" t="s">
        <v>4796</v>
      </c>
      <c r="AU28" s="74" t="s">
        <v>4797</v>
      </c>
      <c r="AV28" s="74" t="s">
        <v>4798</v>
      </c>
      <c r="AW28" s="412" t="s">
        <v>4799</v>
      </c>
      <c r="AX28" s="74"/>
      <c r="AY28" s="74"/>
      <c r="AZ28" s="74"/>
      <c r="BA28" s="697" t="s">
        <v>4800</v>
      </c>
      <c r="BB28" s="74">
        <v>1</v>
      </c>
      <c r="BC28" s="687"/>
      <c r="BD28" s="275"/>
    </row>
    <row r="29" spans="1:56" s="56" customFormat="1" ht="174.75" hidden="1" customHeight="1">
      <c r="A29" s="23"/>
      <c r="B29" s="23"/>
      <c r="C29" s="23"/>
      <c r="D29" s="207"/>
      <c r="E29" s="5" t="s">
        <v>4801</v>
      </c>
      <c r="F29" s="5" t="s">
        <v>4802</v>
      </c>
      <c r="G29" s="221" t="s">
        <v>809</v>
      </c>
      <c r="H29" s="749" t="s">
        <v>4803</v>
      </c>
      <c r="I29" s="12" t="s">
        <v>4804</v>
      </c>
      <c r="J29" s="750" t="s">
        <v>4141</v>
      </c>
      <c r="K29" s="750" t="s">
        <v>4125</v>
      </c>
      <c r="L29" s="750" t="s">
        <v>4125</v>
      </c>
      <c r="M29" s="751"/>
      <c r="N29" s="18" t="s">
        <v>4801</v>
      </c>
      <c r="O29" s="74">
        <v>25</v>
      </c>
      <c r="P29" s="74">
        <v>80</v>
      </c>
      <c r="Q29" s="74" t="s">
        <v>41</v>
      </c>
      <c r="R29" s="13">
        <v>0</v>
      </c>
      <c r="S29" s="13">
        <v>100</v>
      </c>
      <c r="T29" s="74" t="s">
        <v>41</v>
      </c>
      <c r="U29" s="12"/>
      <c r="V29" s="12"/>
      <c r="W29" s="12"/>
      <c r="X29" s="12">
        <v>40</v>
      </c>
      <c r="Y29" s="12">
        <v>5</v>
      </c>
      <c r="Z29" s="12"/>
      <c r="AA29" s="12"/>
      <c r="AB29" s="12"/>
      <c r="AC29" s="12"/>
      <c r="AD29" s="12"/>
      <c r="AE29" s="12"/>
      <c r="AF29" s="752"/>
      <c r="AG29" s="612">
        <v>20</v>
      </c>
      <c r="AH29" s="12">
        <v>5</v>
      </c>
      <c r="AI29" s="12">
        <v>30</v>
      </c>
      <c r="AJ29" s="12">
        <v>5</v>
      </c>
      <c r="AK29" s="12">
        <v>85</v>
      </c>
      <c r="AL29" s="12">
        <v>5</v>
      </c>
      <c r="AM29" s="12"/>
      <c r="AN29" s="613"/>
      <c r="AO29" s="186"/>
      <c r="AP29" s="74">
        <v>0</v>
      </c>
      <c r="AQ29" s="411">
        <v>100</v>
      </c>
      <c r="AR29" s="411">
        <v>40</v>
      </c>
      <c r="AS29" s="411">
        <v>100</v>
      </c>
      <c r="AT29" s="412" t="s">
        <v>4796</v>
      </c>
      <c r="AU29" s="74" t="s">
        <v>4805</v>
      </c>
      <c r="AV29" s="74" t="s">
        <v>4806</v>
      </c>
      <c r="AW29" s="412" t="s">
        <v>4799</v>
      </c>
      <c r="AX29" s="74"/>
      <c r="AY29" s="74"/>
      <c r="AZ29" s="74"/>
      <c r="BA29" s="697" t="s">
        <v>4807</v>
      </c>
      <c r="BB29" s="13">
        <v>1</v>
      </c>
      <c r="BC29" s="687"/>
      <c r="BD29" s="275"/>
    </row>
    <row r="30" spans="1:56" s="56" customFormat="1" ht="174.75" hidden="1" customHeight="1">
      <c r="A30" s="23"/>
      <c r="B30" s="23"/>
      <c r="C30" s="23"/>
      <c r="D30" s="207"/>
      <c r="E30" s="5" t="s">
        <v>4808</v>
      </c>
      <c r="F30" s="5" t="s">
        <v>4809</v>
      </c>
      <c r="G30" s="221" t="s">
        <v>331</v>
      </c>
      <c r="H30" s="749" t="s">
        <v>4810</v>
      </c>
      <c r="I30" s="12" t="s">
        <v>4811</v>
      </c>
      <c r="J30" s="750" t="s">
        <v>4141</v>
      </c>
      <c r="K30" s="750" t="s">
        <v>4125</v>
      </c>
      <c r="L30" s="750" t="s">
        <v>4125</v>
      </c>
      <c r="M30" s="751"/>
      <c r="N30" s="18" t="s">
        <v>4808</v>
      </c>
      <c r="O30" s="74">
        <v>50</v>
      </c>
      <c r="P30" s="74">
        <v>115</v>
      </c>
      <c r="Q30" s="74" t="s">
        <v>143</v>
      </c>
      <c r="R30" s="74">
        <v>-100</v>
      </c>
      <c r="S30" s="74">
        <v>300</v>
      </c>
      <c r="T30" s="74" t="s">
        <v>143</v>
      </c>
      <c r="U30" s="12"/>
      <c r="V30" s="12"/>
      <c r="W30" s="12"/>
      <c r="X30" s="12"/>
      <c r="Y30" s="12"/>
      <c r="Z30" s="12"/>
      <c r="AA30" s="12"/>
      <c r="AB30" s="12"/>
      <c r="AC30" s="12"/>
      <c r="AD30" s="12"/>
      <c r="AE30" s="12"/>
      <c r="AF30" s="752"/>
      <c r="AG30" s="612"/>
      <c r="AH30" s="12"/>
      <c r="AI30" s="12"/>
      <c r="AJ30" s="12"/>
      <c r="AK30" s="184">
        <v>120</v>
      </c>
      <c r="AL30" s="184">
        <v>5</v>
      </c>
      <c r="AM30" s="184">
        <v>125</v>
      </c>
      <c r="AN30" s="616">
        <v>5</v>
      </c>
      <c r="AO30" s="186"/>
      <c r="AP30" s="74">
        <v>0</v>
      </c>
      <c r="AQ30" s="411">
        <v>100</v>
      </c>
      <c r="AR30" s="411">
        <v>40</v>
      </c>
      <c r="AS30" s="411">
        <v>100</v>
      </c>
      <c r="AT30" s="412" t="s">
        <v>4796</v>
      </c>
      <c r="AU30" s="74" t="s">
        <v>4812</v>
      </c>
      <c r="AV30" s="74" t="s">
        <v>4813</v>
      </c>
      <c r="AW30" s="412" t="s">
        <v>4742</v>
      </c>
      <c r="AX30" s="74"/>
      <c r="AY30" s="74"/>
      <c r="AZ30" s="74"/>
      <c r="BA30" s="697" t="s">
        <v>4814</v>
      </c>
      <c r="BB30" s="13">
        <v>1</v>
      </c>
      <c r="BC30" s="687"/>
      <c r="BD30" s="275"/>
    </row>
    <row r="31" spans="1:56" s="56" customFormat="1" ht="174.75" hidden="1" customHeight="1">
      <c r="A31" s="23"/>
      <c r="B31" s="23"/>
      <c r="C31" s="23"/>
      <c r="D31" s="207"/>
      <c r="E31" s="5" t="s">
        <v>4815</v>
      </c>
      <c r="F31" s="5" t="s">
        <v>4816</v>
      </c>
      <c r="G31" s="221" t="s">
        <v>331</v>
      </c>
      <c r="H31" s="749" t="s">
        <v>4817</v>
      </c>
      <c r="I31" s="12" t="s">
        <v>4818</v>
      </c>
      <c r="J31" s="750" t="s">
        <v>4141</v>
      </c>
      <c r="K31" s="750" t="s">
        <v>4125</v>
      </c>
      <c r="L31" s="750" t="s">
        <v>4125</v>
      </c>
      <c r="M31" s="751"/>
      <c r="N31" s="18" t="s">
        <v>4815</v>
      </c>
      <c r="O31" s="74">
        <v>50</v>
      </c>
      <c r="P31" s="74">
        <v>115</v>
      </c>
      <c r="Q31" s="74" t="s">
        <v>143</v>
      </c>
      <c r="R31" s="74">
        <v>-100</v>
      </c>
      <c r="S31" s="74">
        <v>300</v>
      </c>
      <c r="T31" s="74" t="s">
        <v>143</v>
      </c>
      <c r="U31" s="12"/>
      <c r="V31" s="12"/>
      <c r="W31" s="12"/>
      <c r="X31" s="12"/>
      <c r="Y31" s="12"/>
      <c r="Z31" s="12"/>
      <c r="AA31" s="12"/>
      <c r="AB31" s="12"/>
      <c r="AC31" s="12"/>
      <c r="AD31" s="12"/>
      <c r="AE31" s="12"/>
      <c r="AF31" s="752"/>
      <c r="AG31" s="612"/>
      <c r="AH31" s="12"/>
      <c r="AI31" s="12"/>
      <c r="AJ31" s="12"/>
      <c r="AK31" s="184">
        <v>120</v>
      </c>
      <c r="AL31" s="184">
        <v>5</v>
      </c>
      <c r="AM31" s="184">
        <v>125</v>
      </c>
      <c r="AN31" s="616">
        <v>5</v>
      </c>
      <c r="AO31" s="186"/>
      <c r="AP31" s="74">
        <v>0</v>
      </c>
      <c r="AQ31" s="411">
        <v>100</v>
      </c>
      <c r="AR31" s="411">
        <v>40</v>
      </c>
      <c r="AS31" s="411">
        <v>100</v>
      </c>
      <c r="AT31" s="412" t="s">
        <v>4796</v>
      </c>
      <c r="AU31" s="74" t="s">
        <v>4819</v>
      </c>
      <c r="AV31" s="74" t="s">
        <v>4820</v>
      </c>
      <c r="AW31" s="412" t="s">
        <v>4742</v>
      </c>
      <c r="AX31" s="74"/>
      <c r="AY31" s="74"/>
      <c r="AZ31" s="74"/>
      <c r="BA31" s="697" t="s">
        <v>4821</v>
      </c>
      <c r="BB31" s="13">
        <v>1</v>
      </c>
      <c r="BC31" s="687"/>
      <c r="BD31" s="275"/>
    </row>
    <row r="32" spans="1:56" s="56" customFormat="1" ht="174.75" hidden="1" customHeight="1">
      <c r="A32" s="23"/>
      <c r="B32" s="23"/>
      <c r="C32" s="23"/>
      <c r="D32" s="207"/>
      <c r="E32" s="5" t="s">
        <v>4822</v>
      </c>
      <c r="F32" s="5" t="s">
        <v>4823</v>
      </c>
      <c r="G32" s="221" t="s">
        <v>331</v>
      </c>
      <c r="H32" s="749" t="s">
        <v>4824</v>
      </c>
      <c r="I32" s="12" t="s">
        <v>4825</v>
      </c>
      <c r="J32" s="750" t="s">
        <v>4141</v>
      </c>
      <c r="K32" s="750" t="s">
        <v>4125</v>
      </c>
      <c r="L32" s="750" t="s">
        <v>4125</v>
      </c>
      <c r="M32" s="751"/>
      <c r="N32" s="18" t="s">
        <v>4822</v>
      </c>
      <c r="O32" s="74">
        <v>50</v>
      </c>
      <c r="P32" s="74">
        <v>115</v>
      </c>
      <c r="Q32" s="74" t="s">
        <v>143</v>
      </c>
      <c r="R32" s="74">
        <v>-100</v>
      </c>
      <c r="S32" s="74">
        <v>300</v>
      </c>
      <c r="T32" s="74" t="s">
        <v>143</v>
      </c>
      <c r="U32" s="12"/>
      <c r="V32" s="12"/>
      <c r="W32" s="12"/>
      <c r="X32" s="12"/>
      <c r="Y32" s="12"/>
      <c r="Z32" s="12"/>
      <c r="AA32" s="12"/>
      <c r="AB32" s="12"/>
      <c r="AC32" s="12"/>
      <c r="AD32" s="12"/>
      <c r="AE32" s="12"/>
      <c r="AF32" s="752"/>
      <c r="AG32" s="612"/>
      <c r="AH32" s="12"/>
      <c r="AI32" s="12"/>
      <c r="AJ32" s="12"/>
      <c r="AK32" s="184">
        <v>120</v>
      </c>
      <c r="AL32" s="184">
        <v>5</v>
      </c>
      <c r="AM32" s="184">
        <v>125</v>
      </c>
      <c r="AN32" s="616">
        <v>5</v>
      </c>
      <c r="AO32" s="186"/>
      <c r="AP32" s="74">
        <v>0</v>
      </c>
      <c r="AQ32" s="411">
        <v>100</v>
      </c>
      <c r="AR32" s="411">
        <v>40</v>
      </c>
      <c r="AS32" s="411">
        <v>100</v>
      </c>
      <c r="AT32" s="412" t="s">
        <v>4796</v>
      </c>
      <c r="AU32" s="74" t="s">
        <v>4826</v>
      </c>
      <c r="AV32" s="74" t="s">
        <v>4827</v>
      </c>
      <c r="AW32" s="412" t="s">
        <v>4742</v>
      </c>
      <c r="AX32" s="74"/>
      <c r="AY32" s="74"/>
      <c r="AZ32" s="74"/>
      <c r="BA32" s="697" t="s">
        <v>4828</v>
      </c>
      <c r="BB32" s="13">
        <v>1</v>
      </c>
      <c r="BC32" s="687"/>
      <c r="BD32" s="275"/>
    </row>
    <row r="33" spans="1:57" s="56" customFormat="1" ht="174.75" hidden="1" customHeight="1">
      <c r="A33" s="23"/>
      <c r="B33" s="23"/>
      <c r="C33" s="23"/>
      <c r="D33" s="207"/>
      <c r="E33" s="5" t="s">
        <v>4829</v>
      </c>
      <c r="F33" s="5" t="s">
        <v>4830</v>
      </c>
      <c r="G33" s="221" t="s">
        <v>331</v>
      </c>
      <c r="H33" s="749" t="s">
        <v>4831</v>
      </c>
      <c r="I33" s="12" t="s">
        <v>4832</v>
      </c>
      <c r="J33" s="750" t="s">
        <v>4141</v>
      </c>
      <c r="K33" s="750" t="s">
        <v>4125</v>
      </c>
      <c r="L33" s="750" t="s">
        <v>4125</v>
      </c>
      <c r="M33" s="751"/>
      <c r="N33" s="18" t="s">
        <v>4829</v>
      </c>
      <c r="O33" s="74">
        <v>50</v>
      </c>
      <c r="P33" s="74">
        <v>115</v>
      </c>
      <c r="Q33" s="74" t="s">
        <v>143</v>
      </c>
      <c r="R33" s="74">
        <v>-100</v>
      </c>
      <c r="S33" s="74">
        <v>300</v>
      </c>
      <c r="T33" s="74" t="s">
        <v>143</v>
      </c>
      <c r="U33" s="12"/>
      <c r="V33" s="12"/>
      <c r="W33" s="12"/>
      <c r="X33" s="12"/>
      <c r="Y33" s="12"/>
      <c r="Z33" s="12"/>
      <c r="AA33" s="12"/>
      <c r="AB33" s="12"/>
      <c r="AC33" s="12"/>
      <c r="AD33" s="12"/>
      <c r="AE33" s="12"/>
      <c r="AF33" s="752"/>
      <c r="AG33" s="612"/>
      <c r="AH33" s="12"/>
      <c r="AI33" s="12"/>
      <c r="AJ33" s="12"/>
      <c r="AK33" s="184">
        <v>120</v>
      </c>
      <c r="AL33" s="184">
        <v>5</v>
      </c>
      <c r="AM33" s="184">
        <v>125</v>
      </c>
      <c r="AN33" s="616">
        <v>5</v>
      </c>
      <c r="AO33" s="186"/>
      <c r="AP33" s="74">
        <v>0</v>
      </c>
      <c r="AQ33" s="411">
        <v>100</v>
      </c>
      <c r="AR33" s="411">
        <v>40</v>
      </c>
      <c r="AS33" s="411">
        <v>100</v>
      </c>
      <c r="AT33" s="412" t="s">
        <v>4796</v>
      </c>
      <c r="AU33" s="74" t="s">
        <v>4833</v>
      </c>
      <c r="AV33" s="74" t="s">
        <v>4834</v>
      </c>
      <c r="AW33" s="412" t="s">
        <v>4742</v>
      </c>
      <c r="AX33" s="74"/>
      <c r="AY33" s="74"/>
      <c r="AZ33" s="74"/>
      <c r="BA33" s="697" t="s">
        <v>4835</v>
      </c>
      <c r="BB33" s="13">
        <v>1</v>
      </c>
      <c r="BC33" s="687"/>
      <c r="BD33" s="275"/>
    </row>
    <row r="34" spans="1:57" s="56" customFormat="1" ht="270" hidden="1" customHeight="1">
      <c r="A34" s="298"/>
      <c r="B34" s="298"/>
      <c r="C34" s="298"/>
      <c r="D34" s="318"/>
      <c r="E34" s="292" t="s">
        <v>4836</v>
      </c>
      <c r="F34" s="292" t="s">
        <v>4659</v>
      </c>
      <c r="G34" s="311" t="s">
        <v>500</v>
      </c>
      <c r="H34" s="304" t="s">
        <v>4837</v>
      </c>
      <c r="I34" s="294" t="s">
        <v>4838</v>
      </c>
      <c r="J34" s="421" t="s">
        <v>4725</v>
      </c>
      <c r="K34" s="421" t="s">
        <v>4125</v>
      </c>
      <c r="L34" s="421" t="s">
        <v>4125</v>
      </c>
      <c r="M34" s="229" t="s">
        <v>4125</v>
      </c>
      <c r="N34" s="305" t="s">
        <v>4836</v>
      </c>
      <c r="O34" s="74">
        <v>0</v>
      </c>
      <c r="P34" s="74">
        <v>400</v>
      </c>
      <c r="Q34" s="13" t="s">
        <v>135</v>
      </c>
      <c r="R34" s="74">
        <v>0</v>
      </c>
      <c r="S34" s="425">
        <v>400</v>
      </c>
      <c r="T34" s="13" t="s">
        <v>135</v>
      </c>
      <c r="U34" s="294"/>
      <c r="V34" s="294"/>
      <c r="W34" s="294"/>
      <c r="X34" s="294"/>
      <c r="Y34" s="294"/>
      <c r="Z34" s="294"/>
      <c r="AA34" s="294"/>
      <c r="AB34" s="294"/>
      <c r="AC34" s="294"/>
      <c r="AD34" s="294"/>
      <c r="AE34" s="294"/>
      <c r="AF34" s="607"/>
      <c r="AG34" s="612"/>
      <c r="AH34" s="12"/>
      <c r="AI34" s="74" t="s">
        <v>4839</v>
      </c>
      <c r="AJ34" s="74">
        <v>5</v>
      </c>
      <c r="AK34" s="74" t="s">
        <v>4840</v>
      </c>
      <c r="AL34" s="74">
        <v>5</v>
      </c>
      <c r="AM34" s="12"/>
      <c r="AN34" s="613"/>
      <c r="AO34" s="186" t="s">
        <v>4841</v>
      </c>
      <c r="AP34" s="296">
        <v>0</v>
      </c>
      <c r="AQ34" s="320">
        <v>100</v>
      </c>
      <c r="AR34" s="296">
        <v>0</v>
      </c>
      <c r="AS34" s="320">
        <v>100</v>
      </c>
      <c r="AT34" s="422" t="s">
        <v>4741</v>
      </c>
      <c r="AU34" s="441" t="s">
        <v>4656</v>
      </c>
      <c r="AV34" s="296" t="s">
        <v>4655</v>
      </c>
      <c r="AW34" s="423" t="s">
        <v>4742</v>
      </c>
      <c r="AX34" s="296"/>
      <c r="AY34" s="296"/>
      <c r="AZ34" s="296"/>
      <c r="BA34" s="747" t="s">
        <v>4842</v>
      </c>
      <c r="BB34" s="744">
        <v>2</v>
      </c>
      <c r="BC34" s="687"/>
      <c r="BD34" s="275"/>
    </row>
    <row r="35" spans="1:57" s="56" customFormat="1" ht="174.75" hidden="1" customHeight="1">
      <c r="A35" s="298"/>
      <c r="B35" s="298"/>
      <c r="C35" s="298"/>
      <c r="D35" s="318"/>
      <c r="E35" s="292" t="s">
        <v>4843</v>
      </c>
      <c r="F35" s="292" t="s">
        <v>4844</v>
      </c>
      <c r="G35" s="311" t="s">
        <v>500</v>
      </c>
      <c r="H35" s="304" t="s">
        <v>4845</v>
      </c>
      <c r="I35" s="294" t="s">
        <v>4846</v>
      </c>
      <c r="J35" s="421" t="s">
        <v>4725</v>
      </c>
      <c r="K35" s="421" t="s">
        <v>4125</v>
      </c>
      <c r="L35" s="421" t="s">
        <v>4125</v>
      </c>
      <c r="M35" s="229" t="s">
        <v>4125</v>
      </c>
      <c r="N35" s="305" t="s">
        <v>4843</v>
      </c>
      <c r="O35" s="74">
        <v>0</v>
      </c>
      <c r="P35" s="74">
        <v>80</v>
      </c>
      <c r="Q35" s="13" t="s">
        <v>135</v>
      </c>
      <c r="R35" s="74">
        <v>0</v>
      </c>
      <c r="S35" s="425">
        <v>100</v>
      </c>
      <c r="T35" s="13" t="s">
        <v>135</v>
      </c>
      <c r="U35" s="294"/>
      <c r="V35" s="294"/>
      <c r="W35" s="294"/>
      <c r="X35" s="294"/>
      <c r="Y35" s="294"/>
      <c r="Z35" s="294"/>
      <c r="AA35" s="294"/>
      <c r="AB35" s="294"/>
      <c r="AC35" s="294"/>
      <c r="AD35" s="294"/>
      <c r="AE35" s="294"/>
      <c r="AF35" s="607"/>
      <c r="AG35" s="612"/>
      <c r="AH35" s="12"/>
      <c r="AI35" s="297">
        <v>10</v>
      </c>
      <c r="AJ35" s="297">
        <v>5</v>
      </c>
      <c r="AK35" s="297">
        <v>30</v>
      </c>
      <c r="AL35" s="297">
        <v>5</v>
      </c>
      <c r="AM35" s="12"/>
      <c r="AN35" s="613"/>
      <c r="AO35" s="186" t="s">
        <v>4841</v>
      </c>
      <c r="AP35" s="296">
        <v>0</v>
      </c>
      <c r="AQ35" s="320">
        <v>100</v>
      </c>
      <c r="AR35" s="296">
        <v>40</v>
      </c>
      <c r="AS35" s="320">
        <v>100</v>
      </c>
      <c r="AT35" s="423" t="s">
        <v>4796</v>
      </c>
      <c r="AU35" s="441" t="s">
        <v>4847</v>
      </c>
      <c r="AV35" s="296" t="s">
        <v>4848</v>
      </c>
      <c r="AW35" s="423" t="s">
        <v>4742</v>
      </c>
      <c r="AX35" s="296"/>
      <c r="AY35" s="296"/>
      <c r="AZ35" s="296"/>
      <c r="BA35" s="309" t="s">
        <v>4849</v>
      </c>
      <c r="BB35" s="293" t="s">
        <v>138</v>
      </c>
      <c r="BC35" s="687"/>
      <c r="BD35" s="275"/>
    </row>
    <row r="36" spans="1:57" s="56" customFormat="1" ht="196.5" hidden="1" customHeight="1">
      <c r="A36" s="534"/>
      <c r="B36" s="534"/>
      <c r="C36" s="534"/>
      <c r="D36" s="675"/>
      <c r="E36" s="731" t="s">
        <v>2034</v>
      </c>
      <c r="F36" s="292" t="s">
        <v>4850</v>
      </c>
      <c r="G36" s="292" t="s">
        <v>500</v>
      </c>
      <c r="H36" s="321" t="s">
        <v>4851</v>
      </c>
      <c r="I36" s="294" t="s">
        <v>4852</v>
      </c>
      <c r="J36" s="229" t="s">
        <v>4141</v>
      </c>
      <c r="K36" s="421" t="s">
        <v>4125</v>
      </c>
      <c r="L36" s="421" t="s">
        <v>4125</v>
      </c>
      <c r="M36" s="229"/>
      <c r="N36" s="959" t="s">
        <v>2034</v>
      </c>
      <c r="O36" s="74">
        <v>0</v>
      </c>
      <c r="P36" s="74">
        <v>3.1</v>
      </c>
      <c r="Q36" s="74" t="s">
        <v>4853</v>
      </c>
      <c r="R36" s="74">
        <v>0</v>
      </c>
      <c r="S36" s="424">
        <v>3.1</v>
      </c>
      <c r="T36" s="74" t="s">
        <v>4853</v>
      </c>
      <c r="U36" s="294"/>
      <c r="V36" s="294"/>
      <c r="W36" s="294"/>
      <c r="X36" s="294"/>
      <c r="Y36" s="294"/>
      <c r="Z36" s="294"/>
      <c r="AA36" s="692">
        <v>7</v>
      </c>
      <c r="AB36" s="294">
        <v>5</v>
      </c>
      <c r="AC36" s="294"/>
      <c r="AD36" s="294"/>
      <c r="AE36" s="294"/>
      <c r="AF36" s="607"/>
      <c r="AG36" s="612">
        <v>2.81</v>
      </c>
      <c r="AH36" s="12">
        <v>5</v>
      </c>
      <c r="AI36" s="12">
        <v>4.4800000000000004</v>
      </c>
      <c r="AJ36" s="12">
        <v>5</v>
      </c>
      <c r="AK36" s="12">
        <v>5.14</v>
      </c>
      <c r="AL36" s="12">
        <v>5</v>
      </c>
      <c r="AM36" s="12">
        <v>5.5</v>
      </c>
      <c r="AN36" s="619">
        <v>5</v>
      </c>
      <c r="AO36" s="186"/>
      <c r="AP36" s="74">
        <v>0</v>
      </c>
      <c r="AQ36" s="425">
        <v>100</v>
      </c>
      <c r="AR36" s="74">
        <v>0</v>
      </c>
      <c r="AS36" s="74">
        <v>50</v>
      </c>
      <c r="AT36" s="423" t="s">
        <v>4854</v>
      </c>
      <c r="AU36" s="441" t="s">
        <v>4845</v>
      </c>
      <c r="AV36" s="296" t="s">
        <v>4844</v>
      </c>
      <c r="AW36" s="423" t="s">
        <v>4799</v>
      </c>
      <c r="AX36" s="296"/>
      <c r="AY36" s="296"/>
      <c r="AZ36" s="74"/>
      <c r="BA36" s="747" t="s">
        <v>4855</v>
      </c>
      <c r="BB36" s="744">
        <v>2</v>
      </c>
      <c r="BC36" s="687"/>
      <c r="BD36" s="275"/>
    </row>
    <row r="37" spans="1:57" s="56" customFormat="1" ht="174.75" hidden="1" customHeight="1">
      <c r="A37" s="946"/>
      <c r="B37" s="946"/>
      <c r="C37" s="946"/>
      <c r="D37" s="947"/>
      <c r="E37" s="292" t="s">
        <v>4856</v>
      </c>
      <c r="F37" s="292" t="s">
        <v>4857</v>
      </c>
      <c r="G37" s="311" t="s">
        <v>500</v>
      </c>
      <c r="H37" s="304" t="s">
        <v>4858</v>
      </c>
      <c r="I37" s="294" t="s">
        <v>4859</v>
      </c>
      <c r="J37" s="421" t="s">
        <v>4141</v>
      </c>
      <c r="K37" s="421" t="s">
        <v>4125</v>
      </c>
      <c r="L37" s="421" t="s">
        <v>4125</v>
      </c>
      <c r="M37" s="421"/>
      <c r="N37" s="292" t="s">
        <v>4856</v>
      </c>
      <c r="O37" s="13">
        <v>0</v>
      </c>
      <c r="P37" s="13">
        <v>200</v>
      </c>
      <c r="Q37" s="13" t="s">
        <v>143</v>
      </c>
      <c r="R37" s="13">
        <v>0</v>
      </c>
      <c r="S37" s="13">
        <v>500</v>
      </c>
      <c r="T37" s="13" t="s">
        <v>143</v>
      </c>
      <c r="U37" s="294"/>
      <c r="V37" s="294"/>
      <c r="W37" s="294"/>
      <c r="X37" s="294"/>
      <c r="Y37" s="294"/>
      <c r="Z37" s="294"/>
      <c r="AA37" s="294"/>
      <c r="AB37" s="294"/>
      <c r="AC37" s="294"/>
      <c r="AD37" s="294"/>
      <c r="AE37" s="294"/>
      <c r="AF37" s="607"/>
      <c r="AG37" s="612"/>
      <c r="AH37" s="12"/>
      <c r="AI37" s="12">
        <v>94.01</v>
      </c>
      <c r="AJ37" s="12">
        <v>5</v>
      </c>
      <c r="AK37" s="12">
        <v>95.91</v>
      </c>
      <c r="AL37" s="12">
        <v>5</v>
      </c>
      <c r="AM37" s="12">
        <v>97.31</v>
      </c>
      <c r="AN37" s="619">
        <v>5</v>
      </c>
      <c r="AO37" s="186"/>
      <c r="AP37" s="13">
        <v>0</v>
      </c>
      <c r="AQ37" s="699">
        <v>6000</v>
      </c>
      <c r="AR37" s="13">
        <v>0</v>
      </c>
      <c r="AS37" s="13">
        <v>4000</v>
      </c>
      <c r="AT37" s="1041" t="s">
        <v>4854</v>
      </c>
      <c r="AU37" s="438" t="s">
        <v>4860</v>
      </c>
      <c r="AV37" s="293" t="s">
        <v>4861</v>
      </c>
      <c r="AW37" s="1041" t="s">
        <v>4799</v>
      </c>
      <c r="AX37" s="293"/>
      <c r="AY37" s="293"/>
      <c r="AZ37" s="293"/>
      <c r="BA37" s="1042" t="s">
        <v>4862</v>
      </c>
      <c r="BB37" s="293" t="s">
        <v>184</v>
      </c>
      <c r="BC37" s="687"/>
      <c r="BD37" s="275"/>
    </row>
    <row r="38" spans="1:57" s="56" customFormat="1" ht="174.75" hidden="1" customHeight="1">
      <c r="A38" s="298"/>
      <c r="B38" s="298"/>
      <c r="C38" s="298"/>
      <c r="D38" s="318"/>
      <c r="E38" s="5" t="s">
        <v>4863</v>
      </c>
      <c r="F38" s="5" t="s">
        <v>4864</v>
      </c>
      <c r="G38" s="221" t="s">
        <v>500</v>
      </c>
      <c r="H38" s="749" t="s">
        <v>4865</v>
      </c>
      <c r="I38" s="12" t="s">
        <v>4866</v>
      </c>
      <c r="J38" s="751" t="s">
        <v>4141</v>
      </c>
      <c r="K38" s="751" t="s">
        <v>4125</v>
      </c>
      <c r="L38" s="751" t="s">
        <v>4125</v>
      </c>
      <c r="M38" s="751"/>
      <c r="N38" s="18" t="s">
        <v>4863</v>
      </c>
      <c r="O38" s="74">
        <v>20</v>
      </c>
      <c r="P38" s="74">
        <v>100</v>
      </c>
      <c r="Q38" s="74" t="s">
        <v>41</v>
      </c>
      <c r="R38" s="74">
        <v>0</v>
      </c>
      <c r="S38" s="424">
        <v>100</v>
      </c>
      <c r="T38" s="74" t="s">
        <v>41</v>
      </c>
      <c r="U38" s="12"/>
      <c r="V38" s="12"/>
      <c r="W38" s="12"/>
      <c r="X38" s="12"/>
      <c r="Y38" s="12"/>
      <c r="Z38" s="12"/>
      <c r="AA38" s="12"/>
      <c r="AB38" s="12"/>
      <c r="AC38" s="12"/>
      <c r="AD38" s="12"/>
      <c r="AE38" s="12"/>
      <c r="AF38" s="752"/>
      <c r="AG38" s="612">
        <v>20</v>
      </c>
      <c r="AH38" s="12">
        <v>5</v>
      </c>
      <c r="AI38" s="12">
        <v>30</v>
      </c>
      <c r="AJ38" s="12">
        <v>5</v>
      </c>
      <c r="AK38" s="12">
        <v>80</v>
      </c>
      <c r="AL38" s="12">
        <v>5</v>
      </c>
      <c r="AM38" s="12"/>
      <c r="AN38" s="613"/>
      <c r="AO38" s="186"/>
      <c r="AP38" s="74">
        <v>0</v>
      </c>
      <c r="AQ38" s="411">
        <v>100</v>
      </c>
      <c r="AR38" s="74">
        <v>40</v>
      </c>
      <c r="AS38" s="411">
        <v>100</v>
      </c>
      <c r="AT38" s="412" t="s">
        <v>4796</v>
      </c>
      <c r="AU38" s="74" t="s">
        <v>4867</v>
      </c>
      <c r="AV38" s="74" t="s">
        <v>4868</v>
      </c>
      <c r="AW38" s="412" t="s">
        <v>4799</v>
      </c>
      <c r="AX38" s="74"/>
      <c r="AY38" s="74"/>
      <c r="AZ38" s="74"/>
      <c r="BA38" s="697" t="s">
        <v>522</v>
      </c>
      <c r="BB38" s="13">
        <v>1</v>
      </c>
      <c r="BC38" s="687"/>
      <c r="BD38" s="275"/>
      <c r="BE38" s="105"/>
    </row>
    <row r="39" spans="1:57" s="56" customFormat="1" ht="174.75" hidden="1" customHeight="1">
      <c r="A39" s="298"/>
      <c r="B39" s="298"/>
      <c r="C39" s="298"/>
      <c r="D39" s="318"/>
      <c r="E39" s="731" t="s">
        <v>4869</v>
      </c>
      <c r="F39" s="5" t="s">
        <v>4870</v>
      </c>
      <c r="G39" s="221" t="s">
        <v>538</v>
      </c>
      <c r="H39" s="749" t="s">
        <v>4871</v>
      </c>
      <c r="I39" s="12" t="s">
        <v>4872</v>
      </c>
      <c r="J39" s="751" t="s">
        <v>4141</v>
      </c>
      <c r="K39" s="751" t="s">
        <v>4125</v>
      </c>
      <c r="L39" s="751" t="s">
        <v>4125</v>
      </c>
      <c r="M39" s="751"/>
      <c r="N39" s="18" t="s">
        <v>4869</v>
      </c>
      <c r="O39" s="74">
        <v>0</v>
      </c>
      <c r="P39" s="74">
        <v>100</v>
      </c>
      <c r="Q39" s="74" t="s">
        <v>574</v>
      </c>
      <c r="R39" s="74">
        <v>0</v>
      </c>
      <c r="S39" s="424">
        <v>100</v>
      </c>
      <c r="T39" s="74" t="s">
        <v>574</v>
      </c>
      <c r="U39" s="12"/>
      <c r="V39" s="12"/>
      <c r="W39" s="12"/>
      <c r="X39" s="12"/>
      <c r="Y39" s="12"/>
      <c r="Z39" s="12"/>
      <c r="AA39" s="12">
        <v>58</v>
      </c>
      <c r="AB39" s="12">
        <v>5</v>
      </c>
      <c r="AC39" s="12"/>
      <c r="AD39" s="12"/>
      <c r="AE39" s="12"/>
      <c r="AF39" s="752"/>
      <c r="AG39" s="755">
        <v>40</v>
      </c>
      <c r="AH39" s="532">
        <v>5</v>
      </c>
      <c r="AI39" s="12">
        <v>42</v>
      </c>
      <c r="AJ39" s="12">
        <v>5</v>
      </c>
      <c r="AK39" s="12">
        <v>60</v>
      </c>
      <c r="AL39" s="12">
        <v>5</v>
      </c>
      <c r="AM39" s="532">
        <v>62</v>
      </c>
      <c r="AN39" s="756">
        <v>5</v>
      </c>
      <c r="AO39" s="757" t="s">
        <v>4873</v>
      </c>
      <c r="AP39" s="74">
        <v>0</v>
      </c>
      <c r="AQ39" s="74">
        <v>6000</v>
      </c>
      <c r="AR39" s="74">
        <v>0</v>
      </c>
      <c r="AS39" s="74">
        <v>4000</v>
      </c>
      <c r="AT39" s="422" t="s">
        <v>4854</v>
      </c>
      <c r="AU39" s="74" t="s">
        <v>4874</v>
      </c>
      <c r="AV39" s="74" t="s">
        <v>4861</v>
      </c>
      <c r="AW39" s="412" t="s">
        <v>4799</v>
      </c>
      <c r="AX39" s="74"/>
      <c r="AY39" s="74"/>
      <c r="AZ39" s="74"/>
      <c r="BA39" s="697" t="s">
        <v>4875</v>
      </c>
      <c r="BB39" s="744">
        <v>2</v>
      </c>
      <c r="BC39" s="687"/>
      <c r="BD39" s="275"/>
      <c r="BE39" s="105"/>
    </row>
    <row r="40" spans="1:57" s="56" customFormat="1" ht="174.75" hidden="1" customHeight="1">
      <c r="A40" s="298"/>
      <c r="B40" s="298"/>
      <c r="C40" s="298"/>
      <c r="D40" s="318"/>
      <c r="E40" s="5" t="s">
        <v>4876</v>
      </c>
      <c r="F40" s="5" t="s">
        <v>4861</v>
      </c>
      <c r="G40" s="221" t="s">
        <v>538</v>
      </c>
      <c r="H40" s="749" t="s">
        <v>4877</v>
      </c>
      <c r="I40" s="12" t="s">
        <v>4878</v>
      </c>
      <c r="J40" s="751" t="s">
        <v>4725</v>
      </c>
      <c r="K40" s="751" t="s">
        <v>4125</v>
      </c>
      <c r="L40" s="751" t="s">
        <v>4125</v>
      </c>
      <c r="M40" s="751" t="s">
        <v>4125</v>
      </c>
      <c r="N40" s="18" t="s">
        <v>4876</v>
      </c>
      <c r="O40" s="74">
        <v>0</v>
      </c>
      <c r="P40" s="74">
        <v>4000</v>
      </c>
      <c r="Q40" s="13" t="s">
        <v>135</v>
      </c>
      <c r="R40" s="74">
        <v>0</v>
      </c>
      <c r="S40" s="425">
        <v>6000</v>
      </c>
      <c r="T40" s="13" t="s">
        <v>135</v>
      </c>
      <c r="U40" s="12"/>
      <c r="V40" s="12"/>
      <c r="W40" s="12"/>
      <c r="X40" s="12"/>
      <c r="Y40" s="12"/>
      <c r="Z40" s="12"/>
      <c r="AA40" s="12"/>
      <c r="AB40" s="12"/>
      <c r="AC40" s="12"/>
      <c r="AD40" s="12"/>
      <c r="AE40" s="12"/>
      <c r="AF40" s="752"/>
      <c r="AG40" s="758">
        <v>200</v>
      </c>
      <c r="AH40" s="184">
        <v>5</v>
      </c>
      <c r="AI40" s="74" t="s">
        <v>4879</v>
      </c>
      <c r="AJ40" s="184">
        <v>5</v>
      </c>
      <c r="AK40" s="13" t="s">
        <v>4880</v>
      </c>
      <c r="AL40" s="12">
        <v>5</v>
      </c>
      <c r="AM40" s="12"/>
      <c r="AN40" s="613"/>
      <c r="AO40" s="757" t="s">
        <v>4873</v>
      </c>
      <c r="AP40" s="74">
        <v>0</v>
      </c>
      <c r="AQ40" s="411">
        <v>100</v>
      </c>
      <c r="AR40" s="74">
        <v>40</v>
      </c>
      <c r="AS40" s="411">
        <v>100</v>
      </c>
      <c r="AT40" s="412" t="s">
        <v>4796</v>
      </c>
      <c r="AU40" s="74" t="s">
        <v>4881</v>
      </c>
      <c r="AV40" s="74" t="s">
        <v>4882</v>
      </c>
      <c r="AW40" s="412" t="s">
        <v>4742</v>
      </c>
      <c r="AX40" s="74"/>
      <c r="AY40" s="74"/>
      <c r="AZ40" s="74"/>
      <c r="BA40" s="697" t="s">
        <v>4883</v>
      </c>
      <c r="BB40" s="13">
        <v>0</v>
      </c>
      <c r="BC40" s="687"/>
      <c r="BD40" s="275"/>
      <c r="BE40" s="105"/>
    </row>
    <row r="41" spans="1:57" s="56" customFormat="1" ht="174.75" customHeight="1">
      <c r="A41" s="298"/>
      <c r="B41" s="298"/>
      <c r="C41" s="298"/>
      <c r="D41" s="318"/>
      <c r="E41" s="5" t="s">
        <v>4884</v>
      </c>
      <c r="F41" s="5" t="s">
        <v>4664</v>
      </c>
      <c r="G41" s="221" t="s">
        <v>538</v>
      </c>
      <c r="H41" s="749" t="s">
        <v>4885</v>
      </c>
      <c r="I41" s="12" t="s">
        <v>4667</v>
      </c>
      <c r="J41" s="751" t="s">
        <v>4141</v>
      </c>
      <c r="K41" s="751" t="s">
        <v>4125</v>
      </c>
      <c r="L41" s="751" t="s">
        <v>4125</v>
      </c>
      <c r="M41" s="751"/>
      <c r="N41" s="18"/>
      <c r="O41" s="74">
        <v>0</v>
      </c>
      <c r="P41" s="74">
        <v>3000</v>
      </c>
      <c r="Q41" s="13" t="s">
        <v>135</v>
      </c>
      <c r="R41" s="74">
        <v>0</v>
      </c>
      <c r="S41" s="425">
        <v>5000</v>
      </c>
      <c r="T41" s="13" t="s">
        <v>135</v>
      </c>
      <c r="U41" s="12"/>
      <c r="V41" s="12"/>
      <c r="W41" s="12"/>
      <c r="X41" s="12"/>
      <c r="Y41" s="12"/>
      <c r="Z41" s="12"/>
      <c r="AA41" s="12"/>
      <c r="AB41" s="12"/>
      <c r="AC41" s="12"/>
      <c r="AD41" s="12"/>
      <c r="AE41" s="12"/>
      <c r="AF41" s="752"/>
      <c r="AG41" s="612">
        <v>400</v>
      </c>
      <c r="AH41" s="12">
        <v>5</v>
      </c>
      <c r="AI41" s="12">
        <v>700</v>
      </c>
      <c r="AJ41" s="12">
        <v>5</v>
      </c>
      <c r="AK41" s="12"/>
      <c r="AL41" s="12"/>
      <c r="AM41" s="12"/>
      <c r="AN41" s="613"/>
      <c r="AO41" s="757" t="s">
        <v>4873</v>
      </c>
      <c r="AP41" s="74">
        <v>0</v>
      </c>
      <c r="AQ41" s="411">
        <v>100</v>
      </c>
      <c r="AR41" s="74">
        <v>0</v>
      </c>
      <c r="AS41" s="411">
        <v>100</v>
      </c>
      <c r="AT41" s="422" t="s">
        <v>4741</v>
      </c>
      <c r="AU41" s="441" t="s">
        <v>4661</v>
      </c>
      <c r="AV41" s="74" t="s">
        <v>4660</v>
      </c>
      <c r="AW41" s="412" t="s">
        <v>4742</v>
      </c>
      <c r="AX41" s="74"/>
      <c r="AY41" s="74"/>
      <c r="AZ41" s="74"/>
      <c r="BA41" s="697" t="s">
        <v>4886</v>
      </c>
      <c r="BB41" s="13" t="s">
        <v>184</v>
      </c>
      <c r="BC41" s="687"/>
      <c r="BD41" s="275"/>
      <c r="BE41" s="105"/>
    </row>
    <row r="42" spans="1:57" s="56" customFormat="1" ht="174.75" customHeight="1">
      <c r="A42" s="298"/>
      <c r="B42" s="298"/>
      <c r="C42" s="298"/>
      <c r="D42" s="318"/>
      <c r="E42" s="5" t="s">
        <v>4887</v>
      </c>
      <c r="F42" s="5" t="s">
        <v>4668</v>
      </c>
      <c r="G42" s="221" t="s">
        <v>538</v>
      </c>
      <c r="H42" s="749" t="s">
        <v>4888</v>
      </c>
      <c r="I42" s="12" t="s">
        <v>4662</v>
      </c>
      <c r="J42" s="751" t="s">
        <v>4141</v>
      </c>
      <c r="K42" s="751" t="s">
        <v>4125</v>
      </c>
      <c r="L42" s="751" t="s">
        <v>4125</v>
      </c>
      <c r="M42" s="751"/>
      <c r="N42" s="18" t="s">
        <v>4887</v>
      </c>
      <c r="O42" s="74">
        <v>0</v>
      </c>
      <c r="P42" s="74">
        <v>3000</v>
      </c>
      <c r="Q42" s="13" t="s">
        <v>135</v>
      </c>
      <c r="R42" s="74">
        <v>0</v>
      </c>
      <c r="S42" s="425">
        <v>5000</v>
      </c>
      <c r="T42" s="13" t="s">
        <v>135</v>
      </c>
      <c r="U42" s="12"/>
      <c r="V42" s="12"/>
      <c r="W42" s="12"/>
      <c r="X42" s="12"/>
      <c r="Y42" s="12"/>
      <c r="Z42" s="12"/>
      <c r="AA42" s="12"/>
      <c r="AB42" s="12"/>
      <c r="AC42" s="12"/>
      <c r="AD42" s="12"/>
      <c r="AE42" s="12"/>
      <c r="AF42" s="752"/>
      <c r="AG42" s="612">
        <v>400</v>
      </c>
      <c r="AH42" s="12">
        <v>5</v>
      </c>
      <c r="AI42" s="12">
        <v>700</v>
      </c>
      <c r="AJ42" s="12">
        <v>5</v>
      </c>
      <c r="AK42" s="12"/>
      <c r="AL42" s="12"/>
      <c r="AM42" s="12"/>
      <c r="AN42" s="613"/>
      <c r="AO42" s="757" t="s">
        <v>4873</v>
      </c>
      <c r="AP42" s="74">
        <v>0</v>
      </c>
      <c r="AQ42" s="411">
        <v>100</v>
      </c>
      <c r="AR42" s="74">
        <v>0</v>
      </c>
      <c r="AS42" s="411">
        <v>100</v>
      </c>
      <c r="AT42" s="422" t="s">
        <v>4741</v>
      </c>
      <c r="AU42" s="441" t="s">
        <v>4666</v>
      </c>
      <c r="AV42" s="74" t="s">
        <v>4665</v>
      </c>
      <c r="AW42" s="412" t="s">
        <v>4742</v>
      </c>
      <c r="AX42" s="74"/>
      <c r="AY42" s="74"/>
      <c r="AZ42" s="74"/>
      <c r="BA42" s="697" t="s">
        <v>4886</v>
      </c>
      <c r="BB42" s="13" t="s">
        <v>184</v>
      </c>
      <c r="BC42" s="687"/>
      <c r="BD42" s="275"/>
      <c r="BE42" s="105"/>
    </row>
    <row r="43" spans="1:57" s="56" customFormat="1" ht="174.75" hidden="1" customHeight="1">
      <c r="A43" s="298"/>
      <c r="B43" s="298"/>
      <c r="C43" s="298"/>
      <c r="D43" s="318"/>
      <c r="E43" s="5" t="s">
        <v>4889</v>
      </c>
      <c r="F43" s="5" t="s">
        <v>4675</v>
      </c>
      <c r="G43" s="221" t="s">
        <v>566</v>
      </c>
      <c r="H43" s="749" t="s">
        <v>4890</v>
      </c>
      <c r="I43" s="12" t="s">
        <v>4891</v>
      </c>
      <c r="J43" s="751" t="s">
        <v>4141</v>
      </c>
      <c r="K43" s="751" t="s">
        <v>4125</v>
      </c>
      <c r="L43" s="751" t="s">
        <v>4125</v>
      </c>
      <c r="M43" s="751"/>
      <c r="N43" s="18" t="s">
        <v>4889</v>
      </c>
      <c r="O43" s="74">
        <v>30</v>
      </c>
      <c r="P43" s="74">
        <v>90</v>
      </c>
      <c r="Q43" s="74" t="s">
        <v>41</v>
      </c>
      <c r="R43" s="74">
        <v>0</v>
      </c>
      <c r="S43" s="425">
        <v>100</v>
      </c>
      <c r="T43" s="74" t="s">
        <v>41</v>
      </c>
      <c r="U43" s="12"/>
      <c r="V43" s="12"/>
      <c r="W43" s="12"/>
      <c r="X43" s="12"/>
      <c r="Y43" s="12"/>
      <c r="Z43" s="12"/>
      <c r="AA43" s="12"/>
      <c r="AB43" s="12"/>
      <c r="AC43" s="12"/>
      <c r="AD43" s="12"/>
      <c r="AE43" s="12"/>
      <c r="AF43" s="752"/>
      <c r="AG43" s="612"/>
      <c r="AH43" s="12"/>
      <c r="AI43" s="12"/>
      <c r="AJ43" s="12"/>
      <c r="AK43" s="12"/>
      <c r="AL43" s="12"/>
      <c r="AM43" s="12"/>
      <c r="AN43" s="613"/>
      <c r="AO43" s="186"/>
      <c r="AP43" s="74">
        <v>0</v>
      </c>
      <c r="AQ43" s="411">
        <v>100</v>
      </c>
      <c r="AR43" s="74">
        <v>40</v>
      </c>
      <c r="AS43" s="411">
        <v>100</v>
      </c>
      <c r="AT43" s="412" t="s">
        <v>4796</v>
      </c>
      <c r="AU43" s="440" t="s">
        <v>4892</v>
      </c>
      <c r="AV43" s="74" t="s">
        <v>4893</v>
      </c>
      <c r="AW43" s="412" t="s">
        <v>4799</v>
      </c>
      <c r="AX43" s="74"/>
      <c r="AY43" s="74"/>
      <c r="AZ43" s="74"/>
      <c r="BA43" s="697" t="s">
        <v>4894</v>
      </c>
      <c r="BB43" s="13">
        <v>1</v>
      </c>
      <c r="BC43" s="687"/>
      <c r="BD43" s="275"/>
      <c r="BE43" s="105"/>
    </row>
    <row r="44" spans="1:57" s="56" customFormat="1" ht="174.75" hidden="1" customHeight="1">
      <c r="A44" s="298"/>
      <c r="B44" s="298"/>
      <c r="C44" s="298"/>
      <c r="D44" s="318"/>
      <c r="E44" s="5" t="s">
        <v>4889</v>
      </c>
      <c r="F44" s="5" t="s">
        <v>4895</v>
      </c>
      <c r="G44" s="221" t="s">
        <v>566</v>
      </c>
      <c r="H44" s="749" t="s">
        <v>4890</v>
      </c>
      <c r="I44" s="12" t="s">
        <v>4896</v>
      </c>
      <c r="J44" s="751" t="s">
        <v>4141</v>
      </c>
      <c r="K44" s="751" t="s">
        <v>4125</v>
      </c>
      <c r="L44" s="751" t="s">
        <v>4125</v>
      </c>
      <c r="M44" s="751"/>
      <c r="N44" s="18" t="s">
        <v>4889</v>
      </c>
      <c r="O44" s="74">
        <v>30</v>
      </c>
      <c r="P44" s="425">
        <v>90</v>
      </c>
      <c r="Q44" s="74" t="s">
        <v>41</v>
      </c>
      <c r="R44" s="74">
        <v>0</v>
      </c>
      <c r="S44" s="425">
        <v>100</v>
      </c>
      <c r="T44" s="74" t="s">
        <v>41</v>
      </c>
      <c r="U44" s="12"/>
      <c r="V44" s="12"/>
      <c r="W44" s="12"/>
      <c r="X44" s="12">
        <v>40</v>
      </c>
      <c r="Y44" s="12">
        <v>5</v>
      </c>
      <c r="Z44" s="12"/>
      <c r="AA44" s="12"/>
      <c r="AB44" s="12"/>
      <c r="AC44" s="12"/>
      <c r="AD44" s="12"/>
      <c r="AE44" s="12"/>
      <c r="AF44" s="752"/>
      <c r="AG44" s="612">
        <v>20</v>
      </c>
      <c r="AH44" s="12">
        <v>5</v>
      </c>
      <c r="AI44" s="12">
        <v>30</v>
      </c>
      <c r="AJ44" s="12">
        <v>5</v>
      </c>
      <c r="AK44" s="12">
        <v>80</v>
      </c>
      <c r="AL44" s="12">
        <v>5</v>
      </c>
      <c r="AM44" s="12">
        <v>90</v>
      </c>
      <c r="AN44" s="613">
        <v>5</v>
      </c>
      <c r="AO44" s="186"/>
      <c r="AP44" s="74">
        <v>0</v>
      </c>
      <c r="AQ44" s="411">
        <v>100</v>
      </c>
      <c r="AR44" s="74">
        <v>0</v>
      </c>
      <c r="AS44" s="411">
        <v>100</v>
      </c>
      <c r="AT44" s="422" t="s">
        <v>4741</v>
      </c>
      <c r="AU44" s="441" t="s">
        <v>4673</v>
      </c>
      <c r="AV44" s="74" t="s">
        <v>4672</v>
      </c>
      <c r="AW44" s="412" t="s">
        <v>4742</v>
      </c>
      <c r="AX44" s="74"/>
      <c r="AY44" s="74"/>
      <c r="AZ44" s="74"/>
      <c r="BA44" s="697" t="s">
        <v>4897</v>
      </c>
      <c r="BB44" s="13">
        <v>1</v>
      </c>
      <c r="BC44" s="687"/>
      <c r="BD44" s="275"/>
      <c r="BE44" s="105"/>
    </row>
    <row r="45" spans="1:57" s="56" customFormat="1" ht="174.75" hidden="1" customHeight="1">
      <c r="A45" s="298"/>
      <c r="B45" s="298"/>
      <c r="C45" s="298"/>
      <c r="D45" s="318"/>
      <c r="E45" s="5" t="s">
        <v>4898</v>
      </c>
      <c r="F45" s="5" t="s">
        <v>4899</v>
      </c>
      <c r="G45" s="221" t="s">
        <v>566</v>
      </c>
      <c r="H45" s="749" t="s">
        <v>4900</v>
      </c>
      <c r="I45" s="12" t="s">
        <v>4901</v>
      </c>
      <c r="J45" s="751" t="s">
        <v>4141</v>
      </c>
      <c r="K45" s="751" t="s">
        <v>4125</v>
      </c>
      <c r="L45" s="751" t="s">
        <v>4125</v>
      </c>
      <c r="M45" s="751"/>
      <c r="N45" s="18" t="s">
        <v>4898</v>
      </c>
      <c r="O45" s="74">
        <v>30</v>
      </c>
      <c r="P45" s="74">
        <v>90</v>
      </c>
      <c r="Q45" s="74" t="s">
        <v>41</v>
      </c>
      <c r="R45" s="74">
        <v>0</v>
      </c>
      <c r="S45" s="425">
        <v>100</v>
      </c>
      <c r="T45" s="74" t="s">
        <v>41</v>
      </c>
      <c r="U45" s="12"/>
      <c r="V45" s="12"/>
      <c r="W45" s="12"/>
      <c r="X45" s="12">
        <v>40</v>
      </c>
      <c r="Y45" s="12">
        <v>5</v>
      </c>
      <c r="Z45" s="12"/>
      <c r="AA45" s="12"/>
      <c r="AB45" s="12"/>
      <c r="AC45" s="12"/>
      <c r="AD45" s="12"/>
      <c r="AE45" s="12"/>
      <c r="AF45" s="752"/>
      <c r="AG45" s="612">
        <v>20</v>
      </c>
      <c r="AH45" s="12">
        <v>5</v>
      </c>
      <c r="AI45" s="12">
        <v>30</v>
      </c>
      <c r="AJ45" s="12">
        <v>5</v>
      </c>
      <c r="AK45" s="12">
        <v>80</v>
      </c>
      <c r="AL45" s="12">
        <v>5</v>
      </c>
      <c r="AM45" s="12">
        <v>90</v>
      </c>
      <c r="AN45" s="613">
        <v>5</v>
      </c>
      <c r="AO45" s="186"/>
      <c r="AP45" s="74">
        <v>0</v>
      </c>
      <c r="AQ45" s="411">
        <v>100</v>
      </c>
      <c r="AR45" s="74">
        <v>0</v>
      </c>
      <c r="AS45" s="411">
        <v>100</v>
      </c>
      <c r="AT45" s="422" t="s">
        <v>4741</v>
      </c>
      <c r="AU45" s="441" t="s">
        <v>4677</v>
      </c>
      <c r="AV45" s="74" t="s">
        <v>4676</v>
      </c>
      <c r="AW45" s="412" t="s">
        <v>4742</v>
      </c>
      <c r="AX45" s="74"/>
      <c r="AY45" s="74"/>
      <c r="AZ45" s="74"/>
      <c r="BA45" s="697" t="s">
        <v>4902</v>
      </c>
      <c r="BB45" s="13">
        <v>1</v>
      </c>
      <c r="BC45" s="687"/>
      <c r="BD45" s="275"/>
      <c r="BE45" s="105"/>
    </row>
    <row r="46" spans="1:57" s="56" customFormat="1" ht="174.75" hidden="1" customHeight="1">
      <c r="A46" s="298"/>
      <c r="B46" s="298"/>
      <c r="C46" s="298"/>
      <c r="D46" s="318"/>
      <c r="E46" s="5" t="s">
        <v>4898</v>
      </c>
      <c r="F46" s="5" t="s">
        <v>4679</v>
      </c>
      <c r="G46" s="221" t="s">
        <v>566</v>
      </c>
      <c r="H46" s="749" t="s">
        <v>4900</v>
      </c>
      <c r="I46" s="12" t="s">
        <v>4903</v>
      </c>
      <c r="J46" s="751" t="s">
        <v>4141</v>
      </c>
      <c r="K46" s="751" t="s">
        <v>4125</v>
      </c>
      <c r="L46" s="751" t="s">
        <v>4125</v>
      </c>
      <c r="M46" s="751"/>
      <c r="N46" s="18" t="s">
        <v>4898</v>
      </c>
      <c r="O46" s="74">
        <v>30</v>
      </c>
      <c r="P46" s="425">
        <v>90</v>
      </c>
      <c r="Q46" s="74" t="s">
        <v>41</v>
      </c>
      <c r="R46" s="74">
        <v>0</v>
      </c>
      <c r="S46" s="425">
        <v>100</v>
      </c>
      <c r="T46" s="74" t="s">
        <v>41</v>
      </c>
      <c r="U46" s="12"/>
      <c r="V46" s="12"/>
      <c r="W46" s="12"/>
      <c r="X46" s="12"/>
      <c r="Y46" s="12"/>
      <c r="Z46" s="12"/>
      <c r="AA46" s="12"/>
      <c r="AB46" s="12"/>
      <c r="AC46" s="12"/>
      <c r="AD46" s="12"/>
      <c r="AE46" s="12"/>
      <c r="AF46" s="752"/>
      <c r="AG46" s="612"/>
      <c r="AH46" s="12"/>
      <c r="AI46" s="12"/>
      <c r="AJ46" s="12"/>
      <c r="AK46" s="12"/>
      <c r="AL46" s="12"/>
      <c r="AM46" s="12"/>
      <c r="AN46" s="613"/>
      <c r="AO46" s="186"/>
      <c r="AP46" s="74">
        <v>0</v>
      </c>
      <c r="AQ46" s="411">
        <v>100</v>
      </c>
      <c r="AR46" s="74">
        <v>0</v>
      </c>
      <c r="AS46" s="411">
        <v>100</v>
      </c>
      <c r="AT46" s="422" t="s">
        <v>4741</v>
      </c>
      <c r="AU46" s="441" t="s">
        <v>4693</v>
      </c>
      <c r="AV46" s="74" t="s">
        <v>4692</v>
      </c>
      <c r="AW46" s="412" t="s">
        <v>4742</v>
      </c>
      <c r="AX46" s="74"/>
      <c r="AY46" s="74"/>
      <c r="AZ46" s="74"/>
      <c r="BA46" s="697" t="s">
        <v>4894</v>
      </c>
      <c r="BB46" s="13">
        <v>1</v>
      </c>
      <c r="BC46" s="687"/>
      <c r="BD46" s="275"/>
      <c r="BE46" s="105"/>
    </row>
    <row r="47" spans="1:57" s="56" customFormat="1" ht="174.75" hidden="1" customHeight="1">
      <c r="A47" s="298"/>
      <c r="B47" s="298"/>
      <c r="C47" s="298"/>
      <c r="D47" s="318"/>
      <c r="E47" s="5" t="s">
        <v>4904</v>
      </c>
      <c r="F47" s="5" t="s">
        <v>4905</v>
      </c>
      <c r="G47" s="221" t="s">
        <v>566</v>
      </c>
      <c r="H47" s="749" t="s">
        <v>4906</v>
      </c>
      <c r="I47" s="12" t="s">
        <v>4907</v>
      </c>
      <c r="J47" s="751" t="s">
        <v>4141</v>
      </c>
      <c r="K47" s="751" t="s">
        <v>4125</v>
      </c>
      <c r="L47" s="751" t="s">
        <v>4125</v>
      </c>
      <c r="M47" s="751"/>
      <c r="N47" s="18" t="s">
        <v>4904</v>
      </c>
      <c r="O47" s="74">
        <v>0</v>
      </c>
      <c r="P47" s="74">
        <v>2500</v>
      </c>
      <c r="Q47" s="13" t="s">
        <v>135</v>
      </c>
      <c r="R47" s="74">
        <v>0</v>
      </c>
      <c r="S47" s="425">
        <v>2500</v>
      </c>
      <c r="T47" s="13" t="s">
        <v>135</v>
      </c>
      <c r="U47" s="12"/>
      <c r="V47" s="12"/>
      <c r="W47" s="12"/>
      <c r="X47" s="12"/>
      <c r="Y47" s="12"/>
      <c r="Z47" s="12"/>
      <c r="AA47" s="12"/>
      <c r="AB47" s="12"/>
      <c r="AC47" s="12"/>
      <c r="AD47" s="12"/>
      <c r="AE47" s="12"/>
      <c r="AF47" s="752"/>
      <c r="AG47" s="612">
        <v>400</v>
      </c>
      <c r="AH47" s="12">
        <v>5</v>
      </c>
      <c r="AI47" s="12">
        <v>1950</v>
      </c>
      <c r="AJ47" s="12">
        <v>5</v>
      </c>
      <c r="AK47" s="12">
        <v>2050</v>
      </c>
      <c r="AL47" s="12">
        <v>5</v>
      </c>
      <c r="AM47" s="12"/>
      <c r="AN47" s="613"/>
      <c r="AO47" s="186" t="s">
        <v>4908</v>
      </c>
      <c r="AP47" s="74">
        <v>0</v>
      </c>
      <c r="AQ47" s="411">
        <v>100</v>
      </c>
      <c r="AR47" s="74">
        <v>40</v>
      </c>
      <c r="AS47" s="411">
        <v>100</v>
      </c>
      <c r="AT47" s="412" t="s">
        <v>4796</v>
      </c>
      <c r="AU47" s="440" t="s">
        <v>4909</v>
      </c>
      <c r="AV47" s="74" t="s">
        <v>4910</v>
      </c>
      <c r="AW47" s="412" t="s">
        <v>4799</v>
      </c>
      <c r="AX47" s="74"/>
      <c r="AY47" s="74"/>
      <c r="AZ47" s="74"/>
      <c r="BA47" s="697" t="s">
        <v>4911</v>
      </c>
      <c r="BB47" s="13" t="s">
        <v>138</v>
      </c>
      <c r="BC47" s="687"/>
      <c r="BD47" s="275"/>
      <c r="BE47" s="105"/>
    </row>
    <row r="48" spans="1:57" s="56" customFormat="1" ht="174.75" hidden="1" customHeight="1">
      <c r="A48" s="298"/>
      <c r="B48" s="298"/>
      <c r="C48" s="298"/>
      <c r="D48" s="318"/>
      <c r="E48" s="5" t="s">
        <v>4912</v>
      </c>
      <c r="F48" s="5" t="s">
        <v>4691</v>
      </c>
      <c r="G48" s="221" t="s">
        <v>584</v>
      </c>
      <c r="H48" s="749" t="s">
        <v>4913</v>
      </c>
      <c r="I48" s="12" t="s">
        <v>4914</v>
      </c>
      <c r="J48" s="751" t="s">
        <v>4725</v>
      </c>
      <c r="K48" s="751" t="s">
        <v>4125</v>
      </c>
      <c r="L48" s="751" t="s">
        <v>4125</v>
      </c>
      <c r="M48" s="751" t="s">
        <v>4125</v>
      </c>
      <c r="N48" s="18" t="s">
        <v>4912</v>
      </c>
      <c r="O48" s="74">
        <v>0</v>
      </c>
      <c r="P48" s="74">
        <v>500</v>
      </c>
      <c r="Q48" s="13" t="s">
        <v>135</v>
      </c>
      <c r="R48" s="74">
        <v>0</v>
      </c>
      <c r="S48" s="425">
        <v>500</v>
      </c>
      <c r="T48" s="13" t="s">
        <v>135</v>
      </c>
      <c r="U48" s="12"/>
      <c r="V48" s="12"/>
      <c r="W48" s="12"/>
      <c r="X48" s="12"/>
      <c r="Y48" s="12"/>
      <c r="Z48" s="12"/>
      <c r="AA48" s="12"/>
      <c r="AB48" s="12"/>
      <c r="AC48" s="12"/>
      <c r="AD48" s="12"/>
      <c r="AE48" s="12"/>
      <c r="AF48" s="752"/>
      <c r="AG48" s="612">
        <v>5</v>
      </c>
      <c r="AH48" s="12">
        <v>5</v>
      </c>
      <c r="AI48" s="12">
        <v>106</v>
      </c>
      <c r="AJ48" s="12">
        <v>5</v>
      </c>
      <c r="AK48" s="12">
        <v>350</v>
      </c>
      <c r="AL48" s="12">
        <v>5</v>
      </c>
      <c r="AM48" s="12"/>
      <c r="AN48" s="613"/>
      <c r="AO48" s="186" t="s">
        <v>4915</v>
      </c>
      <c r="AP48" s="74">
        <v>0</v>
      </c>
      <c r="AQ48" s="411">
        <v>100</v>
      </c>
      <c r="AR48" s="74">
        <v>0</v>
      </c>
      <c r="AS48" s="411">
        <v>100</v>
      </c>
      <c r="AT48" s="422" t="s">
        <v>4741</v>
      </c>
      <c r="AU48" s="441" t="s">
        <v>4689</v>
      </c>
      <c r="AV48" s="74" t="s">
        <v>4688</v>
      </c>
      <c r="AW48" s="412" t="s">
        <v>4742</v>
      </c>
      <c r="AX48" s="74"/>
      <c r="AY48" s="74"/>
      <c r="AZ48" s="74"/>
      <c r="BA48" s="747" t="s">
        <v>4916</v>
      </c>
      <c r="BB48" s="744">
        <v>2</v>
      </c>
      <c r="BC48" s="687"/>
      <c r="BD48" s="275"/>
      <c r="BE48" s="105"/>
    </row>
    <row r="49" spans="1:62" s="56" customFormat="1" ht="174.75" hidden="1" customHeight="1">
      <c r="A49" s="298"/>
      <c r="B49" s="298"/>
      <c r="C49" s="298"/>
      <c r="D49" s="318"/>
      <c r="E49" s="5" t="s">
        <v>4917</v>
      </c>
      <c r="F49" s="5" t="s">
        <v>4687</v>
      </c>
      <c r="G49" s="221" t="s">
        <v>584</v>
      </c>
      <c r="H49" s="749" t="s">
        <v>4918</v>
      </c>
      <c r="I49" s="12" t="s">
        <v>4919</v>
      </c>
      <c r="J49" s="751" t="s">
        <v>4141</v>
      </c>
      <c r="K49" s="751" t="s">
        <v>4125</v>
      </c>
      <c r="L49" s="751" t="s">
        <v>4125</v>
      </c>
      <c r="M49" s="751"/>
      <c r="N49" s="18" t="s">
        <v>4917</v>
      </c>
      <c r="O49" s="74">
        <v>800</v>
      </c>
      <c r="P49" s="74">
        <v>1600</v>
      </c>
      <c r="Q49" s="12" t="s">
        <v>4920</v>
      </c>
      <c r="R49" s="74">
        <v>0</v>
      </c>
      <c r="S49" s="74">
        <v>2000</v>
      </c>
      <c r="T49" s="12" t="s">
        <v>4920</v>
      </c>
      <c r="U49" s="12"/>
      <c r="V49" s="12"/>
      <c r="W49" s="12"/>
      <c r="X49" s="12"/>
      <c r="Y49" s="12"/>
      <c r="Z49" s="12"/>
      <c r="AA49" s="12"/>
      <c r="AB49" s="12"/>
      <c r="AC49" s="12"/>
      <c r="AD49" s="12"/>
      <c r="AE49" s="12"/>
      <c r="AF49" s="752"/>
      <c r="AG49" s="612">
        <v>200</v>
      </c>
      <c r="AH49" s="12">
        <v>5</v>
      </c>
      <c r="AI49" s="74" t="s">
        <v>4921</v>
      </c>
      <c r="AJ49" s="12">
        <v>5</v>
      </c>
      <c r="AK49" s="74" t="s">
        <v>4921</v>
      </c>
      <c r="AL49" s="12">
        <v>5</v>
      </c>
      <c r="AM49" s="12"/>
      <c r="AN49" s="613"/>
      <c r="AO49" s="186" t="s">
        <v>4915</v>
      </c>
      <c r="AP49" s="74">
        <v>0</v>
      </c>
      <c r="AQ49" s="411">
        <v>100</v>
      </c>
      <c r="AR49" s="74">
        <v>0</v>
      </c>
      <c r="AS49" s="411">
        <v>100</v>
      </c>
      <c r="AT49" s="422" t="s">
        <v>4741</v>
      </c>
      <c r="AU49" s="441" t="s">
        <v>4685</v>
      </c>
      <c r="AV49" s="74" t="s">
        <v>4684</v>
      </c>
      <c r="AW49" s="412" t="s">
        <v>4742</v>
      </c>
      <c r="AX49" s="74"/>
      <c r="AY49" s="74"/>
      <c r="AZ49" s="74"/>
      <c r="BA49" s="697" t="s">
        <v>4922</v>
      </c>
      <c r="BB49" s="13" t="s">
        <v>138</v>
      </c>
      <c r="BC49" s="687"/>
      <c r="BD49" s="275"/>
      <c r="BE49" s="105"/>
    </row>
    <row r="50" spans="1:62" s="56" customFormat="1" ht="189.6" hidden="1" customHeight="1">
      <c r="A50" s="298"/>
      <c r="B50" s="298"/>
      <c r="C50" s="298"/>
      <c r="D50" s="318"/>
      <c r="E50" s="5" t="s">
        <v>785</v>
      </c>
      <c r="F50" s="5" t="s">
        <v>4683</v>
      </c>
      <c r="G50" s="221" t="s">
        <v>584</v>
      </c>
      <c r="H50" s="749" t="s">
        <v>776</v>
      </c>
      <c r="I50" s="12" t="s">
        <v>4923</v>
      </c>
      <c r="J50" s="751" t="s">
        <v>4141</v>
      </c>
      <c r="K50" s="751" t="s">
        <v>4125</v>
      </c>
      <c r="L50" s="751" t="s">
        <v>4125</v>
      </c>
      <c r="M50" s="751"/>
      <c r="N50" s="18" t="s">
        <v>785</v>
      </c>
      <c r="O50" s="74">
        <v>0</v>
      </c>
      <c r="P50" s="74">
        <v>680</v>
      </c>
      <c r="Q50" s="184" t="s">
        <v>778</v>
      </c>
      <c r="R50" s="74">
        <v>0</v>
      </c>
      <c r="S50" s="74">
        <v>1900</v>
      </c>
      <c r="T50" s="184" t="s">
        <v>778</v>
      </c>
      <c r="U50" s="12"/>
      <c r="V50" s="12"/>
      <c r="W50" s="12"/>
      <c r="X50" s="12"/>
      <c r="Y50" s="12"/>
      <c r="Z50" s="12"/>
      <c r="AA50" s="12">
        <v>1000</v>
      </c>
      <c r="AB50" s="12">
        <v>5</v>
      </c>
      <c r="AC50" s="12"/>
      <c r="AD50" s="12"/>
      <c r="AE50" s="12"/>
      <c r="AF50" s="752"/>
      <c r="AG50" s="612"/>
      <c r="AH50" s="12"/>
      <c r="AI50" s="74" t="s">
        <v>4921</v>
      </c>
      <c r="AJ50" s="184">
        <v>5</v>
      </c>
      <c r="AK50" s="74" t="s">
        <v>4921</v>
      </c>
      <c r="AL50" s="184">
        <v>5</v>
      </c>
      <c r="AM50" s="12">
        <v>700</v>
      </c>
      <c r="AN50" s="613">
        <v>5</v>
      </c>
      <c r="AO50" s="186"/>
      <c r="AP50" s="74">
        <v>0</v>
      </c>
      <c r="AQ50" s="411">
        <v>100</v>
      </c>
      <c r="AR50" s="74">
        <v>0</v>
      </c>
      <c r="AS50" s="411">
        <v>100</v>
      </c>
      <c r="AT50" s="422" t="s">
        <v>4741</v>
      </c>
      <c r="AU50" s="441" t="s">
        <v>4681</v>
      </c>
      <c r="AV50" s="74" t="s">
        <v>4680</v>
      </c>
      <c r="AW50" s="412" t="s">
        <v>4742</v>
      </c>
      <c r="AX50" s="74"/>
      <c r="AY50" s="74"/>
      <c r="AZ50" s="74"/>
      <c r="BA50" s="8" t="s">
        <v>4924</v>
      </c>
      <c r="BB50" s="13">
        <v>1</v>
      </c>
      <c r="BC50" s="687"/>
      <c r="BD50" s="275"/>
      <c r="BE50" s="105"/>
    </row>
    <row r="51" spans="1:62" s="56" customFormat="1" ht="174.75" hidden="1" customHeight="1">
      <c r="A51" s="298"/>
      <c r="B51" s="298"/>
      <c r="C51" s="298"/>
      <c r="D51" s="318"/>
      <c r="E51" s="5" t="s">
        <v>4925</v>
      </c>
      <c r="F51" s="5" t="s">
        <v>4698</v>
      </c>
      <c r="G51" s="5" t="s">
        <v>596</v>
      </c>
      <c r="H51" s="718" t="s">
        <v>4926</v>
      </c>
      <c r="I51" s="13" t="s">
        <v>4927</v>
      </c>
      <c r="J51" s="750" t="s">
        <v>4141</v>
      </c>
      <c r="K51" s="750" t="s">
        <v>4125</v>
      </c>
      <c r="L51" s="750" t="s">
        <v>4125</v>
      </c>
      <c r="M51" s="750"/>
      <c r="N51" s="5" t="s">
        <v>4925</v>
      </c>
      <c r="O51" s="13">
        <v>30</v>
      </c>
      <c r="P51" s="13">
        <v>90</v>
      </c>
      <c r="Q51" s="13" t="s">
        <v>41</v>
      </c>
      <c r="R51" s="13">
        <v>0</v>
      </c>
      <c r="S51" s="699">
        <v>100</v>
      </c>
      <c r="T51" s="13" t="s">
        <v>41</v>
      </c>
      <c r="U51" s="12"/>
      <c r="V51" s="12"/>
      <c r="W51" s="12"/>
      <c r="X51" s="12">
        <v>40</v>
      </c>
      <c r="Y51" s="12">
        <v>5</v>
      </c>
      <c r="Z51" s="12"/>
      <c r="AA51" s="12"/>
      <c r="AB51" s="12"/>
      <c r="AC51" s="12"/>
      <c r="AD51" s="12"/>
      <c r="AE51" s="12"/>
      <c r="AF51" s="752"/>
      <c r="AG51" s="612">
        <v>20</v>
      </c>
      <c r="AH51" s="12">
        <v>5</v>
      </c>
      <c r="AI51" s="12">
        <v>30</v>
      </c>
      <c r="AJ51" s="12">
        <v>5</v>
      </c>
      <c r="AK51" s="12">
        <v>80</v>
      </c>
      <c r="AL51" s="12">
        <v>5</v>
      </c>
      <c r="AM51" s="12">
        <v>90</v>
      </c>
      <c r="AN51" s="613">
        <v>5</v>
      </c>
      <c r="AO51" s="186"/>
      <c r="AP51" s="13">
        <v>0</v>
      </c>
      <c r="AQ51" s="754">
        <v>100</v>
      </c>
      <c r="AR51" s="13">
        <v>0</v>
      </c>
      <c r="AS51" s="754">
        <v>100</v>
      </c>
      <c r="AT51" s="422" t="s">
        <v>4741</v>
      </c>
      <c r="AU51" s="438" t="s">
        <v>4696</v>
      </c>
      <c r="AV51" s="13" t="s">
        <v>4695</v>
      </c>
      <c r="AW51" s="422" t="s">
        <v>4742</v>
      </c>
      <c r="AX51" s="13"/>
      <c r="AY51" s="13"/>
      <c r="AZ51" s="13"/>
      <c r="BA51" s="8" t="s">
        <v>4928</v>
      </c>
      <c r="BB51" s="13">
        <v>1</v>
      </c>
      <c r="BC51" s="687"/>
      <c r="BD51" s="275"/>
      <c r="BE51" s="105"/>
    </row>
    <row r="52" spans="1:62" s="56" customFormat="1" ht="174.75" hidden="1" customHeight="1">
      <c r="A52" s="298"/>
      <c r="B52" s="298"/>
      <c r="C52" s="298"/>
      <c r="D52" s="318"/>
      <c r="E52" s="5" t="s">
        <v>4925</v>
      </c>
      <c r="F52" s="5" t="s">
        <v>4718</v>
      </c>
      <c r="G52" s="5" t="s">
        <v>596</v>
      </c>
      <c r="H52" s="718" t="s">
        <v>4926</v>
      </c>
      <c r="I52" s="12" t="s">
        <v>4929</v>
      </c>
      <c r="J52" s="750" t="s">
        <v>4141</v>
      </c>
      <c r="K52" s="750" t="s">
        <v>4125</v>
      </c>
      <c r="L52" s="750" t="s">
        <v>4125</v>
      </c>
      <c r="M52" s="750"/>
      <c r="N52" s="5" t="s">
        <v>4925</v>
      </c>
      <c r="O52" s="13">
        <v>30</v>
      </c>
      <c r="P52" s="699">
        <v>90</v>
      </c>
      <c r="Q52" s="13" t="s">
        <v>41</v>
      </c>
      <c r="R52" s="13">
        <v>0</v>
      </c>
      <c r="S52" s="699">
        <v>100</v>
      </c>
      <c r="T52" s="13" t="s">
        <v>41</v>
      </c>
      <c r="U52" s="12"/>
      <c r="V52" s="12"/>
      <c r="W52" s="12"/>
      <c r="X52" s="12"/>
      <c r="Y52" s="12"/>
      <c r="Z52" s="12"/>
      <c r="AA52" s="12"/>
      <c r="AB52" s="12"/>
      <c r="AC52" s="12"/>
      <c r="AD52" s="12"/>
      <c r="AE52" s="12"/>
      <c r="AF52" s="752"/>
      <c r="AG52" s="612"/>
      <c r="AH52" s="12"/>
      <c r="AI52" s="12"/>
      <c r="AJ52" s="12"/>
      <c r="AK52" s="12"/>
      <c r="AL52" s="12"/>
      <c r="AM52" s="12"/>
      <c r="AN52" s="613"/>
      <c r="AO52" s="186"/>
      <c r="AP52" s="13">
        <v>0</v>
      </c>
      <c r="AQ52" s="754">
        <v>100</v>
      </c>
      <c r="AR52" s="13">
        <v>0</v>
      </c>
      <c r="AS52" s="754">
        <v>100</v>
      </c>
      <c r="AT52" s="422" t="s">
        <v>4741</v>
      </c>
      <c r="AU52" s="438" t="s">
        <v>4930</v>
      </c>
      <c r="AV52" s="13" t="s">
        <v>4715</v>
      </c>
      <c r="AW52" s="422" t="s">
        <v>4742</v>
      </c>
      <c r="AX52" s="13"/>
      <c r="AY52" s="13"/>
      <c r="AZ52" s="13"/>
      <c r="BA52" s="8" t="s">
        <v>4931</v>
      </c>
      <c r="BB52" s="13">
        <v>1</v>
      </c>
      <c r="BC52" s="687"/>
      <c r="BD52" s="275"/>
      <c r="BE52" s="105"/>
    </row>
    <row r="53" spans="1:62" s="56" customFormat="1" ht="198" hidden="1" customHeight="1">
      <c r="A53" s="298"/>
      <c r="B53" s="298"/>
      <c r="C53" s="298"/>
      <c r="D53" s="318"/>
      <c r="E53" s="5" t="s">
        <v>4932</v>
      </c>
      <c r="F53" s="5" t="s">
        <v>4933</v>
      </c>
      <c r="G53" s="221" t="s">
        <v>596</v>
      </c>
      <c r="H53" s="749" t="s">
        <v>4934</v>
      </c>
      <c r="I53" s="12" t="s">
        <v>4935</v>
      </c>
      <c r="J53" s="751" t="s">
        <v>4141</v>
      </c>
      <c r="K53" s="751" t="s">
        <v>4125</v>
      </c>
      <c r="L53" s="751" t="s">
        <v>4125</v>
      </c>
      <c r="M53" s="751"/>
      <c r="N53" s="18" t="s">
        <v>4932</v>
      </c>
      <c r="O53" s="74">
        <v>0</v>
      </c>
      <c r="P53" s="74">
        <v>2200</v>
      </c>
      <c r="Q53" s="13" t="s">
        <v>135</v>
      </c>
      <c r="R53" s="74">
        <v>0</v>
      </c>
      <c r="S53" s="425">
        <v>2500</v>
      </c>
      <c r="T53" s="13" t="s">
        <v>135</v>
      </c>
      <c r="U53" s="12"/>
      <c r="V53" s="12"/>
      <c r="W53" s="12"/>
      <c r="X53" s="12"/>
      <c r="Y53" s="12"/>
      <c r="Z53" s="12"/>
      <c r="AA53" s="12"/>
      <c r="AB53" s="12"/>
      <c r="AC53" s="12"/>
      <c r="AD53" s="12"/>
      <c r="AE53" s="12"/>
      <c r="AF53" s="752"/>
      <c r="AG53" s="612">
        <v>400</v>
      </c>
      <c r="AH53" s="12">
        <v>5</v>
      </c>
      <c r="AI53" s="12">
        <v>1990</v>
      </c>
      <c r="AJ53" s="12">
        <v>5</v>
      </c>
      <c r="AK53" s="12">
        <v>2050</v>
      </c>
      <c r="AL53" s="12">
        <v>5</v>
      </c>
      <c r="AM53" s="12"/>
      <c r="AN53" s="613"/>
      <c r="AO53" s="186"/>
      <c r="AP53" s="74">
        <v>0</v>
      </c>
      <c r="AQ53" s="411">
        <v>100</v>
      </c>
      <c r="AR53" s="74">
        <v>40</v>
      </c>
      <c r="AS53" s="411">
        <v>100</v>
      </c>
      <c r="AT53" s="412" t="s">
        <v>4796</v>
      </c>
      <c r="AU53" s="440" t="s">
        <v>4936</v>
      </c>
      <c r="AV53" s="74" t="s">
        <v>4937</v>
      </c>
      <c r="AW53" s="412" t="s">
        <v>4742</v>
      </c>
      <c r="AX53" s="74"/>
      <c r="AY53" s="74"/>
      <c r="AZ53" s="74"/>
      <c r="BA53" s="697" t="s">
        <v>4938</v>
      </c>
      <c r="BB53" s="13" t="s">
        <v>138</v>
      </c>
      <c r="BC53" s="687"/>
      <c r="BD53" s="275"/>
      <c r="BE53" s="105"/>
    </row>
    <row r="54" spans="1:62" s="56" customFormat="1" ht="174.75" hidden="1" customHeight="1">
      <c r="A54" s="298"/>
      <c r="B54" s="298"/>
      <c r="C54" s="298"/>
      <c r="D54" s="318"/>
      <c r="E54" s="5" t="s">
        <v>4939</v>
      </c>
      <c r="F54" s="5" t="s">
        <v>4940</v>
      </c>
      <c r="G54" s="221" t="s">
        <v>596</v>
      </c>
      <c r="H54" s="749" t="s">
        <v>4941</v>
      </c>
      <c r="I54" s="12" t="s">
        <v>4942</v>
      </c>
      <c r="J54" s="751" t="s">
        <v>4141</v>
      </c>
      <c r="K54" s="751" t="s">
        <v>4125</v>
      </c>
      <c r="L54" s="751" t="s">
        <v>4125</v>
      </c>
      <c r="M54" s="751"/>
      <c r="N54" s="18" t="s">
        <v>4939</v>
      </c>
      <c r="O54" s="74">
        <v>30</v>
      </c>
      <c r="P54" s="74">
        <v>90</v>
      </c>
      <c r="Q54" s="74" t="s">
        <v>41</v>
      </c>
      <c r="R54" s="74">
        <v>0</v>
      </c>
      <c r="S54" s="425">
        <v>100</v>
      </c>
      <c r="T54" s="74" t="s">
        <v>41</v>
      </c>
      <c r="U54" s="12"/>
      <c r="V54" s="12"/>
      <c r="W54" s="12"/>
      <c r="X54" s="12"/>
      <c r="Y54" s="12"/>
      <c r="Z54" s="12"/>
      <c r="AA54" s="12"/>
      <c r="AB54" s="12"/>
      <c r="AC54" s="12"/>
      <c r="AD54" s="12"/>
      <c r="AE54" s="12"/>
      <c r="AF54" s="752"/>
      <c r="AG54" s="612"/>
      <c r="AH54" s="12"/>
      <c r="AI54" s="12"/>
      <c r="AJ54" s="12"/>
      <c r="AK54" s="12"/>
      <c r="AL54" s="12"/>
      <c r="AM54" s="12"/>
      <c r="AN54" s="613"/>
      <c r="AO54" s="186"/>
      <c r="AP54" s="74">
        <v>0</v>
      </c>
      <c r="AQ54" s="411">
        <v>100</v>
      </c>
      <c r="AR54" s="74">
        <v>40</v>
      </c>
      <c r="AS54" s="411">
        <v>100</v>
      </c>
      <c r="AT54" s="412" t="s">
        <v>4796</v>
      </c>
      <c r="AU54" s="440" t="s">
        <v>4943</v>
      </c>
      <c r="AV54" s="74" t="s">
        <v>4944</v>
      </c>
      <c r="AW54" s="412" t="s">
        <v>4799</v>
      </c>
      <c r="AX54" s="74"/>
      <c r="AY54" s="74"/>
      <c r="AZ54" s="74"/>
      <c r="BA54" s="697" t="s">
        <v>4931</v>
      </c>
      <c r="BB54" s="13">
        <v>1</v>
      </c>
      <c r="BC54" s="687"/>
      <c r="BD54" s="275"/>
      <c r="BE54" s="105"/>
    </row>
    <row r="55" spans="1:62" s="56" customFormat="1" ht="174.75" hidden="1" customHeight="1">
      <c r="A55" s="298"/>
      <c r="B55" s="298"/>
      <c r="C55" s="298"/>
      <c r="D55" s="318"/>
      <c r="E55" s="5" t="s">
        <v>4939</v>
      </c>
      <c r="F55" s="5" t="s">
        <v>4702</v>
      </c>
      <c r="G55" s="221" t="s">
        <v>596</v>
      </c>
      <c r="H55" s="749" t="s">
        <v>4941</v>
      </c>
      <c r="I55" s="12" t="s">
        <v>4945</v>
      </c>
      <c r="J55" s="751" t="s">
        <v>4141</v>
      </c>
      <c r="K55" s="751" t="s">
        <v>4125</v>
      </c>
      <c r="L55" s="751" t="s">
        <v>4125</v>
      </c>
      <c r="M55" s="751"/>
      <c r="N55" s="18" t="s">
        <v>4939</v>
      </c>
      <c r="O55" s="74">
        <v>30</v>
      </c>
      <c r="P55" s="425">
        <v>90</v>
      </c>
      <c r="Q55" s="74" t="s">
        <v>41</v>
      </c>
      <c r="R55" s="74">
        <v>0</v>
      </c>
      <c r="S55" s="425">
        <v>100</v>
      </c>
      <c r="T55" s="74" t="s">
        <v>41</v>
      </c>
      <c r="U55" s="12"/>
      <c r="V55" s="12"/>
      <c r="W55" s="12"/>
      <c r="X55" s="12">
        <v>40</v>
      </c>
      <c r="Y55" s="12">
        <v>5</v>
      </c>
      <c r="Z55" s="12"/>
      <c r="AA55" s="12"/>
      <c r="AB55" s="12"/>
      <c r="AC55" s="12"/>
      <c r="AD55" s="12"/>
      <c r="AE55" s="12"/>
      <c r="AF55" s="752"/>
      <c r="AG55" s="612">
        <v>20</v>
      </c>
      <c r="AH55" s="12">
        <v>5</v>
      </c>
      <c r="AI55" s="12">
        <v>30</v>
      </c>
      <c r="AJ55" s="12">
        <v>5</v>
      </c>
      <c r="AK55" s="12">
        <v>80</v>
      </c>
      <c r="AL55" s="12">
        <v>5</v>
      </c>
      <c r="AM55" s="12">
        <v>90</v>
      </c>
      <c r="AN55" s="613">
        <v>5</v>
      </c>
      <c r="AO55" s="186"/>
      <c r="AP55" s="74">
        <v>0</v>
      </c>
      <c r="AQ55" s="411">
        <v>100</v>
      </c>
      <c r="AR55" s="74">
        <v>0</v>
      </c>
      <c r="AS55" s="411">
        <v>100</v>
      </c>
      <c r="AT55" s="422" t="s">
        <v>4741</v>
      </c>
      <c r="AU55" s="441" t="s">
        <v>4700</v>
      </c>
      <c r="AV55" s="74" t="s">
        <v>4699</v>
      </c>
      <c r="AW55" s="412" t="s">
        <v>4742</v>
      </c>
      <c r="AX55" s="74"/>
      <c r="AY55" s="74"/>
      <c r="AZ55" s="74"/>
      <c r="BA55" s="697" t="s">
        <v>4946</v>
      </c>
      <c r="BB55" s="13">
        <v>1</v>
      </c>
      <c r="BC55" s="687"/>
      <c r="BD55" s="275"/>
      <c r="BE55" s="105"/>
    </row>
    <row r="56" spans="1:62" s="56" customFormat="1" ht="174.75" hidden="1" customHeight="1">
      <c r="A56" s="298"/>
      <c r="B56" s="298"/>
      <c r="C56" s="298"/>
      <c r="D56" s="318"/>
      <c r="E56" s="5" t="s">
        <v>4947</v>
      </c>
      <c r="F56" s="5" t="s">
        <v>4714</v>
      </c>
      <c r="G56" s="221" t="s">
        <v>613</v>
      </c>
      <c r="H56" s="749" t="s">
        <v>4948</v>
      </c>
      <c r="I56" s="12" t="s">
        <v>4949</v>
      </c>
      <c r="J56" s="751" t="s">
        <v>4725</v>
      </c>
      <c r="K56" s="751" t="s">
        <v>4125</v>
      </c>
      <c r="L56" s="751" t="s">
        <v>4125</v>
      </c>
      <c r="M56" s="751" t="s">
        <v>4125</v>
      </c>
      <c r="N56" s="18" t="s">
        <v>4947</v>
      </c>
      <c r="O56" s="74">
        <v>0</v>
      </c>
      <c r="P56" s="74">
        <v>200</v>
      </c>
      <c r="Q56" s="13" t="s">
        <v>135</v>
      </c>
      <c r="R56" s="74">
        <v>0</v>
      </c>
      <c r="S56" s="425">
        <v>200</v>
      </c>
      <c r="T56" s="13" t="s">
        <v>135</v>
      </c>
      <c r="U56" s="12"/>
      <c r="V56" s="12"/>
      <c r="W56" s="12"/>
      <c r="X56" s="12"/>
      <c r="Y56" s="12"/>
      <c r="Z56" s="12"/>
      <c r="AA56" s="12"/>
      <c r="AB56" s="12"/>
      <c r="AC56" s="12"/>
      <c r="AD56" s="12"/>
      <c r="AE56" s="12"/>
      <c r="AF56" s="752"/>
      <c r="AG56" s="612">
        <v>5</v>
      </c>
      <c r="AH56" s="12">
        <v>5</v>
      </c>
      <c r="AI56" s="12">
        <v>19</v>
      </c>
      <c r="AJ56" s="12">
        <v>5</v>
      </c>
      <c r="AK56" s="12">
        <v>64</v>
      </c>
      <c r="AL56" s="12">
        <v>5</v>
      </c>
      <c r="AM56" s="12"/>
      <c r="AN56" s="613"/>
      <c r="AO56" s="186" t="s">
        <v>4950</v>
      </c>
      <c r="AP56" s="74">
        <v>0</v>
      </c>
      <c r="AQ56" s="411">
        <v>100</v>
      </c>
      <c r="AR56" s="74">
        <v>0</v>
      </c>
      <c r="AS56" s="411">
        <v>100</v>
      </c>
      <c r="AT56" s="422" t="s">
        <v>4741</v>
      </c>
      <c r="AU56" s="441" t="s">
        <v>4712</v>
      </c>
      <c r="AV56" s="74" t="s">
        <v>4711</v>
      </c>
      <c r="AW56" s="412" t="s">
        <v>4742</v>
      </c>
      <c r="AX56" s="74"/>
      <c r="AY56" s="74"/>
      <c r="AZ56" s="74"/>
      <c r="BA56" s="747" t="s">
        <v>4951</v>
      </c>
      <c r="BB56" s="744">
        <v>2</v>
      </c>
      <c r="BC56" s="687"/>
      <c r="BD56" s="275"/>
      <c r="BE56" s="105"/>
    </row>
    <row r="57" spans="1:62" s="56" customFormat="1" ht="174.75" hidden="1" customHeight="1">
      <c r="A57" s="298"/>
      <c r="B57" s="298"/>
      <c r="C57" s="298"/>
      <c r="D57" s="318"/>
      <c r="E57" s="5" t="s">
        <v>4952</v>
      </c>
      <c r="F57" s="5" t="s">
        <v>4710</v>
      </c>
      <c r="G57" s="221" t="s">
        <v>613</v>
      </c>
      <c r="H57" s="749" t="s">
        <v>4953</v>
      </c>
      <c r="I57" s="12" t="s">
        <v>4954</v>
      </c>
      <c r="J57" s="751" t="s">
        <v>4141</v>
      </c>
      <c r="K57" s="751" t="s">
        <v>4125</v>
      </c>
      <c r="L57" s="751" t="s">
        <v>4125</v>
      </c>
      <c r="M57" s="751"/>
      <c r="N57" s="18" t="s">
        <v>4952</v>
      </c>
      <c r="O57" s="74">
        <v>800</v>
      </c>
      <c r="P57" s="74">
        <v>1650</v>
      </c>
      <c r="Q57" s="12" t="s">
        <v>4920</v>
      </c>
      <c r="R57" s="74">
        <v>0</v>
      </c>
      <c r="S57" s="74">
        <v>2000</v>
      </c>
      <c r="T57" s="12" t="s">
        <v>4920</v>
      </c>
      <c r="U57" s="12"/>
      <c r="V57" s="12"/>
      <c r="W57" s="12"/>
      <c r="X57" s="12"/>
      <c r="Y57" s="12"/>
      <c r="Z57" s="12"/>
      <c r="AA57" s="12"/>
      <c r="AB57" s="12"/>
      <c r="AC57" s="12"/>
      <c r="AD57" s="12"/>
      <c r="AE57" s="12"/>
      <c r="AF57" s="752"/>
      <c r="AG57" s="612">
        <v>200</v>
      </c>
      <c r="AH57" s="12">
        <v>5</v>
      </c>
      <c r="AI57" s="74" t="s">
        <v>4921</v>
      </c>
      <c r="AJ57" s="184">
        <v>5</v>
      </c>
      <c r="AK57" s="74" t="s">
        <v>4921</v>
      </c>
      <c r="AL57" s="12">
        <v>5</v>
      </c>
      <c r="AM57" s="12"/>
      <c r="AN57" s="613"/>
      <c r="AO57" s="186" t="s">
        <v>4955</v>
      </c>
      <c r="AP57" s="74">
        <v>0</v>
      </c>
      <c r="AQ57" s="411">
        <v>100</v>
      </c>
      <c r="AR57" s="74">
        <v>0</v>
      </c>
      <c r="AS57" s="411">
        <v>100</v>
      </c>
      <c r="AT57" s="422" t="s">
        <v>4741</v>
      </c>
      <c r="AU57" s="441" t="s">
        <v>4708</v>
      </c>
      <c r="AV57" s="74" t="s">
        <v>4707</v>
      </c>
      <c r="AW57" s="412" t="s">
        <v>4742</v>
      </c>
      <c r="AX57" s="74"/>
      <c r="AY57" s="74"/>
      <c r="AZ57" s="74"/>
      <c r="BA57" s="697" t="s">
        <v>4956</v>
      </c>
      <c r="BB57" s="13" t="s">
        <v>138</v>
      </c>
      <c r="BC57" s="687"/>
      <c r="BD57" s="275"/>
      <c r="BE57" s="105"/>
    </row>
    <row r="58" spans="1:62" s="56" customFormat="1" ht="237" hidden="1" customHeight="1">
      <c r="A58" s="534"/>
      <c r="B58" s="534"/>
      <c r="C58" s="534"/>
      <c r="D58" s="675"/>
      <c r="E58" s="5" t="s">
        <v>801</v>
      </c>
      <c r="F58" s="5" t="s">
        <v>4706</v>
      </c>
      <c r="G58" s="5" t="s">
        <v>613</v>
      </c>
      <c r="H58" s="718" t="s">
        <v>776</v>
      </c>
      <c r="I58" s="12" t="s">
        <v>4957</v>
      </c>
      <c r="J58" s="751" t="s">
        <v>4141</v>
      </c>
      <c r="K58" s="751" t="s">
        <v>4125</v>
      </c>
      <c r="L58" s="751" t="s">
        <v>4125</v>
      </c>
      <c r="M58" s="751"/>
      <c r="N58" s="18" t="s">
        <v>801</v>
      </c>
      <c r="O58" s="74">
        <v>0</v>
      </c>
      <c r="P58" s="74">
        <v>680</v>
      </c>
      <c r="Q58" s="184" t="s">
        <v>778</v>
      </c>
      <c r="R58" s="74">
        <v>0</v>
      </c>
      <c r="S58" s="74">
        <v>1900</v>
      </c>
      <c r="T58" s="184" t="s">
        <v>778</v>
      </c>
      <c r="U58" s="12"/>
      <c r="V58" s="12"/>
      <c r="W58" s="12"/>
      <c r="X58" s="12"/>
      <c r="Y58" s="12"/>
      <c r="Z58" s="12"/>
      <c r="AA58" s="12">
        <v>1000</v>
      </c>
      <c r="AB58" s="12">
        <v>5</v>
      </c>
      <c r="AC58" s="12"/>
      <c r="AD58" s="12"/>
      <c r="AE58" s="12"/>
      <c r="AF58" s="752"/>
      <c r="AG58" s="612"/>
      <c r="AH58" s="12"/>
      <c r="AI58" s="74">
        <v>200</v>
      </c>
      <c r="AJ58" s="184">
        <v>5</v>
      </c>
      <c r="AK58" s="74">
        <v>600</v>
      </c>
      <c r="AL58" s="184">
        <v>5</v>
      </c>
      <c r="AM58" s="12">
        <v>700</v>
      </c>
      <c r="AN58" s="613">
        <v>5</v>
      </c>
      <c r="AO58" s="186"/>
      <c r="AP58" s="74">
        <v>0</v>
      </c>
      <c r="AQ58" s="411">
        <v>100</v>
      </c>
      <c r="AR58" s="74">
        <v>0</v>
      </c>
      <c r="AS58" s="411">
        <v>100</v>
      </c>
      <c r="AT58" s="422" t="s">
        <v>4741</v>
      </c>
      <c r="AU58" s="441" t="s">
        <v>4704</v>
      </c>
      <c r="AV58" s="74" t="s">
        <v>4703</v>
      </c>
      <c r="AW58" s="412" t="s">
        <v>4742</v>
      </c>
      <c r="AX58" s="74"/>
      <c r="AY58" s="74"/>
      <c r="AZ58" s="74"/>
      <c r="BA58" s="8" t="s">
        <v>4958</v>
      </c>
      <c r="BB58" s="13">
        <v>1</v>
      </c>
      <c r="BC58" s="687"/>
      <c r="BD58" s="275"/>
      <c r="BE58" s="105"/>
    </row>
    <row r="59" spans="1:62" s="1" customFormat="1" ht="30" hidden="1" customHeight="1">
      <c r="A59" s="209"/>
      <c r="B59" s="209"/>
      <c r="C59" s="209"/>
      <c r="D59" s="209"/>
      <c r="E59" s="759" t="s">
        <v>2074</v>
      </c>
      <c r="F59" s="5"/>
      <c r="G59" s="5"/>
      <c r="H59" s="6"/>
      <c r="I59" s="6"/>
      <c r="J59" s="196"/>
      <c r="K59" s="197"/>
      <c r="L59" s="197"/>
      <c r="M59" s="197"/>
      <c r="N59" s="198"/>
      <c r="O59" s="197"/>
      <c r="P59" s="197"/>
      <c r="Q59" s="197"/>
      <c r="R59" s="197"/>
      <c r="S59" s="198"/>
      <c r="T59" s="196"/>
      <c r="U59" s="12"/>
      <c r="V59" s="12"/>
      <c r="W59" s="12"/>
      <c r="X59" s="12"/>
      <c r="Y59" s="12"/>
      <c r="Z59" s="12"/>
      <c r="AA59" s="12"/>
      <c r="AB59" s="12"/>
      <c r="AC59" s="12"/>
      <c r="AD59" s="12"/>
      <c r="AE59" s="12"/>
      <c r="AF59" s="12"/>
      <c r="AG59" s="12"/>
      <c r="AH59" s="12"/>
      <c r="AI59" s="12"/>
      <c r="AJ59" s="12"/>
      <c r="AK59" s="12"/>
      <c r="AL59" s="12"/>
      <c r="AM59" s="12"/>
      <c r="AN59" s="12"/>
      <c r="AO59" s="12"/>
      <c r="AP59" s="197"/>
      <c r="AQ59" s="197"/>
      <c r="AR59" s="197"/>
      <c r="AS59" s="197"/>
      <c r="AT59" s="197"/>
      <c r="AU59" s="197"/>
      <c r="AV59" s="197"/>
      <c r="AW59" s="197"/>
      <c r="AX59" s="197"/>
      <c r="AY59" s="197"/>
      <c r="AZ59" s="197"/>
      <c r="BA59" s="197"/>
      <c r="BB59" s="197"/>
      <c r="BC59" s="760"/>
      <c r="BD59" s="96"/>
      <c r="BE59" s="96"/>
      <c r="BF59" s="96"/>
      <c r="BG59" s="96"/>
      <c r="BH59" s="102"/>
      <c r="BI59" s="14"/>
      <c r="BJ59" s="102"/>
    </row>
    <row r="60" spans="1:62" s="95" customFormat="1" ht="15.75">
      <c r="E60" s="192"/>
      <c r="F60" s="192"/>
      <c r="G60" s="3"/>
      <c r="H60" s="4"/>
      <c r="I60" s="4"/>
      <c r="J60" s="4"/>
      <c r="K60" s="4"/>
      <c r="L60" s="4"/>
      <c r="M60" s="4"/>
      <c r="N60" s="4"/>
      <c r="O60" s="79"/>
      <c r="P60" s="79"/>
      <c r="Q60" s="79"/>
      <c r="R60" s="96"/>
      <c r="S60" s="103"/>
      <c r="T60" s="102"/>
      <c r="U60" s="96"/>
      <c r="V60" s="96"/>
      <c r="W60" s="96"/>
      <c r="X60" s="96"/>
      <c r="Y60" s="96"/>
      <c r="Z60" s="96"/>
      <c r="AA60" s="96"/>
      <c r="AB60" s="96"/>
      <c r="AC60" s="96"/>
      <c r="AD60" s="96"/>
      <c r="AE60" s="96"/>
      <c r="AF60" s="96"/>
      <c r="AG60" s="23"/>
      <c r="AH60" s="96"/>
      <c r="AI60" s="23"/>
      <c r="AJ60" s="96"/>
      <c r="AK60" s="23"/>
      <c r="AL60" s="96"/>
      <c r="AM60" s="96"/>
      <c r="AN60" s="96"/>
      <c r="AO60" s="96"/>
      <c r="AP60" s="79"/>
      <c r="AQ60" s="134"/>
      <c r="AR60" s="134"/>
      <c r="AS60" s="134"/>
      <c r="AT60" s="79"/>
      <c r="AU60" s="79"/>
      <c r="AV60" s="79"/>
      <c r="AW60" s="79"/>
      <c r="AX60" s="79"/>
      <c r="AY60" s="79"/>
      <c r="AZ60" s="79"/>
      <c r="BA60" s="133"/>
      <c r="BB60" s="24"/>
      <c r="BC60" s="715"/>
    </row>
    <row r="61" spans="1:62" ht="15">
      <c r="Q61" s="136"/>
      <c r="AI61" s="23"/>
      <c r="AK61" s="23"/>
    </row>
    <row r="62" spans="1:62" ht="15">
      <c r="E62" s="5">
        <v>45</v>
      </c>
      <c r="F62" s="5">
        <v>45</v>
      </c>
      <c r="H62" s="3"/>
      <c r="I62" s="3"/>
      <c r="J62" s="3"/>
      <c r="K62" s="3"/>
      <c r="L62" s="3"/>
      <c r="M62" s="3"/>
      <c r="N62" s="3"/>
      <c r="U62" s="23"/>
      <c r="V62" s="23"/>
      <c r="W62" s="23"/>
      <c r="X62" s="23"/>
      <c r="Y62" s="23"/>
      <c r="Z62" s="23"/>
      <c r="AA62" s="23"/>
      <c r="AB62" s="23"/>
      <c r="AC62" s="23"/>
      <c r="AD62" s="23"/>
      <c r="AE62" s="23"/>
      <c r="AF62" s="23"/>
      <c r="AG62" s="23"/>
      <c r="AH62" s="23"/>
      <c r="AI62" s="23"/>
      <c r="AJ62" s="23"/>
      <c r="AK62" s="23"/>
      <c r="AL62" s="23"/>
      <c r="AM62" s="23"/>
      <c r="AN62" s="23"/>
      <c r="AO62" s="23"/>
    </row>
    <row r="63" spans="1:62" ht="15"/>
    <row r="64" spans="1:62" ht="15">
      <c r="AR64" s="368"/>
    </row>
    <row r="65" spans="15:42" ht="13.35" customHeight="1">
      <c r="U65" s="23"/>
      <c r="V65" s="23"/>
      <c r="W65" s="23"/>
      <c r="X65" s="23"/>
      <c r="Y65" s="23"/>
      <c r="Z65" s="23"/>
      <c r="AA65" s="23"/>
      <c r="AB65" s="23"/>
      <c r="AC65" s="23"/>
      <c r="AD65" s="23"/>
      <c r="AE65" s="23"/>
      <c r="AF65" s="23"/>
      <c r="AG65" s="23"/>
      <c r="AH65" s="23"/>
      <c r="AI65" s="23"/>
      <c r="AJ65" s="23"/>
      <c r="AK65" s="23"/>
      <c r="AL65" s="23"/>
      <c r="AM65" s="23"/>
      <c r="AN65" s="23"/>
      <c r="AO65" s="23"/>
    </row>
    <row r="67" spans="15:42" ht="13.35" customHeight="1">
      <c r="AG67" s="23"/>
      <c r="AI67" s="23"/>
      <c r="AK67" s="23"/>
      <c r="AM67" s="23"/>
    </row>
    <row r="68" spans="15:42" ht="13.35" customHeight="1">
      <c r="U68" s="23"/>
      <c r="V68" s="23"/>
      <c r="W68" s="23"/>
      <c r="X68" s="23"/>
      <c r="Y68" s="23"/>
      <c r="Z68" s="23"/>
      <c r="AA68" s="23"/>
      <c r="AB68" s="23"/>
      <c r="AC68" s="23"/>
      <c r="AD68" s="23"/>
      <c r="AE68" s="23"/>
      <c r="AF68" s="23"/>
      <c r="AG68" s="23"/>
      <c r="AH68" s="23"/>
      <c r="AI68" s="23"/>
      <c r="AJ68" s="23"/>
      <c r="AK68" s="23"/>
      <c r="AL68" s="23"/>
      <c r="AM68" s="23"/>
      <c r="AN68" s="23"/>
      <c r="AO68" s="23"/>
    </row>
    <row r="70" spans="15:42" ht="13.35" customHeight="1">
      <c r="AK70" s="23"/>
      <c r="AM70" s="23"/>
    </row>
    <row r="71" spans="15:42" ht="13.35" customHeight="1">
      <c r="AK71" s="23"/>
      <c r="AM71" s="23"/>
    </row>
    <row r="72" spans="15:42" ht="13.35" customHeight="1">
      <c r="AK72" s="23"/>
      <c r="AM72" s="23"/>
    </row>
    <row r="73" spans="15:42" ht="13.35" customHeight="1">
      <c r="O73" s="89"/>
      <c r="P73" s="89"/>
      <c r="Q73" s="89"/>
      <c r="AK73" s="23"/>
      <c r="AM73" s="23"/>
      <c r="AP73" s="276"/>
    </row>
    <row r="74" spans="15:42" ht="13.35" customHeight="1">
      <c r="AK74" s="23"/>
      <c r="AM74" s="23"/>
    </row>
    <row r="75" spans="15:42" ht="13.35" customHeight="1">
      <c r="AK75" s="23"/>
      <c r="AM75" s="23"/>
    </row>
    <row r="76" spans="15:42" ht="13.35" customHeight="1">
      <c r="U76" s="23"/>
      <c r="V76" s="23"/>
      <c r="W76" s="23"/>
      <c r="X76" s="23"/>
      <c r="Y76" s="23"/>
      <c r="Z76" s="23"/>
      <c r="AA76" s="23"/>
      <c r="AB76" s="23"/>
      <c r="AC76" s="23"/>
      <c r="AD76" s="23"/>
      <c r="AE76" s="23"/>
      <c r="AF76" s="23"/>
      <c r="AG76" s="23"/>
      <c r="AH76" s="23"/>
      <c r="AI76" s="23"/>
      <c r="AJ76" s="23"/>
      <c r="AK76" s="23"/>
      <c r="AL76" s="23"/>
      <c r="AM76" s="23"/>
      <c r="AN76" s="23"/>
      <c r="AO76" s="23"/>
    </row>
    <row r="77" spans="15:42" ht="13.35" customHeight="1">
      <c r="AK77" s="23"/>
      <c r="AM77" s="23"/>
    </row>
  </sheetData>
  <autoFilter ref="A6:BB59" xr:uid="{00000000-0001-0000-0700-000000000000}">
    <filterColumn colId="5">
      <filters>
        <filter val="FIC17127"/>
        <filter val="FIC17128"/>
      </filters>
    </filterColumn>
  </autoFilter>
  <mergeCells count="8">
    <mergeCell ref="O5:Q5"/>
    <mergeCell ref="E4:BB4"/>
    <mergeCell ref="U5:AF5"/>
    <mergeCell ref="AG5:AN5"/>
    <mergeCell ref="AP5:AZ5"/>
    <mergeCell ref="K5:M5"/>
    <mergeCell ref="R5:T5"/>
    <mergeCell ref="BA5:BA6"/>
  </mergeCells>
  <phoneticPr fontId="0" type="noConversion"/>
  <conditionalFormatting sqref="E7:F58 N7:N58">
    <cfRule type="expression" dxfId="48" priority="7">
      <formula>LEN(E7)&gt;16</formula>
    </cfRule>
  </conditionalFormatting>
  <conditionalFormatting sqref="I7:I58">
    <cfRule type="expression" dxfId="47" priority="6">
      <formula>LEN(I7)&gt;24</formula>
    </cfRule>
  </conditionalFormatting>
  <printOptions horizontalCentered="1"/>
  <pageMargins left="0.39370078740157483" right="0.39370078740157483" top="0.59055118110236227" bottom="0.59055118110236227" header="0.59055118110236227" footer="0.39370078740157483"/>
  <pageSetup paperSize="8" scale="25" fitToHeight="0" orientation="landscape" r:id="rId1"/>
  <headerFooter scaleWithDoc="0"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indexed="12"/>
    <pageSetUpPr fitToPage="1"/>
  </sheetPr>
  <dimension ref="A1:AA903"/>
  <sheetViews>
    <sheetView view="pageBreakPreview" zoomScale="85" zoomScaleNormal="100" zoomScaleSheetLayoutView="85" workbookViewId="0">
      <pane ySplit="6" topLeftCell="A662" activePane="bottomLeft" state="frozen"/>
      <selection pane="bottomLeft" activeCell="E151" sqref="E151"/>
    </sheetView>
  </sheetViews>
  <sheetFormatPr defaultColWidth="18.6640625" defaultRowHeight="13.35" customHeight="1"/>
  <cols>
    <col min="1" max="1" width="32.6640625" style="145" customWidth="1"/>
    <col min="2" max="2" width="32.5" style="270" customWidth="1"/>
    <col min="3" max="3" width="48.6640625" style="141" customWidth="1"/>
    <col min="4" max="4" width="18" style="270" customWidth="1"/>
    <col min="5" max="10" width="10.6640625" style="144" customWidth="1"/>
    <col min="11" max="12" width="5" style="142" bestFit="1" customWidth="1"/>
    <col min="13" max="14" width="37.33203125" style="142" customWidth="1"/>
    <col min="15" max="15" width="4.5" style="142" customWidth="1"/>
    <col min="16" max="16" width="64.1640625" style="141" customWidth="1"/>
    <col min="17" max="18" width="8.1640625" style="141" customWidth="1"/>
    <col min="19" max="19" width="8.33203125" style="141" customWidth="1"/>
    <col min="20" max="22" width="8.33203125" style="142" customWidth="1"/>
    <col min="23" max="24" width="8.33203125" style="144" customWidth="1"/>
    <col min="25" max="25" width="76.6640625" style="143" customWidth="1"/>
    <col min="26" max="26" width="8.33203125" style="142" customWidth="1"/>
    <col min="27" max="27" width="91.5" style="141" customWidth="1"/>
    <col min="28" max="16384" width="18.6640625" style="141"/>
  </cols>
  <sheetData>
    <row r="1" spans="1:27" s="163" customFormat="1" ht="21" customHeight="1">
      <c r="A1" s="175" t="s">
        <v>1</v>
      </c>
      <c r="B1" s="265"/>
      <c r="C1" s="173"/>
      <c r="D1" s="265"/>
      <c r="E1" s="172"/>
      <c r="F1" s="172"/>
      <c r="G1" s="172"/>
      <c r="H1" s="172"/>
      <c r="I1" s="172"/>
      <c r="J1" s="172"/>
      <c r="K1" s="173"/>
      <c r="L1" s="168"/>
      <c r="M1" s="165"/>
      <c r="N1" s="174"/>
      <c r="O1" s="174"/>
      <c r="P1" s="173"/>
      <c r="Q1" s="173"/>
      <c r="R1" s="173"/>
      <c r="S1" s="173"/>
      <c r="T1" s="168"/>
      <c r="U1" s="168"/>
      <c r="V1" s="190"/>
      <c r="W1" s="172"/>
      <c r="X1" s="172"/>
      <c r="Y1" s="168"/>
      <c r="Z1" s="165"/>
    </row>
    <row r="2" spans="1:27" s="163" customFormat="1" ht="21" customHeight="1">
      <c r="A2" s="175" t="s">
        <v>0</v>
      </c>
      <c r="B2" s="265"/>
      <c r="C2" s="173"/>
      <c r="D2" s="266"/>
      <c r="E2" s="204"/>
      <c r="F2" s="204"/>
      <c r="G2" s="204"/>
      <c r="H2" s="204"/>
      <c r="I2" s="204"/>
      <c r="J2" s="204"/>
      <c r="K2" s="173"/>
      <c r="L2" s="264"/>
      <c r="M2" s="258"/>
      <c r="N2" s="174"/>
      <c r="O2" s="174"/>
      <c r="P2" s="281"/>
      <c r="Q2" s="168"/>
      <c r="R2" s="168"/>
      <c r="S2" s="168"/>
      <c r="T2" s="168"/>
      <c r="U2" s="168"/>
      <c r="V2" s="168"/>
      <c r="W2" s="168"/>
      <c r="X2" s="168"/>
      <c r="Y2" s="168"/>
      <c r="Z2" s="168"/>
    </row>
    <row r="3" spans="1:27" s="163" customFormat="1" ht="21" customHeight="1" thickBot="1">
      <c r="A3" s="171" t="s">
        <v>2</v>
      </c>
      <c r="B3" s="265"/>
      <c r="C3" s="168"/>
      <c r="D3" s="267"/>
      <c r="E3" s="170"/>
      <c r="F3" s="170"/>
      <c r="G3" s="170"/>
      <c r="H3" s="170"/>
      <c r="I3" s="170"/>
      <c r="J3" s="170"/>
      <c r="K3" s="168"/>
      <c r="L3" s="168"/>
      <c r="M3" s="168"/>
      <c r="N3" s="169"/>
      <c r="O3" s="169"/>
      <c r="P3" s="168"/>
      <c r="Q3" s="168"/>
      <c r="R3" s="168"/>
      <c r="S3" s="168"/>
      <c r="T3" s="166"/>
      <c r="U3" s="166"/>
      <c r="V3" s="191"/>
      <c r="W3" s="167"/>
      <c r="X3" s="167"/>
      <c r="Y3" s="166"/>
      <c r="Z3" s="165"/>
      <c r="AA3" s="164"/>
    </row>
    <row r="4" spans="1:27" s="157" customFormat="1" ht="25.5" customHeight="1" thickBot="1">
      <c r="A4" s="1143" t="s">
        <v>4959</v>
      </c>
      <c r="B4" s="1144"/>
      <c r="C4" s="1144"/>
      <c r="D4" s="1144"/>
      <c r="E4" s="1144"/>
      <c r="F4" s="1144"/>
      <c r="G4" s="1144"/>
      <c r="H4" s="1144"/>
      <c r="I4" s="1144"/>
      <c r="J4" s="1144"/>
      <c r="K4" s="1144"/>
      <c r="L4" s="1144"/>
      <c r="M4" s="1144"/>
      <c r="N4" s="1144"/>
      <c r="O4" s="1144"/>
      <c r="P4" s="1144"/>
      <c r="Q4" s="1144"/>
      <c r="R4" s="1144"/>
      <c r="S4" s="1144"/>
      <c r="T4" s="1144"/>
      <c r="U4" s="1144"/>
      <c r="V4" s="1144"/>
      <c r="W4" s="1144"/>
      <c r="X4" s="1144"/>
      <c r="Y4" s="1144"/>
      <c r="Z4" s="1145"/>
      <c r="AA4" s="162"/>
    </row>
    <row r="5" spans="1:27" s="157" customFormat="1" ht="19.5" customHeight="1">
      <c r="A5" s="161"/>
      <c r="B5" s="271"/>
      <c r="C5" s="160"/>
      <c r="D5" s="268"/>
      <c r="E5" s="159"/>
      <c r="F5" s="159"/>
      <c r="G5" s="159"/>
      <c r="H5" s="159"/>
      <c r="I5" s="159"/>
      <c r="J5" s="159"/>
      <c r="K5" s="1146"/>
      <c r="L5" s="1146"/>
      <c r="M5" s="1147"/>
      <c r="N5" s="1010"/>
      <c r="O5" s="1028"/>
      <c r="P5" s="1148" t="s">
        <v>4960</v>
      </c>
      <c r="Q5" s="1047"/>
      <c r="R5" s="1047"/>
      <c r="S5" s="1048"/>
      <c r="T5" s="1150" t="s">
        <v>4961</v>
      </c>
      <c r="U5" s="1150"/>
      <c r="V5" s="1150"/>
      <c r="W5" s="1150"/>
      <c r="X5" s="1150"/>
      <c r="Y5" s="1049"/>
      <c r="Z5" s="1050"/>
      <c r="AA5" s="158"/>
    </row>
    <row r="6" spans="1:27" s="154" customFormat="1" ht="70.349999999999994" customHeight="1">
      <c r="A6" s="1043" t="s">
        <v>101</v>
      </c>
      <c r="B6" s="1044" t="s">
        <v>102</v>
      </c>
      <c r="C6" s="1043" t="s">
        <v>4962</v>
      </c>
      <c r="D6" s="273" t="s">
        <v>4963</v>
      </c>
      <c r="E6" s="1045" t="s">
        <v>4964</v>
      </c>
      <c r="F6" s="1045" t="s">
        <v>4965</v>
      </c>
      <c r="G6" s="1045" t="s">
        <v>4966</v>
      </c>
      <c r="H6" s="1045" t="s">
        <v>4967</v>
      </c>
      <c r="I6" s="1045" t="s">
        <v>4968</v>
      </c>
      <c r="J6" s="1045" t="s">
        <v>4969</v>
      </c>
      <c r="K6" s="155" t="s">
        <v>4140</v>
      </c>
      <c r="L6" s="155" t="s">
        <v>4141</v>
      </c>
      <c r="M6" s="156" t="s">
        <v>4970</v>
      </c>
      <c r="N6" s="156" t="s">
        <v>4971</v>
      </c>
      <c r="O6" s="156" t="s">
        <v>4144</v>
      </c>
      <c r="P6" s="1149"/>
      <c r="Q6" s="215" t="s">
        <v>4147</v>
      </c>
      <c r="R6" s="215" t="s">
        <v>4148</v>
      </c>
      <c r="S6" s="155" t="s">
        <v>4972</v>
      </c>
      <c r="T6" s="155" t="s">
        <v>4973</v>
      </c>
      <c r="U6" s="155" t="s">
        <v>4974</v>
      </c>
      <c r="V6" s="1045" t="s">
        <v>4975</v>
      </c>
      <c r="W6" s="155" t="s">
        <v>4153</v>
      </c>
      <c r="X6" s="155" t="s">
        <v>4154</v>
      </c>
      <c r="Y6" s="156" t="s">
        <v>128</v>
      </c>
      <c r="Z6" s="1046" t="s">
        <v>129</v>
      </c>
    </row>
    <row r="7" spans="1:27" s="154" customFormat="1" ht="28.5">
      <c r="A7" s="583" t="s">
        <v>4976</v>
      </c>
      <c r="B7" s="310" t="s">
        <v>132</v>
      </c>
      <c r="C7" s="327" t="s">
        <v>4977</v>
      </c>
      <c r="D7" s="456" t="s">
        <v>4978</v>
      </c>
      <c r="E7" s="322">
        <v>0</v>
      </c>
      <c r="F7" s="322">
        <v>100</v>
      </c>
      <c r="G7" s="322" t="s">
        <v>41</v>
      </c>
      <c r="H7" s="322">
        <v>80</v>
      </c>
      <c r="I7" s="322">
        <v>100</v>
      </c>
      <c r="J7" s="693">
        <v>104</v>
      </c>
      <c r="K7" s="323" t="s">
        <v>4125</v>
      </c>
      <c r="L7" s="323"/>
      <c r="M7" s="324" t="s">
        <v>4979</v>
      </c>
      <c r="N7" s="324" t="s">
        <v>4980</v>
      </c>
      <c r="O7" s="323"/>
      <c r="P7" s="325"/>
      <c r="Q7" s="325"/>
      <c r="R7" s="325"/>
      <c r="S7" s="322"/>
      <c r="T7" s="322"/>
      <c r="U7" s="322"/>
      <c r="V7" s="326"/>
      <c r="W7" s="326"/>
      <c r="X7" s="326"/>
      <c r="Y7" s="327"/>
      <c r="Z7" s="328"/>
      <c r="AA7" s="683"/>
    </row>
    <row r="8" spans="1:27" s="154" customFormat="1" ht="15">
      <c r="A8" s="457"/>
      <c r="B8" s="458"/>
      <c r="C8" s="330"/>
      <c r="D8" s="459"/>
      <c r="E8" s="332"/>
      <c r="F8" s="341"/>
      <c r="G8" s="341"/>
      <c r="H8" s="341"/>
      <c r="I8" s="341"/>
      <c r="J8" s="341"/>
      <c r="K8" s="342"/>
      <c r="L8" s="342"/>
      <c r="M8" s="460"/>
      <c r="N8" s="460"/>
      <c r="O8" s="342">
        <v>1</v>
      </c>
      <c r="P8" s="330" t="s">
        <v>4981</v>
      </c>
      <c r="Q8" s="473">
        <v>0</v>
      </c>
      <c r="R8" s="461"/>
      <c r="S8" s="461"/>
      <c r="T8" s="461"/>
      <c r="U8" s="461" t="s">
        <v>4125</v>
      </c>
      <c r="V8" s="461"/>
      <c r="W8" s="461"/>
      <c r="X8" s="461"/>
      <c r="Y8" s="584"/>
      <c r="Z8" s="462" t="s">
        <v>138</v>
      </c>
      <c r="AA8" s="141"/>
    </row>
    <row r="9" spans="1:27" s="154" customFormat="1" ht="15">
      <c r="A9" s="457"/>
      <c r="B9" s="458"/>
      <c r="C9" s="330"/>
      <c r="D9" s="459"/>
      <c r="E9" s="332"/>
      <c r="F9" s="341"/>
      <c r="G9" s="341"/>
      <c r="H9" s="341"/>
      <c r="I9" s="341"/>
      <c r="J9" s="341"/>
      <c r="K9" s="342"/>
      <c r="L9" s="342"/>
      <c r="M9" s="460"/>
      <c r="N9" s="460"/>
      <c r="O9" s="342">
        <v>2</v>
      </c>
      <c r="P9" s="336" t="s">
        <v>4982</v>
      </c>
      <c r="Q9" s="461">
        <v>0</v>
      </c>
      <c r="R9" s="461"/>
      <c r="S9" s="461"/>
      <c r="T9" s="461"/>
      <c r="U9" s="461" t="s">
        <v>4125</v>
      </c>
      <c r="V9" s="461"/>
      <c r="W9" s="461"/>
      <c r="X9" s="860"/>
      <c r="Y9" s="584"/>
      <c r="Z9" s="861">
        <v>2</v>
      </c>
      <c r="AA9" s="141"/>
    </row>
    <row r="10" spans="1:27" s="154" customFormat="1" ht="15">
      <c r="A10" s="457"/>
      <c r="B10" s="458"/>
      <c r="C10" s="330"/>
      <c r="D10" s="459"/>
      <c r="E10" s="332"/>
      <c r="F10" s="341"/>
      <c r="G10" s="341"/>
      <c r="H10" s="341"/>
      <c r="I10" s="341"/>
      <c r="J10" s="341"/>
      <c r="K10" s="342"/>
      <c r="L10" s="342"/>
      <c r="M10" s="460"/>
      <c r="N10" s="460"/>
      <c r="O10" s="342">
        <v>3</v>
      </c>
      <c r="P10" s="336" t="s">
        <v>4983</v>
      </c>
      <c r="Q10" s="461">
        <v>0</v>
      </c>
      <c r="R10" s="461"/>
      <c r="S10" s="461"/>
      <c r="T10" s="461"/>
      <c r="U10" s="461" t="s">
        <v>4125</v>
      </c>
      <c r="V10" s="461"/>
      <c r="W10" s="461"/>
      <c r="X10" s="860"/>
      <c r="Y10" s="584"/>
      <c r="Z10" s="861">
        <v>2</v>
      </c>
      <c r="AA10" s="141"/>
    </row>
    <row r="11" spans="1:27" s="154" customFormat="1" ht="15">
      <c r="A11" s="457"/>
      <c r="B11" s="458"/>
      <c r="C11" s="330"/>
      <c r="D11" s="459"/>
      <c r="E11" s="332"/>
      <c r="F11" s="341"/>
      <c r="G11" s="341"/>
      <c r="H11" s="341"/>
      <c r="I11" s="341"/>
      <c r="J11" s="341"/>
      <c r="K11" s="342"/>
      <c r="L11" s="342"/>
      <c r="M11" s="460"/>
      <c r="N11" s="460"/>
      <c r="O11" s="341">
        <v>4</v>
      </c>
      <c r="P11" s="336" t="s">
        <v>4984</v>
      </c>
      <c r="Q11" s="461">
        <v>0</v>
      </c>
      <c r="R11" s="461"/>
      <c r="S11" s="461"/>
      <c r="T11" s="461"/>
      <c r="U11" s="461" t="s">
        <v>4125</v>
      </c>
      <c r="V11" s="461" t="s">
        <v>4125</v>
      </c>
      <c r="W11" s="461"/>
      <c r="X11" s="860"/>
      <c r="Y11" s="584"/>
      <c r="Z11" s="861">
        <v>2</v>
      </c>
      <c r="AA11" s="141"/>
    </row>
    <row r="12" spans="1:27" s="154" customFormat="1" ht="15">
      <c r="A12" s="457"/>
      <c r="B12" s="458"/>
      <c r="C12" s="330"/>
      <c r="D12" s="459"/>
      <c r="E12" s="332"/>
      <c r="F12" s="341"/>
      <c r="G12" s="341"/>
      <c r="H12" s="341"/>
      <c r="I12" s="341"/>
      <c r="J12" s="341"/>
      <c r="K12" s="342"/>
      <c r="L12" s="342"/>
      <c r="M12" s="460"/>
      <c r="N12" s="460"/>
      <c r="O12" s="341">
        <v>5</v>
      </c>
      <c r="P12" s="336" t="s">
        <v>4985</v>
      </c>
      <c r="Q12" s="461">
        <v>0</v>
      </c>
      <c r="R12" s="461"/>
      <c r="S12" s="461"/>
      <c r="T12" s="461"/>
      <c r="U12" s="461" t="s">
        <v>4125</v>
      </c>
      <c r="V12" s="461"/>
      <c r="W12" s="461"/>
      <c r="X12" s="461"/>
      <c r="Y12" s="584"/>
      <c r="Z12" s="462" t="s">
        <v>138</v>
      </c>
      <c r="AA12" s="141"/>
    </row>
    <row r="13" spans="1:27" s="154" customFormat="1" ht="15">
      <c r="A13" s="457"/>
      <c r="B13" s="458"/>
      <c r="C13" s="330"/>
      <c r="D13" s="459"/>
      <c r="E13" s="332"/>
      <c r="F13" s="341"/>
      <c r="G13" s="341"/>
      <c r="H13" s="341"/>
      <c r="I13" s="341"/>
      <c r="J13" s="341"/>
      <c r="K13" s="342"/>
      <c r="L13" s="342"/>
      <c r="M13" s="460"/>
      <c r="N13" s="460"/>
      <c r="O13" s="341">
        <v>6</v>
      </c>
      <c r="P13" s="336" t="s">
        <v>4986</v>
      </c>
      <c r="Q13" s="461">
        <v>0</v>
      </c>
      <c r="R13" s="461"/>
      <c r="S13" s="461"/>
      <c r="T13" s="461"/>
      <c r="U13" s="461" t="s">
        <v>4125</v>
      </c>
      <c r="V13" s="461"/>
      <c r="W13" s="461"/>
      <c r="X13" s="461"/>
      <c r="Y13" s="584"/>
      <c r="Z13" s="462" t="s">
        <v>138</v>
      </c>
      <c r="AA13" s="141"/>
    </row>
    <row r="14" spans="1:27" s="154" customFormat="1" ht="15">
      <c r="A14" s="457"/>
      <c r="B14" s="458"/>
      <c r="C14" s="330"/>
      <c r="D14" s="459"/>
      <c r="E14" s="332"/>
      <c r="F14" s="341"/>
      <c r="G14" s="341"/>
      <c r="H14" s="341"/>
      <c r="I14" s="341"/>
      <c r="J14" s="341"/>
      <c r="K14" s="342"/>
      <c r="L14" s="342"/>
      <c r="M14" s="460"/>
      <c r="N14" s="460"/>
      <c r="O14" s="341">
        <v>7</v>
      </c>
      <c r="P14" s="336" t="s">
        <v>4987</v>
      </c>
      <c r="Q14" s="461">
        <v>0</v>
      </c>
      <c r="R14" s="585"/>
      <c r="S14" s="860"/>
      <c r="T14" s="586"/>
      <c r="U14" s="860" t="s">
        <v>4125</v>
      </c>
      <c r="V14" s="587"/>
      <c r="W14" s="586"/>
      <c r="X14" s="461"/>
      <c r="Y14" s="584"/>
      <c r="Z14" s="861">
        <v>2</v>
      </c>
      <c r="AA14" s="141"/>
    </row>
    <row r="15" spans="1:27" s="154" customFormat="1" ht="14.25">
      <c r="A15" s="514"/>
      <c r="B15" s="515"/>
      <c r="C15" s="336"/>
      <c r="D15" s="331"/>
      <c r="E15" s="332"/>
      <c r="F15" s="332"/>
      <c r="G15" s="332"/>
      <c r="H15" s="332"/>
      <c r="I15" s="332"/>
      <c r="J15" s="332"/>
      <c r="K15" s="333"/>
      <c r="L15" s="333"/>
      <c r="M15" s="509"/>
      <c r="N15" s="509"/>
      <c r="O15" s="332">
        <v>8</v>
      </c>
      <c r="P15" s="336" t="s">
        <v>4988</v>
      </c>
      <c r="Q15" s="332">
        <v>5</v>
      </c>
      <c r="R15" s="336"/>
      <c r="S15" s="332"/>
      <c r="T15" s="332"/>
      <c r="U15" s="332" t="s">
        <v>4125</v>
      </c>
      <c r="V15" s="337"/>
      <c r="W15" s="337"/>
      <c r="X15" s="337"/>
      <c r="Y15" s="336" t="s">
        <v>4989</v>
      </c>
      <c r="Z15" s="337" t="s">
        <v>184</v>
      </c>
      <c r="AA15" s="141"/>
    </row>
    <row r="16" spans="1:27" s="154" customFormat="1" ht="14.25">
      <c r="A16" s="514"/>
      <c r="B16" s="515"/>
      <c r="C16" s="336"/>
      <c r="D16" s="331"/>
      <c r="E16" s="332"/>
      <c r="F16" s="332"/>
      <c r="G16" s="332"/>
      <c r="H16" s="332"/>
      <c r="I16" s="332"/>
      <c r="J16" s="332"/>
      <c r="K16" s="333"/>
      <c r="L16" s="333"/>
      <c r="M16" s="509"/>
      <c r="N16" s="509"/>
      <c r="O16" s="332">
        <v>9</v>
      </c>
      <c r="P16" s="336" t="s">
        <v>4990</v>
      </c>
      <c r="Q16" s="332">
        <v>5</v>
      </c>
      <c r="R16" s="336"/>
      <c r="S16" s="332"/>
      <c r="T16" s="332"/>
      <c r="U16" s="332" t="s">
        <v>4125</v>
      </c>
      <c r="V16" s="337"/>
      <c r="W16" s="337"/>
      <c r="X16" s="337"/>
      <c r="Y16" s="336" t="s">
        <v>4989</v>
      </c>
      <c r="Z16" s="337" t="s">
        <v>184</v>
      </c>
      <c r="AA16" s="141"/>
    </row>
    <row r="17" spans="1:27" s="154" customFormat="1" ht="14.25">
      <c r="A17" s="516"/>
      <c r="B17" s="458"/>
      <c r="C17" s="330"/>
      <c r="D17" s="331"/>
      <c r="E17" s="466"/>
      <c r="F17" s="466"/>
      <c r="G17" s="466"/>
      <c r="H17" s="466"/>
      <c r="I17" s="466"/>
      <c r="J17" s="466"/>
      <c r="K17" s="467"/>
      <c r="L17" s="467"/>
      <c r="M17" s="506"/>
      <c r="N17" s="506"/>
      <c r="O17" s="466">
        <v>10</v>
      </c>
      <c r="P17" s="465" t="s">
        <v>4991</v>
      </c>
      <c r="Q17" s="466">
        <v>5</v>
      </c>
      <c r="R17" s="465"/>
      <c r="S17" s="466"/>
      <c r="T17" s="466" t="s">
        <v>4125</v>
      </c>
      <c r="U17" s="466"/>
      <c r="V17" s="470"/>
      <c r="W17" s="470" t="s">
        <v>4125</v>
      </c>
      <c r="X17" s="470"/>
      <c r="Y17" s="465" t="s">
        <v>4992</v>
      </c>
      <c r="Z17" s="470">
        <v>0</v>
      </c>
      <c r="AA17" s="141"/>
    </row>
    <row r="18" spans="1:27" s="154" customFormat="1" ht="14.25">
      <c r="A18" s="516"/>
      <c r="B18" s="458"/>
      <c r="C18" s="330"/>
      <c r="D18" s="331"/>
      <c r="E18" s="466"/>
      <c r="F18" s="466"/>
      <c r="G18" s="466"/>
      <c r="H18" s="466"/>
      <c r="I18" s="466"/>
      <c r="J18" s="466"/>
      <c r="K18" s="467"/>
      <c r="L18" s="467"/>
      <c r="M18" s="506"/>
      <c r="N18" s="506"/>
      <c r="O18" s="466">
        <v>11</v>
      </c>
      <c r="P18" s="465" t="s">
        <v>4993</v>
      </c>
      <c r="Q18" s="466">
        <v>5</v>
      </c>
      <c r="R18" s="465"/>
      <c r="S18" s="466"/>
      <c r="T18" s="466" t="s">
        <v>4125</v>
      </c>
      <c r="U18" s="466"/>
      <c r="V18" s="470"/>
      <c r="W18" s="470" t="s">
        <v>4125</v>
      </c>
      <c r="X18" s="470"/>
      <c r="Y18" s="465" t="s">
        <v>4994</v>
      </c>
      <c r="Z18" s="470">
        <v>0</v>
      </c>
      <c r="AA18" s="141"/>
    </row>
    <row r="19" spans="1:27" s="154" customFormat="1" ht="14.25">
      <c r="A19" s="487"/>
      <c r="B19" s="329"/>
      <c r="C19" s="330"/>
      <c r="D19" s="331"/>
      <c r="E19" s="503"/>
      <c r="F19" s="466"/>
      <c r="G19" s="466"/>
      <c r="H19" s="466"/>
      <c r="I19" s="466"/>
      <c r="J19" s="466"/>
      <c r="K19" s="467"/>
      <c r="L19" s="467"/>
      <c r="M19" s="468"/>
      <c r="N19" s="469"/>
      <c r="O19" s="467"/>
      <c r="P19" s="465"/>
      <c r="Q19" s="466"/>
      <c r="R19" s="465"/>
      <c r="S19" s="466"/>
      <c r="T19" s="466"/>
      <c r="U19" s="466"/>
      <c r="V19" s="470"/>
      <c r="W19" s="470"/>
      <c r="X19" s="470"/>
      <c r="Y19" s="465"/>
      <c r="Z19" s="470"/>
      <c r="AA19" s="141"/>
    </row>
    <row r="20" spans="1:27" s="154" customFormat="1" ht="28.5">
      <c r="A20" s="504" t="s">
        <v>4995</v>
      </c>
      <c r="B20" s="310" t="s">
        <v>172</v>
      </c>
      <c r="C20" s="327" t="s">
        <v>4996</v>
      </c>
      <c r="D20" s="456" t="s">
        <v>4978</v>
      </c>
      <c r="E20" s="322">
        <v>0</v>
      </c>
      <c r="F20" s="322">
        <v>100</v>
      </c>
      <c r="G20" s="322" t="s">
        <v>41</v>
      </c>
      <c r="H20" s="322">
        <v>80</v>
      </c>
      <c r="I20" s="322">
        <v>100</v>
      </c>
      <c r="J20" s="693">
        <v>104</v>
      </c>
      <c r="K20" s="323" t="s">
        <v>4125</v>
      </c>
      <c r="L20" s="323"/>
      <c r="M20" s="324" t="s">
        <v>4979</v>
      </c>
      <c r="N20" s="324" t="s">
        <v>4980</v>
      </c>
      <c r="O20" s="323"/>
      <c r="P20" s="325"/>
      <c r="Q20" s="325"/>
      <c r="R20" s="325"/>
      <c r="S20" s="322"/>
      <c r="T20" s="322"/>
      <c r="U20" s="322"/>
      <c r="V20" s="326"/>
      <c r="W20" s="326"/>
      <c r="X20" s="326"/>
      <c r="Y20" s="327"/>
      <c r="Z20" s="326"/>
      <c r="AA20" s="683"/>
    </row>
    <row r="21" spans="1:27" s="154" customFormat="1" ht="15">
      <c r="A21" s="499"/>
      <c r="B21" s="458"/>
      <c r="C21" s="330"/>
      <c r="D21" s="459"/>
      <c r="E21" s="332"/>
      <c r="F21" s="341"/>
      <c r="G21" s="341"/>
      <c r="H21" s="341"/>
      <c r="I21" s="341"/>
      <c r="J21" s="341"/>
      <c r="K21" s="342"/>
      <c r="L21" s="342"/>
      <c r="M21" s="460"/>
      <c r="N21" s="460"/>
      <c r="O21" s="342">
        <v>1</v>
      </c>
      <c r="P21" s="330" t="s">
        <v>4997</v>
      </c>
      <c r="Q21" s="473">
        <v>0</v>
      </c>
      <c r="R21" s="461"/>
      <c r="S21" s="461"/>
      <c r="T21" s="461"/>
      <c r="U21" s="461" t="s">
        <v>4125</v>
      </c>
      <c r="V21" s="461"/>
      <c r="W21" s="461"/>
      <c r="X21" s="461"/>
      <c r="Y21" s="584"/>
      <c r="Z21" s="462" t="s">
        <v>138</v>
      </c>
      <c r="AA21" s="141"/>
    </row>
    <row r="22" spans="1:27" s="154" customFormat="1" ht="15">
      <c r="A22" s="499"/>
      <c r="B22" s="458"/>
      <c r="C22" s="330"/>
      <c r="D22" s="459"/>
      <c r="E22" s="332"/>
      <c r="F22" s="341"/>
      <c r="G22" s="341"/>
      <c r="H22" s="341"/>
      <c r="I22" s="341"/>
      <c r="J22" s="341"/>
      <c r="K22" s="342"/>
      <c r="L22" s="342"/>
      <c r="M22" s="460"/>
      <c r="N22" s="460"/>
      <c r="O22" s="342">
        <v>2</v>
      </c>
      <c r="P22" s="336" t="s">
        <v>4998</v>
      </c>
      <c r="Q22" s="461">
        <v>0</v>
      </c>
      <c r="R22" s="461"/>
      <c r="S22" s="461"/>
      <c r="T22" s="461"/>
      <c r="U22" s="461" t="s">
        <v>4125</v>
      </c>
      <c r="V22" s="461"/>
      <c r="W22" s="461"/>
      <c r="X22" s="860"/>
      <c r="Y22" s="584"/>
      <c r="Z22" s="861">
        <v>2</v>
      </c>
      <c r="AA22" s="141"/>
    </row>
    <row r="23" spans="1:27" s="154" customFormat="1" ht="15">
      <c r="A23" s="499"/>
      <c r="B23" s="458"/>
      <c r="C23" s="330"/>
      <c r="D23" s="459"/>
      <c r="E23" s="332"/>
      <c r="F23" s="341"/>
      <c r="G23" s="341"/>
      <c r="H23" s="341"/>
      <c r="I23" s="341"/>
      <c r="J23" s="341"/>
      <c r="K23" s="342"/>
      <c r="L23" s="342"/>
      <c r="M23" s="460"/>
      <c r="N23" s="460"/>
      <c r="O23" s="342">
        <v>3</v>
      </c>
      <c r="P23" s="336" t="s">
        <v>4999</v>
      </c>
      <c r="Q23" s="461">
        <v>0</v>
      </c>
      <c r="R23" s="461"/>
      <c r="S23" s="461"/>
      <c r="T23" s="461"/>
      <c r="U23" s="461" t="s">
        <v>4125</v>
      </c>
      <c r="V23" s="461"/>
      <c r="W23" s="461"/>
      <c r="X23" s="860"/>
      <c r="Y23" s="584"/>
      <c r="Z23" s="861">
        <v>2</v>
      </c>
      <c r="AA23" s="141"/>
    </row>
    <row r="24" spans="1:27" s="154" customFormat="1" ht="15">
      <c r="A24" s="499"/>
      <c r="B24" s="458"/>
      <c r="C24" s="330"/>
      <c r="D24" s="459"/>
      <c r="E24" s="332"/>
      <c r="F24" s="341"/>
      <c r="G24" s="341"/>
      <c r="H24" s="341"/>
      <c r="I24" s="341"/>
      <c r="J24" s="341"/>
      <c r="K24" s="342"/>
      <c r="L24" s="342"/>
      <c r="M24" s="460"/>
      <c r="N24" s="460"/>
      <c r="O24" s="341">
        <v>4</v>
      </c>
      <c r="P24" s="336" t="s">
        <v>5000</v>
      </c>
      <c r="Q24" s="461">
        <v>0</v>
      </c>
      <c r="R24" s="461"/>
      <c r="S24" s="461"/>
      <c r="T24" s="461"/>
      <c r="U24" s="461" t="s">
        <v>4125</v>
      </c>
      <c r="V24" s="461" t="s">
        <v>4125</v>
      </c>
      <c r="W24" s="461"/>
      <c r="X24" s="860"/>
      <c r="Y24" s="584"/>
      <c r="Z24" s="861">
        <v>2</v>
      </c>
      <c r="AA24" s="141"/>
    </row>
    <row r="25" spans="1:27" s="154" customFormat="1" ht="15">
      <c r="A25" s="499"/>
      <c r="B25" s="458"/>
      <c r="C25" s="330"/>
      <c r="D25" s="459"/>
      <c r="E25" s="332"/>
      <c r="F25" s="341"/>
      <c r="G25" s="341"/>
      <c r="H25" s="341"/>
      <c r="I25" s="341"/>
      <c r="J25" s="341"/>
      <c r="K25" s="342"/>
      <c r="L25" s="342"/>
      <c r="M25" s="460"/>
      <c r="N25" s="460"/>
      <c r="O25" s="341">
        <v>5</v>
      </c>
      <c r="P25" s="336" t="s">
        <v>5001</v>
      </c>
      <c r="Q25" s="461">
        <v>0</v>
      </c>
      <c r="R25" s="461"/>
      <c r="S25" s="461"/>
      <c r="T25" s="461"/>
      <c r="U25" s="461" t="s">
        <v>4125</v>
      </c>
      <c r="V25" s="461"/>
      <c r="W25" s="461"/>
      <c r="X25" s="461"/>
      <c r="Y25" s="584"/>
      <c r="Z25" s="462" t="s">
        <v>138</v>
      </c>
      <c r="AA25" s="141"/>
    </row>
    <row r="26" spans="1:27" s="154" customFormat="1" ht="15">
      <c r="A26" s="499"/>
      <c r="B26" s="458"/>
      <c r="C26" s="330"/>
      <c r="D26" s="459"/>
      <c r="E26" s="332"/>
      <c r="F26" s="341"/>
      <c r="G26" s="341"/>
      <c r="H26" s="341"/>
      <c r="I26" s="341"/>
      <c r="J26" s="341"/>
      <c r="K26" s="342"/>
      <c r="L26" s="342"/>
      <c r="M26" s="460"/>
      <c r="N26" s="460"/>
      <c r="O26" s="341">
        <v>6</v>
      </c>
      <c r="P26" s="336" t="s">
        <v>5002</v>
      </c>
      <c r="Q26" s="461">
        <v>0</v>
      </c>
      <c r="R26" s="461"/>
      <c r="S26" s="461"/>
      <c r="T26" s="461"/>
      <c r="U26" s="461" t="s">
        <v>4125</v>
      </c>
      <c r="V26" s="461"/>
      <c r="W26" s="461"/>
      <c r="X26" s="461"/>
      <c r="Y26" s="584"/>
      <c r="Z26" s="462" t="s">
        <v>138</v>
      </c>
    </row>
    <row r="27" spans="1:27" s="154" customFormat="1" ht="15">
      <c r="A27" s="499"/>
      <c r="B27" s="458"/>
      <c r="C27" s="330"/>
      <c r="D27" s="459"/>
      <c r="E27" s="332"/>
      <c r="F27" s="341"/>
      <c r="G27" s="341"/>
      <c r="H27" s="341"/>
      <c r="I27" s="341"/>
      <c r="J27" s="341"/>
      <c r="K27" s="342"/>
      <c r="L27" s="342"/>
      <c r="M27" s="460"/>
      <c r="N27" s="460"/>
      <c r="O27" s="341">
        <v>7</v>
      </c>
      <c r="P27" s="336" t="s">
        <v>5003</v>
      </c>
      <c r="Q27" s="461">
        <v>0</v>
      </c>
      <c r="R27" s="585"/>
      <c r="S27" s="860"/>
      <c r="T27" s="586"/>
      <c r="U27" s="860" t="s">
        <v>4125</v>
      </c>
      <c r="V27" s="587"/>
      <c r="W27" s="586"/>
      <c r="X27" s="461"/>
      <c r="Y27" s="584"/>
      <c r="Z27" s="861">
        <v>2</v>
      </c>
    </row>
    <row r="28" spans="1:27" s="154" customFormat="1" ht="14.25">
      <c r="A28" s="514"/>
      <c r="B28" s="515"/>
      <c r="C28" s="336"/>
      <c r="D28" s="331"/>
      <c r="E28" s="332"/>
      <c r="F28" s="332"/>
      <c r="G28" s="332"/>
      <c r="H28" s="332"/>
      <c r="I28" s="332"/>
      <c r="J28" s="332"/>
      <c r="K28" s="333"/>
      <c r="L28" s="333"/>
      <c r="M28" s="509"/>
      <c r="N28" s="509"/>
      <c r="O28" s="332">
        <v>8</v>
      </c>
      <c r="P28" s="336" t="s">
        <v>5004</v>
      </c>
      <c r="Q28" s="332">
        <v>5</v>
      </c>
      <c r="R28" s="336"/>
      <c r="S28" s="332"/>
      <c r="T28" s="332"/>
      <c r="U28" s="332" t="s">
        <v>4125</v>
      </c>
      <c r="V28" s="337"/>
      <c r="W28" s="337"/>
      <c r="X28" s="337"/>
      <c r="Y28" s="336" t="s">
        <v>4989</v>
      </c>
      <c r="Z28" s="337" t="s">
        <v>184</v>
      </c>
      <c r="AA28" s="141"/>
    </row>
    <row r="29" spans="1:27" s="154" customFormat="1" ht="14.25">
      <c r="A29" s="514"/>
      <c r="B29" s="515"/>
      <c r="C29" s="336"/>
      <c r="D29" s="331"/>
      <c r="E29" s="332"/>
      <c r="F29" s="332"/>
      <c r="G29" s="332"/>
      <c r="H29" s="332"/>
      <c r="I29" s="332"/>
      <c r="J29" s="332"/>
      <c r="K29" s="333"/>
      <c r="L29" s="333"/>
      <c r="M29" s="509"/>
      <c r="N29" s="509"/>
      <c r="O29" s="332">
        <v>9</v>
      </c>
      <c r="P29" s="336" t="s">
        <v>5005</v>
      </c>
      <c r="Q29" s="332">
        <v>5</v>
      </c>
      <c r="R29" s="336"/>
      <c r="S29" s="332"/>
      <c r="T29" s="332"/>
      <c r="U29" s="332" t="s">
        <v>4125</v>
      </c>
      <c r="V29" s="337"/>
      <c r="W29" s="337"/>
      <c r="X29" s="337"/>
      <c r="Y29" s="336" t="s">
        <v>4989</v>
      </c>
      <c r="Z29" s="337" t="s">
        <v>184</v>
      </c>
      <c r="AA29" s="141"/>
    </row>
    <row r="30" spans="1:27" s="154" customFormat="1" ht="14.25">
      <c r="A30" s="516"/>
      <c r="B30" s="458"/>
      <c r="C30" s="330"/>
      <c r="D30" s="331"/>
      <c r="E30" s="466"/>
      <c r="F30" s="466"/>
      <c r="G30" s="466"/>
      <c r="H30" s="466"/>
      <c r="I30" s="466"/>
      <c r="J30" s="466"/>
      <c r="K30" s="467"/>
      <c r="L30" s="467"/>
      <c r="M30" s="506"/>
      <c r="N30" s="506"/>
      <c r="O30" s="466">
        <v>10</v>
      </c>
      <c r="P30" s="465" t="s">
        <v>5006</v>
      </c>
      <c r="Q30" s="466">
        <v>5</v>
      </c>
      <c r="R30" s="465"/>
      <c r="S30" s="466"/>
      <c r="T30" s="466" t="s">
        <v>4125</v>
      </c>
      <c r="U30" s="466"/>
      <c r="V30" s="470"/>
      <c r="W30" s="470" t="s">
        <v>4125</v>
      </c>
      <c r="X30" s="470"/>
      <c r="Y30" s="465" t="s">
        <v>4992</v>
      </c>
      <c r="Z30" s="470">
        <v>0</v>
      </c>
      <c r="AA30" s="141"/>
    </row>
    <row r="31" spans="1:27" s="154" customFormat="1" ht="14.25">
      <c r="A31" s="516"/>
      <c r="B31" s="458"/>
      <c r="C31" s="330"/>
      <c r="D31" s="331"/>
      <c r="E31" s="466"/>
      <c r="F31" s="466"/>
      <c r="G31" s="466"/>
      <c r="H31" s="466"/>
      <c r="I31" s="466"/>
      <c r="J31" s="466"/>
      <c r="K31" s="467"/>
      <c r="L31" s="467"/>
      <c r="M31" s="506"/>
      <c r="N31" s="506"/>
      <c r="O31" s="466">
        <v>11</v>
      </c>
      <c r="P31" s="465" t="s">
        <v>5007</v>
      </c>
      <c r="Q31" s="466">
        <v>5</v>
      </c>
      <c r="R31" s="465"/>
      <c r="S31" s="466"/>
      <c r="T31" s="466" t="s">
        <v>4125</v>
      </c>
      <c r="U31" s="466"/>
      <c r="V31" s="470"/>
      <c r="W31" s="470" t="s">
        <v>4125</v>
      </c>
      <c r="X31" s="470"/>
      <c r="Y31" s="465" t="s">
        <v>4994</v>
      </c>
      <c r="Z31" s="470">
        <v>0</v>
      </c>
      <c r="AA31" s="141"/>
    </row>
    <row r="32" spans="1:27" s="154" customFormat="1" ht="14.25">
      <c r="A32" s="502"/>
      <c r="B32" s="490"/>
      <c r="C32" s="491"/>
      <c r="D32" s="345"/>
      <c r="E32" s="503"/>
      <c r="F32" s="405"/>
      <c r="G32" s="405"/>
      <c r="H32" s="405"/>
      <c r="I32" s="405"/>
      <c r="J32" s="405"/>
      <c r="K32" s="492"/>
      <c r="L32" s="492"/>
      <c r="M32" s="493"/>
      <c r="N32" s="494"/>
      <c r="O32" s="492"/>
      <c r="P32" s="491"/>
      <c r="Q32" s="405"/>
      <c r="R32" s="491"/>
      <c r="S32" s="405"/>
      <c r="T32" s="405"/>
      <c r="U32" s="405"/>
      <c r="V32" s="308"/>
      <c r="W32" s="308"/>
      <c r="X32" s="308"/>
      <c r="Y32" s="491"/>
      <c r="Z32" s="308"/>
      <c r="AA32" s="141"/>
    </row>
    <row r="33" spans="1:27" s="154" customFormat="1" ht="28.5">
      <c r="A33" s="504" t="s">
        <v>5008</v>
      </c>
      <c r="B33" s="394" t="s">
        <v>172</v>
      </c>
      <c r="C33" s="330" t="s">
        <v>5009</v>
      </c>
      <c r="D33" s="459" t="s">
        <v>4978</v>
      </c>
      <c r="E33" s="322">
        <v>0</v>
      </c>
      <c r="F33" s="322">
        <v>100</v>
      </c>
      <c r="G33" s="322" t="s">
        <v>41</v>
      </c>
      <c r="H33" s="322">
        <v>80</v>
      </c>
      <c r="I33" s="322">
        <v>100</v>
      </c>
      <c r="J33" s="693">
        <v>104</v>
      </c>
      <c r="K33" s="323" t="s">
        <v>4125</v>
      </c>
      <c r="L33" s="323"/>
      <c r="M33" s="324" t="s">
        <v>4979</v>
      </c>
      <c r="N33" s="324" t="s">
        <v>4980</v>
      </c>
      <c r="O33" s="323"/>
      <c r="P33" s="325"/>
      <c r="Q33" s="325"/>
      <c r="R33" s="325"/>
      <c r="S33" s="322"/>
      <c r="T33" s="322"/>
      <c r="U33" s="322"/>
      <c r="V33" s="326"/>
      <c r="W33" s="326"/>
      <c r="X33" s="326"/>
      <c r="Y33" s="327"/>
      <c r="Z33" s="326"/>
      <c r="AA33" s="683"/>
    </row>
    <row r="34" spans="1:27" s="154" customFormat="1" ht="15">
      <c r="A34" s="499"/>
      <c r="B34" s="394"/>
      <c r="C34" s="330"/>
      <c r="D34" s="459"/>
      <c r="E34" s="332"/>
      <c r="F34" s="341"/>
      <c r="G34" s="341"/>
      <c r="H34" s="341"/>
      <c r="I34" s="341"/>
      <c r="J34" s="341"/>
      <c r="K34" s="342"/>
      <c r="L34" s="342"/>
      <c r="M34" s="460"/>
      <c r="N34" s="460"/>
      <c r="O34" s="342">
        <v>1</v>
      </c>
      <c r="P34" s="330" t="s">
        <v>5010</v>
      </c>
      <c r="Q34" s="473">
        <v>0</v>
      </c>
      <c r="R34" s="461"/>
      <c r="S34" s="461"/>
      <c r="T34" s="461"/>
      <c r="U34" s="461" t="s">
        <v>4125</v>
      </c>
      <c r="V34" s="461"/>
      <c r="W34" s="461"/>
      <c r="X34" s="461"/>
      <c r="Y34" s="584"/>
      <c r="Z34" s="462" t="s">
        <v>138</v>
      </c>
      <c r="AA34" s="141"/>
    </row>
    <row r="35" spans="1:27" s="154" customFormat="1" ht="15">
      <c r="A35" s="499"/>
      <c r="B35" s="394"/>
      <c r="C35" s="330"/>
      <c r="D35" s="459"/>
      <c r="E35" s="332"/>
      <c r="F35" s="341"/>
      <c r="G35" s="341"/>
      <c r="H35" s="341"/>
      <c r="I35" s="341"/>
      <c r="J35" s="341"/>
      <c r="K35" s="342"/>
      <c r="L35" s="342"/>
      <c r="M35" s="460"/>
      <c r="N35" s="460"/>
      <c r="O35" s="342">
        <v>2</v>
      </c>
      <c r="P35" s="336" t="s">
        <v>5011</v>
      </c>
      <c r="Q35" s="461">
        <v>0</v>
      </c>
      <c r="R35" s="461"/>
      <c r="S35" s="461"/>
      <c r="T35" s="461"/>
      <c r="U35" s="461" t="s">
        <v>4125</v>
      </c>
      <c r="V35" s="461"/>
      <c r="W35" s="461"/>
      <c r="X35" s="860"/>
      <c r="Y35" s="584"/>
      <c r="Z35" s="861">
        <v>2</v>
      </c>
      <c r="AA35" s="141"/>
    </row>
    <row r="36" spans="1:27" s="154" customFormat="1" ht="15">
      <c r="A36" s="499"/>
      <c r="B36" s="394"/>
      <c r="C36" s="330"/>
      <c r="D36" s="459"/>
      <c r="E36" s="332"/>
      <c r="F36" s="341"/>
      <c r="G36" s="341"/>
      <c r="H36" s="341"/>
      <c r="I36" s="341"/>
      <c r="J36" s="341"/>
      <c r="K36" s="342"/>
      <c r="L36" s="342"/>
      <c r="M36" s="460"/>
      <c r="N36" s="460"/>
      <c r="O36" s="342">
        <v>3</v>
      </c>
      <c r="P36" s="336" t="s">
        <v>5012</v>
      </c>
      <c r="Q36" s="461">
        <v>0</v>
      </c>
      <c r="R36" s="461"/>
      <c r="S36" s="461"/>
      <c r="T36" s="461"/>
      <c r="U36" s="461" t="s">
        <v>4125</v>
      </c>
      <c r="V36" s="461"/>
      <c r="W36" s="461"/>
      <c r="X36" s="860"/>
      <c r="Y36" s="584"/>
      <c r="Z36" s="861">
        <v>2</v>
      </c>
      <c r="AA36" s="141"/>
    </row>
    <row r="37" spans="1:27" s="154" customFormat="1" ht="15">
      <c r="A37" s="500"/>
      <c r="B37" s="394"/>
      <c r="C37" s="330"/>
      <c r="D37" s="459"/>
      <c r="E37" s="332"/>
      <c r="F37" s="341"/>
      <c r="G37" s="341"/>
      <c r="H37" s="341"/>
      <c r="I37" s="341"/>
      <c r="J37" s="341"/>
      <c r="K37" s="342"/>
      <c r="L37" s="342"/>
      <c r="M37" s="460"/>
      <c r="N37" s="460"/>
      <c r="O37" s="341">
        <v>4</v>
      </c>
      <c r="P37" s="336" t="s">
        <v>5013</v>
      </c>
      <c r="Q37" s="461">
        <v>0</v>
      </c>
      <c r="R37" s="461"/>
      <c r="S37" s="461"/>
      <c r="T37" s="461"/>
      <c r="U37" s="461" t="s">
        <v>4125</v>
      </c>
      <c r="V37" s="461" t="s">
        <v>4125</v>
      </c>
      <c r="W37" s="461"/>
      <c r="X37" s="860"/>
      <c r="Y37" s="584"/>
      <c r="Z37" s="861">
        <v>2</v>
      </c>
      <c r="AA37" s="141"/>
    </row>
    <row r="38" spans="1:27" s="154" customFormat="1" ht="15">
      <c r="A38" s="500"/>
      <c r="B38" s="394"/>
      <c r="C38" s="330"/>
      <c r="D38" s="459"/>
      <c r="E38" s="332"/>
      <c r="F38" s="341"/>
      <c r="G38" s="341"/>
      <c r="H38" s="341"/>
      <c r="I38" s="341"/>
      <c r="J38" s="341"/>
      <c r="K38" s="342"/>
      <c r="L38" s="342"/>
      <c r="M38" s="460"/>
      <c r="N38" s="460"/>
      <c r="O38" s="341">
        <v>5</v>
      </c>
      <c r="P38" s="336" t="s">
        <v>5014</v>
      </c>
      <c r="Q38" s="461">
        <v>0</v>
      </c>
      <c r="R38" s="461"/>
      <c r="S38" s="461"/>
      <c r="T38" s="461"/>
      <c r="U38" s="461" t="s">
        <v>4125</v>
      </c>
      <c r="V38" s="461"/>
      <c r="W38" s="461"/>
      <c r="X38" s="461"/>
      <c r="Y38" s="584"/>
      <c r="Z38" s="462" t="s">
        <v>138</v>
      </c>
      <c r="AA38" s="141"/>
    </row>
    <row r="39" spans="1:27" s="154" customFormat="1" ht="15">
      <c r="A39" s="500"/>
      <c r="B39" s="394"/>
      <c r="C39" s="330"/>
      <c r="D39" s="459"/>
      <c r="E39" s="332"/>
      <c r="F39" s="341"/>
      <c r="G39" s="341"/>
      <c r="H39" s="341"/>
      <c r="I39" s="341"/>
      <c r="J39" s="341"/>
      <c r="K39" s="342"/>
      <c r="L39" s="342"/>
      <c r="M39" s="460"/>
      <c r="N39" s="460"/>
      <c r="O39" s="341">
        <v>6</v>
      </c>
      <c r="P39" s="336" t="s">
        <v>5015</v>
      </c>
      <c r="Q39" s="461">
        <v>0</v>
      </c>
      <c r="R39" s="461"/>
      <c r="S39" s="461"/>
      <c r="T39" s="461"/>
      <c r="U39" s="461" t="s">
        <v>4125</v>
      </c>
      <c r="V39" s="461"/>
      <c r="W39" s="461"/>
      <c r="X39" s="461"/>
      <c r="Y39" s="584"/>
      <c r="Z39" s="462" t="s">
        <v>138</v>
      </c>
      <c r="AA39" s="141"/>
    </row>
    <row r="40" spans="1:27" s="154" customFormat="1" ht="15">
      <c r="A40" s="500"/>
      <c r="B40" s="394"/>
      <c r="C40" s="330"/>
      <c r="D40" s="459"/>
      <c r="E40" s="332"/>
      <c r="F40" s="341"/>
      <c r="G40" s="341"/>
      <c r="H40" s="341"/>
      <c r="I40" s="341"/>
      <c r="J40" s="341"/>
      <c r="K40" s="342"/>
      <c r="L40" s="342"/>
      <c r="M40" s="460"/>
      <c r="N40" s="460"/>
      <c r="O40" s="341">
        <v>7</v>
      </c>
      <c r="P40" s="336" t="s">
        <v>5016</v>
      </c>
      <c r="Q40" s="461">
        <v>0</v>
      </c>
      <c r="R40" s="585"/>
      <c r="S40" s="860"/>
      <c r="T40" s="586"/>
      <c r="U40" s="860" t="s">
        <v>4125</v>
      </c>
      <c r="V40" s="587"/>
      <c r="W40" s="586"/>
      <c r="X40" s="461"/>
      <c r="Y40" s="584"/>
      <c r="Z40" s="861">
        <v>2</v>
      </c>
      <c r="AA40" s="141"/>
    </row>
    <row r="41" spans="1:27" s="154" customFormat="1" ht="14.25">
      <c r="A41" s="500"/>
      <c r="B41" s="394"/>
      <c r="C41" s="336"/>
      <c r="D41" s="331"/>
      <c r="E41" s="332"/>
      <c r="F41" s="332"/>
      <c r="G41" s="332"/>
      <c r="H41" s="332"/>
      <c r="I41" s="332"/>
      <c r="J41" s="332"/>
      <c r="K41" s="333"/>
      <c r="L41" s="333"/>
      <c r="M41" s="509"/>
      <c r="N41" s="509"/>
      <c r="O41" s="332">
        <v>8</v>
      </c>
      <c r="P41" s="336" t="s">
        <v>5017</v>
      </c>
      <c r="Q41" s="332">
        <v>5</v>
      </c>
      <c r="R41" s="336"/>
      <c r="S41" s="332"/>
      <c r="T41" s="332"/>
      <c r="U41" s="332" t="s">
        <v>4125</v>
      </c>
      <c r="V41" s="337"/>
      <c r="W41" s="337"/>
      <c r="X41" s="337"/>
      <c r="Y41" s="336" t="s">
        <v>4989</v>
      </c>
      <c r="Z41" s="337" t="s">
        <v>184</v>
      </c>
      <c r="AA41" s="141"/>
    </row>
    <row r="42" spans="1:27" s="154" customFormat="1" ht="14.25">
      <c r="A42" s="500"/>
      <c r="B42" s="394"/>
      <c r="C42" s="336"/>
      <c r="D42" s="331"/>
      <c r="E42" s="332"/>
      <c r="F42" s="332"/>
      <c r="G42" s="332"/>
      <c r="H42" s="332"/>
      <c r="I42" s="332"/>
      <c r="J42" s="332"/>
      <c r="K42" s="333"/>
      <c r="L42" s="333"/>
      <c r="M42" s="509"/>
      <c r="N42" s="509"/>
      <c r="O42" s="332">
        <v>9</v>
      </c>
      <c r="P42" s="336" t="s">
        <v>5018</v>
      </c>
      <c r="Q42" s="332">
        <v>5</v>
      </c>
      <c r="R42" s="336"/>
      <c r="S42" s="332"/>
      <c r="T42" s="332"/>
      <c r="U42" s="332" t="s">
        <v>4125</v>
      </c>
      <c r="V42" s="337"/>
      <c r="W42" s="337"/>
      <c r="X42" s="337"/>
      <c r="Y42" s="336" t="s">
        <v>4989</v>
      </c>
      <c r="Z42" s="337" t="s">
        <v>184</v>
      </c>
      <c r="AA42" s="141"/>
    </row>
    <row r="43" spans="1:27" s="154" customFormat="1" ht="14.25">
      <c r="A43" s="516"/>
      <c r="B43" s="458"/>
      <c r="C43" s="330"/>
      <c r="D43" s="331"/>
      <c r="E43" s="466"/>
      <c r="F43" s="466"/>
      <c r="G43" s="466"/>
      <c r="H43" s="466"/>
      <c r="I43" s="466"/>
      <c r="J43" s="466"/>
      <c r="K43" s="467"/>
      <c r="L43" s="467"/>
      <c r="M43" s="506"/>
      <c r="N43" s="506"/>
      <c r="O43" s="466">
        <v>10</v>
      </c>
      <c r="P43" s="465" t="s">
        <v>5019</v>
      </c>
      <c r="Q43" s="466">
        <v>5</v>
      </c>
      <c r="R43" s="465"/>
      <c r="S43" s="466"/>
      <c r="T43" s="466" t="s">
        <v>4125</v>
      </c>
      <c r="U43" s="466"/>
      <c r="V43" s="470"/>
      <c r="W43" s="470" t="s">
        <v>4125</v>
      </c>
      <c r="X43" s="470"/>
      <c r="Y43" s="465" t="s">
        <v>4992</v>
      </c>
      <c r="Z43" s="470">
        <v>0</v>
      </c>
      <c r="AA43" s="141"/>
    </row>
    <row r="44" spans="1:27" s="154" customFormat="1" ht="14.25">
      <c r="A44" s="516"/>
      <c r="B44" s="458"/>
      <c r="C44" s="330"/>
      <c r="D44" s="331"/>
      <c r="E44" s="466"/>
      <c r="F44" s="466"/>
      <c r="G44" s="466"/>
      <c r="H44" s="466"/>
      <c r="I44" s="466"/>
      <c r="J44" s="176"/>
      <c r="K44" s="588"/>
      <c r="L44" s="588"/>
      <c r="M44" s="634"/>
      <c r="N44" s="634"/>
      <c r="O44" s="176">
        <v>11</v>
      </c>
      <c r="P44" s="479" t="s">
        <v>5020</v>
      </c>
      <c r="Q44" s="176">
        <v>5</v>
      </c>
      <c r="R44" s="479"/>
      <c r="S44" s="176"/>
      <c r="T44" s="176" t="s">
        <v>4125</v>
      </c>
      <c r="U44" s="176"/>
      <c r="V44" s="480"/>
      <c r="W44" s="480" t="s">
        <v>4125</v>
      </c>
      <c r="X44" s="480"/>
      <c r="Y44" s="479" t="s">
        <v>4994</v>
      </c>
      <c r="Z44" s="480">
        <v>0</v>
      </c>
      <c r="AA44" s="141"/>
    </row>
    <row r="45" spans="1:27" s="154" customFormat="1" ht="14.25">
      <c r="A45" s="502"/>
      <c r="B45" s="394"/>
      <c r="C45" s="491"/>
      <c r="D45" s="345"/>
      <c r="E45" s="503"/>
      <c r="F45" s="405"/>
      <c r="G45" s="405"/>
      <c r="H45" s="405"/>
      <c r="I45" s="405"/>
      <c r="J45" s="405"/>
      <c r="K45" s="492"/>
      <c r="L45" s="492"/>
      <c r="M45" s="493"/>
      <c r="N45" s="494"/>
      <c r="O45" s="492"/>
      <c r="P45" s="491"/>
      <c r="Q45" s="405"/>
      <c r="R45" s="491"/>
      <c r="S45" s="405"/>
      <c r="T45" s="405"/>
      <c r="U45" s="405"/>
      <c r="V45" s="308"/>
      <c r="W45" s="308"/>
      <c r="X45" s="308"/>
      <c r="Y45" s="491"/>
      <c r="Z45" s="308"/>
      <c r="AA45" s="141"/>
    </row>
    <row r="46" spans="1:27" s="154" customFormat="1" ht="28.5">
      <c r="A46" s="326" t="s">
        <v>5021</v>
      </c>
      <c r="B46" s="310" t="s">
        <v>132</v>
      </c>
      <c r="C46" s="327" t="s">
        <v>5022</v>
      </c>
      <c r="D46" s="456" t="s">
        <v>5023</v>
      </c>
      <c r="E46" s="510"/>
      <c r="F46" s="510"/>
      <c r="G46" s="510"/>
      <c r="H46" s="510"/>
      <c r="I46" s="510"/>
      <c r="J46" s="775">
        <v>1.66</v>
      </c>
      <c r="K46" s="776"/>
      <c r="L46" s="776" t="s">
        <v>4125</v>
      </c>
      <c r="M46" s="777" t="s">
        <v>5024</v>
      </c>
      <c r="N46" s="778" t="s">
        <v>5025</v>
      </c>
      <c r="O46" s="779"/>
      <c r="P46" s="482"/>
      <c r="Q46" s="483"/>
      <c r="R46" s="482"/>
      <c r="S46" s="483"/>
      <c r="T46" s="483"/>
      <c r="U46" s="483"/>
      <c r="V46" s="484"/>
      <c r="W46" s="484"/>
      <c r="X46" s="484"/>
      <c r="Y46" s="482"/>
      <c r="Z46" s="484">
        <v>1</v>
      </c>
      <c r="AA46" s="684"/>
    </row>
    <row r="47" spans="1:27" s="154" customFormat="1" ht="15">
      <c r="A47" s="337"/>
      <c r="B47" s="507"/>
      <c r="C47" s="336"/>
      <c r="D47" s="331"/>
      <c r="E47" s="332"/>
      <c r="F47" s="332"/>
      <c r="G47" s="332"/>
      <c r="H47" s="332"/>
      <c r="I47" s="466"/>
      <c r="J47" s="176"/>
      <c r="K47" s="588"/>
      <c r="L47" s="588"/>
      <c r="M47" s="634"/>
      <c r="N47" s="667"/>
      <c r="O47" s="590">
        <v>1</v>
      </c>
      <c r="P47" s="472" t="s">
        <v>5026</v>
      </c>
      <c r="Q47" s="473">
        <v>0</v>
      </c>
      <c r="R47" s="461"/>
      <c r="S47" s="461"/>
      <c r="T47" s="461"/>
      <c r="U47" s="461" t="s">
        <v>4125</v>
      </c>
      <c r="V47" s="461"/>
      <c r="W47" s="461"/>
      <c r="X47" s="461"/>
      <c r="Y47" s="668"/>
      <c r="Z47" s="462" t="s">
        <v>138</v>
      </c>
      <c r="AA47" s="141"/>
    </row>
    <row r="48" spans="1:27" s="154" customFormat="1" ht="15">
      <c r="A48" s="499"/>
      <c r="B48" s="507"/>
      <c r="C48" s="336"/>
      <c r="D48" s="331"/>
      <c r="E48" s="332"/>
      <c r="F48" s="332"/>
      <c r="G48" s="332"/>
      <c r="H48" s="332"/>
      <c r="I48" s="466"/>
      <c r="J48" s="466"/>
      <c r="K48" s="467"/>
      <c r="L48" s="467"/>
      <c r="M48" s="506"/>
      <c r="N48" s="509"/>
      <c r="O48" s="342">
        <v>2</v>
      </c>
      <c r="P48" s="336" t="s">
        <v>5027</v>
      </c>
      <c r="Q48" s="461">
        <v>0</v>
      </c>
      <c r="R48" s="461"/>
      <c r="S48" s="461"/>
      <c r="T48" s="461"/>
      <c r="U48" s="461" t="s">
        <v>4125</v>
      </c>
      <c r="V48" s="461"/>
      <c r="W48" s="461"/>
      <c r="X48" s="860"/>
      <c r="Y48" s="584"/>
      <c r="Z48" s="861">
        <v>2</v>
      </c>
      <c r="AA48" s="141"/>
    </row>
    <row r="49" spans="1:27" s="154" customFormat="1" ht="15">
      <c r="A49" s="499"/>
      <c r="B49" s="507"/>
      <c r="C49" s="336"/>
      <c r="D49" s="331"/>
      <c r="E49" s="332"/>
      <c r="F49" s="332"/>
      <c r="G49" s="332"/>
      <c r="H49" s="332"/>
      <c r="I49" s="466"/>
      <c r="J49" s="466"/>
      <c r="K49" s="467"/>
      <c r="L49" s="467"/>
      <c r="M49" s="506"/>
      <c r="N49" s="509"/>
      <c r="O49" s="341">
        <v>3</v>
      </c>
      <c r="P49" s="336" t="s">
        <v>5028</v>
      </c>
      <c r="Q49" s="461">
        <v>0</v>
      </c>
      <c r="R49" s="461"/>
      <c r="S49" s="461"/>
      <c r="T49" s="461"/>
      <c r="U49" s="461" t="s">
        <v>4125</v>
      </c>
      <c r="V49" s="461"/>
      <c r="W49" s="461"/>
      <c r="X49" s="860"/>
      <c r="Y49" s="584"/>
      <c r="Z49" s="861">
        <v>2</v>
      </c>
      <c r="AA49" s="141"/>
    </row>
    <row r="50" spans="1:27" s="154" customFormat="1" ht="15">
      <c r="A50" s="499"/>
      <c r="B50" s="507"/>
      <c r="C50" s="336"/>
      <c r="D50" s="331"/>
      <c r="E50" s="332"/>
      <c r="F50" s="332"/>
      <c r="G50" s="332"/>
      <c r="H50" s="332"/>
      <c r="I50" s="466"/>
      <c r="J50" s="466"/>
      <c r="K50" s="467"/>
      <c r="L50" s="467"/>
      <c r="M50" s="506"/>
      <c r="N50" s="509"/>
      <c r="O50" s="341">
        <v>4</v>
      </c>
      <c r="P50" s="336" t="s">
        <v>5029</v>
      </c>
      <c r="Q50" s="461">
        <v>0</v>
      </c>
      <c r="R50" s="461"/>
      <c r="S50" s="461"/>
      <c r="T50" s="461"/>
      <c r="U50" s="461" t="s">
        <v>4125</v>
      </c>
      <c r="V50" s="461" t="s">
        <v>4125</v>
      </c>
      <c r="W50" s="461"/>
      <c r="X50" s="860"/>
      <c r="Y50" s="584"/>
      <c r="Z50" s="861">
        <v>2</v>
      </c>
      <c r="AA50" s="141"/>
    </row>
    <row r="51" spans="1:27" s="154" customFormat="1" ht="15">
      <c r="A51" s="499"/>
      <c r="B51" s="507"/>
      <c r="C51" s="336"/>
      <c r="D51" s="331"/>
      <c r="E51" s="332"/>
      <c r="F51" s="332"/>
      <c r="G51" s="332"/>
      <c r="H51" s="332"/>
      <c r="I51" s="466"/>
      <c r="J51" s="176"/>
      <c r="K51" s="588"/>
      <c r="L51" s="588"/>
      <c r="M51" s="634"/>
      <c r="N51" s="667"/>
      <c r="O51" s="473">
        <v>5</v>
      </c>
      <c r="P51" s="463" t="s">
        <v>5030</v>
      </c>
      <c r="Q51" s="461">
        <v>0</v>
      </c>
      <c r="R51" s="461"/>
      <c r="S51" s="461"/>
      <c r="T51" s="461"/>
      <c r="U51" s="461" t="s">
        <v>4125</v>
      </c>
      <c r="V51" s="461"/>
      <c r="W51" s="461"/>
      <c r="X51" s="461"/>
      <c r="Y51" s="668"/>
      <c r="Z51" s="462" t="s">
        <v>138</v>
      </c>
      <c r="AA51" s="141"/>
    </row>
    <row r="52" spans="1:27" s="154" customFormat="1" ht="15">
      <c r="A52" s="499"/>
      <c r="B52" s="507"/>
      <c r="C52" s="336"/>
      <c r="D52" s="331"/>
      <c r="E52" s="332"/>
      <c r="F52" s="332"/>
      <c r="G52" s="332"/>
      <c r="H52" s="332"/>
      <c r="I52" s="466"/>
      <c r="J52" s="176"/>
      <c r="K52" s="588"/>
      <c r="L52" s="588"/>
      <c r="M52" s="634"/>
      <c r="N52" s="667"/>
      <c r="O52" s="473">
        <v>6</v>
      </c>
      <c r="P52" s="463" t="s">
        <v>5031</v>
      </c>
      <c r="Q52" s="461">
        <v>0</v>
      </c>
      <c r="R52" s="461"/>
      <c r="S52" s="461"/>
      <c r="T52" s="461"/>
      <c r="U52" s="461" t="s">
        <v>4125</v>
      </c>
      <c r="V52" s="461"/>
      <c r="W52" s="461"/>
      <c r="X52" s="461"/>
      <c r="Y52" s="668"/>
      <c r="Z52" s="462" t="s">
        <v>138</v>
      </c>
      <c r="AA52" s="141"/>
    </row>
    <row r="53" spans="1:27" s="154" customFormat="1" ht="15">
      <c r="A53" s="499"/>
      <c r="B53" s="507"/>
      <c r="C53" s="336"/>
      <c r="D53" s="331"/>
      <c r="E53" s="332"/>
      <c r="F53" s="332"/>
      <c r="G53" s="332"/>
      <c r="H53" s="332"/>
      <c r="I53" s="466"/>
      <c r="J53" s="466"/>
      <c r="K53" s="467"/>
      <c r="L53" s="467"/>
      <c r="M53" s="506"/>
      <c r="N53" s="509"/>
      <c r="O53" s="341">
        <v>7</v>
      </c>
      <c r="P53" s="336" t="s">
        <v>5032</v>
      </c>
      <c r="Q53" s="461">
        <v>0</v>
      </c>
      <c r="R53" s="585"/>
      <c r="S53" s="860"/>
      <c r="T53" s="586"/>
      <c r="U53" s="860" t="s">
        <v>4125</v>
      </c>
      <c r="V53" s="587"/>
      <c r="W53" s="586"/>
      <c r="X53" s="461"/>
      <c r="Y53" s="584"/>
      <c r="Z53" s="861">
        <v>2</v>
      </c>
      <c r="AA53" s="141"/>
    </row>
    <row r="54" spans="1:27" s="154" customFormat="1" ht="14.25">
      <c r="A54" s="500"/>
      <c r="B54" s="507"/>
      <c r="C54" s="336"/>
      <c r="D54" s="340"/>
      <c r="E54" s="466"/>
      <c r="F54" s="466"/>
      <c r="G54" s="466"/>
      <c r="H54" s="466"/>
      <c r="I54" s="466"/>
      <c r="J54" s="405"/>
      <c r="K54" s="467"/>
      <c r="L54" s="467"/>
      <c r="M54" s="506"/>
      <c r="N54" s="506"/>
      <c r="O54" s="467"/>
      <c r="P54" s="465"/>
      <c r="Q54" s="466"/>
      <c r="R54" s="465"/>
      <c r="S54" s="466"/>
      <c r="T54" s="466"/>
      <c r="U54" s="466"/>
      <c r="V54" s="470"/>
      <c r="W54" s="470"/>
      <c r="X54" s="470"/>
      <c r="Y54" s="465"/>
      <c r="Z54" s="470"/>
      <c r="AA54" s="141"/>
    </row>
    <row r="55" spans="1:27" s="154" customFormat="1" ht="28.5">
      <c r="A55" s="862" t="s">
        <v>5033</v>
      </c>
      <c r="B55" s="310" t="s">
        <v>132</v>
      </c>
      <c r="C55" s="863" t="s">
        <v>5034</v>
      </c>
      <c r="D55" s="456" t="s">
        <v>5035</v>
      </c>
      <c r="E55" s="510"/>
      <c r="F55" s="510"/>
      <c r="G55" s="510"/>
      <c r="H55" s="510"/>
      <c r="I55" s="510"/>
      <c r="J55" s="775">
        <v>5.5648218717072364</v>
      </c>
      <c r="K55" s="779"/>
      <c r="L55" s="779" t="s">
        <v>4125</v>
      </c>
      <c r="M55" s="778" t="s">
        <v>5036</v>
      </c>
      <c r="N55" s="779" t="s">
        <v>5037</v>
      </c>
      <c r="O55" s="779"/>
      <c r="P55" s="482"/>
      <c r="Q55" s="483"/>
      <c r="R55" s="482"/>
      <c r="S55" s="483"/>
      <c r="T55" s="483"/>
      <c r="U55" s="483"/>
      <c r="V55" s="484"/>
      <c r="W55" s="484"/>
      <c r="X55" s="484"/>
      <c r="Y55" s="482" t="s">
        <v>5038</v>
      </c>
      <c r="Z55" s="862">
        <v>2</v>
      </c>
      <c r="AA55" s="684"/>
    </row>
    <row r="56" spans="1:27" s="154" customFormat="1" ht="15">
      <c r="A56" s="337"/>
      <c r="B56" s="507"/>
      <c r="C56" s="336"/>
      <c r="D56" s="331"/>
      <c r="E56" s="332"/>
      <c r="F56" s="332"/>
      <c r="G56" s="332"/>
      <c r="H56" s="332"/>
      <c r="I56" s="466"/>
      <c r="J56" s="176"/>
      <c r="K56" s="588"/>
      <c r="L56" s="588"/>
      <c r="M56" s="780"/>
      <c r="N56" s="781"/>
      <c r="O56" s="590">
        <v>1</v>
      </c>
      <c r="P56" s="472" t="s">
        <v>5039</v>
      </c>
      <c r="Q56" s="473">
        <v>0</v>
      </c>
      <c r="R56" s="461"/>
      <c r="S56" s="461"/>
      <c r="T56" s="461"/>
      <c r="U56" s="461" t="s">
        <v>4125</v>
      </c>
      <c r="V56" s="461"/>
      <c r="W56" s="461"/>
      <c r="X56" s="461"/>
      <c r="Y56" s="668"/>
      <c r="Z56" s="462" t="s">
        <v>138</v>
      </c>
      <c r="AA56" s="141"/>
    </row>
    <row r="57" spans="1:27" s="154" customFormat="1" ht="15">
      <c r="A57" s="499"/>
      <c r="B57" s="507"/>
      <c r="C57" s="336"/>
      <c r="D57" s="331"/>
      <c r="E57" s="332"/>
      <c r="F57" s="332"/>
      <c r="G57" s="332"/>
      <c r="H57" s="332"/>
      <c r="I57" s="466"/>
      <c r="J57" s="466"/>
      <c r="K57" s="467"/>
      <c r="L57" s="467"/>
      <c r="M57" s="468"/>
      <c r="N57" s="469"/>
      <c r="O57" s="342">
        <v>2</v>
      </c>
      <c r="P57" s="336" t="s">
        <v>5040</v>
      </c>
      <c r="Q57" s="461">
        <v>0</v>
      </c>
      <c r="R57" s="461"/>
      <c r="S57" s="461"/>
      <c r="T57" s="461"/>
      <c r="U57" s="461" t="s">
        <v>4125</v>
      </c>
      <c r="V57" s="461"/>
      <c r="W57" s="461"/>
      <c r="X57" s="860"/>
      <c r="Y57" s="584"/>
      <c r="Z57" s="861">
        <v>2</v>
      </c>
      <c r="AA57" s="141"/>
    </row>
    <row r="58" spans="1:27" s="154" customFormat="1" ht="15">
      <c r="A58" s="499"/>
      <c r="B58" s="507"/>
      <c r="C58" s="336"/>
      <c r="D58" s="331"/>
      <c r="E58" s="332"/>
      <c r="F58" s="332"/>
      <c r="G58" s="332"/>
      <c r="H58" s="332"/>
      <c r="I58" s="466"/>
      <c r="J58" s="466"/>
      <c r="K58" s="467"/>
      <c r="L58" s="467"/>
      <c r="M58" s="468"/>
      <c r="N58" s="469"/>
      <c r="O58" s="341">
        <v>3</v>
      </c>
      <c r="P58" s="336" t="s">
        <v>5041</v>
      </c>
      <c r="Q58" s="461">
        <v>0</v>
      </c>
      <c r="R58" s="461"/>
      <c r="S58" s="461"/>
      <c r="T58" s="461"/>
      <c r="U58" s="461" t="s">
        <v>4125</v>
      </c>
      <c r="V58" s="461"/>
      <c r="W58" s="461"/>
      <c r="X58" s="860"/>
      <c r="Y58" s="584"/>
      <c r="Z58" s="861">
        <v>2</v>
      </c>
      <c r="AA58" s="141"/>
    </row>
    <row r="59" spans="1:27" s="154" customFormat="1" ht="15">
      <c r="A59" s="499"/>
      <c r="B59" s="507"/>
      <c r="C59" s="336"/>
      <c r="D59" s="331"/>
      <c r="E59" s="332"/>
      <c r="F59" s="332"/>
      <c r="G59" s="332"/>
      <c r="H59" s="332"/>
      <c r="I59" s="466"/>
      <c r="J59" s="466"/>
      <c r="K59" s="467"/>
      <c r="L59" s="467"/>
      <c r="M59" s="468"/>
      <c r="N59" s="469"/>
      <c r="O59" s="341">
        <v>4</v>
      </c>
      <c r="P59" s="336" t="s">
        <v>5042</v>
      </c>
      <c r="Q59" s="461">
        <v>0</v>
      </c>
      <c r="R59" s="461"/>
      <c r="S59" s="461"/>
      <c r="T59" s="461"/>
      <c r="U59" s="461" t="s">
        <v>4125</v>
      </c>
      <c r="V59" s="461" t="s">
        <v>4125</v>
      </c>
      <c r="W59" s="461"/>
      <c r="X59" s="860"/>
      <c r="Y59" s="584"/>
      <c r="Z59" s="861">
        <v>2</v>
      </c>
      <c r="AA59" s="141"/>
    </row>
    <row r="60" spans="1:27" s="154" customFormat="1" ht="15">
      <c r="A60" s="499"/>
      <c r="B60" s="507"/>
      <c r="C60" s="336"/>
      <c r="D60" s="331"/>
      <c r="E60" s="332"/>
      <c r="F60" s="332"/>
      <c r="G60" s="332"/>
      <c r="H60" s="332"/>
      <c r="I60" s="466"/>
      <c r="J60" s="176"/>
      <c r="K60" s="588"/>
      <c r="L60" s="588"/>
      <c r="M60" s="780"/>
      <c r="N60" s="781"/>
      <c r="O60" s="473">
        <v>5</v>
      </c>
      <c r="P60" s="463" t="s">
        <v>5030</v>
      </c>
      <c r="Q60" s="461">
        <v>0</v>
      </c>
      <c r="R60" s="461"/>
      <c r="S60" s="461"/>
      <c r="T60" s="461"/>
      <c r="U60" s="461" t="s">
        <v>4125</v>
      </c>
      <c r="V60" s="461"/>
      <c r="W60" s="461"/>
      <c r="X60" s="461"/>
      <c r="Y60" s="668"/>
      <c r="Z60" s="462" t="s">
        <v>138</v>
      </c>
      <c r="AA60" s="141"/>
    </row>
    <row r="61" spans="1:27" s="154" customFormat="1" ht="15">
      <c r="A61" s="499"/>
      <c r="B61" s="507"/>
      <c r="C61" s="336"/>
      <c r="D61" s="331"/>
      <c r="E61" s="332"/>
      <c r="F61" s="332"/>
      <c r="G61" s="332"/>
      <c r="H61" s="332"/>
      <c r="I61" s="466"/>
      <c r="J61" s="176"/>
      <c r="K61" s="588"/>
      <c r="L61" s="588"/>
      <c r="M61" s="780"/>
      <c r="N61" s="781"/>
      <c r="O61" s="473">
        <v>6</v>
      </c>
      <c r="P61" s="463" t="s">
        <v>5043</v>
      </c>
      <c r="Q61" s="461">
        <v>0</v>
      </c>
      <c r="R61" s="461"/>
      <c r="S61" s="461"/>
      <c r="T61" s="461"/>
      <c r="U61" s="461" t="s">
        <v>4125</v>
      </c>
      <c r="V61" s="461"/>
      <c r="W61" s="461"/>
      <c r="X61" s="461"/>
      <c r="Y61" s="668"/>
      <c r="Z61" s="462" t="s">
        <v>138</v>
      </c>
      <c r="AA61" s="141"/>
    </row>
    <row r="62" spans="1:27" s="154" customFormat="1" ht="15">
      <c r="A62" s="499"/>
      <c r="B62" s="507"/>
      <c r="C62" s="336"/>
      <c r="D62" s="331"/>
      <c r="E62" s="332"/>
      <c r="F62" s="332"/>
      <c r="G62" s="332"/>
      <c r="H62" s="332"/>
      <c r="I62" s="466"/>
      <c r="J62" s="466"/>
      <c r="K62" s="467"/>
      <c r="L62" s="467"/>
      <c r="M62" s="468"/>
      <c r="N62" s="469"/>
      <c r="O62" s="341">
        <v>7</v>
      </c>
      <c r="P62" s="336" t="s">
        <v>5044</v>
      </c>
      <c r="Q62" s="461">
        <v>0</v>
      </c>
      <c r="R62" s="585"/>
      <c r="S62" s="860"/>
      <c r="T62" s="586"/>
      <c r="U62" s="860" t="s">
        <v>4125</v>
      </c>
      <c r="V62" s="587"/>
      <c r="W62" s="586"/>
      <c r="X62" s="461"/>
      <c r="Y62" s="584"/>
      <c r="Z62" s="861">
        <v>2</v>
      </c>
      <c r="AA62" s="141"/>
    </row>
    <row r="63" spans="1:27" s="154" customFormat="1" ht="14.25">
      <c r="A63" s="499"/>
      <c r="B63" s="507"/>
      <c r="C63" s="336"/>
      <c r="D63" s="331"/>
      <c r="E63" s="332"/>
      <c r="F63" s="332"/>
      <c r="G63" s="332"/>
      <c r="H63" s="332"/>
      <c r="I63" s="466"/>
      <c r="J63" s="176"/>
      <c r="K63" s="588"/>
      <c r="L63" s="588"/>
      <c r="M63" s="780"/>
      <c r="N63" s="781"/>
      <c r="O63" s="176">
        <v>8</v>
      </c>
      <c r="P63" s="463" t="s">
        <v>5045</v>
      </c>
      <c r="Q63" s="461">
        <v>5</v>
      </c>
      <c r="R63" s="463"/>
      <c r="S63" s="461"/>
      <c r="T63" s="461"/>
      <c r="U63" s="461" t="s">
        <v>4125</v>
      </c>
      <c r="V63" s="462"/>
      <c r="W63" s="462"/>
      <c r="X63" s="462"/>
      <c r="Y63" s="463" t="s">
        <v>4989</v>
      </c>
      <c r="Z63" s="480" t="s">
        <v>138</v>
      </c>
      <c r="AA63" s="684"/>
    </row>
    <row r="64" spans="1:27" s="154" customFormat="1" ht="14.25">
      <c r="A64" s="502"/>
      <c r="B64" s="519"/>
      <c r="C64" s="491"/>
      <c r="D64" s="345"/>
      <c r="E64" s="405"/>
      <c r="F64" s="405"/>
      <c r="G64" s="405"/>
      <c r="H64" s="405"/>
      <c r="I64" s="405"/>
      <c r="J64" s="405"/>
      <c r="K64" s="492"/>
      <c r="L64" s="492"/>
      <c r="M64" s="493"/>
      <c r="N64" s="494"/>
      <c r="O64" s="492"/>
      <c r="P64" s="491"/>
      <c r="Q64" s="405"/>
      <c r="R64" s="491"/>
      <c r="S64" s="405"/>
      <c r="T64" s="405"/>
      <c r="U64" s="405"/>
      <c r="V64" s="308"/>
      <c r="W64" s="308"/>
      <c r="X64" s="308"/>
      <c r="Y64" s="491"/>
      <c r="Z64" s="308"/>
      <c r="AA64" s="141"/>
    </row>
    <row r="65" spans="1:27" s="154" customFormat="1" ht="28.5">
      <c r="A65" s="501" t="s">
        <v>5046</v>
      </c>
      <c r="B65" s="310" t="s">
        <v>172</v>
      </c>
      <c r="C65" s="327" t="s">
        <v>5047</v>
      </c>
      <c r="D65" s="456" t="s">
        <v>5023</v>
      </c>
      <c r="E65" s="510"/>
      <c r="F65" s="510"/>
      <c r="G65" s="510"/>
      <c r="H65" s="510"/>
      <c r="I65" s="510"/>
      <c r="J65" s="693">
        <v>1.66</v>
      </c>
      <c r="K65" s="779"/>
      <c r="L65" s="779" t="s">
        <v>4125</v>
      </c>
      <c r="M65" s="778" t="s">
        <v>5048</v>
      </c>
      <c r="N65" s="778" t="s">
        <v>5049</v>
      </c>
      <c r="O65" s="779"/>
      <c r="P65" s="482"/>
      <c r="Q65" s="483"/>
      <c r="R65" s="482"/>
      <c r="S65" s="483"/>
      <c r="T65" s="483"/>
      <c r="U65" s="483"/>
      <c r="V65" s="484"/>
      <c r="W65" s="484"/>
      <c r="X65" s="484"/>
      <c r="Y65" s="482"/>
      <c r="Z65" s="484">
        <v>1</v>
      </c>
      <c r="AA65" s="679"/>
    </row>
    <row r="66" spans="1:27" s="154" customFormat="1" ht="15">
      <c r="A66" s="337"/>
      <c r="B66" s="507"/>
      <c r="C66" s="336"/>
      <c r="D66" s="331"/>
      <c r="E66" s="332"/>
      <c r="F66" s="332"/>
      <c r="G66" s="332"/>
      <c r="H66" s="332"/>
      <c r="I66" s="466"/>
      <c r="J66" s="176"/>
      <c r="K66" s="588"/>
      <c r="L66" s="588"/>
      <c r="M66" s="634"/>
      <c r="N66" s="667"/>
      <c r="O66" s="590">
        <v>1</v>
      </c>
      <c r="P66" s="472" t="s">
        <v>5050</v>
      </c>
      <c r="Q66" s="473">
        <v>0</v>
      </c>
      <c r="R66" s="461"/>
      <c r="S66" s="461"/>
      <c r="T66" s="461"/>
      <c r="U66" s="461" t="s">
        <v>4125</v>
      </c>
      <c r="V66" s="461"/>
      <c r="W66" s="461"/>
      <c r="X66" s="461"/>
      <c r="Y66" s="668"/>
      <c r="Z66" s="462" t="s">
        <v>138</v>
      </c>
      <c r="AA66" s="141"/>
    </row>
    <row r="67" spans="1:27" s="154" customFormat="1" ht="15">
      <c r="A67" s="499"/>
      <c r="B67" s="507"/>
      <c r="C67" s="336"/>
      <c r="D67" s="331"/>
      <c r="E67" s="332"/>
      <c r="F67" s="332"/>
      <c r="G67" s="332"/>
      <c r="H67" s="332"/>
      <c r="I67" s="466"/>
      <c r="J67" s="466"/>
      <c r="K67" s="467"/>
      <c r="L67" s="467"/>
      <c r="M67" s="506"/>
      <c r="N67" s="509"/>
      <c r="O67" s="342">
        <v>2</v>
      </c>
      <c r="P67" s="336" t="s">
        <v>5051</v>
      </c>
      <c r="Q67" s="461">
        <v>0</v>
      </c>
      <c r="R67" s="461"/>
      <c r="S67" s="461"/>
      <c r="T67" s="461"/>
      <c r="U67" s="461" t="s">
        <v>4125</v>
      </c>
      <c r="V67" s="461"/>
      <c r="W67" s="461"/>
      <c r="X67" s="860"/>
      <c r="Y67" s="584"/>
      <c r="Z67" s="861">
        <v>2</v>
      </c>
      <c r="AA67" s="141"/>
    </row>
    <row r="68" spans="1:27" s="154" customFormat="1" ht="15">
      <c r="A68" s="499"/>
      <c r="B68" s="507"/>
      <c r="C68" s="336"/>
      <c r="D68" s="331"/>
      <c r="E68" s="332"/>
      <c r="F68" s="332"/>
      <c r="G68" s="332"/>
      <c r="H68" s="332"/>
      <c r="I68" s="466"/>
      <c r="J68" s="466"/>
      <c r="K68" s="467"/>
      <c r="L68" s="467"/>
      <c r="M68" s="506"/>
      <c r="N68" s="509"/>
      <c r="O68" s="341">
        <v>3</v>
      </c>
      <c r="P68" s="336" t="s">
        <v>5052</v>
      </c>
      <c r="Q68" s="461">
        <v>0</v>
      </c>
      <c r="R68" s="461"/>
      <c r="S68" s="461"/>
      <c r="T68" s="461"/>
      <c r="U68" s="461" t="s">
        <v>4125</v>
      </c>
      <c r="V68" s="461"/>
      <c r="W68" s="461"/>
      <c r="X68" s="860"/>
      <c r="Y68" s="584"/>
      <c r="Z68" s="861">
        <v>2</v>
      </c>
      <c r="AA68" s="141"/>
    </row>
    <row r="69" spans="1:27" s="154" customFormat="1" ht="15">
      <c r="A69" s="499"/>
      <c r="B69" s="507"/>
      <c r="C69" s="336"/>
      <c r="D69" s="331"/>
      <c r="E69" s="332"/>
      <c r="F69" s="332"/>
      <c r="G69" s="332"/>
      <c r="H69" s="332"/>
      <c r="I69" s="466"/>
      <c r="J69" s="466"/>
      <c r="K69" s="467"/>
      <c r="L69" s="467"/>
      <c r="M69" s="506"/>
      <c r="N69" s="509"/>
      <c r="O69" s="341">
        <v>4</v>
      </c>
      <c r="P69" s="336" t="s">
        <v>5053</v>
      </c>
      <c r="Q69" s="461">
        <v>0</v>
      </c>
      <c r="R69" s="461"/>
      <c r="S69" s="461"/>
      <c r="T69" s="461"/>
      <c r="U69" s="461" t="s">
        <v>4125</v>
      </c>
      <c r="V69" s="461" t="s">
        <v>4125</v>
      </c>
      <c r="W69" s="461"/>
      <c r="X69" s="860"/>
      <c r="Y69" s="584"/>
      <c r="Z69" s="861">
        <v>2</v>
      </c>
      <c r="AA69" s="141"/>
    </row>
    <row r="70" spans="1:27" s="154" customFormat="1" ht="15">
      <c r="A70" s="499"/>
      <c r="B70" s="507"/>
      <c r="C70" s="336"/>
      <c r="D70" s="331"/>
      <c r="E70" s="332"/>
      <c r="F70" s="332"/>
      <c r="G70" s="332"/>
      <c r="H70" s="332"/>
      <c r="I70" s="466"/>
      <c r="J70" s="176"/>
      <c r="K70" s="588"/>
      <c r="L70" s="588"/>
      <c r="M70" s="634"/>
      <c r="N70" s="667"/>
      <c r="O70" s="473">
        <v>5</v>
      </c>
      <c r="P70" s="463" t="s">
        <v>5054</v>
      </c>
      <c r="Q70" s="461">
        <v>0</v>
      </c>
      <c r="R70" s="461"/>
      <c r="S70" s="461"/>
      <c r="T70" s="461"/>
      <c r="U70" s="461" t="s">
        <v>4125</v>
      </c>
      <c r="V70" s="461"/>
      <c r="W70" s="461"/>
      <c r="X70" s="461"/>
      <c r="Y70" s="668"/>
      <c r="Z70" s="462" t="s">
        <v>138</v>
      </c>
      <c r="AA70" s="141"/>
    </row>
    <row r="71" spans="1:27" s="154" customFormat="1" ht="15">
      <c r="A71" s="499"/>
      <c r="B71" s="507"/>
      <c r="C71" s="336"/>
      <c r="D71" s="331"/>
      <c r="E71" s="332"/>
      <c r="F71" s="332"/>
      <c r="G71" s="332"/>
      <c r="H71" s="332"/>
      <c r="I71" s="466"/>
      <c r="J71" s="176"/>
      <c r="K71" s="588"/>
      <c r="L71" s="588"/>
      <c r="M71" s="634"/>
      <c r="N71" s="667"/>
      <c r="O71" s="473">
        <v>6</v>
      </c>
      <c r="P71" s="463" t="s">
        <v>5055</v>
      </c>
      <c r="Q71" s="461">
        <v>0</v>
      </c>
      <c r="R71" s="461"/>
      <c r="S71" s="461"/>
      <c r="T71" s="461"/>
      <c r="U71" s="461" t="s">
        <v>4125</v>
      </c>
      <c r="V71" s="461"/>
      <c r="W71" s="461"/>
      <c r="X71" s="461"/>
      <c r="Y71" s="668"/>
      <c r="Z71" s="462" t="s">
        <v>138</v>
      </c>
      <c r="AA71" s="141"/>
    </row>
    <row r="72" spans="1:27" s="154" customFormat="1" ht="15">
      <c r="A72" s="499"/>
      <c r="B72" s="507"/>
      <c r="C72" s="336"/>
      <c r="D72" s="331"/>
      <c r="E72" s="332"/>
      <c r="F72" s="332"/>
      <c r="G72" s="332"/>
      <c r="H72" s="332"/>
      <c r="I72" s="466"/>
      <c r="J72" s="466"/>
      <c r="K72" s="467"/>
      <c r="L72" s="467"/>
      <c r="M72" s="506"/>
      <c r="N72" s="509"/>
      <c r="O72" s="341">
        <v>7</v>
      </c>
      <c r="P72" s="336" t="s">
        <v>5056</v>
      </c>
      <c r="Q72" s="461">
        <v>0</v>
      </c>
      <c r="R72" s="585"/>
      <c r="S72" s="860"/>
      <c r="T72" s="586"/>
      <c r="U72" s="860" t="s">
        <v>4125</v>
      </c>
      <c r="V72" s="587"/>
      <c r="W72" s="586"/>
      <c r="X72" s="461"/>
      <c r="Y72" s="584"/>
      <c r="Z72" s="861">
        <v>2</v>
      </c>
      <c r="AA72" s="141"/>
    </row>
    <row r="73" spans="1:27" s="154" customFormat="1" ht="14.25">
      <c r="A73" s="502"/>
      <c r="B73" s="519"/>
      <c r="C73" s="491"/>
      <c r="D73" s="345"/>
      <c r="E73" s="405"/>
      <c r="F73" s="405"/>
      <c r="G73" s="405"/>
      <c r="H73" s="405"/>
      <c r="I73" s="405"/>
      <c r="J73" s="405"/>
      <c r="K73" s="492"/>
      <c r="L73" s="492"/>
      <c r="M73" s="520"/>
      <c r="N73" s="520"/>
      <c r="O73" s="492"/>
      <c r="P73" s="495"/>
      <c r="Q73" s="405"/>
      <c r="R73" s="491"/>
      <c r="S73" s="405"/>
      <c r="T73" s="405"/>
      <c r="U73" s="405"/>
      <c r="V73" s="308"/>
      <c r="W73" s="308"/>
      <c r="X73" s="308"/>
      <c r="Y73" s="491"/>
      <c r="Z73" s="308"/>
      <c r="AA73" s="141"/>
    </row>
    <row r="74" spans="1:27" s="154" customFormat="1" ht="28.5">
      <c r="A74" s="864" t="s">
        <v>5057</v>
      </c>
      <c r="B74" s="394" t="s">
        <v>172</v>
      </c>
      <c r="C74" s="865" t="s">
        <v>5058</v>
      </c>
      <c r="D74" s="459" t="s">
        <v>5035</v>
      </c>
      <c r="E74" s="505"/>
      <c r="F74" s="505"/>
      <c r="G74" s="505"/>
      <c r="H74" s="505"/>
      <c r="I74" s="505"/>
      <c r="J74" s="775">
        <v>5.5648218717072364</v>
      </c>
      <c r="K74" s="782" t="s">
        <v>4125</v>
      </c>
      <c r="L74" s="779" t="s">
        <v>4125</v>
      </c>
      <c r="M74" s="778" t="s">
        <v>5059</v>
      </c>
      <c r="N74" s="779" t="s">
        <v>5060</v>
      </c>
      <c r="O74" s="779"/>
      <c r="P74" s="482"/>
      <c r="Q74" s="483"/>
      <c r="R74" s="482"/>
      <c r="S74" s="483"/>
      <c r="T74" s="483"/>
      <c r="U74" s="483"/>
      <c r="V74" s="484"/>
      <c r="W74" s="484"/>
      <c r="X74" s="484"/>
      <c r="Y74" s="482" t="s">
        <v>5061</v>
      </c>
      <c r="Z74" s="862">
        <v>2</v>
      </c>
      <c r="AA74" s="679"/>
    </row>
    <row r="75" spans="1:27" s="154" customFormat="1" ht="15">
      <c r="A75" s="337"/>
      <c r="B75" s="507"/>
      <c r="C75" s="336"/>
      <c r="D75" s="331"/>
      <c r="E75" s="332"/>
      <c r="F75" s="332"/>
      <c r="G75" s="332"/>
      <c r="H75" s="332"/>
      <c r="I75" s="466"/>
      <c r="J75" s="176"/>
      <c r="K75" s="588"/>
      <c r="L75" s="588"/>
      <c r="M75" s="780"/>
      <c r="N75" s="783"/>
      <c r="O75" s="590">
        <v>1</v>
      </c>
      <c r="P75" s="472" t="s">
        <v>5062</v>
      </c>
      <c r="Q75" s="473">
        <v>0</v>
      </c>
      <c r="R75" s="461"/>
      <c r="S75" s="461"/>
      <c r="T75" s="461"/>
      <c r="U75" s="461" t="s">
        <v>4125</v>
      </c>
      <c r="V75" s="461"/>
      <c r="W75" s="461"/>
      <c r="X75" s="461"/>
      <c r="Y75" s="668"/>
      <c r="Z75" s="462" t="s">
        <v>138</v>
      </c>
      <c r="AA75" s="141"/>
    </row>
    <row r="76" spans="1:27" s="154" customFormat="1" ht="15">
      <c r="A76" s="499"/>
      <c r="B76" s="507"/>
      <c r="C76" s="336"/>
      <c r="D76" s="331"/>
      <c r="E76" s="332"/>
      <c r="F76" s="332"/>
      <c r="G76" s="332"/>
      <c r="H76" s="332"/>
      <c r="I76" s="466"/>
      <c r="J76" s="466"/>
      <c r="K76" s="467"/>
      <c r="L76" s="467"/>
      <c r="M76" s="468"/>
      <c r="N76" s="335"/>
      <c r="O76" s="342">
        <v>2</v>
      </c>
      <c r="P76" s="336" t="s">
        <v>5063</v>
      </c>
      <c r="Q76" s="461">
        <v>0</v>
      </c>
      <c r="R76" s="461"/>
      <c r="S76" s="461"/>
      <c r="T76" s="461"/>
      <c r="U76" s="461" t="s">
        <v>4125</v>
      </c>
      <c r="V76" s="461"/>
      <c r="W76" s="461"/>
      <c r="X76" s="860"/>
      <c r="Y76" s="584"/>
      <c r="Z76" s="861">
        <v>2</v>
      </c>
      <c r="AA76" s="141"/>
    </row>
    <row r="77" spans="1:27" s="154" customFormat="1" ht="15">
      <c r="A77" s="499"/>
      <c r="B77" s="507"/>
      <c r="C77" s="336"/>
      <c r="D77" s="331"/>
      <c r="E77" s="332"/>
      <c r="F77" s="332"/>
      <c r="G77" s="332"/>
      <c r="H77" s="332"/>
      <c r="I77" s="466"/>
      <c r="J77" s="466"/>
      <c r="K77" s="467"/>
      <c r="L77" s="467"/>
      <c r="M77" s="468"/>
      <c r="N77" s="469"/>
      <c r="O77" s="341">
        <v>3</v>
      </c>
      <c r="P77" s="336" t="s">
        <v>5064</v>
      </c>
      <c r="Q77" s="461">
        <v>0</v>
      </c>
      <c r="R77" s="461"/>
      <c r="S77" s="461"/>
      <c r="T77" s="461"/>
      <c r="U77" s="461" t="s">
        <v>4125</v>
      </c>
      <c r="V77" s="461"/>
      <c r="W77" s="461"/>
      <c r="X77" s="860"/>
      <c r="Y77" s="584"/>
      <c r="Z77" s="861">
        <v>2</v>
      </c>
      <c r="AA77" s="141"/>
    </row>
    <row r="78" spans="1:27" s="154" customFormat="1" ht="15">
      <c r="A78" s="499"/>
      <c r="B78" s="507"/>
      <c r="C78" s="336"/>
      <c r="D78" s="331"/>
      <c r="E78" s="332"/>
      <c r="F78" s="332"/>
      <c r="G78" s="332"/>
      <c r="H78" s="332"/>
      <c r="I78" s="466"/>
      <c r="J78" s="466"/>
      <c r="K78" s="467"/>
      <c r="L78" s="467"/>
      <c r="M78" s="468"/>
      <c r="N78" s="469"/>
      <c r="O78" s="341">
        <v>4</v>
      </c>
      <c r="P78" s="336" t="s">
        <v>5065</v>
      </c>
      <c r="Q78" s="461">
        <v>0</v>
      </c>
      <c r="R78" s="461"/>
      <c r="S78" s="461"/>
      <c r="T78" s="461"/>
      <c r="U78" s="461" t="s">
        <v>4125</v>
      </c>
      <c r="V78" s="461" t="s">
        <v>4125</v>
      </c>
      <c r="W78" s="461"/>
      <c r="X78" s="860"/>
      <c r="Y78" s="584"/>
      <c r="Z78" s="861">
        <v>2</v>
      </c>
      <c r="AA78" s="141"/>
    </row>
    <row r="79" spans="1:27" s="154" customFormat="1" ht="15">
      <c r="A79" s="499"/>
      <c r="B79" s="507"/>
      <c r="C79" s="336"/>
      <c r="D79" s="331"/>
      <c r="E79" s="332"/>
      <c r="F79" s="332"/>
      <c r="G79" s="332"/>
      <c r="H79" s="332"/>
      <c r="I79" s="466"/>
      <c r="J79" s="176"/>
      <c r="K79" s="588"/>
      <c r="L79" s="588"/>
      <c r="M79" s="780"/>
      <c r="N79" s="781"/>
      <c r="O79" s="473">
        <v>5</v>
      </c>
      <c r="P79" s="463" t="s">
        <v>5066</v>
      </c>
      <c r="Q79" s="461">
        <v>0</v>
      </c>
      <c r="R79" s="461"/>
      <c r="S79" s="461"/>
      <c r="T79" s="461"/>
      <c r="U79" s="461" t="s">
        <v>4125</v>
      </c>
      <c r="V79" s="461"/>
      <c r="W79" s="461"/>
      <c r="X79" s="461"/>
      <c r="Y79" s="668"/>
      <c r="Z79" s="462" t="s">
        <v>138</v>
      </c>
      <c r="AA79" s="141"/>
    </row>
    <row r="80" spans="1:27" s="154" customFormat="1" ht="15">
      <c r="A80" s="499"/>
      <c r="B80" s="507"/>
      <c r="C80" s="336"/>
      <c r="D80" s="331"/>
      <c r="E80" s="332"/>
      <c r="F80" s="332"/>
      <c r="G80" s="332"/>
      <c r="H80" s="332"/>
      <c r="I80" s="466"/>
      <c r="J80" s="176"/>
      <c r="K80" s="588"/>
      <c r="L80" s="588"/>
      <c r="M80" s="780"/>
      <c r="N80" s="781"/>
      <c r="O80" s="473">
        <v>6</v>
      </c>
      <c r="P80" s="463" t="s">
        <v>5067</v>
      </c>
      <c r="Q80" s="461">
        <v>0</v>
      </c>
      <c r="R80" s="461"/>
      <c r="S80" s="461"/>
      <c r="T80" s="461"/>
      <c r="U80" s="461" t="s">
        <v>4125</v>
      </c>
      <c r="V80" s="461"/>
      <c r="W80" s="461"/>
      <c r="X80" s="461"/>
      <c r="Y80" s="668"/>
      <c r="Z80" s="462" t="s">
        <v>138</v>
      </c>
      <c r="AA80" s="141"/>
    </row>
    <row r="81" spans="1:27" s="154" customFormat="1" ht="15">
      <c r="A81" s="499"/>
      <c r="B81" s="507"/>
      <c r="C81" s="336"/>
      <c r="D81" s="331"/>
      <c r="E81" s="332"/>
      <c r="F81" s="332"/>
      <c r="G81" s="332"/>
      <c r="H81" s="332"/>
      <c r="I81" s="466"/>
      <c r="J81" s="466"/>
      <c r="K81" s="467"/>
      <c r="L81" s="467"/>
      <c r="M81" s="468"/>
      <c r="N81" s="469"/>
      <c r="O81" s="341">
        <v>7</v>
      </c>
      <c r="P81" s="336" t="s">
        <v>5068</v>
      </c>
      <c r="Q81" s="461">
        <v>0</v>
      </c>
      <c r="R81" s="585"/>
      <c r="S81" s="860"/>
      <c r="T81" s="586"/>
      <c r="U81" s="860" t="s">
        <v>4125</v>
      </c>
      <c r="V81" s="587"/>
      <c r="W81" s="586"/>
      <c r="X81" s="461"/>
      <c r="Y81" s="584"/>
      <c r="Z81" s="861">
        <v>2</v>
      </c>
      <c r="AA81" s="141"/>
    </row>
    <row r="82" spans="1:27" s="154" customFormat="1" ht="14.25">
      <c r="A82" s="499"/>
      <c r="B82" s="507"/>
      <c r="C82" s="336"/>
      <c r="D82" s="331"/>
      <c r="E82" s="332"/>
      <c r="F82" s="332"/>
      <c r="G82" s="332"/>
      <c r="H82" s="332"/>
      <c r="I82" s="466"/>
      <c r="J82" s="176"/>
      <c r="K82" s="588"/>
      <c r="L82" s="588"/>
      <c r="M82" s="780"/>
      <c r="N82" s="781"/>
      <c r="O82" s="176">
        <v>8</v>
      </c>
      <c r="P82" s="463" t="s">
        <v>5069</v>
      </c>
      <c r="Q82" s="461">
        <v>5</v>
      </c>
      <c r="R82" s="463"/>
      <c r="S82" s="461"/>
      <c r="T82" s="461"/>
      <c r="U82" s="461" t="s">
        <v>4125</v>
      </c>
      <c r="V82" s="462"/>
      <c r="W82" s="462"/>
      <c r="X82" s="462"/>
      <c r="Y82" s="463" t="s">
        <v>4989</v>
      </c>
      <c r="Z82" s="480" t="s">
        <v>138</v>
      </c>
      <c r="AA82" s="679"/>
    </row>
    <row r="83" spans="1:27" s="154" customFormat="1" ht="14.25">
      <c r="A83" s="502"/>
      <c r="B83" s="519"/>
      <c r="C83" s="491"/>
      <c r="D83" s="345"/>
      <c r="E83" s="405"/>
      <c r="F83" s="405"/>
      <c r="G83" s="405"/>
      <c r="H83" s="405"/>
      <c r="I83" s="405"/>
      <c r="J83" s="405"/>
      <c r="K83" s="492"/>
      <c r="L83" s="492"/>
      <c r="M83" s="493"/>
      <c r="N83" s="494"/>
      <c r="O83" s="492"/>
      <c r="P83" s="491"/>
      <c r="Q83" s="405"/>
      <c r="R83" s="491"/>
      <c r="S83" s="405"/>
      <c r="T83" s="405"/>
      <c r="U83" s="405"/>
      <c r="V83" s="308"/>
      <c r="W83" s="308"/>
      <c r="X83" s="308"/>
      <c r="Y83" s="491"/>
      <c r="Z83" s="308"/>
      <c r="AA83" s="141"/>
    </row>
    <row r="84" spans="1:27" s="154" customFormat="1" ht="28.5">
      <c r="A84" s="501" t="s">
        <v>5070</v>
      </c>
      <c r="B84" s="310" t="s">
        <v>172</v>
      </c>
      <c r="C84" s="327" t="s">
        <v>5071</v>
      </c>
      <c r="D84" s="456" t="s">
        <v>5023</v>
      </c>
      <c r="E84" s="510"/>
      <c r="F84" s="510"/>
      <c r="G84" s="510"/>
      <c r="H84" s="510"/>
      <c r="I84" s="510"/>
      <c r="J84" s="693">
        <v>1.66</v>
      </c>
      <c r="K84" s="779"/>
      <c r="L84" s="779" t="s">
        <v>4125</v>
      </c>
      <c r="M84" s="778" t="s">
        <v>5072</v>
      </c>
      <c r="N84" s="778" t="s">
        <v>5073</v>
      </c>
      <c r="O84" s="779"/>
      <c r="P84" s="482"/>
      <c r="Q84" s="483"/>
      <c r="R84" s="482"/>
      <c r="S84" s="483"/>
      <c r="T84" s="483"/>
      <c r="U84" s="483"/>
      <c r="V84" s="484"/>
      <c r="W84" s="484"/>
      <c r="X84" s="484"/>
      <c r="Y84" s="482"/>
      <c r="Z84" s="484">
        <v>1</v>
      </c>
      <c r="AA84" s="679"/>
    </row>
    <row r="85" spans="1:27" s="154" customFormat="1" ht="15">
      <c r="A85" s="337"/>
      <c r="B85" s="507"/>
      <c r="C85" s="336"/>
      <c r="D85" s="331"/>
      <c r="E85" s="332"/>
      <c r="F85" s="332"/>
      <c r="G85" s="332"/>
      <c r="H85" s="332"/>
      <c r="I85" s="466"/>
      <c r="J85" s="176"/>
      <c r="K85" s="588"/>
      <c r="L85" s="588"/>
      <c r="M85" s="634"/>
      <c r="N85" s="667"/>
      <c r="O85" s="590">
        <v>1</v>
      </c>
      <c r="P85" s="472" t="s">
        <v>5074</v>
      </c>
      <c r="Q85" s="473">
        <v>0</v>
      </c>
      <c r="R85" s="461"/>
      <c r="S85" s="461"/>
      <c r="T85" s="461"/>
      <c r="U85" s="461" t="s">
        <v>4125</v>
      </c>
      <c r="V85" s="461"/>
      <c r="W85" s="461"/>
      <c r="X85" s="461"/>
      <c r="Y85" s="668"/>
      <c r="Z85" s="462" t="s">
        <v>138</v>
      </c>
      <c r="AA85" s="141"/>
    </row>
    <row r="86" spans="1:27" s="154" customFormat="1" ht="15">
      <c r="A86" s="499"/>
      <c r="B86" s="507"/>
      <c r="C86" s="336"/>
      <c r="D86" s="331"/>
      <c r="E86" s="332"/>
      <c r="F86" s="332"/>
      <c r="G86" s="332"/>
      <c r="H86" s="332"/>
      <c r="I86" s="466"/>
      <c r="J86" s="466"/>
      <c r="K86" s="467"/>
      <c r="L86" s="467"/>
      <c r="M86" s="506"/>
      <c r="N86" s="509"/>
      <c r="O86" s="342">
        <v>2</v>
      </c>
      <c r="P86" s="336" t="s">
        <v>5075</v>
      </c>
      <c r="Q86" s="461">
        <v>0</v>
      </c>
      <c r="R86" s="461"/>
      <c r="S86" s="461"/>
      <c r="T86" s="461"/>
      <c r="U86" s="461" t="s">
        <v>4125</v>
      </c>
      <c r="V86" s="461"/>
      <c r="W86" s="461"/>
      <c r="X86" s="860"/>
      <c r="Y86" s="584"/>
      <c r="Z86" s="861">
        <v>2</v>
      </c>
      <c r="AA86" s="141"/>
    </row>
    <row r="87" spans="1:27" s="154" customFormat="1" ht="15">
      <c r="A87" s="499"/>
      <c r="B87" s="507"/>
      <c r="C87" s="336"/>
      <c r="D87" s="331"/>
      <c r="E87" s="332"/>
      <c r="F87" s="332"/>
      <c r="G87" s="332"/>
      <c r="H87" s="332"/>
      <c r="I87" s="466"/>
      <c r="J87" s="466"/>
      <c r="K87" s="467"/>
      <c r="L87" s="467"/>
      <c r="M87" s="506"/>
      <c r="N87" s="509"/>
      <c r="O87" s="341">
        <v>3</v>
      </c>
      <c r="P87" s="336" t="s">
        <v>5076</v>
      </c>
      <c r="Q87" s="461">
        <v>0</v>
      </c>
      <c r="R87" s="461"/>
      <c r="S87" s="461"/>
      <c r="T87" s="461"/>
      <c r="U87" s="461" t="s">
        <v>4125</v>
      </c>
      <c r="V87" s="461"/>
      <c r="W87" s="461"/>
      <c r="X87" s="860"/>
      <c r="Y87" s="584"/>
      <c r="Z87" s="861">
        <v>2</v>
      </c>
      <c r="AA87" s="141"/>
    </row>
    <row r="88" spans="1:27" s="154" customFormat="1" ht="15">
      <c r="A88" s="499"/>
      <c r="B88" s="507"/>
      <c r="C88" s="336"/>
      <c r="D88" s="331"/>
      <c r="E88" s="332"/>
      <c r="F88" s="332"/>
      <c r="G88" s="332"/>
      <c r="H88" s="332"/>
      <c r="I88" s="466"/>
      <c r="J88" s="466"/>
      <c r="K88" s="467"/>
      <c r="L88" s="467"/>
      <c r="M88" s="506"/>
      <c r="N88" s="509"/>
      <c r="O88" s="341">
        <v>4</v>
      </c>
      <c r="P88" s="336" t="s">
        <v>5077</v>
      </c>
      <c r="Q88" s="461">
        <v>0</v>
      </c>
      <c r="R88" s="461"/>
      <c r="S88" s="461"/>
      <c r="T88" s="461"/>
      <c r="U88" s="461" t="s">
        <v>4125</v>
      </c>
      <c r="V88" s="461" t="s">
        <v>4125</v>
      </c>
      <c r="W88" s="461"/>
      <c r="X88" s="860"/>
      <c r="Y88" s="584"/>
      <c r="Z88" s="861">
        <v>2</v>
      </c>
      <c r="AA88" s="141"/>
    </row>
    <row r="89" spans="1:27" s="154" customFormat="1" ht="15">
      <c r="A89" s="499"/>
      <c r="B89" s="507"/>
      <c r="C89" s="336"/>
      <c r="D89" s="331"/>
      <c r="E89" s="332"/>
      <c r="F89" s="332"/>
      <c r="G89" s="332"/>
      <c r="H89" s="332"/>
      <c r="I89" s="466"/>
      <c r="J89" s="176"/>
      <c r="K89" s="588"/>
      <c r="L89" s="588"/>
      <c r="M89" s="634"/>
      <c r="N89" s="667"/>
      <c r="O89" s="473">
        <v>5</v>
      </c>
      <c r="P89" s="463" t="s">
        <v>5078</v>
      </c>
      <c r="Q89" s="461">
        <v>0</v>
      </c>
      <c r="R89" s="461"/>
      <c r="S89" s="461"/>
      <c r="T89" s="461"/>
      <c r="U89" s="461" t="s">
        <v>4125</v>
      </c>
      <c r="V89" s="461"/>
      <c r="W89" s="461"/>
      <c r="X89" s="461"/>
      <c r="Y89" s="668"/>
      <c r="Z89" s="462" t="s">
        <v>138</v>
      </c>
      <c r="AA89" s="141"/>
    </row>
    <row r="90" spans="1:27" s="154" customFormat="1" ht="15">
      <c r="A90" s="499"/>
      <c r="B90" s="507"/>
      <c r="C90" s="336"/>
      <c r="D90" s="331"/>
      <c r="E90" s="332"/>
      <c r="F90" s="332"/>
      <c r="G90" s="332"/>
      <c r="H90" s="332"/>
      <c r="I90" s="466"/>
      <c r="J90" s="176"/>
      <c r="K90" s="588"/>
      <c r="L90" s="588"/>
      <c r="M90" s="634"/>
      <c r="N90" s="667"/>
      <c r="O90" s="473">
        <v>6</v>
      </c>
      <c r="P90" s="463" t="s">
        <v>5079</v>
      </c>
      <c r="Q90" s="461">
        <v>0</v>
      </c>
      <c r="R90" s="461"/>
      <c r="S90" s="461"/>
      <c r="T90" s="461"/>
      <c r="U90" s="461" t="s">
        <v>4125</v>
      </c>
      <c r="V90" s="461"/>
      <c r="W90" s="461"/>
      <c r="X90" s="461"/>
      <c r="Y90" s="668"/>
      <c r="Z90" s="462" t="s">
        <v>138</v>
      </c>
      <c r="AA90" s="141"/>
    </row>
    <row r="91" spans="1:27" s="154" customFormat="1" ht="15">
      <c r="A91" s="499"/>
      <c r="B91" s="507"/>
      <c r="C91" s="336"/>
      <c r="D91" s="331"/>
      <c r="E91" s="332"/>
      <c r="F91" s="332"/>
      <c r="G91" s="332"/>
      <c r="H91" s="332"/>
      <c r="I91" s="466"/>
      <c r="J91" s="466"/>
      <c r="K91" s="467"/>
      <c r="L91" s="467"/>
      <c r="M91" s="506"/>
      <c r="N91" s="509"/>
      <c r="O91" s="341">
        <v>7</v>
      </c>
      <c r="P91" s="336" t="s">
        <v>5080</v>
      </c>
      <c r="Q91" s="461">
        <v>0</v>
      </c>
      <c r="R91" s="585"/>
      <c r="S91" s="860"/>
      <c r="T91" s="586"/>
      <c r="U91" s="860" t="s">
        <v>4125</v>
      </c>
      <c r="V91" s="587"/>
      <c r="W91" s="586"/>
      <c r="X91" s="461"/>
      <c r="Y91" s="584"/>
      <c r="Z91" s="861">
        <v>2</v>
      </c>
      <c r="AA91" s="141"/>
    </row>
    <row r="92" spans="1:27" s="154" customFormat="1" ht="14.25">
      <c r="A92" s="502"/>
      <c r="B92" s="519"/>
      <c r="C92" s="491"/>
      <c r="D92" s="345"/>
      <c r="E92" s="405"/>
      <c r="F92" s="405"/>
      <c r="G92" s="405"/>
      <c r="H92" s="405"/>
      <c r="I92" s="405"/>
      <c r="J92" s="405"/>
      <c r="K92" s="492"/>
      <c r="L92" s="492"/>
      <c r="M92" s="520"/>
      <c r="N92" s="520"/>
      <c r="O92" s="492"/>
      <c r="P92" s="491"/>
      <c r="Q92" s="405"/>
      <c r="R92" s="491"/>
      <c r="S92" s="405"/>
      <c r="T92" s="405"/>
      <c r="U92" s="405"/>
      <c r="V92" s="308"/>
      <c r="W92" s="308"/>
      <c r="X92" s="308"/>
      <c r="Y92" s="491"/>
      <c r="Z92" s="308"/>
      <c r="AA92" s="141"/>
    </row>
    <row r="93" spans="1:27" s="154" customFormat="1" ht="28.5">
      <c r="A93" s="864" t="s">
        <v>5081</v>
      </c>
      <c r="B93" s="394" t="s">
        <v>172</v>
      </c>
      <c r="C93" s="865" t="s">
        <v>5082</v>
      </c>
      <c r="D93" s="459" t="s">
        <v>5035</v>
      </c>
      <c r="E93" s="505"/>
      <c r="F93" s="505"/>
      <c r="G93" s="505"/>
      <c r="H93" s="505"/>
      <c r="I93" s="505"/>
      <c r="J93" s="775">
        <v>5.5648218717072364</v>
      </c>
      <c r="K93" s="782"/>
      <c r="L93" s="588" t="s">
        <v>4125</v>
      </c>
      <c r="M93" s="589" t="s">
        <v>5083</v>
      </c>
      <c r="N93" s="590" t="s">
        <v>5084</v>
      </c>
      <c r="O93" s="779"/>
      <c r="P93" s="482"/>
      <c r="Q93" s="483"/>
      <c r="R93" s="482"/>
      <c r="S93" s="483"/>
      <c r="T93" s="483"/>
      <c r="U93" s="483"/>
      <c r="V93" s="484"/>
      <c r="W93" s="484"/>
      <c r="X93" s="484"/>
      <c r="Y93" s="482" t="s">
        <v>5085</v>
      </c>
      <c r="Z93" s="862">
        <v>2</v>
      </c>
      <c r="AA93" s="679"/>
    </row>
    <row r="94" spans="1:27" s="154" customFormat="1" ht="15">
      <c r="A94" s="337"/>
      <c r="B94" s="507"/>
      <c r="C94" s="336"/>
      <c r="D94" s="331"/>
      <c r="E94" s="332"/>
      <c r="F94" s="332"/>
      <c r="G94" s="332"/>
      <c r="H94" s="332"/>
      <c r="I94" s="466"/>
      <c r="J94" s="176"/>
      <c r="K94" s="588"/>
      <c r="L94" s="588"/>
      <c r="M94" s="780"/>
      <c r="N94" s="781"/>
      <c r="O94" s="590">
        <v>1</v>
      </c>
      <c r="P94" s="472" t="s">
        <v>5086</v>
      </c>
      <c r="Q94" s="473">
        <v>0</v>
      </c>
      <c r="R94" s="461"/>
      <c r="S94" s="461"/>
      <c r="T94" s="461"/>
      <c r="U94" s="461" t="s">
        <v>4125</v>
      </c>
      <c r="V94" s="461"/>
      <c r="W94" s="461"/>
      <c r="X94" s="461"/>
      <c r="Y94" s="668"/>
      <c r="Z94" s="462">
        <v>1</v>
      </c>
      <c r="AA94" s="141"/>
    </row>
    <row r="95" spans="1:27" s="154" customFormat="1" ht="15">
      <c r="A95" s="499"/>
      <c r="B95" s="507"/>
      <c r="C95" s="336"/>
      <c r="D95" s="331"/>
      <c r="E95" s="332"/>
      <c r="F95" s="332"/>
      <c r="G95" s="332"/>
      <c r="H95" s="332"/>
      <c r="I95" s="466"/>
      <c r="J95" s="466"/>
      <c r="K95" s="467"/>
      <c r="L95" s="467"/>
      <c r="M95" s="468"/>
      <c r="N95" s="469"/>
      <c r="O95" s="342">
        <v>2</v>
      </c>
      <c r="P95" s="336" t="s">
        <v>5087</v>
      </c>
      <c r="Q95" s="461">
        <v>0</v>
      </c>
      <c r="R95" s="461"/>
      <c r="S95" s="461"/>
      <c r="T95" s="461"/>
      <c r="U95" s="461" t="s">
        <v>4125</v>
      </c>
      <c r="V95" s="461"/>
      <c r="W95" s="461"/>
      <c r="X95" s="860"/>
      <c r="Y95" s="584"/>
      <c r="Z95" s="861">
        <v>2</v>
      </c>
      <c r="AA95" s="141"/>
    </row>
    <row r="96" spans="1:27" s="154" customFormat="1" ht="15">
      <c r="A96" s="499"/>
      <c r="B96" s="507"/>
      <c r="C96" s="336"/>
      <c r="D96" s="331"/>
      <c r="E96" s="332"/>
      <c r="F96" s="332"/>
      <c r="G96" s="332"/>
      <c r="H96" s="332"/>
      <c r="I96" s="466"/>
      <c r="J96" s="466"/>
      <c r="K96" s="467"/>
      <c r="L96" s="467"/>
      <c r="M96" s="468"/>
      <c r="N96" s="469"/>
      <c r="O96" s="341">
        <v>3</v>
      </c>
      <c r="P96" s="336" t="s">
        <v>5088</v>
      </c>
      <c r="Q96" s="461">
        <v>0</v>
      </c>
      <c r="R96" s="461"/>
      <c r="S96" s="461"/>
      <c r="T96" s="461"/>
      <c r="U96" s="461" t="s">
        <v>4125</v>
      </c>
      <c r="V96" s="461"/>
      <c r="W96" s="461"/>
      <c r="X96" s="860"/>
      <c r="Y96" s="584"/>
      <c r="Z96" s="861">
        <v>2</v>
      </c>
      <c r="AA96" s="141"/>
    </row>
    <row r="97" spans="1:27" s="154" customFormat="1" ht="15">
      <c r="A97" s="499"/>
      <c r="B97" s="507"/>
      <c r="C97" s="336"/>
      <c r="D97" s="331"/>
      <c r="E97" s="332"/>
      <c r="F97" s="332"/>
      <c r="G97" s="332"/>
      <c r="H97" s="332"/>
      <c r="I97" s="466"/>
      <c r="J97" s="466"/>
      <c r="K97" s="467"/>
      <c r="L97" s="467"/>
      <c r="M97" s="468"/>
      <c r="N97" s="469"/>
      <c r="O97" s="341">
        <v>4</v>
      </c>
      <c r="P97" s="336" t="s">
        <v>5089</v>
      </c>
      <c r="Q97" s="461">
        <v>0</v>
      </c>
      <c r="R97" s="461"/>
      <c r="S97" s="461"/>
      <c r="T97" s="461"/>
      <c r="U97" s="461" t="s">
        <v>4125</v>
      </c>
      <c r="V97" s="461" t="s">
        <v>4125</v>
      </c>
      <c r="W97" s="461"/>
      <c r="X97" s="860"/>
      <c r="Y97" s="584"/>
      <c r="Z97" s="861">
        <v>2</v>
      </c>
      <c r="AA97" s="141"/>
    </row>
    <row r="98" spans="1:27" s="154" customFormat="1" ht="15">
      <c r="A98" s="499"/>
      <c r="B98" s="507"/>
      <c r="C98" s="336"/>
      <c r="D98" s="331"/>
      <c r="E98" s="332"/>
      <c r="F98" s="332"/>
      <c r="G98" s="332"/>
      <c r="H98" s="332"/>
      <c r="I98" s="466"/>
      <c r="J98" s="176"/>
      <c r="K98" s="588"/>
      <c r="L98" s="588"/>
      <c r="M98" s="780"/>
      <c r="N98" s="781"/>
      <c r="O98" s="473">
        <v>5</v>
      </c>
      <c r="P98" s="463" t="s">
        <v>5090</v>
      </c>
      <c r="Q98" s="461">
        <v>0</v>
      </c>
      <c r="R98" s="461"/>
      <c r="S98" s="461"/>
      <c r="T98" s="461"/>
      <c r="U98" s="461" t="s">
        <v>4125</v>
      </c>
      <c r="V98" s="461"/>
      <c r="W98" s="461"/>
      <c r="X98" s="461"/>
      <c r="Y98" s="668"/>
      <c r="Z98" s="462">
        <v>1</v>
      </c>
      <c r="AA98" s="141"/>
    </row>
    <row r="99" spans="1:27" s="154" customFormat="1" ht="15">
      <c r="A99" s="499"/>
      <c r="B99" s="507"/>
      <c r="C99" s="336"/>
      <c r="D99" s="331"/>
      <c r="E99" s="332"/>
      <c r="F99" s="332"/>
      <c r="G99" s="332"/>
      <c r="H99" s="332"/>
      <c r="I99" s="466"/>
      <c r="J99" s="176"/>
      <c r="K99" s="588"/>
      <c r="L99" s="588"/>
      <c r="M99" s="780"/>
      <c r="N99" s="781"/>
      <c r="O99" s="473">
        <v>6</v>
      </c>
      <c r="P99" s="463" t="s">
        <v>5091</v>
      </c>
      <c r="Q99" s="461">
        <v>0</v>
      </c>
      <c r="R99" s="461"/>
      <c r="S99" s="461"/>
      <c r="T99" s="461"/>
      <c r="U99" s="461" t="s">
        <v>4125</v>
      </c>
      <c r="V99" s="461"/>
      <c r="W99" s="461"/>
      <c r="X99" s="461"/>
      <c r="Y99" s="668"/>
      <c r="Z99" s="462">
        <v>1</v>
      </c>
      <c r="AA99" s="141"/>
    </row>
    <row r="100" spans="1:27" s="154" customFormat="1" ht="15">
      <c r="A100" s="499"/>
      <c r="B100" s="507"/>
      <c r="C100" s="336"/>
      <c r="D100" s="331"/>
      <c r="E100" s="332"/>
      <c r="F100" s="332"/>
      <c r="G100" s="332"/>
      <c r="H100" s="332"/>
      <c r="I100" s="466"/>
      <c r="J100" s="466"/>
      <c r="K100" s="467"/>
      <c r="L100" s="467"/>
      <c r="M100" s="468"/>
      <c r="N100" s="469"/>
      <c r="O100" s="341">
        <v>7</v>
      </c>
      <c r="P100" s="336" t="s">
        <v>5092</v>
      </c>
      <c r="Q100" s="461">
        <v>0</v>
      </c>
      <c r="R100" s="585"/>
      <c r="S100" s="860"/>
      <c r="T100" s="586"/>
      <c r="U100" s="860" t="s">
        <v>4125</v>
      </c>
      <c r="V100" s="587"/>
      <c r="W100" s="586"/>
      <c r="X100" s="461"/>
      <c r="Y100" s="584"/>
      <c r="Z100" s="861">
        <v>2</v>
      </c>
      <c r="AA100" s="141"/>
    </row>
    <row r="101" spans="1:27" s="154" customFormat="1" ht="14.25">
      <c r="A101" s="499"/>
      <c r="B101" s="507"/>
      <c r="C101" s="336"/>
      <c r="D101" s="331"/>
      <c r="E101" s="332"/>
      <c r="F101" s="332"/>
      <c r="G101" s="332"/>
      <c r="H101" s="332"/>
      <c r="I101" s="466"/>
      <c r="J101" s="176"/>
      <c r="K101" s="588"/>
      <c r="L101" s="588"/>
      <c r="M101" s="780"/>
      <c r="N101" s="781"/>
      <c r="O101" s="176">
        <v>8</v>
      </c>
      <c r="P101" s="463" t="s">
        <v>5093</v>
      </c>
      <c r="Q101" s="461">
        <v>5</v>
      </c>
      <c r="R101" s="463"/>
      <c r="S101" s="461"/>
      <c r="T101" s="461"/>
      <c r="U101" s="461" t="s">
        <v>4125</v>
      </c>
      <c r="V101" s="462"/>
      <c r="W101" s="462"/>
      <c r="X101" s="462"/>
      <c r="Y101" s="463" t="s">
        <v>4989</v>
      </c>
      <c r="Z101" s="462">
        <v>1</v>
      </c>
      <c r="AA101" s="679"/>
    </row>
    <row r="102" spans="1:27" s="154" customFormat="1" ht="14.25">
      <c r="A102" s="502"/>
      <c r="B102" s="519"/>
      <c r="C102" s="491"/>
      <c r="D102" s="345"/>
      <c r="E102" s="405"/>
      <c r="F102" s="405"/>
      <c r="G102" s="405"/>
      <c r="H102" s="405"/>
      <c r="I102" s="405"/>
      <c r="J102" s="405"/>
      <c r="K102" s="492"/>
      <c r="L102" s="492"/>
      <c r="M102" s="493"/>
      <c r="N102" s="494"/>
      <c r="O102" s="492"/>
      <c r="P102" s="491"/>
      <c r="Q102" s="405"/>
      <c r="R102" s="491"/>
      <c r="S102" s="405"/>
      <c r="T102" s="405"/>
      <c r="U102" s="405"/>
      <c r="V102" s="308"/>
      <c r="W102" s="308"/>
      <c r="X102" s="308"/>
      <c r="Y102" s="491"/>
      <c r="Z102" s="308"/>
      <c r="AA102" s="141"/>
    </row>
    <row r="103" spans="1:27" s="154" customFormat="1" ht="28.5">
      <c r="A103" s="501" t="s">
        <v>5094</v>
      </c>
      <c r="B103" s="310" t="s">
        <v>223</v>
      </c>
      <c r="C103" s="327" t="s">
        <v>5095</v>
      </c>
      <c r="D103" s="456" t="s">
        <v>4978</v>
      </c>
      <c r="E103" s="322">
        <v>0</v>
      </c>
      <c r="F103" s="322">
        <v>100</v>
      </c>
      <c r="G103" s="322" t="s">
        <v>41</v>
      </c>
      <c r="H103" s="322">
        <v>80</v>
      </c>
      <c r="I103" s="322">
        <v>100</v>
      </c>
      <c r="J103" s="693">
        <v>104</v>
      </c>
      <c r="K103" s="323" t="s">
        <v>4125</v>
      </c>
      <c r="L103" s="323"/>
      <c r="M103" s="324" t="s">
        <v>4979</v>
      </c>
      <c r="N103" s="324" t="s">
        <v>4980</v>
      </c>
      <c r="O103" s="323"/>
      <c r="P103" s="327"/>
      <c r="Q103" s="322"/>
      <c r="R103" s="327"/>
      <c r="S103" s="322"/>
      <c r="T103" s="322"/>
      <c r="U103" s="322"/>
      <c r="V103" s="326"/>
      <c r="W103" s="326"/>
      <c r="X103" s="326"/>
      <c r="Y103" s="327"/>
      <c r="Z103" s="326"/>
      <c r="AA103" s="679"/>
    </row>
    <row r="104" spans="1:27" s="154" customFormat="1" ht="15">
      <c r="A104" s="514"/>
      <c r="B104" s="507"/>
      <c r="C104" s="330"/>
      <c r="D104" s="459"/>
      <c r="E104" s="332"/>
      <c r="F104" s="341"/>
      <c r="G104" s="341"/>
      <c r="H104" s="341"/>
      <c r="I104" s="341"/>
      <c r="J104" s="473"/>
      <c r="K104" s="590"/>
      <c r="L104" s="590"/>
      <c r="M104" s="589"/>
      <c r="N104" s="589"/>
      <c r="O104" s="590">
        <v>1</v>
      </c>
      <c r="P104" s="472" t="s">
        <v>5096</v>
      </c>
      <c r="Q104" s="473">
        <v>0</v>
      </c>
      <c r="R104" s="461"/>
      <c r="S104" s="461"/>
      <c r="T104" s="461"/>
      <c r="U104" s="461" t="s">
        <v>4125</v>
      </c>
      <c r="V104" s="461"/>
      <c r="W104" s="461"/>
      <c r="X104" s="461"/>
      <c r="Y104" s="668"/>
      <c r="Z104" s="462" t="s">
        <v>138</v>
      </c>
      <c r="AA104" s="141"/>
    </row>
    <row r="105" spans="1:27" s="154" customFormat="1" ht="15">
      <c r="A105" s="514"/>
      <c r="B105" s="507"/>
      <c r="C105" s="330"/>
      <c r="D105" s="459"/>
      <c r="E105" s="332"/>
      <c r="F105" s="341"/>
      <c r="G105" s="341"/>
      <c r="H105" s="341"/>
      <c r="I105" s="341"/>
      <c r="J105" s="341"/>
      <c r="K105" s="342"/>
      <c r="L105" s="342"/>
      <c r="M105" s="460"/>
      <c r="N105" s="460"/>
      <c r="O105" s="342">
        <v>2</v>
      </c>
      <c r="P105" s="336" t="s">
        <v>5097</v>
      </c>
      <c r="Q105" s="461">
        <v>0</v>
      </c>
      <c r="R105" s="461"/>
      <c r="S105" s="461"/>
      <c r="T105" s="461"/>
      <c r="U105" s="461" t="s">
        <v>4125</v>
      </c>
      <c r="V105" s="461"/>
      <c r="W105" s="461"/>
      <c r="X105" s="860"/>
      <c r="Y105" s="584"/>
      <c r="Z105" s="861">
        <v>2</v>
      </c>
      <c r="AA105" s="141"/>
    </row>
    <row r="106" spans="1:27" s="154" customFormat="1" ht="15">
      <c r="A106" s="457"/>
      <c r="B106" s="458"/>
      <c r="C106" s="330"/>
      <c r="D106" s="459"/>
      <c r="E106" s="332"/>
      <c r="F106" s="341"/>
      <c r="G106" s="341"/>
      <c r="H106" s="341"/>
      <c r="I106" s="341"/>
      <c r="J106" s="341"/>
      <c r="K106" s="342"/>
      <c r="L106" s="342"/>
      <c r="M106" s="460"/>
      <c r="N106" s="460"/>
      <c r="O106" s="342">
        <v>3</v>
      </c>
      <c r="P106" s="336" t="s">
        <v>5098</v>
      </c>
      <c r="Q106" s="461">
        <v>0</v>
      </c>
      <c r="R106" s="461"/>
      <c r="S106" s="461"/>
      <c r="T106" s="461"/>
      <c r="U106" s="461" t="s">
        <v>4125</v>
      </c>
      <c r="V106" s="461"/>
      <c r="W106" s="461"/>
      <c r="X106" s="860"/>
      <c r="Y106" s="584"/>
      <c r="Z106" s="861">
        <v>2</v>
      </c>
      <c r="AA106" s="141"/>
    </row>
    <row r="107" spans="1:27" s="154" customFormat="1" ht="15">
      <c r="A107" s="457"/>
      <c r="B107" s="458"/>
      <c r="C107" s="330"/>
      <c r="D107" s="459"/>
      <c r="E107" s="332"/>
      <c r="F107" s="341"/>
      <c r="G107" s="341"/>
      <c r="H107" s="341"/>
      <c r="I107" s="341"/>
      <c r="J107" s="341"/>
      <c r="K107" s="342"/>
      <c r="L107" s="342"/>
      <c r="M107" s="460"/>
      <c r="N107" s="460"/>
      <c r="O107" s="341">
        <v>4</v>
      </c>
      <c r="P107" s="336" t="s">
        <v>5099</v>
      </c>
      <c r="Q107" s="461">
        <v>0</v>
      </c>
      <c r="R107" s="461"/>
      <c r="S107" s="461"/>
      <c r="T107" s="461"/>
      <c r="U107" s="461" t="s">
        <v>4125</v>
      </c>
      <c r="V107" s="461" t="s">
        <v>4125</v>
      </c>
      <c r="W107" s="461"/>
      <c r="X107" s="860"/>
      <c r="Y107" s="584"/>
      <c r="Z107" s="861">
        <v>2</v>
      </c>
      <c r="AA107" s="141"/>
    </row>
    <row r="108" spans="1:27" s="154" customFormat="1" ht="15">
      <c r="A108" s="457"/>
      <c r="B108" s="458"/>
      <c r="C108" s="330"/>
      <c r="D108" s="459"/>
      <c r="E108" s="332"/>
      <c r="F108" s="341"/>
      <c r="G108" s="341"/>
      <c r="H108" s="341"/>
      <c r="I108" s="341"/>
      <c r="J108" s="473"/>
      <c r="K108" s="590"/>
      <c r="L108" s="590"/>
      <c r="M108" s="589"/>
      <c r="N108" s="589"/>
      <c r="O108" s="473">
        <v>5</v>
      </c>
      <c r="P108" s="463" t="s">
        <v>5100</v>
      </c>
      <c r="Q108" s="461">
        <v>0</v>
      </c>
      <c r="R108" s="461"/>
      <c r="S108" s="461"/>
      <c r="T108" s="461"/>
      <c r="U108" s="461" t="s">
        <v>4125</v>
      </c>
      <c r="V108" s="461"/>
      <c r="W108" s="461"/>
      <c r="X108" s="461"/>
      <c r="Y108" s="668"/>
      <c r="Z108" s="462" t="s">
        <v>138</v>
      </c>
      <c r="AA108" s="141"/>
    </row>
    <row r="109" spans="1:27" s="154" customFormat="1" ht="15">
      <c r="A109" s="457"/>
      <c r="B109" s="458"/>
      <c r="C109" s="330"/>
      <c r="D109" s="459"/>
      <c r="E109" s="332"/>
      <c r="F109" s="341"/>
      <c r="G109" s="341"/>
      <c r="H109" s="341"/>
      <c r="I109" s="341"/>
      <c r="J109" s="473"/>
      <c r="K109" s="590"/>
      <c r="L109" s="590"/>
      <c r="M109" s="589"/>
      <c r="N109" s="589"/>
      <c r="O109" s="473">
        <v>6</v>
      </c>
      <c r="P109" s="463" t="s">
        <v>5101</v>
      </c>
      <c r="Q109" s="461">
        <v>0</v>
      </c>
      <c r="R109" s="461"/>
      <c r="S109" s="461"/>
      <c r="T109" s="461"/>
      <c r="U109" s="461" t="s">
        <v>4125</v>
      </c>
      <c r="V109" s="461"/>
      <c r="W109" s="461"/>
      <c r="X109" s="461"/>
      <c r="Y109" s="668"/>
      <c r="Z109" s="462" t="s">
        <v>138</v>
      </c>
      <c r="AA109" s="141"/>
    </row>
    <row r="110" spans="1:27" s="154" customFormat="1" ht="15">
      <c r="A110" s="457"/>
      <c r="B110" s="458"/>
      <c r="C110" s="330"/>
      <c r="D110" s="459"/>
      <c r="E110" s="332"/>
      <c r="F110" s="341"/>
      <c r="G110" s="341"/>
      <c r="H110" s="341"/>
      <c r="I110" s="341"/>
      <c r="J110" s="341"/>
      <c r="K110" s="342"/>
      <c r="L110" s="342"/>
      <c r="M110" s="460"/>
      <c r="N110" s="460"/>
      <c r="O110" s="341">
        <v>7</v>
      </c>
      <c r="P110" s="336" t="s">
        <v>5102</v>
      </c>
      <c r="Q110" s="461">
        <v>0</v>
      </c>
      <c r="R110" s="585"/>
      <c r="S110" s="860"/>
      <c r="T110" s="586"/>
      <c r="U110" s="860" t="s">
        <v>4125</v>
      </c>
      <c r="V110" s="587"/>
      <c r="W110" s="586"/>
      <c r="X110" s="461"/>
      <c r="Y110" s="584"/>
      <c r="Z110" s="861">
        <v>2</v>
      </c>
      <c r="AA110" s="141"/>
    </row>
    <row r="111" spans="1:27" s="154" customFormat="1" ht="14.25">
      <c r="A111" s="514"/>
      <c r="B111" s="515"/>
      <c r="C111" s="336"/>
      <c r="D111" s="331"/>
      <c r="E111" s="332"/>
      <c r="F111" s="332"/>
      <c r="G111" s="332"/>
      <c r="H111" s="332"/>
      <c r="I111" s="332"/>
      <c r="J111" s="461"/>
      <c r="K111" s="624"/>
      <c r="L111" s="624"/>
      <c r="M111" s="667"/>
      <c r="N111" s="667"/>
      <c r="O111" s="461">
        <v>8</v>
      </c>
      <c r="P111" s="463" t="s">
        <v>5103</v>
      </c>
      <c r="Q111" s="461">
        <v>5</v>
      </c>
      <c r="R111" s="463"/>
      <c r="S111" s="461"/>
      <c r="T111" s="461"/>
      <c r="U111" s="461" t="s">
        <v>4125</v>
      </c>
      <c r="V111" s="462"/>
      <c r="W111" s="462"/>
      <c r="X111" s="462"/>
      <c r="Y111" s="463" t="s">
        <v>4989</v>
      </c>
      <c r="Z111" s="462" t="s">
        <v>138</v>
      </c>
      <c r="AA111" s="141"/>
    </row>
    <row r="112" spans="1:27" s="154" customFormat="1" ht="14.25">
      <c r="A112" s="514"/>
      <c r="B112" s="515"/>
      <c r="C112" s="336"/>
      <c r="D112" s="331"/>
      <c r="E112" s="332"/>
      <c r="F112" s="332"/>
      <c r="G112" s="332"/>
      <c r="H112" s="332"/>
      <c r="I112" s="332"/>
      <c r="J112" s="461"/>
      <c r="K112" s="624"/>
      <c r="L112" s="624"/>
      <c r="M112" s="667"/>
      <c r="N112" s="667"/>
      <c r="O112" s="461">
        <v>9</v>
      </c>
      <c r="P112" s="463" t="s">
        <v>5104</v>
      </c>
      <c r="Q112" s="461">
        <v>5</v>
      </c>
      <c r="R112" s="463"/>
      <c r="S112" s="461"/>
      <c r="T112" s="461"/>
      <c r="U112" s="461" t="s">
        <v>4125</v>
      </c>
      <c r="V112" s="462"/>
      <c r="W112" s="462"/>
      <c r="X112" s="462"/>
      <c r="Y112" s="463" t="s">
        <v>4989</v>
      </c>
      <c r="Z112" s="462" t="s">
        <v>184</v>
      </c>
      <c r="AA112" s="141"/>
    </row>
    <row r="113" spans="1:27" s="154" customFormat="1" ht="14.25">
      <c r="A113" s="516"/>
      <c r="B113" s="458"/>
      <c r="C113" s="330"/>
      <c r="D113" s="331"/>
      <c r="E113" s="466"/>
      <c r="F113" s="466"/>
      <c r="G113" s="466"/>
      <c r="H113" s="466"/>
      <c r="I113" s="466"/>
      <c r="J113" s="176"/>
      <c r="K113" s="588"/>
      <c r="L113" s="588"/>
      <c r="M113" s="634"/>
      <c r="N113" s="634"/>
      <c r="O113" s="176">
        <v>10</v>
      </c>
      <c r="P113" s="479" t="s">
        <v>5105</v>
      </c>
      <c r="Q113" s="176">
        <v>5</v>
      </c>
      <c r="R113" s="479"/>
      <c r="S113" s="176"/>
      <c r="T113" s="176" t="s">
        <v>4125</v>
      </c>
      <c r="U113" s="176"/>
      <c r="V113" s="480"/>
      <c r="W113" s="480" t="s">
        <v>4125</v>
      </c>
      <c r="X113" s="480"/>
      <c r="Y113" s="479" t="s">
        <v>4992</v>
      </c>
      <c r="Z113" s="480">
        <v>0</v>
      </c>
      <c r="AA113" s="141"/>
    </row>
    <row r="114" spans="1:27" s="154" customFormat="1" ht="14.25">
      <c r="A114" s="516"/>
      <c r="B114" s="458"/>
      <c r="C114" s="330"/>
      <c r="D114" s="331"/>
      <c r="E114" s="466"/>
      <c r="F114" s="466"/>
      <c r="G114" s="466"/>
      <c r="H114" s="466"/>
      <c r="I114" s="466"/>
      <c r="J114" s="176"/>
      <c r="K114" s="588"/>
      <c r="L114" s="588"/>
      <c r="M114" s="634"/>
      <c r="N114" s="634"/>
      <c r="O114" s="176">
        <v>11</v>
      </c>
      <c r="P114" s="479" t="s">
        <v>5106</v>
      </c>
      <c r="Q114" s="176">
        <v>5</v>
      </c>
      <c r="R114" s="479"/>
      <c r="S114" s="176"/>
      <c r="T114" s="176" t="s">
        <v>4125</v>
      </c>
      <c r="U114" s="176"/>
      <c r="V114" s="480"/>
      <c r="W114" s="480" t="s">
        <v>4125</v>
      </c>
      <c r="X114" s="480"/>
      <c r="Y114" s="479" t="s">
        <v>4994</v>
      </c>
      <c r="Z114" s="480">
        <v>0</v>
      </c>
      <c r="AA114" s="141"/>
    </row>
    <row r="115" spans="1:27" s="154" customFormat="1" ht="14.25">
      <c r="A115" s="487"/>
      <c r="B115" s="329"/>
      <c r="C115" s="330"/>
      <c r="D115" s="331"/>
      <c r="E115" s="503"/>
      <c r="F115" s="466"/>
      <c r="G115" s="466"/>
      <c r="H115" s="466"/>
      <c r="I115" s="466"/>
      <c r="J115" s="466"/>
      <c r="K115" s="467"/>
      <c r="L115" s="467"/>
      <c r="M115" s="468"/>
      <c r="N115" s="469"/>
      <c r="O115" s="492"/>
      <c r="P115" s="491"/>
      <c r="Q115" s="405"/>
      <c r="R115" s="491"/>
      <c r="S115" s="405"/>
      <c r="T115" s="405"/>
      <c r="U115" s="405"/>
      <c r="V115" s="308"/>
      <c r="W115" s="308"/>
      <c r="X115" s="308"/>
      <c r="Y115" s="491"/>
      <c r="Z115" s="308"/>
      <c r="AA115" s="141"/>
    </row>
    <row r="116" spans="1:27" s="154" customFormat="1" ht="28.5">
      <c r="A116" s="501" t="s">
        <v>5107</v>
      </c>
      <c r="B116" s="310" t="s">
        <v>223</v>
      </c>
      <c r="C116" s="327" t="s">
        <v>5108</v>
      </c>
      <c r="D116" s="456" t="s">
        <v>4978</v>
      </c>
      <c r="E116" s="322">
        <v>0</v>
      </c>
      <c r="F116" s="322">
        <v>100</v>
      </c>
      <c r="G116" s="322" t="s">
        <v>41</v>
      </c>
      <c r="H116" s="322">
        <v>80</v>
      </c>
      <c r="I116" s="322">
        <v>100</v>
      </c>
      <c r="J116" s="693">
        <v>104</v>
      </c>
      <c r="K116" s="323" t="s">
        <v>4125</v>
      </c>
      <c r="L116" s="323"/>
      <c r="M116" s="324" t="s">
        <v>4979</v>
      </c>
      <c r="N116" s="324" t="s">
        <v>4980</v>
      </c>
      <c r="O116" s="342"/>
      <c r="P116" s="330"/>
      <c r="Q116" s="341"/>
      <c r="R116" s="330"/>
      <c r="S116" s="341"/>
      <c r="T116" s="341"/>
      <c r="U116" s="341"/>
      <c r="V116" s="315"/>
      <c r="W116" s="315"/>
      <c r="X116" s="315"/>
      <c r="Y116" s="330"/>
      <c r="Z116" s="315"/>
      <c r="AA116" s="679"/>
    </row>
    <row r="117" spans="1:27" s="154" customFormat="1" ht="15">
      <c r="A117" s="514"/>
      <c r="B117" s="507"/>
      <c r="C117" s="330"/>
      <c r="D117" s="459"/>
      <c r="E117" s="332"/>
      <c r="F117" s="341"/>
      <c r="G117" s="341"/>
      <c r="H117" s="341"/>
      <c r="I117" s="341"/>
      <c r="J117" s="473"/>
      <c r="K117" s="590"/>
      <c r="L117" s="590"/>
      <c r="M117" s="589"/>
      <c r="N117" s="589"/>
      <c r="O117" s="590">
        <v>1</v>
      </c>
      <c r="P117" s="472" t="s">
        <v>5109</v>
      </c>
      <c r="Q117" s="473">
        <v>0</v>
      </c>
      <c r="R117" s="461"/>
      <c r="S117" s="461"/>
      <c r="T117" s="461"/>
      <c r="U117" s="461" t="s">
        <v>4125</v>
      </c>
      <c r="V117" s="461"/>
      <c r="W117" s="461"/>
      <c r="X117" s="461"/>
      <c r="Y117" s="668"/>
      <c r="Z117" s="462" t="s">
        <v>138</v>
      </c>
      <c r="AA117" s="141"/>
    </row>
    <row r="118" spans="1:27" s="154" customFormat="1" ht="15">
      <c r="A118" s="514"/>
      <c r="B118" s="507"/>
      <c r="C118" s="330"/>
      <c r="D118" s="459"/>
      <c r="E118" s="332"/>
      <c r="F118" s="341"/>
      <c r="G118" s="341"/>
      <c r="H118" s="341"/>
      <c r="I118" s="341"/>
      <c r="J118" s="341"/>
      <c r="K118" s="342"/>
      <c r="L118" s="342"/>
      <c r="M118" s="460"/>
      <c r="N118" s="460"/>
      <c r="O118" s="342">
        <v>2</v>
      </c>
      <c r="P118" s="336" t="s">
        <v>5110</v>
      </c>
      <c r="Q118" s="461">
        <v>0</v>
      </c>
      <c r="R118" s="461"/>
      <c r="S118" s="461"/>
      <c r="T118" s="461"/>
      <c r="U118" s="461" t="s">
        <v>4125</v>
      </c>
      <c r="V118" s="461"/>
      <c r="W118" s="461"/>
      <c r="X118" s="860"/>
      <c r="Y118" s="584"/>
      <c r="Z118" s="861">
        <v>2</v>
      </c>
      <c r="AA118" s="141"/>
    </row>
    <row r="119" spans="1:27" s="154" customFormat="1" ht="15">
      <c r="A119" s="457"/>
      <c r="B119" s="458"/>
      <c r="C119" s="330"/>
      <c r="D119" s="459"/>
      <c r="E119" s="332"/>
      <c r="F119" s="341"/>
      <c r="G119" s="341"/>
      <c r="H119" s="341"/>
      <c r="I119" s="341"/>
      <c r="J119" s="341"/>
      <c r="K119" s="342"/>
      <c r="L119" s="342"/>
      <c r="M119" s="460"/>
      <c r="N119" s="460"/>
      <c r="O119" s="342">
        <v>3</v>
      </c>
      <c r="P119" s="336" t="s">
        <v>5111</v>
      </c>
      <c r="Q119" s="461">
        <v>0</v>
      </c>
      <c r="R119" s="461"/>
      <c r="S119" s="461"/>
      <c r="T119" s="461"/>
      <c r="U119" s="461" t="s">
        <v>4125</v>
      </c>
      <c r="V119" s="461"/>
      <c r="W119" s="461"/>
      <c r="X119" s="860"/>
      <c r="Y119" s="584"/>
      <c r="Z119" s="861">
        <v>2</v>
      </c>
      <c r="AA119" s="141"/>
    </row>
    <row r="120" spans="1:27" s="154" customFormat="1" ht="15">
      <c r="A120" s="457"/>
      <c r="B120" s="458"/>
      <c r="C120" s="330"/>
      <c r="D120" s="459"/>
      <c r="E120" s="332"/>
      <c r="F120" s="341"/>
      <c r="G120" s="341"/>
      <c r="H120" s="341"/>
      <c r="I120" s="341"/>
      <c r="J120" s="341"/>
      <c r="K120" s="342"/>
      <c r="L120" s="342"/>
      <c r="M120" s="460"/>
      <c r="N120" s="460"/>
      <c r="O120" s="341">
        <v>4</v>
      </c>
      <c r="P120" s="336" t="s">
        <v>5112</v>
      </c>
      <c r="Q120" s="461">
        <v>0</v>
      </c>
      <c r="R120" s="461"/>
      <c r="S120" s="461"/>
      <c r="T120" s="461"/>
      <c r="U120" s="461" t="s">
        <v>4125</v>
      </c>
      <c r="V120" s="461" t="s">
        <v>4125</v>
      </c>
      <c r="W120" s="461"/>
      <c r="X120" s="860"/>
      <c r="Y120" s="584"/>
      <c r="Z120" s="861">
        <v>2</v>
      </c>
      <c r="AA120" s="141"/>
    </row>
    <row r="121" spans="1:27" s="154" customFormat="1" ht="15">
      <c r="A121" s="457"/>
      <c r="B121" s="458"/>
      <c r="C121" s="330"/>
      <c r="D121" s="459"/>
      <c r="E121" s="332"/>
      <c r="F121" s="341"/>
      <c r="G121" s="341"/>
      <c r="H121" s="341"/>
      <c r="I121" s="341"/>
      <c r="J121" s="473"/>
      <c r="K121" s="590"/>
      <c r="L121" s="590"/>
      <c r="M121" s="589"/>
      <c r="N121" s="589"/>
      <c r="O121" s="473">
        <v>5</v>
      </c>
      <c r="P121" s="463" t="s">
        <v>5113</v>
      </c>
      <c r="Q121" s="461">
        <v>0</v>
      </c>
      <c r="R121" s="461"/>
      <c r="S121" s="461"/>
      <c r="T121" s="461"/>
      <c r="U121" s="461" t="s">
        <v>4125</v>
      </c>
      <c r="V121" s="461"/>
      <c r="W121" s="461"/>
      <c r="X121" s="461"/>
      <c r="Y121" s="668"/>
      <c r="Z121" s="462" t="s">
        <v>138</v>
      </c>
      <c r="AA121" s="141"/>
    </row>
    <row r="122" spans="1:27" s="154" customFormat="1" ht="15">
      <c r="A122" s="457"/>
      <c r="B122" s="458"/>
      <c r="C122" s="330"/>
      <c r="D122" s="459"/>
      <c r="E122" s="332"/>
      <c r="F122" s="341"/>
      <c r="G122" s="341"/>
      <c r="H122" s="341"/>
      <c r="I122" s="341"/>
      <c r="J122" s="473"/>
      <c r="K122" s="590"/>
      <c r="L122" s="590"/>
      <c r="M122" s="589"/>
      <c r="N122" s="589"/>
      <c r="O122" s="473">
        <v>6</v>
      </c>
      <c r="P122" s="463" t="s">
        <v>5114</v>
      </c>
      <c r="Q122" s="461">
        <v>0</v>
      </c>
      <c r="R122" s="461"/>
      <c r="S122" s="461"/>
      <c r="T122" s="461"/>
      <c r="U122" s="461" t="s">
        <v>4125</v>
      </c>
      <c r="V122" s="461"/>
      <c r="W122" s="461"/>
      <c r="X122" s="461"/>
      <c r="Y122" s="668"/>
      <c r="Z122" s="462" t="s">
        <v>138</v>
      </c>
      <c r="AA122" s="141"/>
    </row>
    <row r="123" spans="1:27" s="154" customFormat="1" ht="15">
      <c r="A123" s="457"/>
      <c r="B123" s="458"/>
      <c r="C123" s="330"/>
      <c r="D123" s="459"/>
      <c r="E123" s="332"/>
      <c r="F123" s="341"/>
      <c r="G123" s="341"/>
      <c r="H123" s="341"/>
      <c r="I123" s="341"/>
      <c r="J123" s="341"/>
      <c r="K123" s="342"/>
      <c r="L123" s="342"/>
      <c r="M123" s="460"/>
      <c r="N123" s="460"/>
      <c r="O123" s="341">
        <v>7</v>
      </c>
      <c r="P123" s="336" t="s">
        <v>5115</v>
      </c>
      <c r="Q123" s="461">
        <v>0</v>
      </c>
      <c r="R123" s="585"/>
      <c r="S123" s="860"/>
      <c r="T123" s="586"/>
      <c r="U123" s="860" t="s">
        <v>4125</v>
      </c>
      <c r="V123" s="587"/>
      <c r="W123" s="586"/>
      <c r="X123" s="461"/>
      <c r="Y123" s="584"/>
      <c r="Z123" s="861">
        <v>2</v>
      </c>
      <c r="AA123" s="141"/>
    </row>
    <row r="124" spans="1:27" s="154" customFormat="1" ht="14.25">
      <c r="A124" s="514"/>
      <c r="B124" s="515"/>
      <c r="C124" s="336"/>
      <c r="D124" s="331"/>
      <c r="E124" s="332"/>
      <c r="F124" s="332"/>
      <c r="G124" s="332"/>
      <c r="H124" s="332"/>
      <c r="I124" s="332"/>
      <c r="J124" s="461"/>
      <c r="K124" s="624"/>
      <c r="L124" s="624"/>
      <c r="M124" s="667"/>
      <c r="N124" s="667"/>
      <c r="O124" s="461">
        <v>8</v>
      </c>
      <c r="P124" s="463" t="s">
        <v>5116</v>
      </c>
      <c r="Q124" s="461">
        <v>5</v>
      </c>
      <c r="R124" s="463"/>
      <c r="S124" s="461"/>
      <c r="T124" s="461"/>
      <c r="U124" s="461" t="s">
        <v>4125</v>
      </c>
      <c r="V124" s="462"/>
      <c r="W124" s="462"/>
      <c r="X124" s="462"/>
      <c r="Y124" s="463" t="s">
        <v>4989</v>
      </c>
      <c r="Z124" s="462" t="s">
        <v>184</v>
      </c>
      <c r="AA124" s="141"/>
    </row>
    <row r="125" spans="1:27" s="154" customFormat="1" ht="14.25">
      <c r="A125" s="514"/>
      <c r="B125" s="515"/>
      <c r="C125" s="336"/>
      <c r="D125" s="331"/>
      <c r="E125" s="332"/>
      <c r="F125" s="332"/>
      <c r="G125" s="332"/>
      <c r="H125" s="332"/>
      <c r="I125" s="332"/>
      <c r="J125" s="461"/>
      <c r="K125" s="624"/>
      <c r="L125" s="624"/>
      <c r="M125" s="667"/>
      <c r="N125" s="667"/>
      <c r="O125" s="461">
        <v>9</v>
      </c>
      <c r="P125" s="463" t="s">
        <v>5117</v>
      </c>
      <c r="Q125" s="461">
        <v>5</v>
      </c>
      <c r="R125" s="463"/>
      <c r="S125" s="461"/>
      <c r="T125" s="461"/>
      <c r="U125" s="461" t="s">
        <v>4125</v>
      </c>
      <c r="V125" s="462"/>
      <c r="W125" s="462"/>
      <c r="X125" s="462"/>
      <c r="Y125" s="463" t="s">
        <v>4989</v>
      </c>
      <c r="Z125" s="462" t="s">
        <v>184</v>
      </c>
      <c r="AA125" s="141"/>
    </row>
    <row r="126" spans="1:27" s="154" customFormat="1" ht="14.25">
      <c r="A126" s="516"/>
      <c r="B126" s="458"/>
      <c r="C126" s="330"/>
      <c r="D126" s="331"/>
      <c r="E126" s="466"/>
      <c r="F126" s="466"/>
      <c r="G126" s="466"/>
      <c r="H126" s="466"/>
      <c r="I126" s="466"/>
      <c r="J126" s="176"/>
      <c r="K126" s="588"/>
      <c r="L126" s="588"/>
      <c r="M126" s="634"/>
      <c r="N126" s="634"/>
      <c r="O126" s="176">
        <v>10</v>
      </c>
      <c r="P126" s="479" t="s">
        <v>5118</v>
      </c>
      <c r="Q126" s="176">
        <v>5</v>
      </c>
      <c r="R126" s="479"/>
      <c r="S126" s="176"/>
      <c r="T126" s="176" t="s">
        <v>4125</v>
      </c>
      <c r="U126" s="176"/>
      <c r="V126" s="480"/>
      <c r="W126" s="480" t="s">
        <v>4125</v>
      </c>
      <c r="X126" s="480"/>
      <c r="Y126" s="479" t="s">
        <v>4992</v>
      </c>
      <c r="Z126" s="480">
        <v>0</v>
      </c>
      <c r="AA126" s="141"/>
    </row>
    <row r="127" spans="1:27" s="154" customFormat="1" ht="14.25">
      <c r="A127" s="516"/>
      <c r="B127" s="458"/>
      <c r="C127" s="330"/>
      <c r="D127" s="331"/>
      <c r="E127" s="466"/>
      <c r="F127" s="466"/>
      <c r="G127" s="466"/>
      <c r="H127" s="466"/>
      <c r="I127" s="466"/>
      <c r="J127" s="176"/>
      <c r="K127" s="588"/>
      <c r="L127" s="588"/>
      <c r="M127" s="634"/>
      <c r="N127" s="634"/>
      <c r="O127" s="176">
        <v>11</v>
      </c>
      <c r="P127" s="479" t="s">
        <v>5119</v>
      </c>
      <c r="Q127" s="176">
        <v>5</v>
      </c>
      <c r="R127" s="479"/>
      <c r="S127" s="176"/>
      <c r="T127" s="176" t="s">
        <v>4125</v>
      </c>
      <c r="U127" s="176"/>
      <c r="V127" s="480"/>
      <c r="W127" s="480" t="s">
        <v>4125</v>
      </c>
      <c r="X127" s="480"/>
      <c r="Y127" s="479" t="s">
        <v>4994</v>
      </c>
      <c r="Z127" s="480">
        <v>0</v>
      </c>
      <c r="AA127" s="141"/>
    </row>
    <row r="128" spans="1:27" s="154" customFormat="1" ht="14.25">
      <c r="A128" s="487"/>
      <c r="B128" s="490"/>
      <c r="C128" s="491"/>
      <c r="D128" s="345"/>
      <c r="E128" s="503"/>
      <c r="F128" s="405"/>
      <c r="G128" s="405"/>
      <c r="H128" s="405"/>
      <c r="I128" s="405"/>
      <c r="J128" s="405"/>
      <c r="K128" s="492"/>
      <c r="L128" s="492"/>
      <c r="M128" s="493"/>
      <c r="N128" s="494"/>
      <c r="O128" s="492"/>
      <c r="P128" s="491"/>
      <c r="Q128" s="405"/>
      <c r="R128" s="491"/>
      <c r="S128" s="405"/>
      <c r="T128" s="405"/>
      <c r="U128" s="405"/>
      <c r="V128" s="308"/>
      <c r="W128" s="308"/>
      <c r="X128" s="308"/>
      <c r="Y128" s="491"/>
      <c r="Z128" s="308"/>
      <c r="AA128" s="141"/>
    </row>
    <row r="129" spans="1:27" s="154" customFormat="1" ht="28.5">
      <c r="A129" s="501" t="s">
        <v>5120</v>
      </c>
      <c r="B129" s="310" t="s">
        <v>223</v>
      </c>
      <c r="C129" s="327" t="s">
        <v>5121</v>
      </c>
      <c r="D129" s="456" t="s">
        <v>4978</v>
      </c>
      <c r="E129" s="322">
        <v>0</v>
      </c>
      <c r="F129" s="322">
        <v>100</v>
      </c>
      <c r="G129" s="322" t="s">
        <v>41</v>
      </c>
      <c r="H129" s="322">
        <v>80</v>
      </c>
      <c r="I129" s="322">
        <v>100</v>
      </c>
      <c r="J129" s="693">
        <v>104</v>
      </c>
      <c r="K129" s="323" t="s">
        <v>4125</v>
      </c>
      <c r="L129" s="323"/>
      <c r="M129" s="324" t="s">
        <v>4979</v>
      </c>
      <c r="N129" s="324" t="s">
        <v>4980</v>
      </c>
      <c r="O129" s="323"/>
      <c r="P129" s="327"/>
      <c r="Q129" s="322"/>
      <c r="R129" s="327"/>
      <c r="S129" s="322"/>
      <c r="T129" s="322"/>
      <c r="U129" s="322"/>
      <c r="V129" s="326"/>
      <c r="W129" s="326"/>
      <c r="X129" s="326"/>
      <c r="Y129" s="327"/>
      <c r="Z129" s="315"/>
      <c r="AA129" s="679"/>
    </row>
    <row r="130" spans="1:27" s="154" customFormat="1" ht="15">
      <c r="A130" s="514"/>
      <c r="B130" s="515"/>
      <c r="C130" s="336"/>
      <c r="D130" s="331"/>
      <c r="E130" s="332"/>
      <c r="F130" s="332"/>
      <c r="G130" s="332"/>
      <c r="H130" s="332"/>
      <c r="I130" s="332"/>
      <c r="J130" s="461"/>
      <c r="K130" s="624"/>
      <c r="L130" s="624"/>
      <c r="M130" s="667"/>
      <c r="N130" s="667"/>
      <c r="O130" s="590">
        <v>1</v>
      </c>
      <c r="P130" s="472" t="s">
        <v>5122</v>
      </c>
      <c r="Q130" s="473">
        <v>0</v>
      </c>
      <c r="R130" s="461"/>
      <c r="S130" s="461"/>
      <c r="T130" s="461"/>
      <c r="U130" s="461" t="s">
        <v>4125</v>
      </c>
      <c r="V130" s="461"/>
      <c r="W130" s="461"/>
      <c r="X130" s="461"/>
      <c r="Y130" s="668"/>
      <c r="Z130" s="462" t="s">
        <v>138</v>
      </c>
      <c r="AA130" s="141"/>
    </row>
    <row r="131" spans="1:27" s="154" customFormat="1" ht="15">
      <c r="A131" s="514"/>
      <c r="B131" s="515"/>
      <c r="C131" s="336"/>
      <c r="D131" s="331"/>
      <c r="E131" s="332"/>
      <c r="F131" s="332"/>
      <c r="G131" s="332"/>
      <c r="H131" s="332"/>
      <c r="I131" s="332"/>
      <c r="J131" s="332"/>
      <c r="K131" s="333"/>
      <c r="L131" s="333"/>
      <c r="M131" s="509"/>
      <c r="N131" s="509"/>
      <c r="O131" s="342">
        <v>2</v>
      </c>
      <c r="P131" s="336" t="s">
        <v>5123</v>
      </c>
      <c r="Q131" s="461">
        <v>0</v>
      </c>
      <c r="R131" s="461"/>
      <c r="S131" s="461"/>
      <c r="T131" s="461"/>
      <c r="U131" s="461" t="s">
        <v>4125</v>
      </c>
      <c r="V131" s="461"/>
      <c r="W131" s="461"/>
      <c r="X131" s="860"/>
      <c r="Y131" s="584"/>
      <c r="Z131" s="861">
        <v>2</v>
      </c>
      <c r="AA131" s="141"/>
    </row>
    <row r="132" spans="1:27" s="154" customFormat="1" ht="15">
      <c r="A132" s="457"/>
      <c r="B132" s="458"/>
      <c r="C132" s="330"/>
      <c r="D132" s="459"/>
      <c r="E132" s="332"/>
      <c r="F132" s="341"/>
      <c r="G132" s="341"/>
      <c r="H132" s="341"/>
      <c r="I132" s="341"/>
      <c r="J132" s="341"/>
      <c r="K132" s="342"/>
      <c r="L132" s="342"/>
      <c r="M132" s="460"/>
      <c r="N132" s="460"/>
      <c r="O132" s="342">
        <v>3</v>
      </c>
      <c r="P132" s="336" t="s">
        <v>5124</v>
      </c>
      <c r="Q132" s="461">
        <v>0</v>
      </c>
      <c r="R132" s="461"/>
      <c r="S132" s="461"/>
      <c r="T132" s="461"/>
      <c r="U132" s="461" t="s">
        <v>4125</v>
      </c>
      <c r="V132" s="461"/>
      <c r="W132" s="461"/>
      <c r="X132" s="860"/>
      <c r="Y132" s="584"/>
      <c r="Z132" s="861">
        <v>2</v>
      </c>
      <c r="AA132" s="141"/>
    </row>
    <row r="133" spans="1:27" s="154" customFormat="1" ht="15">
      <c r="A133" s="457"/>
      <c r="B133" s="458"/>
      <c r="C133" s="330"/>
      <c r="D133" s="459"/>
      <c r="E133" s="332"/>
      <c r="F133" s="341"/>
      <c r="G133" s="341"/>
      <c r="H133" s="341"/>
      <c r="I133" s="341"/>
      <c r="J133" s="341"/>
      <c r="K133" s="342"/>
      <c r="L133" s="342"/>
      <c r="M133" s="460"/>
      <c r="N133" s="460"/>
      <c r="O133" s="341">
        <v>4</v>
      </c>
      <c r="P133" s="336" t="s">
        <v>5125</v>
      </c>
      <c r="Q133" s="461">
        <v>0</v>
      </c>
      <c r="R133" s="461"/>
      <c r="S133" s="461"/>
      <c r="T133" s="461"/>
      <c r="U133" s="461" t="s">
        <v>4125</v>
      </c>
      <c r="V133" s="461" t="s">
        <v>4125</v>
      </c>
      <c r="W133" s="461"/>
      <c r="X133" s="860"/>
      <c r="Y133" s="584"/>
      <c r="Z133" s="861">
        <v>2</v>
      </c>
      <c r="AA133" s="141"/>
    </row>
    <row r="134" spans="1:27" s="154" customFormat="1" ht="15">
      <c r="A134" s="457"/>
      <c r="B134" s="458"/>
      <c r="C134" s="330"/>
      <c r="D134" s="459"/>
      <c r="E134" s="332"/>
      <c r="F134" s="341"/>
      <c r="G134" s="341"/>
      <c r="H134" s="341"/>
      <c r="I134" s="341"/>
      <c r="J134" s="473"/>
      <c r="K134" s="590"/>
      <c r="L134" s="590"/>
      <c r="M134" s="589"/>
      <c r="N134" s="589"/>
      <c r="O134" s="473">
        <v>5</v>
      </c>
      <c r="P134" s="463" t="s">
        <v>5126</v>
      </c>
      <c r="Q134" s="461">
        <v>0</v>
      </c>
      <c r="R134" s="461"/>
      <c r="S134" s="461"/>
      <c r="T134" s="461"/>
      <c r="U134" s="461" t="s">
        <v>4125</v>
      </c>
      <c r="V134" s="461"/>
      <c r="W134" s="461"/>
      <c r="X134" s="461"/>
      <c r="Y134" s="668"/>
      <c r="Z134" s="462" t="s">
        <v>138</v>
      </c>
      <c r="AA134" s="141"/>
    </row>
    <row r="135" spans="1:27" s="154" customFormat="1" ht="15">
      <c r="A135" s="457"/>
      <c r="B135" s="458"/>
      <c r="C135" s="330"/>
      <c r="D135" s="459"/>
      <c r="E135" s="332"/>
      <c r="F135" s="341"/>
      <c r="G135" s="341"/>
      <c r="H135" s="341"/>
      <c r="I135" s="341"/>
      <c r="J135" s="473"/>
      <c r="K135" s="590"/>
      <c r="L135" s="590"/>
      <c r="M135" s="589"/>
      <c r="N135" s="589"/>
      <c r="O135" s="473">
        <v>6</v>
      </c>
      <c r="P135" s="463" t="s">
        <v>5127</v>
      </c>
      <c r="Q135" s="461">
        <v>0</v>
      </c>
      <c r="R135" s="461"/>
      <c r="S135" s="461"/>
      <c r="T135" s="461"/>
      <c r="U135" s="461" t="s">
        <v>4125</v>
      </c>
      <c r="V135" s="461"/>
      <c r="W135" s="461"/>
      <c r="X135" s="461"/>
      <c r="Y135" s="668"/>
      <c r="Z135" s="462" t="s">
        <v>138</v>
      </c>
      <c r="AA135" s="141"/>
    </row>
    <row r="136" spans="1:27" s="154" customFormat="1" ht="15">
      <c r="A136" s="457"/>
      <c r="B136" s="458"/>
      <c r="C136" s="330"/>
      <c r="D136" s="459"/>
      <c r="E136" s="332"/>
      <c r="F136" s="341"/>
      <c r="G136" s="341"/>
      <c r="H136" s="341"/>
      <c r="I136" s="341"/>
      <c r="J136" s="341"/>
      <c r="K136" s="342"/>
      <c r="L136" s="342"/>
      <c r="M136" s="460"/>
      <c r="N136" s="460"/>
      <c r="O136" s="341">
        <v>7</v>
      </c>
      <c r="P136" s="336" t="s">
        <v>5128</v>
      </c>
      <c r="Q136" s="461">
        <v>0</v>
      </c>
      <c r="R136" s="585"/>
      <c r="S136" s="860"/>
      <c r="T136" s="586"/>
      <c r="U136" s="860" t="s">
        <v>4125</v>
      </c>
      <c r="V136" s="587"/>
      <c r="W136" s="586"/>
      <c r="X136" s="461"/>
      <c r="Y136" s="584"/>
      <c r="Z136" s="861">
        <v>2</v>
      </c>
      <c r="AA136" s="141"/>
    </row>
    <row r="137" spans="1:27" s="154" customFormat="1" ht="14.25">
      <c r="A137" s="514"/>
      <c r="B137" s="515"/>
      <c r="C137" s="336"/>
      <c r="D137" s="331"/>
      <c r="E137" s="332"/>
      <c r="F137" s="332"/>
      <c r="G137" s="332"/>
      <c r="H137" s="332"/>
      <c r="I137" s="332"/>
      <c r="J137" s="461"/>
      <c r="K137" s="624"/>
      <c r="L137" s="624"/>
      <c r="M137" s="667"/>
      <c r="N137" s="667"/>
      <c r="O137" s="461">
        <v>8</v>
      </c>
      <c r="P137" s="463" t="s">
        <v>5129</v>
      </c>
      <c r="Q137" s="461">
        <v>5</v>
      </c>
      <c r="R137" s="463"/>
      <c r="S137" s="461"/>
      <c r="T137" s="461"/>
      <c r="U137" s="461" t="s">
        <v>4125</v>
      </c>
      <c r="V137" s="462"/>
      <c r="W137" s="462"/>
      <c r="X137" s="462"/>
      <c r="Y137" s="463" t="s">
        <v>4989</v>
      </c>
      <c r="Z137" s="462" t="s">
        <v>184</v>
      </c>
      <c r="AA137" s="141"/>
    </row>
    <row r="138" spans="1:27" s="154" customFormat="1" ht="14.25">
      <c r="A138" s="514"/>
      <c r="B138" s="515"/>
      <c r="C138" s="336"/>
      <c r="D138" s="331"/>
      <c r="E138" s="332"/>
      <c r="F138" s="332"/>
      <c r="G138" s="332"/>
      <c r="H138" s="332"/>
      <c r="I138" s="332"/>
      <c r="J138" s="461"/>
      <c r="K138" s="624"/>
      <c r="L138" s="624"/>
      <c r="M138" s="667"/>
      <c r="N138" s="667"/>
      <c r="O138" s="461">
        <v>9</v>
      </c>
      <c r="P138" s="463" t="s">
        <v>5130</v>
      </c>
      <c r="Q138" s="461">
        <v>5</v>
      </c>
      <c r="R138" s="463"/>
      <c r="S138" s="461"/>
      <c r="T138" s="461"/>
      <c r="U138" s="461" t="s">
        <v>4125</v>
      </c>
      <c r="V138" s="462"/>
      <c r="W138" s="462"/>
      <c r="X138" s="462"/>
      <c r="Y138" s="463" t="s">
        <v>4989</v>
      </c>
      <c r="Z138" s="462" t="s">
        <v>184</v>
      </c>
      <c r="AA138" s="141"/>
    </row>
    <row r="139" spans="1:27" s="154" customFormat="1" ht="14.25">
      <c r="A139" s="516"/>
      <c r="B139" s="458"/>
      <c r="C139" s="330"/>
      <c r="D139" s="331"/>
      <c r="E139" s="466"/>
      <c r="F139" s="466"/>
      <c r="G139" s="466"/>
      <c r="H139" s="466"/>
      <c r="I139" s="466"/>
      <c r="J139" s="176"/>
      <c r="K139" s="588"/>
      <c r="L139" s="588"/>
      <c r="M139" s="634"/>
      <c r="N139" s="634"/>
      <c r="O139" s="176">
        <v>10</v>
      </c>
      <c r="P139" s="479" t="s">
        <v>5131</v>
      </c>
      <c r="Q139" s="176">
        <v>5</v>
      </c>
      <c r="R139" s="479"/>
      <c r="S139" s="176"/>
      <c r="T139" s="176" t="s">
        <v>4125</v>
      </c>
      <c r="U139" s="176"/>
      <c r="V139" s="480"/>
      <c r="W139" s="480" t="s">
        <v>4125</v>
      </c>
      <c r="X139" s="480"/>
      <c r="Y139" s="479" t="s">
        <v>4992</v>
      </c>
      <c r="Z139" s="480">
        <v>0</v>
      </c>
      <c r="AA139" s="141"/>
    </row>
    <row r="140" spans="1:27" s="154" customFormat="1" ht="14.25">
      <c r="A140" s="516"/>
      <c r="B140" s="458"/>
      <c r="C140" s="330"/>
      <c r="D140" s="331"/>
      <c r="E140" s="466"/>
      <c r="F140" s="466"/>
      <c r="G140" s="466"/>
      <c r="H140" s="466"/>
      <c r="I140" s="466"/>
      <c r="J140" s="176"/>
      <c r="K140" s="588"/>
      <c r="L140" s="588"/>
      <c r="M140" s="634"/>
      <c r="N140" s="634"/>
      <c r="O140" s="176">
        <v>11</v>
      </c>
      <c r="P140" s="479" t="s">
        <v>5132</v>
      </c>
      <c r="Q140" s="176">
        <v>5</v>
      </c>
      <c r="R140" s="479"/>
      <c r="S140" s="176"/>
      <c r="T140" s="176" t="s">
        <v>4125</v>
      </c>
      <c r="U140" s="176"/>
      <c r="V140" s="480"/>
      <c r="W140" s="480" t="s">
        <v>4125</v>
      </c>
      <c r="X140" s="480"/>
      <c r="Y140" s="479" t="s">
        <v>4994</v>
      </c>
      <c r="Z140" s="480">
        <v>0</v>
      </c>
      <c r="AA140" s="141"/>
    </row>
    <row r="141" spans="1:27" s="154" customFormat="1" ht="14.25">
      <c r="A141" s="487"/>
      <c r="B141" s="490"/>
      <c r="C141" s="491"/>
      <c r="D141" s="345"/>
      <c r="E141" s="503"/>
      <c r="F141" s="405"/>
      <c r="G141" s="405"/>
      <c r="H141" s="405"/>
      <c r="I141" s="405"/>
      <c r="J141" s="405"/>
      <c r="K141" s="492"/>
      <c r="L141" s="492"/>
      <c r="M141" s="493"/>
      <c r="N141" s="494"/>
      <c r="O141" s="492"/>
      <c r="P141" s="491"/>
      <c r="Q141" s="405"/>
      <c r="R141" s="491"/>
      <c r="S141" s="405"/>
      <c r="T141" s="405"/>
      <c r="U141" s="405"/>
      <c r="V141" s="308"/>
      <c r="W141" s="308"/>
      <c r="X141" s="308"/>
      <c r="Y141" s="491"/>
      <c r="Z141" s="308"/>
      <c r="AA141" s="141"/>
    </row>
    <row r="142" spans="1:27" s="154" customFormat="1" ht="28.5">
      <c r="A142" s="500" t="s">
        <v>5133</v>
      </c>
      <c r="B142" s="310" t="s">
        <v>223</v>
      </c>
      <c r="C142" s="327" t="s">
        <v>5134</v>
      </c>
      <c r="D142" s="456" t="s">
        <v>5023</v>
      </c>
      <c r="E142" s="513"/>
      <c r="F142" s="513"/>
      <c r="G142" s="513"/>
      <c r="H142" s="513"/>
      <c r="I142" s="513"/>
      <c r="J142" s="775">
        <v>1.66</v>
      </c>
      <c r="K142" s="588"/>
      <c r="L142" s="588" t="s">
        <v>4125</v>
      </c>
      <c r="M142" s="777" t="s">
        <v>5135</v>
      </c>
      <c r="N142" s="778" t="s">
        <v>5136</v>
      </c>
      <c r="O142" s="624"/>
      <c r="P142" s="463"/>
      <c r="Q142" s="461"/>
      <c r="R142" s="463"/>
      <c r="S142" s="461"/>
      <c r="T142" s="461"/>
      <c r="U142" s="461"/>
      <c r="V142" s="462"/>
      <c r="W142" s="462"/>
      <c r="X142" s="462"/>
      <c r="Y142" s="463"/>
      <c r="Z142" s="462">
        <v>1</v>
      </c>
      <c r="AA142" s="679"/>
    </row>
    <row r="143" spans="1:27" s="154" customFormat="1" ht="15">
      <c r="A143" s="337"/>
      <c r="B143" s="507"/>
      <c r="C143" s="336"/>
      <c r="D143" s="331"/>
      <c r="E143" s="332"/>
      <c r="F143" s="332"/>
      <c r="G143" s="332"/>
      <c r="H143" s="332"/>
      <c r="I143" s="466"/>
      <c r="J143" s="176"/>
      <c r="K143" s="588"/>
      <c r="L143" s="588"/>
      <c r="M143" s="634"/>
      <c r="N143" s="667"/>
      <c r="O143" s="590">
        <v>1</v>
      </c>
      <c r="P143" s="472" t="s">
        <v>5137</v>
      </c>
      <c r="Q143" s="473">
        <v>0</v>
      </c>
      <c r="R143" s="461"/>
      <c r="S143" s="461"/>
      <c r="T143" s="461"/>
      <c r="U143" s="461" t="s">
        <v>4125</v>
      </c>
      <c r="V143" s="461"/>
      <c r="W143" s="461"/>
      <c r="X143" s="461"/>
      <c r="Y143" s="668"/>
      <c r="Z143" s="462" t="s">
        <v>138</v>
      </c>
      <c r="AA143" s="141"/>
    </row>
    <row r="144" spans="1:27" s="154" customFormat="1" ht="15">
      <c r="A144" s="499"/>
      <c r="B144" s="507"/>
      <c r="C144" s="336"/>
      <c r="D144" s="331"/>
      <c r="E144" s="332"/>
      <c r="F144" s="332"/>
      <c r="G144" s="332"/>
      <c r="H144" s="332"/>
      <c r="I144" s="466"/>
      <c r="J144" s="466"/>
      <c r="K144" s="467"/>
      <c r="L144" s="467"/>
      <c r="M144" s="506"/>
      <c r="N144" s="509"/>
      <c r="O144" s="342">
        <v>2</v>
      </c>
      <c r="P144" s="336" t="s">
        <v>5138</v>
      </c>
      <c r="Q144" s="461">
        <v>0</v>
      </c>
      <c r="R144" s="461"/>
      <c r="S144" s="461"/>
      <c r="T144" s="461"/>
      <c r="U144" s="461" t="s">
        <v>4125</v>
      </c>
      <c r="V144" s="461"/>
      <c r="W144" s="461"/>
      <c r="X144" s="860"/>
      <c r="Y144" s="584"/>
      <c r="Z144" s="861">
        <v>2</v>
      </c>
      <c r="AA144" s="141"/>
    </row>
    <row r="145" spans="1:27" s="154" customFormat="1" ht="15">
      <c r="A145" s="499"/>
      <c r="B145" s="507"/>
      <c r="C145" s="336"/>
      <c r="D145" s="331"/>
      <c r="E145" s="332"/>
      <c r="F145" s="332"/>
      <c r="G145" s="332"/>
      <c r="H145" s="332"/>
      <c r="I145" s="466"/>
      <c r="J145" s="466"/>
      <c r="K145" s="467"/>
      <c r="L145" s="467"/>
      <c r="M145" s="506"/>
      <c r="N145" s="509"/>
      <c r="O145" s="341">
        <v>3</v>
      </c>
      <c r="P145" s="336" t="s">
        <v>5139</v>
      </c>
      <c r="Q145" s="461">
        <v>0</v>
      </c>
      <c r="R145" s="461"/>
      <c r="S145" s="461"/>
      <c r="T145" s="461"/>
      <c r="U145" s="461" t="s">
        <v>4125</v>
      </c>
      <c r="V145" s="461"/>
      <c r="W145" s="461"/>
      <c r="X145" s="860"/>
      <c r="Y145" s="584"/>
      <c r="Z145" s="861">
        <v>2</v>
      </c>
      <c r="AA145" s="141"/>
    </row>
    <row r="146" spans="1:27" s="154" customFormat="1" ht="15">
      <c r="A146" s="499"/>
      <c r="B146" s="507"/>
      <c r="C146" s="336"/>
      <c r="D146" s="331"/>
      <c r="E146" s="332"/>
      <c r="F146" s="332"/>
      <c r="G146" s="332"/>
      <c r="H146" s="332"/>
      <c r="I146" s="466"/>
      <c r="J146" s="466"/>
      <c r="K146" s="467"/>
      <c r="L146" s="467"/>
      <c r="M146" s="506"/>
      <c r="N146" s="509"/>
      <c r="O146" s="341">
        <v>4</v>
      </c>
      <c r="P146" s="336" t="s">
        <v>5140</v>
      </c>
      <c r="Q146" s="461">
        <v>0</v>
      </c>
      <c r="R146" s="461"/>
      <c r="S146" s="461"/>
      <c r="T146" s="461"/>
      <c r="U146" s="461" t="s">
        <v>4125</v>
      </c>
      <c r="V146" s="461" t="s">
        <v>4125</v>
      </c>
      <c r="W146" s="461"/>
      <c r="X146" s="860"/>
      <c r="Y146" s="584"/>
      <c r="Z146" s="861">
        <v>2</v>
      </c>
      <c r="AA146" s="141"/>
    </row>
    <row r="147" spans="1:27" s="154" customFormat="1" ht="15">
      <c r="A147" s="499"/>
      <c r="B147" s="507"/>
      <c r="C147" s="336"/>
      <c r="D147" s="331"/>
      <c r="E147" s="332"/>
      <c r="F147" s="332"/>
      <c r="G147" s="332"/>
      <c r="H147" s="332"/>
      <c r="I147" s="466"/>
      <c r="J147" s="176"/>
      <c r="K147" s="588"/>
      <c r="L147" s="588"/>
      <c r="M147" s="634"/>
      <c r="N147" s="667"/>
      <c r="O147" s="473">
        <v>5</v>
      </c>
      <c r="P147" s="463" t="s">
        <v>5141</v>
      </c>
      <c r="Q147" s="461">
        <v>0</v>
      </c>
      <c r="R147" s="461"/>
      <c r="S147" s="461"/>
      <c r="T147" s="461"/>
      <c r="U147" s="461" t="s">
        <v>4125</v>
      </c>
      <c r="V147" s="461"/>
      <c r="W147" s="461"/>
      <c r="X147" s="461"/>
      <c r="Y147" s="668"/>
      <c r="Z147" s="462" t="s">
        <v>138</v>
      </c>
      <c r="AA147" s="141"/>
    </row>
    <row r="148" spans="1:27" s="154" customFormat="1" ht="15">
      <c r="A148" s="499"/>
      <c r="B148" s="507"/>
      <c r="C148" s="336"/>
      <c r="D148" s="331"/>
      <c r="E148" s="332"/>
      <c r="F148" s="332"/>
      <c r="G148" s="332"/>
      <c r="H148" s="332"/>
      <c r="I148" s="466"/>
      <c r="J148" s="176"/>
      <c r="K148" s="588"/>
      <c r="L148" s="588"/>
      <c r="M148" s="634"/>
      <c r="N148" s="667"/>
      <c r="O148" s="473">
        <v>6</v>
      </c>
      <c r="P148" s="463" t="s">
        <v>5142</v>
      </c>
      <c r="Q148" s="461">
        <v>0</v>
      </c>
      <c r="R148" s="461"/>
      <c r="S148" s="461"/>
      <c r="T148" s="461"/>
      <c r="U148" s="461" t="s">
        <v>4125</v>
      </c>
      <c r="V148" s="461"/>
      <c r="W148" s="461"/>
      <c r="X148" s="461"/>
      <c r="Y148" s="668"/>
      <c r="Z148" s="462" t="s">
        <v>138</v>
      </c>
      <c r="AA148" s="141"/>
    </row>
    <row r="149" spans="1:27" s="154" customFormat="1" ht="15">
      <c r="A149" s="499"/>
      <c r="B149" s="507"/>
      <c r="C149" s="336"/>
      <c r="D149" s="331"/>
      <c r="E149" s="332"/>
      <c r="F149" s="332"/>
      <c r="G149" s="332"/>
      <c r="H149" s="332"/>
      <c r="I149" s="466"/>
      <c r="J149" s="466"/>
      <c r="K149" s="467"/>
      <c r="L149" s="467"/>
      <c r="M149" s="506"/>
      <c r="N149" s="509"/>
      <c r="O149" s="341">
        <v>7</v>
      </c>
      <c r="P149" s="336" t="s">
        <v>5143</v>
      </c>
      <c r="Q149" s="461">
        <v>0</v>
      </c>
      <c r="R149" s="585"/>
      <c r="S149" s="860"/>
      <c r="T149" s="586"/>
      <c r="U149" s="860" t="s">
        <v>4125</v>
      </c>
      <c r="V149" s="587"/>
      <c r="W149" s="586"/>
      <c r="X149" s="461"/>
      <c r="Y149" s="584"/>
      <c r="Z149" s="861">
        <v>2</v>
      </c>
      <c r="AA149" s="141"/>
    </row>
    <row r="150" spans="1:27" s="154" customFormat="1" ht="14.25">
      <c r="A150" s="502"/>
      <c r="B150" s="519"/>
      <c r="C150" s="491"/>
      <c r="D150" s="345"/>
      <c r="E150" s="405"/>
      <c r="F150" s="405"/>
      <c r="G150" s="405"/>
      <c r="H150" s="405"/>
      <c r="I150" s="405"/>
      <c r="J150" s="405"/>
      <c r="K150" s="492"/>
      <c r="L150" s="492"/>
      <c r="M150" s="520"/>
      <c r="N150" s="520"/>
      <c r="O150" s="492"/>
      <c r="P150" s="491"/>
      <c r="Q150" s="405"/>
      <c r="R150" s="491"/>
      <c r="S150" s="405"/>
      <c r="T150" s="405"/>
      <c r="U150" s="405"/>
      <c r="V150" s="308"/>
      <c r="W150" s="308"/>
      <c r="X150" s="308"/>
      <c r="Y150" s="491"/>
      <c r="Z150" s="308"/>
      <c r="AA150" s="141"/>
    </row>
    <row r="151" spans="1:27" s="154" customFormat="1" ht="28.5">
      <c r="A151" s="866" t="s">
        <v>5144</v>
      </c>
      <c r="B151" s="310" t="s">
        <v>223</v>
      </c>
      <c r="C151" s="863" t="s">
        <v>5145</v>
      </c>
      <c r="D151" s="456" t="s">
        <v>5035</v>
      </c>
      <c r="E151" s="513"/>
      <c r="F151" s="513"/>
      <c r="G151" s="513"/>
      <c r="H151" s="513"/>
      <c r="I151" s="513"/>
      <c r="J151" s="775">
        <v>5.5648218717072364</v>
      </c>
      <c r="K151" s="588"/>
      <c r="L151" s="588" t="s">
        <v>4125</v>
      </c>
      <c r="M151" s="589" t="s">
        <v>5146</v>
      </c>
      <c r="N151" s="590" t="s">
        <v>5147</v>
      </c>
      <c r="O151" s="624"/>
      <c r="P151" s="463"/>
      <c r="Q151" s="461"/>
      <c r="R151" s="463"/>
      <c r="S151" s="461"/>
      <c r="T151" s="461"/>
      <c r="U151" s="461"/>
      <c r="V151" s="462"/>
      <c r="W151" s="462"/>
      <c r="X151" s="462"/>
      <c r="Y151" s="482" t="s">
        <v>5148</v>
      </c>
      <c r="Z151" s="862">
        <v>2</v>
      </c>
      <c r="AA151" s="679"/>
    </row>
    <row r="152" spans="1:27" s="154" customFormat="1" ht="15">
      <c r="A152" s="337"/>
      <c r="B152" s="507"/>
      <c r="C152" s="336"/>
      <c r="D152" s="331"/>
      <c r="E152" s="332"/>
      <c r="F152" s="332"/>
      <c r="G152" s="332"/>
      <c r="H152" s="332"/>
      <c r="I152" s="466"/>
      <c r="J152" s="176"/>
      <c r="K152" s="588"/>
      <c r="L152" s="588"/>
      <c r="M152" s="780"/>
      <c r="N152" s="781"/>
      <c r="O152" s="590">
        <v>1</v>
      </c>
      <c r="P152" s="472" t="s">
        <v>5149</v>
      </c>
      <c r="Q152" s="473">
        <v>0</v>
      </c>
      <c r="R152" s="461"/>
      <c r="S152" s="461"/>
      <c r="T152" s="461"/>
      <c r="U152" s="461" t="s">
        <v>4125</v>
      </c>
      <c r="V152" s="461"/>
      <c r="W152" s="461"/>
      <c r="X152" s="461"/>
      <c r="Y152" s="668"/>
      <c r="Z152" s="462">
        <v>1</v>
      </c>
      <c r="AA152" s="141"/>
    </row>
    <row r="153" spans="1:27" s="154" customFormat="1" ht="15">
      <c r="A153" s="499"/>
      <c r="B153" s="507"/>
      <c r="C153" s="336"/>
      <c r="D153" s="331"/>
      <c r="E153" s="332"/>
      <c r="F153" s="332"/>
      <c r="G153" s="332"/>
      <c r="H153" s="332"/>
      <c r="I153" s="466"/>
      <c r="J153" s="466"/>
      <c r="K153" s="467"/>
      <c r="L153" s="467"/>
      <c r="M153" s="468"/>
      <c r="N153" s="469"/>
      <c r="O153" s="342">
        <v>2</v>
      </c>
      <c r="P153" s="336" t="s">
        <v>5150</v>
      </c>
      <c r="Q153" s="461">
        <v>0</v>
      </c>
      <c r="R153" s="461"/>
      <c r="S153" s="461"/>
      <c r="T153" s="461"/>
      <c r="U153" s="461" t="s">
        <v>4125</v>
      </c>
      <c r="V153" s="461"/>
      <c r="W153" s="461"/>
      <c r="X153" s="860"/>
      <c r="Y153" s="584"/>
      <c r="Z153" s="861">
        <v>2</v>
      </c>
      <c r="AA153" s="141"/>
    </row>
    <row r="154" spans="1:27" s="154" customFormat="1" ht="15">
      <c r="A154" s="499"/>
      <c r="B154" s="507"/>
      <c r="C154" s="336"/>
      <c r="D154" s="331"/>
      <c r="E154" s="332"/>
      <c r="F154" s="332"/>
      <c r="G154" s="332"/>
      <c r="H154" s="332"/>
      <c r="I154" s="466"/>
      <c r="J154" s="466"/>
      <c r="K154" s="467"/>
      <c r="L154" s="467"/>
      <c r="M154" s="468"/>
      <c r="N154" s="469"/>
      <c r="O154" s="341">
        <v>3</v>
      </c>
      <c r="P154" s="336" t="s">
        <v>5151</v>
      </c>
      <c r="Q154" s="461">
        <v>0</v>
      </c>
      <c r="R154" s="461"/>
      <c r="S154" s="461"/>
      <c r="T154" s="461"/>
      <c r="U154" s="461" t="s">
        <v>4125</v>
      </c>
      <c r="V154" s="461"/>
      <c r="W154" s="461"/>
      <c r="X154" s="860"/>
      <c r="Y154" s="584"/>
      <c r="Z154" s="861">
        <v>2</v>
      </c>
      <c r="AA154" s="141"/>
    </row>
    <row r="155" spans="1:27" s="154" customFormat="1" ht="15">
      <c r="A155" s="499"/>
      <c r="B155" s="507"/>
      <c r="C155" s="336"/>
      <c r="D155" s="331"/>
      <c r="E155" s="332"/>
      <c r="F155" s="332"/>
      <c r="G155" s="332"/>
      <c r="H155" s="332"/>
      <c r="I155" s="466"/>
      <c r="J155" s="466"/>
      <c r="K155" s="467"/>
      <c r="L155" s="467"/>
      <c r="M155" s="468"/>
      <c r="N155" s="469"/>
      <c r="O155" s="341">
        <v>4</v>
      </c>
      <c r="P155" s="336" t="s">
        <v>5152</v>
      </c>
      <c r="Q155" s="461">
        <v>0</v>
      </c>
      <c r="R155" s="461"/>
      <c r="S155" s="461"/>
      <c r="T155" s="461"/>
      <c r="U155" s="461" t="s">
        <v>4125</v>
      </c>
      <c r="V155" s="461" t="s">
        <v>4125</v>
      </c>
      <c r="W155" s="461"/>
      <c r="X155" s="860"/>
      <c r="Y155" s="584"/>
      <c r="Z155" s="861">
        <v>2</v>
      </c>
      <c r="AA155" s="141"/>
    </row>
    <row r="156" spans="1:27" s="154" customFormat="1" ht="15">
      <c r="A156" s="499"/>
      <c r="B156" s="507"/>
      <c r="C156" s="336"/>
      <c r="D156" s="331"/>
      <c r="E156" s="332"/>
      <c r="F156" s="332"/>
      <c r="G156" s="332"/>
      <c r="H156" s="332"/>
      <c r="I156" s="466"/>
      <c r="J156" s="176"/>
      <c r="K156" s="588"/>
      <c r="L156" s="588"/>
      <c r="M156" s="780"/>
      <c r="N156" s="781"/>
      <c r="O156" s="473">
        <v>5</v>
      </c>
      <c r="P156" s="463" t="s">
        <v>5153</v>
      </c>
      <c r="Q156" s="461">
        <v>0</v>
      </c>
      <c r="R156" s="461"/>
      <c r="S156" s="461"/>
      <c r="T156" s="461"/>
      <c r="U156" s="461" t="s">
        <v>4125</v>
      </c>
      <c r="V156" s="461"/>
      <c r="W156" s="461"/>
      <c r="X156" s="461"/>
      <c r="Y156" s="668"/>
      <c r="Z156" s="462">
        <v>1</v>
      </c>
      <c r="AA156" s="141"/>
    </row>
    <row r="157" spans="1:27" s="154" customFormat="1" ht="15">
      <c r="A157" s="499"/>
      <c r="B157" s="507"/>
      <c r="C157" s="336"/>
      <c r="D157" s="331"/>
      <c r="E157" s="332"/>
      <c r="F157" s="332"/>
      <c r="G157" s="332"/>
      <c r="H157" s="332"/>
      <c r="I157" s="466"/>
      <c r="J157" s="176"/>
      <c r="K157" s="588"/>
      <c r="L157" s="588"/>
      <c r="M157" s="780"/>
      <c r="N157" s="781"/>
      <c r="O157" s="473">
        <v>6</v>
      </c>
      <c r="P157" s="463" t="s">
        <v>5154</v>
      </c>
      <c r="Q157" s="461">
        <v>0</v>
      </c>
      <c r="R157" s="461"/>
      <c r="S157" s="461"/>
      <c r="T157" s="461"/>
      <c r="U157" s="461" t="s">
        <v>4125</v>
      </c>
      <c r="V157" s="461"/>
      <c r="W157" s="461"/>
      <c r="X157" s="461"/>
      <c r="Y157" s="668"/>
      <c r="Z157" s="462">
        <v>1</v>
      </c>
      <c r="AA157" s="141"/>
    </row>
    <row r="158" spans="1:27" s="154" customFormat="1" ht="15">
      <c r="A158" s="499"/>
      <c r="B158" s="507"/>
      <c r="C158" s="336"/>
      <c r="D158" s="331"/>
      <c r="E158" s="332"/>
      <c r="F158" s="332"/>
      <c r="G158" s="332"/>
      <c r="H158" s="332"/>
      <c r="I158" s="466"/>
      <c r="J158" s="466"/>
      <c r="K158" s="467"/>
      <c r="L158" s="467"/>
      <c r="M158" s="468"/>
      <c r="N158" s="469"/>
      <c r="O158" s="341">
        <v>7</v>
      </c>
      <c r="P158" s="336" t="s">
        <v>5155</v>
      </c>
      <c r="Q158" s="461">
        <v>0</v>
      </c>
      <c r="R158" s="585"/>
      <c r="S158" s="860"/>
      <c r="T158" s="586"/>
      <c r="U158" s="860" t="s">
        <v>4125</v>
      </c>
      <c r="V158" s="587"/>
      <c r="W158" s="586"/>
      <c r="X158" s="461"/>
      <c r="Y158" s="584"/>
      <c r="Z158" s="861">
        <v>2</v>
      </c>
      <c r="AA158" s="141"/>
    </row>
    <row r="159" spans="1:27" s="154" customFormat="1" ht="14.25">
      <c r="A159" s="499"/>
      <c r="B159" s="507"/>
      <c r="C159" s="336"/>
      <c r="D159" s="331"/>
      <c r="E159" s="332"/>
      <c r="F159" s="332"/>
      <c r="G159" s="332"/>
      <c r="H159" s="332"/>
      <c r="I159" s="466"/>
      <c r="J159" s="176"/>
      <c r="K159" s="588"/>
      <c r="L159" s="588"/>
      <c r="M159" s="780"/>
      <c r="N159" s="781"/>
      <c r="O159" s="176">
        <v>8</v>
      </c>
      <c r="P159" s="463" t="s">
        <v>5156</v>
      </c>
      <c r="Q159" s="461">
        <v>5</v>
      </c>
      <c r="R159" s="463"/>
      <c r="S159" s="461"/>
      <c r="T159" s="461"/>
      <c r="U159" s="461" t="s">
        <v>4125</v>
      </c>
      <c r="V159" s="462"/>
      <c r="W159" s="462"/>
      <c r="X159" s="462"/>
      <c r="Y159" s="463" t="s">
        <v>4989</v>
      </c>
      <c r="Z159" s="462">
        <v>1</v>
      </c>
      <c r="AA159" s="679"/>
    </row>
    <row r="160" spans="1:27" s="154" customFormat="1" ht="14.25">
      <c r="A160" s="502"/>
      <c r="B160" s="519"/>
      <c r="C160" s="491"/>
      <c r="D160" s="345"/>
      <c r="E160" s="405"/>
      <c r="F160" s="405"/>
      <c r="G160" s="405"/>
      <c r="H160" s="405"/>
      <c r="I160" s="405"/>
      <c r="J160" s="405"/>
      <c r="K160" s="492"/>
      <c r="L160" s="492"/>
      <c r="M160" s="493"/>
      <c r="N160" s="494"/>
      <c r="O160" s="492"/>
      <c r="P160" s="491"/>
      <c r="Q160" s="405"/>
      <c r="R160" s="491"/>
      <c r="S160" s="405"/>
      <c r="T160" s="405"/>
      <c r="U160" s="405"/>
      <c r="V160" s="308"/>
      <c r="W160" s="308"/>
      <c r="X160" s="308"/>
      <c r="Y160" s="491"/>
      <c r="Z160" s="308"/>
      <c r="AA160" s="141"/>
    </row>
    <row r="161" spans="1:27" s="154" customFormat="1" ht="28.5">
      <c r="A161" s="501" t="s">
        <v>5157</v>
      </c>
      <c r="B161" s="310" t="s">
        <v>223</v>
      </c>
      <c r="C161" s="327" t="s">
        <v>5158</v>
      </c>
      <c r="D161" s="456" t="s">
        <v>5023</v>
      </c>
      <c r="E161" s="471"/>
      <c r="F161" s="471"/>
      <c r="G161" s="471"/>
      <c r="H161" s="471"/>
      <c r="I161" s="471"/>
      <c r="J161" s="693">
        <v>1.66</v>
      </c>
      <c r="K161" s="779"/>
      <c r="L161" s="779" t="s">
        <v>4125</v>
      </c>
      <c r="M161" s="778" t="s">
        <v>5135</v>
      </c>
      <c r="N161" s="778" t="s">
        <v>5136</v>
      </c>
      <c r="O161" s="779"/>
      <c r="P161" s="482"/>
      <c r="Q161" s="483"/>
      <c r="R161" s="482"/>
      <c r="S161" s="483"/>
      <c r="T161" s="483"/>
      <c r="U161" s="483"/>
      <c r="V161" s="484"/>
      <c r="W161" s="484"/>
      <c r="X161" s="484"/>
      <c r="Y161" s="482"/>
      <c r="Z161" s="484">
        <v>1</v>
      </c>
      <c r="AA161" s="679"/>
    </row>
    <row r="162" spans="1:27" s="154" customFormat="1" ht="15">
      <c r="A162" s="337"/>
      <c r="B162" s="507"/>
      <c r="C162" s="336"/>
      <c r="D162" s="331"/>
      <c r="E162" s="332"/>
      <c r="F162" s="332"/>
      <c r="G162" s="332"/>
      <c r="H162" s="332"/>
      <c r="I162" s="466"/>
      <c r="J162" s="176"/>
      <c r="K162" s="588"/>
      <c r="L162" s="588"/>
      <c r="M162" s="634"/>
      <c r="N162" s="667"/>
      <c r="O162" s="590">
        <v>1</v>
      </c>
      <c r="P162" s="472" t="s">
        <v>5159</v>
      </c>
      <c r="Q162" s="473">
        <v>0</v>
      </c>
      <c r="R162" s="461"/>
      <c r="S162" s="461"/>
      <c r="T162" s="461"/>
      <c r="U162" s="461" t="s">
        <v>4125</v>
      </c>
      <c r="V162" s="461"/>
      <c r="W162" s="461"/>
      <c r="X162" s="461"/>
      <c r="Y162" s="668"/>
      <c r="Z162" s="462" t="s">
        <v>138</v>
      </c>
      <c r="AA162" s="141"/>
    </row>
    <row r="163" spans="1:27" s="154" customFormat="1" ht="15">
      <c r="A163" s="499"/>
      <c r="B163" s="507"/>
      <c r="C163" s="336"/>
      <c r="D163" s="331"/>
      <c r="E163" s="332"/>
      <c r="F163" s="332"/>
      <c r="G163" s="332"/>
      <c r="H163" s="332"/>
      <c r="I163" s="466"/>
      <c r="J163" s="466"/>
      <c r="K163" s="467"/>
      <c r="L163" s="467"/>
      <c r="M163" s="506"/>
      <c r="N163" s="509"/>
      <c r="O163" s="342">
        <v>2</v>
      </c>
      <c r="P163" s="336" t="s">
        <v>5160</v>
      </c>
      <c r="Q163" s="461">
        <v>0</v>
      </c>
      <c r="R163" s="461"/>
      <c r="S163" s="461"/>
      <c r="T163" s="461"/>
      <c r="U163" s="461" t="s">
        <v>4125</v>
      </c>
      <c r="V163" s="461"/>
      <c r="W163" s="461"/>
      <c r="X163" s="860"/>
      <c r="Y163" s="584"/>
      <c r="Z163" s="861">
        <v>2</v>
      </c>
      <c r="AA163" s="141"/>
    </row>
    <row r="164" spans="1:27" s="154" customFormat="1" ht="15">
      <c r="A164" s="499"/>
      <c r="B164" s="507"/>
      <c r="C164" s="336"/>
      <c r="D164" s="331"/>
      <c r="E164" s="332"/>
      <c r="F164" s="332"/>
      <c r="G164" s="332"/>
      <c r="H164" s="332"/>
      <c r="I164" s="466"/>
      <c r="J164" s="466"/>
      <c r="K164" s="467"/>
      <c r="L164" s="467"/>
      <c r="M164" s="506"/>
      <c r="N164" s="509"/>
      <c r="O164" s="341">
        <v>3</v>
      </c>
      <c r="P164" s="336" t="s">
        <v>5161</v>
      </c>
      <c r="Q164" s="461">
        <v>0</v>
      </c>
      <c r="R164" s="461"/>
      <c r="S164" s="461"/>
      <c r="T164" s="461"/>
      <c r="U164" s="461" t="s">
        <v>4125</v>
      </c>
      <c r="V164" s="461"/>
      <c r="W164" s="461"/>
      <c r="X164" s="860"/>
      <c r="Y164" s="584"/>
      <c r="Z164" s="861">
        <v>2</v>
      </c>
      <c r="AA164" s="141"/>
    </row>
    <row r="165" spans="1:27" s="154" customFormat="1" ht="15">
      <c r="A165" s="499"/>
      <c r="B165" s="507"/>
      <c r="C165" s="336"/>
      <c r="D165" s="331"/>
      <c r="E165" s="332"/>
      <c r="F165" s="332"/>
      <c r="G165" s="332"/>
      <c r="H165" s="332"/>
      <c r="I165" s="466"/>
      <c r="J165" s="466"/>
      <c r="K165" s="467"/>
      <c r="L165" s="467"/>
      <c r="M165" s="506"/>
      <c r="N165" s="509"/>
      <c r="O165" s="341">
        <v>4</v>
      </c>
      <c r="P165" s="336" t="s">
        <v>5162</v>
      </c>
      <c r="Q165" s="461">
        <v>0</v>
      </c>
      <c r="R165" s="461"/>
      <c r="S165" s="461"/>
      <c r="T165" s="461"/>
      <c r="U165" s="461" t="s">
        <v>4125</v>
      </c>
      <c r="V165" s="461" t="s">
        <v>4125</v>
      </c>
      <c r="W165" s="461"/>
      <c r="X165" s="860"/>
      <c r="Y165" s="584"/>
      <c r="Z165" s="861">
        <v>2</v>
      </c>
      <c r="AA165" s="141"/>
    </row>
    <row r="166" spans="1:27" s="154" customFormat="1" ht="15">
      <c r="A166" s="499"/>
      <c r="B166" s="507"/>
      <c r="C166" s="336"/>
      <c r="D166" s="331"/>
      <c r="E166" s="332"/>
      <c r="F166" s="332"/>
      <c r="G166" s="332"/>
      <c r="H166" s="332"/>
      <c r="I166" s="466"/>
      <c r="J166" s="176"/>
      <c r="K166" s="588"/>
      <c r="L166" s="588"/>
      <c r="M166" s="634"/>
      <c r="N166" s="667"/>
      <c r="O166" s="473">
        <v>5</v>
      </c>
      <c r="P166" s="463" t="s">
        <v>5163</v>
      </c>
      <c r="Q166" s="461">
        <v>0</v>
      </c>
      <c r="R166" s="461"/>
      <c r="S166" s="461"/>
      <c r="T166" s="461"/>
      <c r="U166" s="461" t="s">
        <v>4125</v>
      </c>
      <c r="V166" s="461"/>
      <c r="W166" s="461"/>
      <c r="X166" s="461"/>
      <c r="Y166" s="668"/>
      <c r="Z166" s="462" t="s">
        <v>138</v>
      </c>
      <c r="AA166" s="141"/>
    </row>
    <row r="167" spans="1:27" s="154" customFormat="1" ht="15">
      <c r="A167" s="499"/>
      <c r="B167" s="507"/>
      <c r="C167" s="336"/>
      <c r="D167" s="331"/>
      <c r="E167" s="332"/>
      <c r="F167" s="332"/>
      <c r="G167" s="332"/>
      <c r="H167" s="332"/>
      <c r="I167" s="466"/>
      <c r="J167" s="176"/>
      <c r="K167" s="588"/>
      <c r="L167" s="588"/>
      <c r="M167" s="634"/>
      <c r="N167" s="667"/>
      <c r="O167" s="473">
        <v>6</v>
      </c>
      <c r="P167" s="463" t="s">
        <v>5164</v>
      </c>
      <c r="Q167" s="461">
        <v>0</v>
      </c>
      <c r="R167" s="461"/>
      <c r="S167" s="461"/>
      <c r="T167" s="461"/>
      <c r="U167" s="461" t="s">
        <v>4125</v>
      </c>
      <c r="V167" s="461"/>
      <c r="W167" s="461"/>
      <c r="X167" s="461"/>
      <c r="Y167" s="668"/>
      <c r="Z167" s="462" t="s">
        <v>138</v>
      </c>
      <c r="AA167" s="141"/>
    </row>
    <row r="168" spans="1:27" s="154" customFormat="1" ht="15">
      <c r="A168" s="499"/>
      <c r="B168" s="507"/>
      <c r="C168" s="336"/>
      <c r="D168" s="331"/>
      <c r="E168" s="332"/>
      <c r="F168" s="332"/>
      <c r="G168" s="332"/>
      <c r="H168" s="332"/>
      <c r="I168" s="466"/>
      <c r="J168" s="466"/>
      <c r="K168" s="467"/>
      <c r="L168" s="467"/>
      <c r="M168" s="506"/>
      <c r="N168" s="509"/>
      <c r="O168" s="341">
        <v>7</v>
      </c>
      <c r="P168" s="336" t="s">
        <v>5165</v>
      </c>
      <c r="Q168" s="461">
        <v>0</v>
      </c>
      <c r="R168" s="585"/>
      <c r="S168" s="860"/>
      <c r="T168" s="586"/>
      <c r="U168" s="860" t="s">
        <v>4125</v>
      </c>
      <c r="V168" s="587"/>
      <c r="W168" s="586"/>
      <c r="X168" s="461"/>
      <c r="Y168" s="584"/>
      <c r="Z168" s="861">
        <v>2</v>
      </c>
      <c r="AA168" s="141"/>
    </row>
    <row r="169" spans="1:27" s="154" customFormat="1" ht="14.25">
      <c r="A169" s="502"/>
      <c r="B169" s="519"/>
      <c r="C169" s="491"/>
      <c r="D169" s="345"/>
      <c r="E169" s="405"/>
      <c r="F169" s="405"/>
      <c r="G169" s="405"/>
      <c r="H169" s="405"/>
      <c r="I169" s="405"/>
      <c r="J169" s="405"/>
      <c r="K169" s="492"/>
      <c r="L169" s="492"/>
      <c r="M169" s="520"/>
      <c r="N169" s="520"/>
      <c r="O169" s="492"/>
      <c r="P169" s="491"/>
      <c r="Q169" s="405"/>
      <c r="R169" s="491"/>
      <c r="S169" s="405"/>
      <c r="T169" s="405"/>
      <c r="U169" s="405"/>
      <c r="V169" s="308"/>
      <c r="W169" s="308"/>
      <c r="X169" s="308"/>
      <c r="Y169" s="491"/>
      <c r="Z169" s="308"/>
      <c r="AA169" s="141"/>
    </row>
    <row r="170" spans="1:27" s="154" customFormat="1" ht="28.5">
      <c r="A170" s="866" t="s">
        <v>5166</v>
      </c>
      <c r="B170" s="310" t="s">
        <v>223</v>
      </c>
      <c r="C170" s="863" t="s">
        <v>5167</v>
      </c>
      <c r="D170" s="456" t="s">
        <v>5035</v>
      </c>
      <c r="E170" s="513"/>
      <c r="F170" s="513"/>
      <c r="G170" s="513"/>
      <c r="H170" s="513"/>
      <c r="I170" s="513"/>
      <c r="J170" s="775">
        <v>5.5648218717072364</v>
      </c>
      <c r="K170" s="588"/>
      <c r="L170" s="588" t="s">
        <v>4125</v>
      </c>
      <c r="M170" s="589" t="s">
        <v>5168</v>
      </c>
      <c r="N170" s="590" t="s">
        <v>5169</v>
      </c>
      <c r="O170" s="624"/>
      <c r="P170" s="463"/>
      <c r="Q170" s="461"/>
      <c r="R170" s="463"/>
      <c r="S170" s="461"/>
      <c r="T170" s="461"/>
      <c r="U170" s="461"/>
      <c r="V170" s="462"/>
      <c r="W170" s="462"/>
      <c r="X170" s="462"/>
      <c r="Y170" s="482" t="s">
        <v>5170</v>
      </c>
      <c r="Z170" s="862">
        <v>2</v>
      </c>
      <c r="AA170" s="679"/>
    </row>
    <row r="171" spans="1:27" s="154" customFormat="1" ht="15">
      <c r="A171" s="337"/>
      <c r="B171" s="507"/>
      <c r="C171" s="336"/>
      <c r="D171" s="331"/>
      <c r="E171" s="332"/>
      <c r="F171" s="332"/>
      <c r="G171" s="332"/>
      <c r="H171" s="332"/>
      <c r="I171" s="466"/>
      <c r="J171" s="176"/>
      <c r="K171" s="588"/>
      <c r="L171" s="588"/>
      <c r="M171" s="780"/>
      <c r="N171" s="781"/>
      <c r="O171" s="590">
        <v>1</v>
      </c>
      <c r="P171" s="472" t="s">
        <v>5171</v>
      </c>
      <c r="Q171" s="473">
        <v>0</v>
      </c>
      <c r="R171" s="461"/>
      <c r="S171" s="461"/>
      <c r="T171" s="461"/>
      <c r="U171" s="461" t="s">
        <v>4125</v>
      </c>
      <c r="V171" s="461"/>
      <c r="W171" s="461"/>
      <c r="X171" s="461"/>
      <c r="Y171" s="668"/>
      <c r="Z171" s="462">
        <v>1</v>
      </c>
      <c r="AA171" s="141"/>
    </row>
    <row r="172" spans="1:27" s="154" customFormat="1" ht="15">
      <c r="A172" s="499"/>
      <c r="B172" s="507"/>
      <c r="C172" s="336"/>
      <c r="D172" s="331"/>
      <c r="E172" s="332"/>
      <c r="F172" s="332"/>
      <c r="G172" s="332"/>
      <c r="H172" s="332"/>
      <c r="I172" s="466"/>
      <c r="J172" s="466"/>
      <c r="K172" s="467"/>
      <c r="L172" s="467"/>
      <c r="M172" s="468"/>
      <c r="N172" s="469"/>
      <c r="O172" s="342">
        <v>2</v>
      </c>
      <c r="P172" s="336" t="s">
        <v>5172</v>
      </c>
      <c r="Q172" s="461">
        <v>0</v>
      </c>
      <c r="R172" s="461"/>
      <c r="S172" s="461"/>
      <c r="T172" s="461"/>
      <c r="U172" s="461" t="s">
        <v>4125</v>
      </c>
      <c r="V172" s="461"/>
      <c r="W172" s="461"/>
      <c r="X172" s="860"/>
      <c r="Y172" s="584"/>
      <c r="Z172" s="861">
        <v>2</v>
      </c>
      <c r="AA172" s="141"/>
    </row>
    <row r="173" spans="1:27" s="154" customFormat="1" ht="15">
      <c r="A173" s="499"/>
      <c r="B173" s="507"/>
      <c r="C173" s="336"/>
      <c r="D173" s="331"/>
      <c r="E173" s="332"/>
      <c r="F173" s="332"/>
      <c r="G173" s="332"/>
      <c r="H173" s="332"/>
      <c r="I173" s="466"/>
      <c r="J173" s="466"/>
      <c r="K173" s="467"/>
      <c r="L173" s="467"/>
      <c r="M173" s="468"/>
      <c r="N173" s="469"/>
      <c r="O173" s="341">
        <v>3</v>
      </c>
      <c r="P173" s="336" t="s">
        <v>5173</v>
      </c>
      <c r="Q173" s="461">
        <v>0</v>
      </c>
      <c r="R173" s="461"/>
      <c r="S173" s="461"/>
      <c r="T173" s="461"/>
      <c r="U173" s="461" t="s">
        <v>4125</v>
      </c>
      <c r="V173" s="461"/>
      <c r="W173" s="461"/>
      <c r="X173" s="860"/>
      <c r="Y173" s="584"/>
      <c r="Z173" s="861">
        <v>2</v>
      </c>
      <c r="AA173" s="141"/>
    </row>
    <row r="174" spans="1:27" s="154" customFormat="1" ht="15">
      <c r="A174" s="499"/>
      <c r="B174" s="507"/>
      <c r="C174" s="336"/>
      <c r="D174" s="331"/>
      <c r="E174" s="332"/>
      <c r="F174" s="332"/>
      <c r="G174" s="332"/>
      <c r="H174" s="332"/>
      <c r="I174" s="466"/>
      <c r="J174" s="466"/>
      <c r="K174" s="467"/>
      <c r="L174" s="467"/>
      <c r="M174" s="468"/>
      <c r="N174" s="469"/>
      <c r="O174" s="341">
        <v>4</v>
      </c>
      <c r="P174" s="336" t="s">
        <v>5174</v>
      </c>
      <c r="Q174" s="461">
        <v>0</v>
      </c>
      <c r="R174" s="461"/>
      <c r="S174" s="461"/>
      <c r="T174" s="461"/>
      <c r="U174" s="461" t="s">
        <v>4125</v>
      </c>
      <c r="V174" s="461" t="s">
        <v>4125</v>
      </c>
      <c r="W174" s="461"/>
      <c r="X174" s="860"/>
      <c r="Y174" s="584"/>
      <c r="Z174" s="861">
        <v>2</v>
      </c>
      <c r="AA174" s="141"/>
    </row>
    <row r="175" spans="1:27" s="154" customFormat="1" ht="15">
      <c r="A175" s="499"/>
      <c r="B175" s="507"/>
      <c r="C175" s="336"/>
      <c r="D175" s="331"/>
      <c r="E175" s="332"/>
      <c r="F175" s="332"/>
      <c r="G175" s="332"/>
      <c r="H175" s="332"/>
      <c r="I175" s="466"/>
      <c r="J175" s="176"/>
      <c r="K175" s="588"/>
      <c r="L175" s="588"/>
      <c r="M175" s="780"/>
      <c r="N175" s="781"/>
      <c r="O175" s="473">
        <v>5</v>
      </c>
      <c r="P175" s="463" t="s">
        <v>5175</v>
      </c>
      <c r="Q175" s="461">
        <v>0</v>
      </c>
      <c r="R175" s="461"/>
      <c r="S175" s="461"/>
      <c r="T175" s="461"/>
      <c r="U175" s="461" t="s">
        <v>4125</v>
      </c>
      <c r="V175" s="461"/>
      <c r="W175" s="461"/>
      <c r="X175" s="461"/>
      <c r="Y175" s="668"/>
      <c r="Z175" s="462">
        <v>1</v>
      </c>
      <c r="AA175" s="141"/>
    </row>
    <row r="176" spans="1:27" s="154" customFormat="1" ht="15">
      <c r="A176" s="499"/>
      <c r="B176" s="507"/>
      <c r="C176" s="336"/>
      <c r="D176" s="331"/>
      <c r="E176" s="332"/>
      <c r="F176" s="332"/>
      <c r="G176" s="332"/>
      <c r="H176" s="332"/>
      <c r="I176" s="466"/>
      <c r="J176" s="176"/>
      <c r="K176" s="588"/>
      <c r="L176" s="588"/>
      <c r="M176" s="780"/>
      <c r="N176" s="781"/>
      <c r="O176" s="473">
        <v>6</v>
      </c>
      <c r="P176" s="463" t="s">
        <v>5176</v>
      </c>
      <c r="Q176" s="461">
        <v>0</v>
      </c>
      <c r="R176" s="461"/>
      <c r="S176" s="461"/>
      <c r="T176" s="461"/>
      <c r="U176" s="461" t="s">
        <v>4125</v>
      </c>
      <c r="V176" s="461"/>
      <c r="W176" s="461"/>
      <c r="X176" s="461"/>
      <c r="Y176" s="668"/>
      <c r="Z176" s="462">
        <v>1</v>
      </c>
      <c r="AA176" s="141"/>
    </row>
    <row r="177" spans="1:27" s="154" customFormat="1" ht="15">
      <c r="A177" s="499"/>
      <c r="B177" s="507"/>
      <c r="C177" s="336"/>
      <c r="D177" s="331"/>
      <c r="E177" s="332"/>
      <c r="F177" s="332"/>
      <c r="G177" s="332"/>
      <c r="H177" s="332"/>
      <c r="I177" s="466"/>
      <c r="J177" s="466"/>
      <c r="K177" s="467"/>
      <c r="L177" s="467"/>
      <c r="M177" s="468"/>
      <c r="N177" s="469"/>
      <c r="O177" s="341">
        <v>7</v>
      </c>
      <c r="P177" s="336" t="s">
        <v>5177</v>
      </c>
      <c r="Q177" s="461">
        <v>0</v>
      </c>
      <c r="R177" s="585"/>
      <c r="S177" s="860"/>
      <c r="T177" s="586"/>
      <c r="U177" s="860" t="s">
        <v>4125</v>
      </c>
      <c r="V177" s="587"/>
      <c r="W177" s="586"/>
      <c r="X177" s="461"/>
      <c r="Y177" s="584"/>
      <c r="Z177" s="861">
        <v>2</v>
      </c>
      <c r="AA177" s="141"/>
    </row>
    <row r="178" spans="1:27" s="154" customFormat="1" ht="14.25">
      <c r="A178" s="499"/>
      <c r="B178" s="507"/>
      <c r="C178" s="336"/>
      <c r="D178" s="331"/>
      <c r="E178" s="332"/>
      <c r="F178" s="332"/>
      <c r="G178" s="332"/>
      <c r="H178" s="332"/>
      <c r="I178" s="466"/>
      <c r="J178" s="176"/>
      <c r="K178" s="588"/>
      <c r="L178" s="588"/>
      <c r="M178" s="780"/>
      <c r="N178" s="781"/>
      <c r="O178" s="176">
        <v>8</v>
      </c>
      <c r="P178" s="463" t="s">
        <v>5178</v>
      </c>
      <c r="Q178" s="461">
        <v>5</v>
      </c>
      <c r="R178" s="463"/>
      <c r="S178" s="461"/>
      <c r="T178" s="461"/>
      <c r="U178" s="461" t="s">
        <v>4125</v>
      </c>
      <c r="V178" s="462"/>
      <c r="W178" s="462"/>
      <c r="X178" s="462"/>
      <c r="Y178" s="463" t="s">
        <v>4989</v>
      </c>
      <c r="Z178" s="462">
        <v>1</v>
      </c>
      <c r="AA178" s="679"/>
    </row>
    <row r="179" spans="1:27" s="154" customFormat="1" ht="14.25">
      <c r="A179" s="502"/>
      <c r="B179" s="519"/>
      <c r="C179" s="491"/>
      <c r="D179" s="345"/>
      <c r="E179" s="405"/>
      <c r="F179" s="405"/>
      <c r="G179" s="405"/>
      <c r="H179" s="405"/>
      <c r="I179" s="405"/>
      <c r="J179" s="405"/>
      <c r="K179" s="492"/>
      <c r="L179" s="492"/>
      <c r="M179" s="493"/>
      <c r="N179" s="494"/>
      <c r="O179" s="492"/>
      <c r="P179" s="491"/>
      <c r="Q179" s="405"/>
      <c r="R179" s="491"/>
      <c r="S179" s="405"/>
      <c r="T179" s="405"/>
      <c r="U179" s="405"/>
      <c r="V179" s="308"/>
      <c r="W179" s="308"/>
      <c r="X179" s="308"/>
      <c r="Y179" s="491"/>
      <c r="Z179" s="308"/>
      <c r="AA179" s="141"/>
    </row>
    <row r="180" spans="1:27" s="154" customFormat="1" ht="28.5">
      <c r="A180" s="500" t="s">
        <v>5179</v>
      </c>
      <c r="B180" s="310" t="s">
        <v>223</v>
      </c>
      <c r="C180" s="327" t="s">
        <v>5180</v>
      </c>
      <c r="D180" s="456" t="s">
        <v>5023</v>
      </c>
      <c r="E180" s="513"/>
      <c r="F180" s="513"/>
      <c r="G180" s="513"/>
      <c r="H180" s="513"/>
      <c r="I180" s="513"/>
      <c r="J180" s="775">
        <v>1.66</v>
      </c>
      <c r="K180" s="588"/>
      <c r="L180" s="588" t="s">
        <v>4125</v>
      </c>
      <c r="M180" s="777" t="s">
        <v>5181</v>
      </c>
      <c r="N180" s="778" t="s">
        <v>5182</v>
      </c>
      <c r="O180" s="624"/>
      <c r="P180" s="463"/>
      <c r="Q180" s="461"/>
      <c r="R180" s="463"/>
      <c r="S180" s="461"/>
      <c r="T180" s="461"/>
      <c r="U180" s="461"/>
      <c r="V180" s="462"/>
      <c r="W180" s="462"/>
      <c r="X180" s="462"/>
      <c r="Y180" s="463"/>
      <c r="Z180" s="462">
        <v>1</v>
      </c>
      <c r="AA180" s="679"/>
    </row>
    <row r="181" spans="1:27" s="154" customFormat="1" ht="15">
      <c r="A181" s="337"/>
      <c r="B181" s="507"/>
      <c r="C181" s="336"/>
      <c r="D181" s="331"/>
      <c r="E181" s="332"/>
      <c r="F181" s="332"/>
      <c r="G181" s="332"/>
      <c r="H181" s="332"/>
      <c r="I181" s="466"/>
      <c r="J181" s="176"/>
      <c r="K181" s="588"/>
      <c r="L181" s="588"/>
      <c r="M181" s="634"/>
      <c r="N181" s="667"/>
      <c r="O181" s="590">
        <v>1</v>
      </c>
      <c r="P181" s="472" t="s">
        <v>5183</v>
      </c>
      <c r="Q181" s="473">
        <v>0</v>
      </c>
      <c r="R181" s="461"/>
      <c r="S181" s="461"/>
      <c r="T181" s="461"/>
      <c r="U181" s="461" t="s">
        <v>4125</v>
      </c>
      <c r="V181" s="461"/>
      <c r="W181" s="461"/>
      <c r="X181" s="461"/>
      <c r="Y181" s="668"/>
      <c r="Z181" s="462" t="s">
        <v>138</v>
      </c>
      <c r="AA181" s="141"/>
    </row>
    <row r="182" spans="1:27" s="154" customFormat="1" ht="15">
      <c r="A182" s="499"/>
      <c r="B182" s="507"/>
      <c r="C182" s="336"/>
      <c r="D182" s="331"/>
      <c r="E182" s="332"/>
      <c r="F182" s="332"/>
      <c r="G182" s="332"/>
      <c r="H182" s="332"/>
      <c r="I182" s="466"/>
      <c r="J182" s="466"/>
      <c r="K182" s="467"/>
      <c r="L182" s="467"/>
      <c r="M182" s="506"/>
      <c r="N182" s="509"/>
      <c r="O182" s="342">
        <v>2</v>
      </c>
      <c r="P182" s="336" t="s">
        <v>5184</v>
      </c>
      <c r="Q182" s="461">
        <v>0</v>
      </c>
      <c r="R182" s="461"/>
      <c r="S182" s="461"/>
      <c r="T182" s="461"/>
      <c r="U182" s="461" t="s">
        <v>4125</v>
      </c>
      <c r="V182" s="461"/>
      <c r="W182" s="461"/>
      <c r="X182" s="860"/>
      <c r="Y182" s="584"/>
      <c r="Z182" s="861">
        <v>2</v>
      </c>
      <c r="AA182" s="141"/>
    </row>
    <row r="183" spans="1:27" s="154" customFormat="1" ht="15">
      <c r="A183" s="499"/>
      <c r="B183" s="507"/>
      <c r="C183" s="336"/>
      <c r="D183" s="331"/>
      <c r="E183" s="332"/>
      <c r="F183" s="332"/>
      <c r="G183" s="332"/>
      <c r="H183" s="332"/>
      <c r="I183" s="466"/>
      <c r="J183" s="466"/>
      <c r="K183" s="467"/>
      <c r="L183" s="467"/>
      <c r="M183" s="506"/>
      <c r="N183" s="509"/>
      <c r="O183" s="341">
        <v>3</v>
      </c>
      <c r="P183" s="336" t="s">
        <v>5185</v>
      </c>
      <c r="Q183" s="461">
        <v>0</v>
      </c>
      <c r="R183" s="461"/>
      <c r="S183" s="461"/>
      <c r="T183" s="461"/>
      <c r="U183" s="461" t="s">
        <v>4125</v>
      </c>
      <c r="V183" s="461"/>
      <c r="W183" s="461"/>
      <c r="X183" s="860"/>
      <c r="Y183" s="584"/>
      <c r="Z183" s="861">
        <v>2</v>
      </c>
      <c r="AA183" s="141"/>
    </row>
    <row r="184" spans="1:27" s="154" customFormat="1" ht="15">
      <c r="A184" s="499"/>
      <c r="B184" s="507"/>
      <c r="C184" s="336"/>
      <c r="D184" s="331"/>
      <c r="E184" s="332"/>
      <c r="F184" s="332"/>
      <c r="G184" s="332"/>
      <c r="H184" s="332"/>
      <c r="I184" s="466"/>
      <c r="J184" s="466"/>
      <c r="K184" s="467"/>
      <c r="L184" s="467"/>
      <c r="M184" s="506"/>
      <c r="N184" s="509"/>
      <c r="O184" s="341">
        <v>4</v>
      </c>
      <c r="P184" s="336" t="s">
        <v>5186</v>
      </c>
      <c r="Q184" s="461">
        <v>0</v>
      </c>
      <c r="R184" s="461"/>
      <c r="S184" s="461"/>
      <c r="T184" s="461"/>
      <c r="U184" s="461" t="s">
        <v>4125</v>
      </c>
      <c r="V184" s="461" t="s">
        <v>4125</v>
      </c>
      <c r="W184" s="461"/>
      <c r="X184" s="860"/>
      <c r="Y184" s="584"/>
      <c r="Z184" s="861">
        <v>2</v>
      </c>
      <c r="AA184" s="141"/>
    </row>
    <row r="185" spans="1:27" s="154" customFormat="1" ht="15">
      <c r="A185" s="499"/>
      <c r="B185" s="507"/>
      <c r="C185" s="336"/>
      <c r="D185" s="331"/>
      <c r="E185" s="332"/>
      <c r="F185" s="332"/>
      <c r="G185" s="332"/>
      <c r="H185" s="332"/>
      <c r="I185" s="466"/>
      <c r="J185" s="176"/>
      <c r="K185" s="588"/>
      <c r="L185" s="588"/>
      <c r="M185" s="634"/>
      <c r="N185" s="667"/>
      <c r="O185" s="473">
        <v>5</v>
      </c>
      <c r="P185" s="463" t="s">
        <v>5187</v>
      </c>
      <c r="Q185" s="461">
        <v>0</v>
      </c>
      <c r="R185" s="461"/>
      <c r="S185" s="461"/>
      <c r="T185" s="461"/>
      <c r="U185" s="461" t="s">
        <v>4125</v>
      </c>
      <c r="V185" s="461"/>
      <c r="W185" s="461"/>
      <c r="X185" s="461"/>
      <c r="Y185" s="668"/>
      <c r="Z185" s="462" t="s">
        <v>138</v>
      </c>
      <c r="AA185" s="141"/>
    </row>
    <row r="186" spans="1:27" s="154" customFormat="1" ht="15">
      <c r="A186" s="499"/>
      <c r="B186" s="507"/>
      <c r="C186" s="336"/>
      <c r="D186" s="331"/>
      <c r="E186" s="332"/>
      <c r="F186" s="332"/>
      <c r="G186" s="332"/>
      <c r="H186" s="332"/>
      <c r="I186" s="466"/>
      <c r="J186" s="176"/>
      <c r="K186" s="588"/>
      <c r="L186" s="588"/>
      <c r="M186" s="634"/>
      <c r="N186" s="667"/>
      <c r="O186" s="473">
        <v>6</v>
      </c>
      <c r="P186" s="463" t="s">
        <v>5188</v>
      </c>
      <c r="Q186" s="461">
        <v>0</v>
      </c>
      <c r="R186" s="461"/>
      <c r="S186" s="461"/>
      <c r="T186" s="461"/>
      <c r="U186" s="461" t="s">
        <v>4125</v>
      </c>
      <c r="V186" s="461"/>
      <c r="W186" s="461"/>
      <c r="X186" s="461"/>
      <c r="Y186" s="668"/>
      <c r="Z186" s="462" t="s">
        <v>138</v>
      </c>
      <c r="AA186" s="141"/>
    </row>
    <row r="187" spans="1:27" s="154" customFormat="1" ht="15">
      <c r="A187" s="499"/>
      <c r="B187" s="507"/>
      <c r="C187" s="336"/>
      <c r="D187" s="331"/>
      <c r="E187" s="332"/>
      <c r="F187" s="332"/>
      <c r="G187" s="332"/>
      <c r="H187" s="332"/>
      <c r="I187" s="466"/>
      <c r="J187" s="466"/>
      <c r="K187" s="467"/>
      <c r="L187" s="467"/>
      <c r="M187" s="506"/>
      <c r="N187" s="509"/>
      <c r="O187" s="341">
        <v>7</v>
      </c>
      <c r="P187" s="336" t="s">
        <v>5189</v>
      </c>
      <c r="Q187" s="461">
        <v>0</v>
      </c>
      <c r="R187" s="585"/>
      <c r="S187" s="860"/>
      <c r="T187" s="586"/>
      <c r="U187" s="860" t="s">
        <v>4125</v>
      </c>
      <c r="V187" s="587"/>
      <c r="W187" s="586"/>
      <c r="X187" s="461"/>
      <c r="Y187" s="584"/>
      <c r="Z187" s="861">
        <v>2</v>
      </c>
      <c r="AA187" s="141"/>
    </row>
    <row r="188" spans="1:27" s="154" customFormat="1" ht="14.25">
      <c r="A188" s="502"/>
      <c r="B188" s="519"/>
      <c r="C188" s="491"/>
      <c r="D188" s="345"/>
      <c r="E188" s="405"/>
      <c r="F188" s="405"/>
      <c r="G188" s="405"/>
      <c r="H188" s="405"/>
      <c r="I188" s="405"/>
      <c r="J188" s="405"/>
      <c r="K188" s="492"/>
      <c r="L188" s="492"/>
      <c r="M188" s="520"/>
      <c r="N188" s="520"/>
      <c r="O188" s="492"/>
      <c r="P188" s="491"/>
      <c r="Q188" s="405"/>
      <c r="R188" s="491"/>
      <c r="S188" s="405"/>
      <c r="T188" s="405"/>
      <c r="U188" s="405"/>
      <c r="V188" s="308"/>
      <c r="W188" s="308"/>
      <c r="X188" s="308"/>
      <c r="Y188" s="491"/>
      <c r="Z188" s="308"/>
      <c r="AA188" s="141"/>
    </row>
    <row r="189" spans="1:27" s="154" customFormat="1" ht="28.5">
      <c r="A189" s="866" t="s">
        <v>5190</v>
      </c>
      <c r="B189" s="310" t="s">
        <v>223</v>
      </c>
      <c r="C189" s="863" t="s">
        <v>5191</v>
      </c>
      <c r="D189" s="456" t="s">
        <v>5035</v>
      </c>
      <c r="E189" s="513"/>
      <c r="F189" s="513"/>
      <c r="G189" s="513"/>
      <c r="H189" s="513"/>
      <c r="I189" s="513"/>
      <c r="J189" s="775">
        <v>5.5648218717072364</v>
      </c>
      <c r="K189" s="588"/>
      <c r="L189" s="588" t="s">
        <v>4125</v>
      </c>
      <c r="M189" s="589" t="s">
        <v>5192</v>
      </c>
      <c r="N189" s="590" t="s">
        <v>5193</v>
      </c>
      <c r="O189" s="624"/>
      <c r="P189" s="463"/>
      <c r="Q189" s="461"/>
      <c r="R189" s="463"/>
      <c r="S189" s="461"/>
      <c r="T189" s="461"/>
      <c r="U189" s="461"/>
      <c r="V189" s="462"/>
      <c r="W189" s="462"/>
      <c r="X189" s="462"/>
      <c r="Y189" s="482" t="s">
        <v>5194</v>
      </c>
      <c r="Z189" s="862">
        <v>2</v>
      </c>
      <c r="AA189" s="679"/>
    </row>
    <row r="190" spans="1:27" s="154" customFormat="1" ht="15">
      <c r="A190" s="337"/>
      <c r="B190" s="507"/>
      <c r="C190" s="336"/>
      <c r="D190" s="331"/>
      <c r="E190" s="332"/>
      <c r="F190" s="332"/>
      <c r="G190" s="332"/>
      <c r="H190" s="332"/>
      <c r="I190" s="466"/>
      <c r="J190" s="176"/>
      <c r="K190" s="588"/>
      <c r="L190" s="588"/>
      <c r="M190" s="780"/>
      <c r="N190" s="781"/>
      <c r="O190" s="590">
        <v>1</v>
      </c>
      <c r="P190" s="472" t="s">
        <v>5195</v>
      </c>
      <c r="Q190" s="473">
        <v>0</v>
      </c>
      <c r="R190" s="461"/>
      <c r="S190" s="461"/>
      <c r="T190" s="461"/>
      <c r="U190" s="461" t="s">
        <v>4125</v>
      </c>
      <c r="V190" s="461"/>
      <c r="W190" s="461"/>
      <c r="X190" s="461"/>
      <c r="Y190" s="668"/>
      <c r="Z190" s="462">
        <v>1</v>
      </c>
      <c r="AA190" s="141"/>
    </row>
    <row r="191" spans="1:27" s="154" customFormat="1" ht="15">
      <c r="A191" s="499"/>
      <c r="B191" s="507"/>
      <c r="C191" s="336"/>
      <c r="D191" s="331"/>
      <c r="E191" s="332"/>
      <c r="F191" s="332"/>
      <c r="G191" s="332"/>
      <c r="H191" s="332"/>
      <c r="I191" s="466"/>
      <c r="J191" s="466"/>
      <c r="K191" s="467"/>
      <c r="L191" s="467"/>
      <c r="M191" s="468"/>
      <c r="N191" s="469"/>
      <c r="O191" s="342">
        <v>2</v>
      </c>
      <c r="P191" s="336" t="s">
        <v>5196</v>
      </c>
      <c r="Q191" s="461">
        <v>0</v>
      </c>
      <c r="R191" s="461"/>
      <c r="S191" s="461"/>
      <c r="T191" s="461"/>
      <c r="U191" s="461" t="s">
        <v>4125</v>
      </c>
      <c r="V191" s="461"/>
      <c r="W191" s="461"/>
      <c r="X191" s="860"/>
      <c r="Y191" s="584"/>
      <c r="Z191" s="861">
        <v>2</v>
      </c>
      <c r="AA191" s="141"/>
    </row>
    <row r="192" spans="1:27" s="154" customFormat="1" ht="15">
      <c r="A192" s="499"/>
      <c r="B192" s="507"/>
      <c r="C192" s="336"/>
      <c r="D192" s="331"/>
      <c r="E192" s="332"/>
      <c r="F192" s="332"/>
      <c r="G192" s="332"/>
      <c r="H192" s="332"/>
      <c r="I192" s="466"/>
      <c r="J192" s="466"/>
      <c r="K192" s="467"/>
      <c r="L192" s="467"/>
      <c r="M192" s="468"/>
      <c r="N192" s="469"/>
      <c r="O192" s="341">
        <v>3</v>
      </c>
      <c r="P192" s="336" t="s">
        <v>5197</v>
      </c>
      <c r="Q192" s="461">
        <v>0</v>
      </c>
      <c r="R192" s="461"/>
      <c r="S192" s="461"/>
      <c r="T192" s="461"/>
      <c r="U192" s="461" t="s">
        <v>4125</v>
      </c>
      <c r="V192" s="461"/>
      <c r="W192" s="461"/>
      <c r="X192" s="860"/>
      <c r="Y192" s="584"/>
      <c r="Z192" s="861">
        <v>2</v>
      </c>
      <c r="AA192" s="141"/>
    </row>
    <row r="193" spans="1:27" s="154" customFormat="1" ht="15">
      <c r="A193" s="499"/>
      <c r="B193" s="507"/>
      <c r="C193" s="336"/>
      <c r="D193" s="331"/>
      <c r="E193" s="332"/>
      <c r="F193" s="332"/>
      <c r="G193" s="332"/>
      <c r="H193" s="332"/>
      <c r="I193" s="466"/>
      <c r="J193" s="466"/>
      <c r="K193" s="467"/>
      <c r="L193" s="467"/>
      <c r="M193" s="468"/>
      <c r="N193" s="469"/>
      <c r="O193" s="341">
        <v>4</v>
      </c>
      <c r="P193" s="336" t="s">
        <v>5198</v>
      </c>
      <c r="Q193" s="461">
        <v>0</v>
      </c>
      <c r="R193" s="461"/>
      <c r="S193" s="461"/>
      <c r="T193" s="461"/>
      <c r="U193" s="461" t="s">
        <v>4125</v>
      </c>
      <c r="V193" s="461" t="s">
        <v>4125</v>
      </c>
      <c r="W193" s="461"/>
      <c r="X193" s="860"/>
      <c r="Y193" s="584"/>
      <c r="Z193" s="861">
        <v>2</v>
      </c>
      <c r="AA193" s="141"/>
    </row>
    <row r="194" spans="1:27" s="154" customFormat="1" ht="15">
      <c r="A194" s="499"/>
      <c r="B194" s="507"/>
      <c r="C194" s="336"/>
      <c r="D194" s="331"/>
      <c r="E194" s="332"/>
      <c r="F194" s="332"/>
      <c r="G194" s="332"/>
      <c r="H194" s="332"/>
      <c r="I194" s="466"/>
      <c r="J194" s="176"/>
      <c r="K194" s="588"/>
      <c r="L194" s="588"/>
      <c r="M194" s="780"/>
      <c r="N194" s="781"/>
      <c r="O194" s="473">
        <v>5</v>
      </c>
      <c r="P194" s="463" t="s">
        <v>5199</v>
      </c>
      <c r="Q194" s="461">
        <v>0</v>
      </c>
      <c r="R194" s="461"/>
      <c r="S194" s="461"/>
      <c r="T194" s="461"/>
      <c r="U194" s="461" t="s">
        <v>4125</v>
      </c>
      <c r="V194" s="461"/>
      <c r="W194" s="461"/>
      <c r="X194" s="461"/>
      <c r="Y194" s="668"/>
      <c r="Z194" s="462">
        <v>1</v>
      </c>
      <c r="AA194" s="141"/>
    </row>
    <row r="195" spans="1:27" s="154" customFormat="1" ht="15">
      <c r="A195" s="499"/>
      <c r="B195" s="507"/>
      <c r="C195" s="336"/>
      <c r="D195" s="331"/>
      <c r="E195" s="332"/>
      <c r="F195" s="332"/>
      <c r="G195" s="332"/>
      <c r="H195" s="332"/>
      <c r="I195" s="466"/>
      <c r="J195" s="176"/>
      <c r="K195" s="588"/>
      <c r="L195" s="588"/>
      <c r="M195" s="780"/>
      <c r="N195" s="781"/>
      <c r="O195" s="473">
        <v>6</v>
      </c>
      <c r="P195" s="463" t="s">
        <v>5200</v>
      </c>
      <c r="Q195" s="461">
        <v>0</v>
      </c>
      <c r="R195" s="461"/>
      <c r="S195" s="461"/>
      <c r="T195" s="461"/>
      <c r="U195" s="461" t="s">
        <v>4125</v>
      </c>
      <c r="V195" s="461"/>
      <c r="W195" s="461"/>
      <c r="X195" s="461"/>
      <c r="Y195" s="668"/>
      <c r="Z195" s="462">
        <v>1</v>
      </c>
      <c r="AA195" s="141"/>
    </row>
    <row r="196" spans="1:27" s="154" customFormat="1" ht="15">
      <c r="A196" s="499"/>
      <c r="B196" s="507"/>
      <c r="C196" s="336"/>
      <c r="D196" s="331"/>
      <c r="E196" s="332"/>
      <c r="F196" s="332"/>
      <c r="G196" s="332"/>
      <c r="H196" s="332"/>
      <c r="I196" s="466"/>
      <c r="J196" s="466"/>
      <c r="K196" s="467"/>
      <c r="L196" s="467"/>
      <c r="M196" s="468"/>
      <c r="N196" s="469"/>
      <c r="O196" s="341">
        <v>7</v>
      </c>
      <c r="P196" s="336" t="s">
        <v>5201</v>
      </c>
      <c r="Q196" s="461">
        <v>0</v>
      </c>
      <c r="R196" s="585"/>
      <c r="S196" s="860"/>
      <c r="T196" s="586"/>
      <c r="U196" s="860" t="s">
        <v>4125</v>
      </c>
      <c r="V196" s="587"/>
      <c r="W196" s="586"/>
      <c r="X196" s="461"/>
      <c r="Y196" s="584"/>
      <c r="Z196" s="861">
        <v>2</v>
      </c>
      <c r="AA196" s="141"/>
    </row>
    <row r="197" spans="1:27" s="154" customFormat="1" ht="14.25">
      <c r="A197" s="499"/>
      <c r="B197" s="507"/>
      <c r="C197" s="336"/>
      <c r="D197" s="331"/>
      <c r="E197" s="332"/>
      <c r="F197" s="332"/>
      <c r="G197" s="332"/>
      <c r="H197" s="332"/>
      <c r="I197" s="466"/>
      <c r="J197" s="176"/>
      <c r="K197" s="588"/>
      <c r="L197" s="588"/>
      <c r="M197" s="780"/>
      <c r="N197" s="781"/>
      <c r="O197" s="176">
        <v>8</v>
      </c>
      <c r="P197" s="463" t="s">
        <v>5202</v>
      </c>
      <c r="Q197" s="461">
        <v>5</v>
      </c>
      <c r="R197" s="463"/>
      <c r="S197" s="461"/>
      <c r="T197" s="461"/>
      <c r="U197" s="461" t="s">
        <v>4125</v>
      </c>
      <c r="V197" s="462"/>
      <c r="W197" s="462"/>
      <c r="X197" s="462"/>
      <c r="Y197" s="463" t="s">
        <v>4989</v>
      </c>
      <c r="Z197" s="462">
        <v>1</v>
      </c>
      <c r="AA197" s="679"/>
    </row>
    <row r="198" spans="1:27" s="154" customFormat="1" ht="14.25">
      <c r="A198" s="502"/>
      <c r="B198" s="519"/>
      <c r="C198" s="491"/>
      <c r="D198" s="345"/>
      <c r="E198" s="405"/>
      <c r="F198" s="405"/>
      <c r="G198" s="405"/>
      <c r="H198" s="405"/>
      <c r="I198" s="405"/>
      <c r="J198" s="405"/>
      <c r="K198" s="492"/>
      <c r="L198" s="492"/>
      <c r="M198" s="493"/>
      <c r="N198" s="494"/>
      <c r="O198" s="492"/>
      <c r="P198" s="491"/>
      <c r="Q198" s="405"/>
      <c r="R198" s="491"/>
      <c r="S198" s="405"/>
      <c r="T198" s="405"/>
      <c r="U198" s="405"/>
      <c r="V198" s="308"/>
      <c r="W198" s="308"/>
      <c r="X198" s="308"/>
      <c r="Y198" s="491"/>
      <c r="Z198" s="308"/>
      <c r="AA198" s="141"/>
    </row>
    <row r="199" spans="1:27" s="154" customFormat="1" ht="28.5">
      <c r="A199" s="500" t="s">
        <v>5203</v>
      </c>
      <c r="B199" s="310" t="s">
        <v>223</v>
      </c>
      <c r="C199" s="327" t="s">
        <v>5204</v>
      </c>
      <c r="D199" s="456" t="s">
        <v>4978</v>
      </c>
      <c r="E199" s="322">
        <v>0</v>
      </c>
      <c r="F199" s="322">
        <v>100</v>
      </c>
      <c r="G199" s="322" t="s">
        <v>41</v>
      </c>
      <c r="H199" s="322">
        <v>80</v>
      </c>
      <c r="I199" s="322">
        <v>100</v>
      </c>
      <c r="J199" s="693">
        <v>104</v>
      </c>
      <c r="K199" s="323" t="s">
        <v>4125</v>
      </c>
      <c r="L199" s="323"/>
      <c r="M199" s="324" t="s">
        <v>4979</v>
      </c>
      <c r="N199" s="324" t="s">
        <v>4980</v>
      </c>
      <c r="O199" s="333"/>
      <c r="P199" s="336"/>
      <c r="Q199" s="332"/>
      <c r="R199" s="336"/>
      <c r="S199" s="332"/>
      <c r="T199" s="332"/>
      <c r="U199" s="332"/>
      <c r="V199" s="337"/>
      <c r="W199" s="337"/>
      <c r="X199" s="337"/>
      <c r="Y199" s="336"/>
      <c r="Z199" s="337"/>
      <c r="AA199" s="679"/>
    </row>
    <row r="200" spans="1:27" s="154" customFormat="1" ht="15">
      <c r="A200" s="514"/>
      <c r="B200" s="515"/>
      <c r="C200" s="336"/>
      <c r="D200" s="331"/>
      <c r="E200" s="332"/>
      <c r="F200" s="332"/>
      <c r="G200" s="332"/>
      <c r="H200" s="332"/>
      <c r="I200" s="332"/>
      <c r="J200" s="461"/>
      <c r="K200" s="624"/>
      <c r="L200" s="624"/>
      <c r="M200" s="667"/>
      <c r="N200" s="667"/>
      <c r="O200" s="590">
        <v>1</v>
      </c>
      <c r="P200" s="472" t="s">
        <v>5205</v>
      </c>
      <c r="Q200" s="473">
        <v>0</v>
      </c>
      <c r="R200" s="461"/>
      <c r="S200" s="461"/>
      <c r="T200" s="461"/>
      <c r="U200" s="461" t="s">
        <v>4125</v>
      </c>
      <c r="V200" s="461"/>
      <c r="W200" s="461"/>
      <c r="X200" s="461"/>
      <c r="Y200" s="668"/>
      <c r="Z200" s="462" t="s">
        <v>138</v>
      </c>
      <c r="AA200" s="141"/>
    </row>
    <row r="201" spans="1:27" s="154" customFormat="1" ht="15">
      <c r="A201" s="514"/>
      <c r="B201" s="515"/>
      <c r="C201" s="336"/>
      <c r="D201" s="331"/>
      <c r="E201" s="332"/>
      <c r="F201" s="332"/>
      <c r="G201" s="332"/>
      <c r="H201" s="332"/>
      <c r="I201" s="332"/>
      <c r="J201" s="332"/>
      <c r="K201" s="333"/>
      <c r="L201" s="333"/>
      <c r="M201" s="509"/>
      <c r="N201" s="509"/>
      <c r="O201" s="342">
        <v>2</v>
      </c>
      <c r="P201" s="336" t="s">
        <v>5206</v>
      </c>
      <c r="Q201" s="461">
        <v>0</v>
      </c>
      <c r="R201" s="461"/>
      <c r="S201" s="461"/>
      <c r="T201" s="461"/>
      <c r="U201" s="461" t="s">
        <v>4125</v>
      </c>
      <c r="V201" s="461"/>
      <c r="W201" s="461"/>
      <c r="X201" s="860"/>
      <c r="Y201" s="584"/>
      <c r="Z201" s="861">
        <v>2</v>
      </c>
      <c r="AA201" s="141"/>
    </row>
    <row r="202" spans="1:27" s="154" customFormat="1" ht="15">
      <c r="A202" s="457"/>
      <c r="B202" s="458"/>
      <c r="C202" s="330"/>
      <c r="D202" s="459"/>
      <c r="E202" s="332"/>
      <c r="F202" s="341"/>
      <c r="G202" s="341"/>
      <c r="H202" s="341"/>
      <c r="I202" s="341"/>
      <c r="J202" s="341"/>
      <c r="K202" s="342"/>
      <c r="L202" s="342"/>
      <c r="M202" s="460"/>
      <c r="N202" s="460"/>
      <c r="O202" s="342">
        <v>3</v>
      </c>
      <c r="P202" s="336" t="s">
        <v>5207</v>
      </c>
      <c r="Q202" s="461">
        <v>0</v>
      </c>
      <c r="R202" s="461"/>
      <c r="S202" s="461"/>
      <c r="T202" s="461"/>
      <c r="U202" s="461" t="s">
        <v>4125</v>
      </c>
      <c r="V202" s="461"/>
      <c r="W202" s="461"/>
      <c r="X202" s="860"/>
      <c r="Y202" s="584"/>
      <c r="Z202" s="861">
        <v>2</v>
      </c>
      <c r="AA202" s="141"/>
    </row>
    <row r="203" spans="1:27" s="154" customFormat="1" ht="15">
      <c r="A203" s="457"/>
      <c r="B203" s="458"/>
      <c r="C203" s="330"/>
      <c r="D203" s="459"/>
      <c r="E203" s="332"/>
      <c r="F203" s="341"/>
      <c r="G203" s="341"/>
      <c r="H203" s="341"/>
      <c r="I203" s="341"/>
      <c r="J203" s="341"/>
      <c r="K203" s="342"/>
      <c r="L203" s="342"/>
      <c r="M203" s="460"/>
      <c r="N203" s="460"/>
      <c r="O203" s="341">
        <v>4</v>
      </c>
      <c r="P203" s="336" t="s">
        <v>5208</v>
      </c>
      <c r="Q203" s="461">
        <v>0</v>
      </c>
      <c r="R203" s="461"/>
      <c r="S203" s="461"/>
      <c r="T203" s="461"/>
      <c r="U203" s="461" t="s">
        <v>4125</v>
      </c>
      <c r="V203" s="461" t="s">
        <v>4125</v>
      </c>
      <c r="W203" s="461"/>
      <c r="X203" s="860"/>
      <c r="Y203" s="584"/>
      <c r="Z203" s="861">
        <v>2</v>
      </c>
      <c r="AA203" s="141"/>
    </row>
    <row r="204" spans="1:27" s="154" customFormat="1" ht="15">
      <c r="A204" s="457"/>
      <c r="B204" s="458"/>
      <c r="C204" s="330"/>
      <c r="D204" s="459"/>
      <c r="E204" s="332"/>
      <c r="F204" s="341"/>
      <c r="G204" s="341"/>
      <c r="H204" s="341"/>
      <c r="I204" s="341"/>
      <c r="J204" s="473"/>
      <c r="K204" s="590"/>
      <c r="L204" s="590"/>
      <c r="M204" s="589"/>
      <c r="N204" s="589"/>
      <c r="O204" s="473">
        <v>5</v>
      </c>
      <c r="P204" s="463" t="s">
        <v>5209</v>
      </c>
      <c r="Q204" s="461">
        <v>0</v>
      </c>
      <c r="R204" s="461"/>
      <c r="S204" s="461"/>
      <c r="T204" s="461"/>
      <c r="U204" s="461" t="s">
        <v>4125</v>
      </c>
      <c r="V204" s="461"/>
      <c r="W204" s="461"/>
      <c r="X204" s="461"/>
      <c r="Y204" s="668"/>
      <c r="Z204" s="462" t="s">
        <v>138</v>
      </c>
      <c r="AA204" s="141"/>
    </row>
    <row r="205" spans="1:27" s="154" customFormat="1" ht="15">
      <c r="A205" s="457"/>
      <c r="B205" s="458"/>
      <c r="C205" s="330"/>
      <c r="D205" s="459"/>
      <c r="E205" s="332"/>
      <c r="F205" s="341"/>
      <c r="G205" s="341"/>
      <c r="H205" s="341"/>
      <c r="I205" s="341"/>
      <c r="J205" s="473"/>
      <c r="K205" s="590"/>
      <c r="L205" s="590"/>
      <c r="M205" s="589"/>
      <c r="N205" s="589"/>
      <c r="O205" s="473">
        <v>6</v>
      </c>
      <c r="P205" s="463" t="s">
        <v>5210</v>
      </c>
      <c r="Q205" s="461">
        <v>0</v>
      </c>
      <c r="R205" s="461"/>
      <c r="S205" s="461"/>
      <c r="T205" s="461"/>
      <c r="U205" s="461" t="s">
        <v>4125</v>
      </c>
      <c r="V205" s="461"/>
      <c r="W205" s="461"/>
      <c r="X205" s="461"/>
      <c r="Y205" s="668"/>
      <c r="Z205" s="462" t="s">
        <v>138</v>
      </c>
      <c r="AA205" s="141"/>
    </row>
    <row r="206" spans="1:27" s="154" customFormat="1" ht="15">
      <c r="A206" s="457"/>
      <c r="B206" s="458"/>
      <c r="C206" s="330"/>
      <c r="D206" s="459"/>
      <c r="E206" s="332"/>
      <c r="F206" s="341"/>
      <c r="G206" s="341"/>
      <c r="H206" s="341"/>
      <c r="I206" s="341"/>
      <c r="J206" s="341"/>
      <c r="K206" s="342"/>
      <c r="L206" s="342"/>
      <c r="M206" s="460"/>
      <c r="N206" s="460"/>
      <c r="O206" s="341">
        <v>7</v>
      </c>
      <c r="P206" s="336" t="s">
        <v>5211</v>
      </c>
      <c r="Q206" s="461">
        <v>0</v>
      </c>
      <c r="R206" s="585"/>
      <c r="S206" s="860"/>
      <c r="T206" s="586"/>
      <c r="U206" s="860" t="s">
        <v>4125</v>
      </c>
      <c r="V206" s="587"/>
      <c r="W206" s="586"/>
      <c r="X206" s="461"/>
      <c r="Y206" s="584"/>
      <c r="Z206" s="861">
        <v>2</v>
      </c>
      <c r="AA206" s="141"/>
    </row>
    <row r="207" spans="1:27" s="154" customFormat="1" ht="14.25">
      <c r="A207" s="514"/>
      <c r="B207" s="515"/>
      <c r="C207" s="336"/>
      <c r="D207" s="331"/>
      <c r="E207" s="332"/>
      <c r="F207" s="332"/>
      <c r="G207" s="332"/>
      <c r="H207" s="332"/>
      <c r="I207" s="332"/>
      <c r="J207" s="461"/>
      <c r="K207" s="624"/>
      <c r="L207" s="624"/>
      <c r="M207" s="667"/>
      <c r="N207" s="667"/>
      <c r="O207" s="461">
        <v>8</v>
      </c>
      <c r="P207" s="463" t="s">
        <v>5212</v>
      </c>
      <c r="Q207" s="461">
        <v>5</v>
      </c>
      <c r="R207" s="463"/>
      <c r="S207" s="461"/>
      <c r="T207" s="461"/>
      <c r="U207" s="461" t="s">
        <v>4125</v>
      </c>
      <c r="V207" s="462"/>
      <c r="W207" s="462"/>
      <c r="X207" s="462"/>
      <c r="Y207" s="463" t="s">
        <v>4989</v>
      </c>
      <c r="Z207" s="462" t="s">
        <v>184</v>
      </c>
      <c r="AA207" s="141"/>
    </row>
    <row r="208" spans="1:27" s="154" customFormat="1" ht="14.25">
      <c r="A208" s="514"/>
      <c r="B208" s="515"/>
      <c r="C208" s="336"/>
      <c r="D208" s="331"/>
      <c r="E208" s="332"/>
      <c r="F208" s="332"/>
      <c r="G208" s="332"/>
      <c r="H208" s="332"/>
      <c r="I208" s="332"/>
      <c r="J208" s="461"/>
      <c r="K208" s="624"/>
      <c r="L208" s="624"/>
      <c r="M208" s="667"/>
      <c r="N208" s="667"/>
      <c r="O208" s="461">
        <v>9</v>
      </c>
      <c r="P208" s="463" t="s">
        <v>5213</v>
      </c>
      <c r="Q208" s="461">
        <v>5</v>
      </c>
      <c r="R208" s="463"/>
      <c r="S208" s="461"/>
      <c r="T208" s="461"/>
      <c r="U208" s="461" t="s">
        <v>4125</v>
      </c>
      <c r="V208" s="462"/>
      <c r="W208" s="462"/>
      <c r="X208" s="462"/>
      <c r="Y208" s="463" t="s">
        <v>4989</v>
      </c>
      <c r="Z208" s="462" t="s">
        <v>184</v>
      </c>
      <c r="AA208" s="141"/>
    </row>
    <row r="209" spans="1:27" s="154" customFormat="1" ht="14.25">
      <c r="A209" s="516"/>
      <c r="B209" s="458"/>
      <c r="C209" s="330"/>
      <c r="D209" s="331"/>
      <c r="E209" s="466"/>
      <c r="F209" s="466"/>
      <c r="G209" s="466"/>
      <c r="H209" s="466"/>
      <c r="I209" s="466"/>
      <c r="J209" s="176"/>
      <c r="K209" s="588"/>
      <c r="L209" s="588"/>
      <c r="M209" s="634"/>
      <c r="N209" s="634"/>
      <c r="O209" s="176">
        <v>10</v>
      </c>
      <c r="P209" s="479" t="s">
        <v>5214</v>
      </c>
      <c r="Q209" s="176">
        <v>5</v>
      </c>
      <c r="R209" s="479"/>
      <c r="S209" s="176"/>
      <c r="T209" s="176" t="s">
        <v>4125</v>
      </c>
      <c r="U209" s="176"/>
      <c r="V209" s="480"/>
      <c r="W209" s="480" t="s">
        <v>4125</v>
      </c>
      <c r="X209" s="480"/>
      <c r="Y209" s="479" t="s">
        <v>4992</v>
      </c>
      <c r="Z209" s="480">
        <v>0</v>
      </c>
      <c r="AA209" s="141"/>
    </row>
    <row r="210" spans="1:27" s="154" customFormat="1" ht="14.25">
      <c r="A210" s="516"/>
      <c r="B210" s="458"/>
      <c r="C210" s="330"/>
      <c r="D210" s="331"/>
      <c r="E210" s="466"/>
      <c r="F210" s="466"/>
      <c r="G210" s="466"/>
      <c r="H210" s="466"/>
      <c r="I210" s="466"/>
      <c r="J210" s="176"/>
      <c r="K210" s="588"/>
      <c r="L210" s="588"/>
      <c r="M210" s="634"/>
      <c r="N210" s="634"/>
      <c r="O210" s="176">
        <v>11</v>
      </c>
      <c r="P210" s="479" t="s">
        <v>5215</v>
      </c>
      <c r="Q210" s="176">
        <v>5</v>
      </c>
      <c r="R210" s="479"/>
      <c r="S210" s="176"/>
      <c r="T210" s="176" t="s">
        <v>4125</v>
      </c>
      <c r="U210" s="176"/>
      <c r="V210" s="480"/>
      <c r="W210" s="480" t="s">
        <v>4125</v>
      </c>
      <c r="X210" s="480"/>
      <c r="Y210" s="479" t="s">
        <v>4994</v>
      </c>
      <c r="Z210" s="480">
        <v>0</v>
      </c>
      <c r="AA210" s="141"/>
    </row>
    <row r="211" spans="1:27" s="154" customFormat="1" ht="14.25">
      <c r="A211" s="487"/>
      <c r="B211" s="490"/>
      <c r="C211" s="491"/>
      <c r="D211" s="345"/>
      <c r="E211" s="503"/>
      <c r="F211" s="405"/>
      <c r="G211" s="405"/>
      <c r="H211" s="405"/>
      <c r="I211" s="405"/>
      <c r="J211" s="405"/>
      <c r="K211" s="492"/>
      <c r="L211" s="492"/>
      <c r="M211" s="493"/>
      <c r="N211" s="494"/>
      <c r="O211" s="492"/>
      <c r="P211" s="491"/>
      <c r="Q211" s="405"/>
      <c r="R211" s="491"/>
      <c r="S211" s="405"/>
      <c r="T211" s="405"/>
      <c r="U211" s="405"/>
      <c r="V211" s="308"/>
      <c r="W211" s="308"/>
      <c r="X211" s="308"/>
      <c r="Y211" s="491"/>
      <c r="Z211" s="308"/>
      <c r="AA211" s="141"/>
    </row>
    <row r="212" spans="1:27" s="154" customFormat="1" ht="28.5">
      <c r="A212" s="500" t="s">
        <v>5216</v>
      </c>
      <c r="B212" s="310" t="s">
        <v>223</v>
      </c>
      <c r="C212" s="327" t="s">
        <v>5217</v>
      </c>
      <c r="D212" s="456" t="s">
        <v>5023</v>
      </c>
      <c r="E212" s="513"/>
      <c r="F212" s="513"/>
      <c r="G212" s="513"/>
      <c r="H212" s="513"/>
      <c r="I212" s="513"/>
      <c r="J212" s="775">
        <v>1.66</v>
      </c>
      <c r="K212" s="588"/>
      <c r="L212" s="588" t="s">
        <v>4125</v>
      </c>
      <c r="M212" s="777" t="s">
        <v>5218</v>
      </c>
      <c r="N212" s="778" t="s">
        <v>5219</v>
      </c>
      <c r="O212" s="624"/>
      <c r="P212" s="463"/>
      <c r="Q212" s="461"/>
      <c r="R212" s="463"/>
      <c r="S212" s="461"/>
      <c r="T212" s="461"/>
      <c r="U212" s="461"/>
      <c r="V212" s="462"/>
      <c r="W212" s="462"/>
      <c r="X212" s="462"/>
      <c r="Y212" s="463"/>
      <c r="Z212" s="462">
        <v>1</v>
      </c>
      <c r="AA212" s="679"/>
    </row>
    <row r="213" spans="1:27" s="154" customFormat="1" ht="15">
      <c r="A213" s="337"/>
      <c r="B213" s="507"/>
      <c r="C213" s="336"/>
      <c r="D213" s="331"/>
      <c r="E213" s="332"/>
      <c r="F213" s="332"/>
      <c r="G213" s="332"/>
      <c r="H213" s="332"/>
      <c r="I213" s="466"/>
      <c r="J213" s="176"/>
      <c r="K213" s="588"/>
      <c r="L213" s="588"/>
      <c r="M213" s="634"/>
      <c r="N213" s="667"/>
      <c r="O213" s="590">
        <v>1</v>
      </c>
      <c r="P213" s="472" t="s">
        <v>5220</v>
      </c>
      <c r="Q213" s="473">
        <v>0</v>
      </c>
      <c r="R213" s="461"/>
      <c r="S213" s="461"/>
      <c r="T213" s="461"/>
      <c r="U213" s="461" t="s">
        <v>4125</v>
      </c>
      <c r="V213" s="461"/>
      <c r="W213" s="461"/>
      <c r="X213" s="461"/>
      <c r="Y213" s="668"/>
      <c r="Z213" s="462" t="s">
        <v>138</v>
      </c>
      <c r="AA213" s="141"/>
    </row>
    <row r="214" spans="1:27" s="154" customFormat="1" ht="15">
      <c r="A214" s="499"/>
      <c r="B214" s="507"/>
      <c r="C214" s="336"/>
      <c r="D214" s="331"/>
      <c r="E214" s="332"/>
      <c r="F214" s="332"/>
      <c r="G214" s="332"/>
      <c r="H214" s="332"/>
      <c r="I214" s="466"/>
      <c r="J214" s="466"/>
      <c r="K214" s="467"/>
      <c r="L214" s="467"/>
      <c r="M214" s="506"/>
      <c r="N214" s="509"/>
      <c r="O214" s="342">
        <v>2</v>
      </c>
      <c r="P214" s="336" t="s">
        <v>5221</v>
      </c>
      <c r="Q214" s="461">
        <v>0</v>
      </c>
      <c r="R214" s="461"/>
      <c r="S214" s="461"/>
      <c r="T214" s="461"/>
      <c r="U214" s="461" t="s">
        <v>4125</v>
      </c>
      <c r="V214" s="461"/>
      <c r="W214" s="461"/>
      <c r="X214" s="860"/>
      <c r="Y214" s="584"/>
      <c r="Z214" s="861">
        <v>2</v>
      </c>
      <c r="AA214" s="141"/>
    </row>
    <row r="215" spans="1:27" s="154" customFormat="1" ht="15">
      <c r="A215" s="499"/>
      <c r="B215" s="507"/>
      <c r="C215" s="336"/>
      <c r="D215" s="331"/>
      <c r="E215" s="332"/>
      <c r="F215" s="332"/>
      <c r="G215" s="332"/>
      <c r="H215" s="332"/>
      <c r="I215" s="466"/>
      <c r="J215" s="466"/>
      <c r="K215" s="467"/>
      <c r="L215" s="467"/>
      <c r="M215" s="506"/>
      <c r="N215" s="509"/>
      <c r="O215" s="341">
        <v>3</v>
      </c>
      <c r="P215" s="336" t="s">
        <v>5222</v>
      </c>
      <c r="Q215" s="461">
        <v>0</v>
      </c>
      <c r="R215" s="461"/>
      <c r="S215" s="461"/>
      <c r="T215" s="461"/>
      <c r="U215" s="461" t="s">
        <v>4125</v>
      </c>
      <c r="V215" s="461"/>
      <c r="W215" s="461"/>
      <c r="X215" s="860"/>
      <c r="Y215" s="584"/>
      <c r="Z215" s="861">
        <v>2</v>
      </c>
      <c r="AA215" s="141"/>
    </row>
    <row r="216" spans="1:27" s="154" customFormat="1" ht="15">
      <c r="A216" s="499"/>
      <c r="B216" s="507"/>
      <c r="C216" s="336"/>
      <c r="D216" s="331"/>
      <c r="E216" s="332"/>
      <c r="F216" s="332"/>
      <c r="G216" s="332"/>
      <c r="H216" s="332"/>
      <c r="I216" s="466"/>
      <c r="J216" s="466"/>
      <c r="K216" s="467"/>
      <c r="L216" s="467"/>
      <c r="M216" s="506"/>
      <c r="N216" s="509"/>
      <c r="O216" s="341">
        <v>4</v>
      </c>
      <c r="P216" s="336" t="s">
        <v>5223</v>
      </c>
      <c r="Q216" s="461">
        <v>0</v>
      </c>
      <c r="R216" s="461"/>
      <c r="S216" s="461"/>
      <c r="T216" s="461"/>
      <c r="U216" s="461" t="s">
        <v>4125</v>
      </c>
      <c r="V216" s="461" t="s">
        <v>4125</v>
      </c>
      <c r="W216" s="461"/>
      <c r="X216" s="860"/>
      <c r="Y216" s="584"/>
      <c r="Z216" s="861">
        <v>2</v>
      </c>
      <c r="AA216" s="141"/>
    </row>
    <row r="217" spans="1:27" s="154" customFormat="1" ht="15">
      <c r="A217" s="499"/>
      <c r="B217" s="507"/>
      <c r="C217" s="336"/>
      <c r="D217" s="331"/>
      <c r="E217" s="332"/>
      <c r="F217" s="332"/>
      <c r="G217" s="332"/>
      <c r="H217" s="332"/>
      <c r="I217" s="466"/>
      <c r="J217" s="176"/>
      <c r="K217" s="588"/>
      <c r="L217" s="588"/>
      <c r="M217" s="634"/>
      <c r="N217" s="667"/>
      <c r="O217" s="473">
        <v>5</v>
      </c>
      <c r="P217" s="463" t="s">
        <v>5224</v>
      </c>
      <c r="Q217" s="461">
        <v>0</v>
      </c>
      <c r="R217" s="461"/>
      <c r="S217" s="461"/>
      <c r="T217" s="461"/>
      <c r="U217" s="461" t="s">
        <v>4125</v>
      </c>
      <c r="V217" s="461"/>
      <c r="W217" s="461"/>
      <c r="X217" s="461"/>
      <c r="Y217" s="668"/>
      <c r="Z217" s="462" t="s">
        <v>138</v>
      </c>
      <c r="AA217" s="141"/>
    </row>
    <row r="218" spans="1:27" s="154" customFormat="1" ht="15">
      <c r="A218" s="499"/>
      <c r="B218" s="507"/>
      <c r="C218" s="336"/>
      <c r="D218" s="331"/>
      <c r="E218" s="332"/>
      <c r="F218" s="332"/>
      <c r="G218" s="332"/>
      <c r="H218" s="332"/>
      <c r="I218" s="466"/>
      <c r="J218" s="176"/>
      <c r="K218" s="588"/>
      <c r="L218" s="588"/>
      <c r="M218" s="634"/>
      <c r="N218" s="667"/>
      <c r="O218" s="473">
        <v>6</v>
      </c>
      <c r="P218" s="463" t="s">
        <v>5225</v>
      </c>
      <c r="Q218" s="461">
        <v>0</v>
      </c>
      <c r="R218" s="461"/>
      <c r="S218" s="461"/>
      <c r="T218" s="461"/>
      <c r="U218" s="461" t="s">
        <v>4125</v>
      </c>
      <c r="V218" s="461"/>
      <c r="W218" s="461"/>
      <c r="X218" s="461"/>
      <c r="Y218" s="668"/>
      <c r="Z218" s="462" t="s">
        <v>138</v>
      </c>
      <c r="AA218" s="141"/>
    </row>
    <row r="219" spans="1:27" s="154" customFormat="1" ht="15">
      <c r="A219" s="499"/>
      <c r="B219" s="507"/>
      <c r="C219" s="336"/>
      <c r="D219" s="331"/>
      <c r="E219" s="332"/>
      <c r="F219" s="332"/>
      <c r="G219" s="332"/>
      <c r="H219" s="332"/>
      <c r="I219" s="466"/>
      <c r="J219" s="466"/>
      <c r="K219" s="467"/>
      <c r="L219" s="467"/>
      <c r="M219" s="506"/>
      <c r="N219" s="509"/>
      <c r="O219" s="341">
        <v>7</v>
      </c>
      <c r="P219" s="336" t="s">
        <v>5226</v>
      </c>
      <c r="Q219" s="461">
        <v>0</v>
      </c>
      <c r="R219" s="585"/>
      <c r="S219" s="860"/>
      <c r="T219" s="586"/>
      <c r="U219" s="860" t="s">
        <v>4125</v>
      </c>
      <c r="V219" s="587"/>
      <c r="W219" s="586"/>
      <c r="X219" s="461"/>
      <c r="Y219" s="584"/>
      <c r="Z219" s="861">
        <v>2</v>
      </c>
      <c r="AA219" s="141"/>
    </row>
    <row r="220" spans="1:27" s="154" customFormat="1" ht="14.25">
      <c r="A220" s="502"/>
      <c r="B220" s="519"/>
      <c r="C220" s="491"/>
      <c r="D220" s="345"/>
      <c r="E220" s="405"/>
      <c r="F220" s="405"/>
      <c r="G220" s="405"/>
      <c r="H220" s="405"/>
      <c r="I220" s="405"/>
      <c r="J220" s="405"/>
      <c r="K220" s="492"/>
      <c r="L220" s="492"/>
      <c r="M220" s="520"/>
      <c r="N220" s="520"/>
      <c r="O220" s="492"/>
      <c r="P220" s="491"/>
      <c r="Q220" s="405"/>
      <c r="R220" s="491"/>
      <c r="S220" s="405"/>
      <c r="T220" s="405"/>
      <c r="U220" s="405"/>
      <c r="V220" s="308"/>
      <c r="W220" s="308"/>
      <c r="X220" s="308"/>
      <c r="Y220" s="491"/>
      <c r="Z220" s="308"/>
      <c r="AA220" s="141"/>
    </row>
    <row r="221" spans="1:27" s="154" customFormat="1" ht="28.5">
      <c r="A221" s="866" t="s">
        <v>5227</v>
      </c>
      <c r="B221" s="310" t="s">
        <v>223</v>
      </c>
      <c r="C221" s="863" t="s">
        <v>5228</v>
      </c>
      <c r="D221" s="456" t="s">
        <v>5035</v>
      </c>
      <c r="E221" s="513"/>
      <c r="F221" s="513"/>
      <c r="G221" s="513"/>
      <c r="H221" s="513"/>
      <c r="I221" s="513"/>
      <c r="J221" s="775">
        <v>5.5648218717072364</v>
      </c>
      <c r="K221" s="588"/>
      <c r="L221" s="588" t="s">
        <v>4125</v>
      </c>
      <c r="M221" s="589" t="s">
        <v>5229</v>
      </c>
      <c r="N221" s="590" t="s">
        <v>5230</v>
      </c>
      <c r="O221" s="624"/>
      <c r="P221" s="463"/>
      <c r="Q221" s="461"/>
      <c r="R221" s="463"/>
      <c r="S221" s="461"/>
      <c r="T221" s="461"/>
      <c r="U221" s="461"/>
      <c r="V221" s="462"/>
      <c r="W221" s="462"/>
      <c r="X221" s="462"/>
      <c r="Y221" s="482" t="s">
        <v>5231</v>
      </c>
      <c r="Z221" s="861">
        <v>2</v>
      </c>
      <c r="AA221" s="679"/>
    </row>
    <row r="222" spans="1:27" s="154" customFormat="1" ht="15">
      <c r="A222" s="337"/>
      <c r="B222" s="507"/>
      <c r="C222" s="336"/>
      <c r="D222" s="331"/>
      <c r="E222" s="332"/>
      <c r="F222" s="332"/>
      <c r="G222" s="332"/>
      <c r="H222" s="332"/>
      <c r="I222" s="466"/>
      <c r="J222" s="176"/>
      <c r="K222" s="588"/>
      <c r="L222" s="588"/>
      <c r="M222" s="780"/>
      <c r="N222" s="781"/>
      <c r="O222" s="590">
        <v>1</v>
      </c>
      <c r="P222" s="472" t="s">
        <v>5232</v>
      </c>
      <c r="Q222" s="473">
        <v>0</v>
      </c>
      <c r="R222" s="461"/>
      <c r="S222" s="461"/>
      <c r="T222" s="461"/>
      <c r="U222" s="461" t="s">
        <v>4125</v>
      </c>
      <c r="V222" s="461"/>
      <c r="W222" s="461"/>
      <c r="X222" s="461"/>
      <c r="Y222" s="668"/>
      <c r="Z222" s="462" t="s">
        <v>138</v>
      </c>
      <c r="AA222" s="141"/>
    </row>
    <row r="223" spans="1:27" s="154" customFormat="1" ht="15">
      <c r="A223" s="499"/>
      <c r="B223" s="507"/>
      <c r="C223" s="336"/>
      <c r="D223" s="331"/>
      <c r="E223" s="332"/>
      <c r="F223" s="332"/>
      <c r="G223" s="332"/>
      <c r="H223" s="332"/>
      <c r="I223" s="466"/>
      <c r="J223" s="466"/>
      <c r="K223" s="467"/>
      <c r="L223" s="467"/>
      <c r="M223" s="468"/>
      <c r="N223" s="469"/>
      <c r="O223" s="342">
        <v>2</v>
      </c>
      <c r="P223" s="336" t="s">
        <v>5233</v>
      </c>
      <c r="Q223" s="461">
        <v>0</v>
      </c>
      <c r="R223" s="461"/>
      <c r="S223" s="461"/>
      <c r="T223" s="461"/>
      <c r="U223" s="461" t="s">
        <v>4125</v>
      </c>
      <c r="V223" s="461"/>
      <c r="W223" s="461"/>
      <c r="X223" s="860"/>
      <c r="Y223" s="584"/>
      <c r="Z223" s="861">
        <v>2</v>
      </c>
      <c r="AA223" s="141"/>
    </row>
    <row r="224" spans="1:27" s="154" customFormat="1" ht="15">
      <c r="A224" s="499"/>
      <c r="B224" s="507"/>
      <c r="C224" s="336"/>
      <c r="D224" s="331"/>
      <c r="E224" s="332"/>
      <c r="F224" s="332"/>
      <c r="G224" s="332"/>
      <c r="H224" s="332"/>
      <c r="I224" s="466"/>
      <c r="J224" s="466"/>
      <c r="K224" s="467"/>
      <c r="L224" s="467"/>
      <c r="M224" s="468"/>
      <c r="N224" s="469"/>
      <c r="O224" s="341">
        <v>3</v>
      </c>
      <c r="P224" s="336" t="s">
        <v>5234</v>
      </c>
      <c r="Q224" s="461">
        <v>0</v>
      </c>
      <c r="R224" s="461"/>
      <c r="S224" s="461"/>
      <c r="T224" s="461"/>
      <c r="U224" s="461" t="s">
        <v>4125</v>
      </c>
      <c r="V224" s="461"/>
      <c r="W224" s="461"/>
      <c r="X224" s="860"/>
      <c r="Y224" s="584"/>
      <c r="Z224" s="861">
        <v>2</v>
      </c>
      <c r="AA224" s="141"/>
    </row>
    <row r="225" spans="1:27" s="154" customFormat="1" ht="15">
      <c r="A225" s="499"/>
      <c r="B225" s="507"/>
      <c r="C225" s="336"/>
      <c r="D225" s="331"/>
      <c r="E225" s="332"/>
      <c r="F225" s="332"/>
      <c r="G225" s="332"/>
      <c r="H225" s="332"/>
      <c r="I225" s="466"/>
      <c r="J225" s="466"/>
      <c r="K225" s="467"/>
      <c r="L225" s="467"/>
      <c r="M225" s="468"/>
      <c r="N225" s="469"/>
      <c r="O225" s="341">
        <v>4</v>
      </c>
      <c r="P225" s="336" t="s">
        <v>5235</v>
      </c>
      <c r="Q225" s="461">
        <v>0</v>
      </c>
      <c r="R225" s="461"/>
      <c r="S225" s="461"/>
      <c r="T225" s="461"/>
      <c r="U225" s="461" t="s">
        <v>4125</v>
      </c>
      <c r="V225" s="461" t="s">
        <v>4125</v>
      </c>
      <c r="W225" s="461"/>
      <c r="X225" s="860"/>
      <c r="Y225" s="584"/>
      <c r="Z225" s="861">
        <v>2</v>
      </c>
      <c r="AA225" s="141"/>
    </row>
    <row r="226" spans="1:27" s="154" customFormat="1" ht="15">
      <c r="A226" s="499"/>
      <c r="B226" s="507"/>
      <c r="C226" s="336"/>
      <c r="D226" s="331"/>
      <c r="E226" s="332"/>
      <c r="F226" s="332"/>
      <c r="G226" s="332"/>
      <c r="H226" s="332"/>
      <c r="I226" s="466"/>
      <c r="J226" s="176"/>
      <c r="K226" s="588"/>
      <c r="L226" s="588"/>
      <c r="M226" s="780"/>
      <c r="N226" s="781"/>
      <c r="O226" s="473">
        <v>5</v>
      </c>
      <c r="P226" s="463" t="s">
        <v>5236</v>
      </c>
      <c r="Q226" s="461">
        <v>0</v>
      </c>
      <c r="R226" s="461"/>
      <c r="S226" s="461"/>
      <c r="T226" s="461"/>
      <c r="U226" s="461" t="s">
        <v>4125</v>
      </c>
      <c r="V226" s="461"/>
      <c r="W226" s="461"/>
      <c r="X226" s="461"/>
      <c r="Y226" s="668"/>
      <c r="Z226" s="462" t="s">
        <v>138</v>
      </c>
      <c r="AA226" s="141"/>
    </row>
    <row r="227" spans="1:27" s="154" customFormat="1" ht="15">
      <c r="A227" s="499"/>
      <c r="B227" s="507"/>
      <c r="C227" s="336"/>
      <c r="D227" s="331"/>
      <c r="E227" s="332"/>
      <c r="F227" s="332"/>
      <c r="G227" s="332"/>
      <c r="H227" s="332"/>
      <c r="I227" s="466"/>
      <c r="J227" s="176"/>
      <c r="K227" s="588"/>
      <c r="L227" s="588"/>
      <c r="M227" s="780"/>
      <c r="N227" s="781"/>
      <c r="O227" s="473">
        <v>6</v>
      </c>
      <c r="P227" s="463" t="s">
        <v>5237</v>
      </c>
      <c r="Q227" s="461">
        <v>0</v>
      </c>
      <c r="R227" s="461"/>
      <c r="S227" s="461"/>
      <c r="T227" s="461"/>
      <c r="U227" s="461" t="s">
        <v>4125</v>
      </c>
      <c r="V227" s="461"/>
      <c r="W227" s="461"/>
      <c r="X227" s="461"/>
      <c r="Y227" s="668"/>
      <c r="Z227" s="462" t="s">
        <v>138</v>
      </c>
      <c r="AA227" s="141"/>
    </row>
    <row r="228" spans="1:27" s="154" customFormat="1" ht="15">
      <c r="A228" s="499"/>
      <c r="B228" s="507"/>
      <c r="C228" s="336"/>
      <c r="D228" s="331"/>
      <c r="E228" s="332"/>
      <c r="F228" s="332"/>
      <c r="G228" s="332"/>
      <c r="H228" s="332"/>
      <c r="I228" s="466"/>
      <c r="J228" s="466"/>
      <c r="K228" s="467"/>
      <c r="L228" s="467"/>
      <c r="M228" s="468"/>
      <c r="N228" s="469"/>
      <c r="O228" s="341">
        <v>7</v>
      </c>
      <c r="P228" s="336" t="s">
        <v>5238</v>
      </c>
      <c r="Q228" s="461">
        <v>0</v>
      </c>
      <c r="R228" s="585"/>
      <c r="S228" s="860"/>
      <c r="T228" s="586"/>
      <c r="U228" s="860" t="s">
        <v>4125</v>
      </c>
      <c r="V228" s="587"/>
      <c r="W228" s="586"/>
      <c r="X228" s="461"/>
      <c r="Y228" s="584"/>
      <c r="Z228" s="861">
        <v>2</v>
      </c>
      <c r="AA228" s="141"/>
    </row>
    <row r="229" spans="1:27" s="154" customFormat="1" ht="14.25">
      <c r="A229" s="499"/>
      <c r="B229" s="507"/>
      <c r="C229" s="336"/>
      <c r="D229" s="331"/>
      <c r="E229" s="332"/>
      <c r="F229" s="332"/>
      <c r="G229" s="332"/>
      <c r="H229" s="332"/>
      <c r="I229" s="466"/>
      <c r="J229" s="176"/>
      <c r="K229" s="588"/>
      <c r="L229" s="588"/>
      <c r="M229" s="780"/>
      <c r="N229" s="781"/>
      <c r="O229" s="176">
        <v>8</v>
      </c>
      <c r="P229" s="463" t="s">
        <v>5239</v>
      </c>
      <c r="Q229" s="461">
        <v>5</v>
      </c>
      <c r="R229" s="463"/>
      <c r="S229" s="461"/>
      <c r="T229" s="461"/>
      <c r="U229" s="461" t="s">
        <v>4125</v>
      </c>
      <c r="V229" s="462"/>
      <c r="W229" s="462"/>
      <c r="X229" s="462"/>
      <c r="Y229" s="463" t="s">
        <v>4989</v>
      </c>
      <c r="Z229" s="480" t="s">
        <v>138</v>
      </c>
      <c r="AA229" s="679"/>
    </row>
    <row r="230" spans="1:27" s="154" customFormat="1" ht="14.25">
      <c r="A230" s="502"/>
      <c r="B230" s="519"/>
      <c r="C230" s="491"/>
      <c r="D230" s="345"/>
      <c r="E230" s="405"/>
      <c r="F230" s="405"/>
      <c r="G230" s="405"/>
      <c r="H230" s="405"/>
      <c r="I230" s="405"/>
      <c r="J230" s="405"/>
      <c r="K230" s="492"/>
      <c r="L230" s="492"/>
      <c r="M230" s="493"/>
      <c r="N230" s="494"/>
      <c r="O230" s="492"/>
      <c r="P230" s="491"/>
      <c r="Q230" s="405"/>
      <c r="R230" s="491"/>
      <c r="S230" s="405"/>
      <c r="T230" s="405"/>
      <c r="U230" s="405"/>
      <c r="V230" s="308"/>
      <c r="W230" s="308"/>
      <c r="X230" s="308"/>
      <c r="Y230" s="491"/>
      <c r="Z230" s="308"/>
      <c r="AA230" s="141"/>
    </row>
    <row r="231" spans="1:27" s="154" customFormat="1" ht="14.25">
      <c r="A231" s="501" t="s">
        <v>4813</v>
      </c>
      <c r="B231" s="310" t="s">
        <v>331</v>
      </c>
      <c r="C231" s="327" t="s">
        <v>5240</v>
      </c>
      <c r="D231" s="456" t="s">
        <v>4978</v>
      </c>
      <c r="E231" s="322">
        <v>0</v>
      </c>
      <c r="F231" s="322">
        <v>100</v>
      </c>
      <c r="G231" s="322" t="s">
        <v>41</v>
      </c>
      <c r="H231" s="322">
        <v>40</v>
      </c>
      <c r="I231" s="322">
        <v>100</v>
      </c>
      <c r="J231" s="693">
        <v>520</v>
      </c>
      <c r="K231" s="323" t="s">
        <v>4125</v>
      </c>
      <c r="L231" s="323" t="s">
        <v>4125</v>
      </c>
      <c r="M231" s="324" t="s">
        <v>4979</v>
      </c>
      <c r="N231" s="324" t="s">
        <v>4980</v>
      </c>
      <c r="O231" s="323"/>
      <c r="P231" s="327"/>
      <c r="Q231" s="466"/>
      <c r="R231" s="465"/>
      <c r="S231" s="466"/>
      <c r="T231" s="466"/>
      <c r="U231" s="466"/>
      <c r="V231" s="470"/>
      <c r="W231" s="470"/>
      <c r="X231" s="470"/>
      <c r="Y231" s="327"/>
      <c r="Z231" s="326"/>
      <c r="AA231" s="141"/>
    </row>
    <row r="232" spans="1:27" s="154" customFormat="1" ht="88.5" customHeight="1">
      <c r="A232" s="499"/>
      <c r="B232" s="507"/>
      <c r="C232" s="336"/>
      <c r="D232" s="331"/>
      <c r="E232" s="332"/>
      <c r="F232" s="332"/>
      <c r="G232" s="332"/>
      <c r="H232" s="332"/>
      <c r="I232" s="332"/>
      <c r="J232" s="461"/>
      <c r="K232" s="624"/>
      <c r="L232" s="624"/>
      <c r="M232" s="624"/>
      <c r="N232" s="624"/>
      <c r="O232" s="590">
        <v>1</v>
      </c>
      <c r="P232" s="472" t="s">
        <v>5241</v>
      </c>
      <c r="Q232" s="461">
        <v>0</v>
      </c>
      <c r="R232" s="461"/>
      <c r="S232" s="461"/>
      <c r="T232" s="461"/>
      <c r="U232" s="461" t="s">
        <v>4125</v>
      </c>
      <c r="V232" s="461"/>
      <c r="W232" s="461"/>
      <c r="X232" s="461"/>
      <c r="Y232" s="784" t="s">
        <v>5242</v>
      </c>
      <c r="Z232" s="462" t="s">
        <v>138</v>
      </c>
      <c r="AA232" s="679"/>
    </row>
    <row r="233" spans="1:27" s="154" customFormat="1" ht="15">
      <c r="A233" s="499"/>
      <c r="B233" s="507"/>
      <c r="C233" s="336"/>
      <c r="D233" s="331"/>
      <c r="E233" s="332"/>
      <c r="F233" s="332"/>
      <c r="G233" s="332"/>
      <c r="H233" s="332"/>
      <c r="I233" s="332"/>
      <c r="J233" s="332"/>
      <c r="K233" s="333"/>
      <c r="L233" s="333"/>
      <c r="M233" s="334"/>
      <c r="N233" s="335"/>
      <c r="O233" s="342">
        <v>2</v>
      </c>
      <c r="P233" s="336" t="s">
        <v>5243</v>
      </c>
      <c r="Q233" s="461">
        <v>0</v>
      </c>
      <c r="R233" s="461"/>
      <c r="S233" s="461"/>
      <c r="T233" s="461"/>
      <c r="U233" s="461" t="s">
        <v>4125</v>
      </c>
      <c r="V233" s="461"/>
      <c r="W233" s="461"/>
      <c r="X233" s="860"/>
      <c r="Y233" s="584"/>
      <c r="Z233" s="861">
        <v>2</v>
      </c>
      <c r="AA233" s="141"/>
    </row>
    <row r="234" spans="1:27" s="154" customFormat="1" ht="15">
      <c r="A234" s="499"/>
      <c r="B234" s="507"/>
      <c r="C234" s="336"/>
      <c r="D234" s="331"/>
      <c r="E234" s="332"/>
      <c r="F234" s="332"/>
      <c r="G234" s="332"/>
      <c r="H234" s="332"/>
      <c r="I234" s="332"/>
      <c r="J234" s="332"/>
      <c r="K234" s="333"/>
      <c r="L234" s="333"/>
      <c r="M234" s="334"/>
      <c r="N234" s="335"/>
      <c r="O234" s="342">
        <v>3</v>
      </c>
      <c r="P234" s="336" t="s">
        <v>5244</v>
      </c>
      <c r="Q234" s="461">
        <v>0</v>
      </c>
      <c r="R234" s="461"/>
      <c r="S234" s="461"/>
      <c r="T234" s="461"/>
      <c r="U234" s="461" t="s">
        <v>4125</v>
      </c>
      <c r="V234" s="461"/>
      <c r="W234" s="461"/>
      <c r="X234" s="860"/>
      <c r="Y234" s="584"/>
      <c r="Z234" s="861">
        <v>2</v>
      </c>
      <c r="AA234" s="141"/>
    </row>
    <row r="235" spans="1:27" s="154" customFormat="1" ht="15">
      <c r="A235" s="499"/>
      <c r="B235" s="507"/>
      <c r="C235" s="336"/>
      <c r="D235" s="331"/>
      <c r="E235" s="332"/>
      <c r="F235" s="332"/>
      <c r="G235" s="332"/>
      <c r="H235" s="332"/>
      <c r="I235" s="332"/>
      <c r="J235" s="332"/>
      <c r="K235" s="333"/>
      <c r="L235" s="333"/>
      <c r="M235" s="334"/>
      <c r="N235" s="335"/>
      <c r="O235" s="341">
        <v>4</v>
      </c>
      <c r="P235" s="336" t="s">
        <v>5245</v>
      </c>
      <c r="Q235" s="461">
        <v>0</v>
      </c>
      <c r="R235" s="461"/>
      <c r="S235" s="461"/>
      <c r="T235" s="461"/>
      <c r="U235" s="461" t="s">
        <v>4125</v>
      </c>
      <c r="V235" s="461" t="s">
        <v>4125</v>
      </c>
      <c r="W235" s="461"/>
      <c r="X235" s="860"/>
      <c r="Y235" s="584"/>
      <c r="Z235" s="861">
        <v>2</v>
      </c>
      <c r="AA235" s="141"/>
    </row>
    <row r="236" spans="1:27" s="154" customFormat="1" ht="15">
      <c r="A236" s="499"/>
      <c r="B236" s="507"/>
      <c r="C236" s="336"/>
      <c r="D236" s="331"/>
      <c r="E236" s="332"/>
      <c r="F236" s="332"/>
      <c r="G236" s="332"/>
      <c r="H236" s="332"/>
      <c r="I236" s="332"/>
      <c r="J236" s="461"/>
      <c r="K236" s="624"/>
      <c r="L236" s="624"/>
      <c r="M236" s="785"/>
      <c r="N236" s="783"/>
      <c r="O236" s="473">
        <v>5</v>
      </c>
      <c r="P236" s="463" t="s">
        <v>5246</v>
      </c>
      <c r="Q236" s="461">
        <v>0</v>
      </c>
      <c r="R236" s="461"/>
      <c r="S236" s="461"/>
      <c r="T236" s="461"/>
      <c r="U236" s="461" t="s">
        <v>4125</v>
      </c>
      <c r="V236" s="461"/>
      <c r="W236" s="461"/>
      <c r="X236" s="461"/>
      <c r="Y236" s="668"/>
      <c r="Z236" s="462" t="s">
        <v>138</v>
      </c>
      <c r="AA236" s="141"/>
    </row>
    <row r="237" spans="1:27" s="154" customFormat="1" ht="15">
      <c r="A237" s="499"/>
      <c r="B237" s="507"/>
      <c r="C237" s="336"/>
      <c r="D237" s="331"/>
      <c r="E237" s="332"/>
      <c r="F237" s="332"/>
      <c r="G237" s="332"/>
      <c r="H237" s="332"/>
      <c r="I237" s="332"/>
      <c r="J237" s="461"/>
      <c r="K237" s="624"/>
      <c r="L237" s="624"/>
      <c r="M237" s="785"/>
      <c r="N237" s="783"/>
      <c r="O237" s="473">
        <v>6</v>
      </c>
      <c r="P237" s="463" t="s">
        <v>5247</v>
      </c>
      <c r="Q237" s="461">
        <v>0</v>
      </c>
      <c r="R237" s="461"/>
      <c r="S237" s="461"/>
      <c r="T237" s="461"/>
      <c r="U237" s="461" t="s">
        <v>4125</v>
      </c>
      <c r="V237" s="461"/>
      <c r="W237" s="461"/>
      <c r="X237" s="461"/>
      <c r="Y237" s="668"/>
      <c r="Z237" s="462" t="s">
        <v>138</v>
      </c>
      <c r="AA237" s="141"/>
    </row>
    <row r="238" spans="1:27" s="154" customFormat="1" ht="15">
      <c r="A238" s="499"/>
      <c r="B238" s="507"/>
      <c r="C238" s="336"/>
      <c r="D238" s="331"/>
      <c r="E238" s="332"/>
      <c r="F238" s="332"/>
      <c r="G238" s="332"/>
      <c r="H238" s="332"/>
      <c r="I238" s="332"/>
      <c r="J238" s="332"/>
      <c r="K238" s="333"/>
      <c r="L238" s="333"/>
      <c r="M238" s="334"/>
      <c r="N238" s="335"/>
      <c r="O238" s="341">
        <v>7</v>
      </c>
      <c r="P238" s="336" t="s">
        <v>5248</v>
      </c>
      <c r="Q238" s="461">
        <v>0</v>
      </c>
      <c r="R238" s="585"/>
      <c r="S238" s="860"/>
      <c r="T238" s="586"/>
      <c r="U238" s="860" t="s">
        <v>4125</v>
      </c>
      <c r="V238" s="587"/>
      <c r="W238" s="586"/>
      <c r="X238" s="461"/>
      <c r="Y238" s="584"/>
      <c r="Z238" s="861">
        <v>2</v>
      </c>
      <c r="AA238" s="141"/>
    </row>
    <row r="239" spans="1:27" s="154" customFormat="1" ht="14.25">
      <c r="A239" s="499"/>
      <c r="B239" s="507"/>
      <c r="C239" s="336"/>
      <c r="D239" s="331"/>
      <c r="E239" s="332"/>
      <c r="F239" s="332"/>
      <c r="G239" s="332"/>
      <c r="H239" s="332"/>
      <c r="I239" s="332"/>
      <c r="J239" s="461"/>
      <c r="K239" s="624"/>
      <c r="L239" s="624"/>
      <c r="M239" s="785"/>
      <c r="N239" s="783"/>
      <c r="O239" s="461">
        <v>8</v>
      </c>
      <c r="P239" s="463" t="s">
        <v>5249</v>
      </c>
      <c r="Q239" s="461">
        <v>5</v>
      </c>
      <c r="R239" s="463"/>
      <c r="S239" s="461"/>
      <c r="T239" s="461" t="s">
        <v>4125</v>
      </c>
      <c r="U239" s="461"/>
      <c r="V239" s="462"/>
      <c r="W239" s="462" t="s">
        <v>4125</v>
      </c>
      <c r="X239" s="462"/>
      <c r="Y239" s="463" t="s">
        <v>5250</v>
      </c>
      <c r="Z239" s="462" t="s">
        <v>184</v>
      </c>
      <c r="AA239" s="141"/>
    </row>
    <row r="240" spans="1:27" s="154" customFormat="1" ht="14.25">
      <c r="A240" s="499"/>
      <c r="B240" s="507"/>
      <c r="C240" s="336"/>
      <c r="D240" s="331"/>
      <c r="E240" s="332"/>
      <c r="F240" s="332"/>
      <c r="G240" s="332"/>
      <c r="H240" s="332"/>
      <c r="I240" s="332"/>
      <c r="J240" s="461"/>
      <c r="K240" s="624"/>
      <c r="L240" s="624"/>
      <c r="M240" s="785"/>
      <c r="N240" s="783"/>
      <c r="O240" s="461">
        <v>9</v>
      </c>
      <c r="P240" s="463" t="s">
        <v>5251</v>
      </c>
      <c r="Q240" s="461">
        <v>5</v>
      </c>
      <c r="R240" s="463"/>
      <c r="S240" s="461"/>
      <c r="T240" s="461" t="s">
        <v>4125</v>
      </c>
      <c r="U240" s="461"/>
      <c r="V240" s="462"/>
      <c r="W240" s="462" t="s">
        <v>4125</v>
      </c>
      <c r="X240" s="462"/>
      <c r="Y240" s="463" t="s">
        <v>5252</v>
      </c>
      <c r="Z240" s="462" t="s">
        <v>184</v>
      </c>
      <c r="AA240" s="683"/>
    </row>
    <row r="241" spans="1:27" s="154" customFormat="1" ht="14.25">
      <c r="A241" s="500"/>
      <c r="B241" s="507"/>
      <c r="C241" s="336"/>
      <c r="D241" s="331"/>
      <c r="E241" s="466"/>
      <c r="F241" s="466"/>
      <c r="G241" s="466"/>
      <c r="H241" s="466"/>
      <c r="I241" s="466"/>
      <c r="J241" s="176"/>
      <c r="K241" s="588"/>
      <c r="L241" s="588"/>
      <c r="M241" s="780"/>
      <c r="N241" s="781"/>
      <c r="O241" s="176">
        <v>10</v>
      </c>
      <c r="P241" s="479" t="s">
        <v>5253</v>
      </c>
      <c r="Q241" s="176">
        <v>5</v>
      </c>
      <c r="R241" s="479"/>
      <c r="S241" s="176"/>
      <c r="T241" s="176" t="s">
        <v>4125</v>
      </c>
      <c r="U241" s="176"/>
      <c r="V241" s="480"/>
      <c r="W241" s="480" t="s">
        <v>4125</v>
      </c>
      <c r="X241" s="480"/>
      <c r="Y241" s="463" t="s">
        <v>5254</v>
      </c>
      <c r="Z241" s="462" t="s">
        <v>184</v>
      </c>
      <c r="AA241" s="141"/>
    </row>
    <row r="242" spans="1:27" s="154" customFormat="1" ht="14.25">
      <c r="A242" s="500"/>
      <c r="B242" s="507"/>
      <c r="C242" s="336"/>
      <c r="D242" s="331"/>
      <c r="E242" s="466"/>
      <c r="F242" s="466"/>
      <c r="G242" s="466"/>
      <c r="H242" s="466"/>
      <c r="I242" s="466"/>
      <c r="J242" s="176"/>
      <c r="K242" s="588"/>
      <c r="L242" s="588"/>
      <c r="M242" s="780"/>
      <c r="N242" s="781"/>
      <c r="O242" s="176">
        <v>11</v>
      </c>
      <c r="P242" s="479" t="s">
        <v>5255</v>
      </c>
      <c r="Q242" s="176">
        <v>5</v>
      </c>
      <c r="R242" s="479"/>
      <c r="S242" s="176"/>
      <c r="T242" s="176" t="s">
        <v>4125</v>
      </c>
      <c r="U242" s="176"/>
      <c r="V242" s="480"/>
      <c r="W242" s="480" t="s">
        <v>4125</v>
      </c>
      <c r="X242" s="480"/>
      <c r="Y242" s="463" t="s">
        <v>5256</v>
      </c>
      <c r="Z242" s="462" t="s">
        <v>184</v>
      </c>
      <c r="AA242" s="141"/>
    </row>
    <row r="243" spans="1:27" s="154" customFormat="1" ht="14.25">
      <c r="A243" s="500"/>
      <c r="B243" s="507"/>
      <c r="C243" s="336"/>
      <c r="D243" s="331"/>
      <c r="E243" s="466"/>
      <c r="F243" s="466"/>
      <c r="G243" s="466"/>
      <c r="H243" s="466"/>
      <c r="I243" s="466"/>
      <c r="J243" s="176"/>
      <c r="K243" s="588"/>
      <c r="L243" s="588"/>
      <c r="M243" s="780"/>
      <c r="N243" s="781"/>
      <c r="O243" s="176">
        <v>12</v>
      </c>
      <c r="P243" s="479" t="s">
        <v>5257</v>
      </c>
      <c r="Q243" s="176">
        <v>5</v>
      </c>
      <c r="R243" s="479"/>
      <c r="S243" s="176"/>
      <c r="T243" s="176" t="s">
        <v>4125</v>
      </c>
      <c r="U243" s="176"/>
      <c r="V243" s="480"/>
      <c r="W243" s="480" t="s">
        <v>4125</v>
      </c>
      <c r="X243" s="480"/>
      <c r="Y243" s="463" t="s">
        <v>5258</v>
      </c>
      <c r="Z243" s="462" t="s">
        <v>184</v>
      </c>
      <c r="AA243" s="141"/>
    </row>
    <row r="244" spans="1:27" s="154" customFormat="1" ht="39.75" customHeight="1">
      <c r="A244" s="500"/>
      <c r="B244" s="507"/>
      <c r="C244" s="336"/>
      <c r="D244" s="331"/>
      <c r="E244" s="466"/>
      <c r="F244" s="466"/>
      <c r="G244" s="466"/>
      <c r="H244" s="466"/>
      <c r="I244" s="466"/>
      <c r="J244" s="176"/>
      <c r="K244" s="588"/>
      <c r="L244" s="588"/>
      <c r="M244" s="780"/>
      <c r="N244" s="781"/>
      <c r="O244" s="176">
        <v>13</v>
      </c>
      <c r="P244" s="479" t="s">
        <v>5259</v>
      </c>
      <c r="Q244" s="176">
        <v>5</v>
      </c>
      <c r="R244" s="479"/>
      <c r="S244" s="176"/>
      <c r="T244" s="176"/>
      <c r="U244" s="176" t="s">
        <v>4125</v>
      </c>
      <c r="V244" s="480"/>
      <c r="W244" s="480"/>
      <c r="X244" s="480"/>
      <c r="Y244" s="463" t="s">
        <v>5260</v>
      </c>
      <c r="Z244" s="462" t="s">
        <v>184</v>
      </c>
      <c r="AA244" s="683"/>
    </row>
    <row r="245" spans="1:27" s="154" customFormat="1" ht="39.75" customHeight="1">
      <c r="A245" s="500"/>
      <c r="B245" s="507"/>
      <c r="C245" s="336"/>
      <c r="D245" s="331"/>
      <c r="E245" s="466"/>
      <c r="F245" s="466"/>
      <c r="G245" s="466"/>
      <c r="H245" s="466"/>
      <c r="I245" s="466"/>
      <c r="J245" s="176"/>
      <c r="K245" s="588"/>
      <c r="L245" s="588"/>
      <c r="M245" s="780"/>
      <c r="N245" s="781"/>
      <c r="O245" s="176">
        <v>14</v>
      </c>
      <c r="P245" s="479" t="s">
        <v>5261</v>
      </c>
      <c r="Q245" s="176">
        <v>5</v>
      </c>
      <c r="R245" s="479"/>
      <c r="S245" s="176"/>
      <c r="T245" s="176"/>
      <c r="U245" s="176" t="s">
        <v>4125</v>
      </c>
      <c r="V245" s="480"/>
      <c r="W245" s="480"/>
      <c r="X245" s="480"/>
      <c r="Y245" s="463" t="s">
        <v>5262</v>
      </c>
      <c r="Z245" s="462" t="s">
        <v>184</v>
      </c>
      <c r="AA245" s="683"/>
    </row>
    <row r="246" spans="1:27" s="154" customFormat="1" ht="39.75" customHeight="1">
      <c r="A246" s="500"/>
      <c r="B246" s="507"/>
      <c r="C246" s="336"/>
      <c r="D246" s="331"/>
      <c r="E246" s="466"/>
      <c r="F246" s="466"/>
      <c r="G246" s="466"/>
      <c r="H246" s="466"/>
      <c r="I246" s="466"/>
      <c r="J246" s="176"/>
      <c r="K246" s="588"/>
      <c r="L246" s="588"/>
      <c r="M246" s="780"/>
      <c r="N246" s="781"/>
      <c r="O246" s="176">
        <v>15</v>
      </c>
      <c r="P246" s="479" t="s">
        <v>5263</v>
      </c>
      <c r="Q246" s="176">
        <v>5</v>
      </c>
      <c r="R246" s="479"/>
      <c r="S246" s="176"/>
      <c r="T246" s="176"/>
      <c r="U246" s="176" t="s">
        <v>4125</v>
      </c>
      <c r="V246" s="480"/>
      <c r="W246" s="480"/>
      <c r="X246" s="480"/>
      <c r="Y246" s="463" t="s">
        <v>5264</v>
      </c>
      <c r="Z246" s="462" t="s">
        <v>184</v>
      </c>
      <c r="AA246" s="683"/>
    </row>
    <row r="247" spans="1:27" s="154" customFormat="1" ht="14.25">
      <c r="A247" s="500"/>
      <c r="B247" s="507"/>
      <c r="C247" s="336"/>
      <c r="D247" s="331"/>
      <c r="E247" s="466"/>
      <c r="F247" s="466"/>
      <c r="G247" s="466"/>
      <c r="H247" s="466"/>
      <c r="I247" s="466"/>
      <c r="J247" s="176"/>
      <c r="K247" s="588"/>
      <c r="L247" s="588"/>
      <c r="M247" s="780"/>
      <c r="N247" s="781"/>
      <c r="O247" s="176">
        <v>16</v>
      </c>
      <c r="P247" s="479" t="s">
        <v>5265</v>
      </c>
      <c r="Q247" s="176">
        <v>5</v>
      </c>
      <c r="R247" s="479"/>
      <c r="S247" s="176"/>
      <c r="T247" s="176"/>
      <c r="U247" s="176" t="s">
        <v>4125</v>
      </c>
      <c r="V247" s="480"/>
      <c r="W247" s="480"/>
      <c r="X247" s="480"/>
      <c r="Y247" s="463" t="s">
        <v>5266</v>
      </c>
      <c r="Z247" s="462" t="s">
        <v>184</v>
      </c>
      <c r="AA247" s="683"/>
    </row>
    <row r="248" spans="1:27" s="154" customFormat="1" ht="14.25">
      <c r="A248" s="500"/>
      <c r="B248" s="507"/>
      <c r="C248" s="336"/>
      <c r="D248" s="331"/>
      <c r="E248" s="466"/>
      <c r="F248" s="466"/>
      <c r="G248" s="466"/>
      <c r="H248" s="466"/>
      <c r="I248" s="466"/>
      <c r="J248" s="176"/>
      <c r="K248" s="588"/>
      <c r="L248" s="588"/>
      <c r="M248" s="780"/>
      <c r="N248" s="781"/>
      <c r="O248" s="461">
        <v>17</v>
      </c>
      <c r="P248" s="463" t="s">
        <v>5267</v>
      </c>
      <c r="Q248" s="461">
        <v>5</v>
      </c>
      <c r="R248" s="463"/>
      <c r="S248" s="461"/>
      <c r="T248" s="461"/>
      <c r="U248" s="461" t="s">
        <v>4125</v>
      </c>
      <c r="V248" s="462"/>
      <c r="W248" s="462"/>
      <c r="X248" s="462"/>
      <c r="Y248" s="463" t="s">
        <v>5268</v>
      </c>
      <c r="Z248" s="462" t="s">
        <v>184</v>
      </c>
      <c r="AA248" s="683"/>
    </row>
    <row r="249" spans="1:27" s="154" customFormat="1" ht="72.75" customHeight="1">
      <c r="A249" s="500"/>
      <c r="B249" s="508"/>
      <c r="C249" s="465"/>
      <c r="D249" s="340"/>
      <c r="E249" s="466"/>
      <c r="F249" s="466"/>
      <c r="G249" s="466"/>
      <c r="H249" s="466"/>
      <c r="I249" s="466"/>
      <c r="J249" s="176"/>
      <c r="K249" s="588"/>
      <c r="L249" s="588"/>
      <c r="M249" s="780"/>
      <c r="N249" s="781"/>
      <c r="O249" s="176">
        <v>18</v>
      </c>
      <c r="P249" s="479" t="s">
        <v>5269</v>
      </c>
      <c r="Q249" s="176">
        <v>0</v>
      </c>
      <c r="R249" s="479"/>
      <c r="S249" s="176"/>
      <c r="T249" s="176" t="s">
        <v>4125</v>
      </c>
      <c r="U249" s="176"/>
      <c r="V249" s="480"/>
      <c r="W249" s="480" t="s">
        <v>4125</v>
      </c>
      <c r="X249" s="480"/>
      <c r="Y249" s="479" t="s">
        <v>5270</v>
      </c>
      <c r="Z249" s="480">
        <v>0</v>
      </c>
      <c r="AA249" s="683"/>
    </row>
    <row r="250" spans="1:27" s="154" customFormat="1" ht="14.25">
      <c r="A250" s="502"/>
      <c r="B250" s="519"/>
      <c r="C250" s="491"/>
      <c r="D250" s="345"/>
      <c r="E250" s="405"/>
      <c r="F250" s="405"/>
      <c r="G250" s="405"/>
      <c r="H250" s="405"/>
      <c r="I250" s="405"/>
      <c r="J250" s="405"/>
      <c r="K250" s="492"/>
      <c r="L250" s="492"/>
      <c r="M250" s="493"/>
      <c r="N250" s="494"/>
      <c r="O250" s="492"/>
      <c r="P250" s="241"/>
      <c r="Q250" s="405"/>
      <c r="R250" s="491"/>
      <c r="S250" s="405"/>
      <c r="T250" s="405"/>
      <c r="U250" s="405"/>
      <c r="V250" s="308"/>
      <c r="W250" s="308"/>
      <c r="X250" s="308"/>
      <c r="Y250" s="491"/>
      <c r="Z250" s="308"/>
      <c r="AA250" s="141"/>
    </row>
    <row r="251" spans="1:27" s="154" customFormat="1" ht="65.25" customHeight="1">
      <c r="A251" s="501" t="s">
        <v>5271</v>
      </c>
      <c r="B251" s="310" t="s">
        <v>331</v>
      </c>
      <c r="C251" s="327" t="s">
        <v>5272</v>
      </c>
      <c r="D251" s="456" t="s">
        <v>5023</v>
      </c>
      <c r="E251" s="471"/>
      <c r="F251" s="471"/>
      <c r="G251" s="471"/>
      <c r="H251" s="471"/>
      <c r="I251" s="471"/>
      <c r="J251" s="786">
        <v>1.1599999999999999</v>
      </c>
      <c r="K251" s="779"/>
      <c r="L251" s="779" t="s">
        <v>4125</v>
      </c>
      <c r="M251" s="779" t="s">
        <v>5273</v>
      </c>
      <c r="N251" s="779" t="s">
        <v>5274</v>
      </c>
      <c r="O251" s="779"/>
      <c r="P251" s="482"/>
      <c r="Q251" s="483"/>
      <c r="R251" s="482"/>
      <c r="S251" s="483"/>
      <c r="T251" s="483"/>
      <c r="U251" s="483"/>
      <c r="V251" s="484"/>
      <c r="W251" s="484"/>
      <c r="X251" s="484"/>
      <c r="Y251" s="482"/>
      <c r="Z251" s="484">
        <v>1</v>
      </c>
      <c r="AA251" s="683"/>
    </row>
    <row r="252" spans="1:27" s="154" customFormat="1" ht="15">
      <c r="A252" s="499"/>
      <c r="B252" s="507"/>
      <c r="C252" s="336"/>
      <c r="D252" s="331"/>
      <c r="E252" s="332"/>
      <c r="F252" s="332"/>
      <c r="G252" s="332"/>
      <c r="H252" s="332"/>
      <c r="I252" s="332"/>
      <c r="J252" s="461"/>
      <c r="K252" s="624"/>
      <c r="L252" s="624"/>
      <c r="M252" s="785"/>
      <c r="N252" s="783"/>
      <c r="O252" s="590">
        <v>1</v>
      </c>
      <c r="P252" s="472" t="s">
        <v>5275</v>
      </c>
      <c r="Q252" s="473">
        <v>0</v>
      </c>
      <c r="R252" s="461"/>
      <c r="S252" s="461"/>
      <c r="T252" s="461"/>
      <c r="U252" s="461" t="s">
        <v>4125</v>
      </c>
      <c r="V252" s="461"/>
      <c r="W252" s="461"/>
      <c r="X252" s="461"/>
      <c r="Y252" s="668"/>
      <c r="Z252" s="462" t="s">
        <v>138</v>
      </c>
      <c r="AA252" s="141"/>
    </row>
    <row r="253" spans="1:27" s="154" customFormat="1" ht="15">
      <c r="A253" s="499"/>
      <c r="B253" s="507"/>
      <c r="C253" s="336"/>
      <c r="D253" s="331"/>
      <c r="E253" s="332"/>
      <c r="F253" s="332"/>
      <c r="G253" s="332"/>
      <c r="H253" s="332"/>
      <c r="I253" s="332"/>
      <c r="J253" s="332"/>
      <c r="K253" s="333"/>
      <c r="L253" s="333"/>
      <c r="M253" s="334"/>
      <c r="N253" s="335"/>
      <c r="O253" s="342">
        <v>2</v>
      </c>
      <c r="P253" s="336" t="s">
        <v>5276</v>
      </c>
      <c r="Q253" s="461">
        <v>0</v>
      </c>
      <c r="R253" s="461"/>
      <c r="S253" s="461"/>
      <c r="T253" s="461"/>
      <c r="U253" s="461" t="s">
        <v>4125</v>
      </c>
      <c r="V253" s="461"/>
      <c r="W253" s="461"/>
      <c r="X253" s="860"/>
      <c r="Y253" s="584"/>
      <c r="Z253" s="861">
        <v>2</v>
      </c>
      <c r="AA253" s="141"/>
    </row>
    <row r="254" spans="1:27" s="154" customFormat="1" ht="15">
      <c r="A254" s="499"/>
      <c r="B254" s="507"/>
      <c r="C254" s="336"/>
      <c r="D254" s="331"/>
      <c r="E254" s="332"/>
      <c r="F254" s="332"/>
      <c r="G254" s="332"/>
      <c r="H254" s="332"/>
      <c r="I254" s="332"/>
      <c r="J254" s="332"/>
      <c r="K254" s="333"/>
      <c r="L254" s="333"/>
      <c r="M254" s="334"/>
      <c r="N254" s="335"/>
      <c r="O254" s="342">
        <v>3</v>
      </c>
      <c r="P254" s="336" t="s">
        <v>5277</v>
      </c>
      <c r="Q254" s="461">
        <v>0</v>
      </c>
      <c r="R254" s="461"/>
      <c r="S254" s="461"/>
      <c r="T254" s="461"/>
      <c r="U254" s="461" t="s">
        <v>4125</v>
      </c>
      <c r="V254" s="461"/>
      <c r="W254" s="461"/>
      <c r="X254" s="860"/>
      <c r="Y254" s="584"/>
      <c r="Z254" s="861">
        <v>2</v>
      </c>
      <c r="AA254" s="141"/>
    </row>
    <row r="255" spans="1:27" s="154" customFormat="1" ht="15">
      <c r="A255" s="500"/>
      <c r="B255" s="508"/>
      <c r="C255" s="465"/>
      <c r="D255" s="340"/>
      <c r="E255" s="466"/>
      <c r="F255" s="466"/>
      <c r="G255" s="466"/>
      <c r="H255" s="466"/>
      <c r="I255" s="466"/>
      <c r="J255" s="466"/>
      <c r="K255" s="467"/>
      <c r="L255" s="467"/>
      <c r="M255" s="468"/>
      <c r="N255" s="469"/>
      <c r="O255" s="341">
        <v>4</v>
      </c>
      <c r="P255" s="336" t="s">
        <v>5278</v>
      </c>
      <c r="Q255" s="461">
        <v>0</v>
      </c>
      <c r="R255" s="461"/>
      <c r="S255" s="461"/>
      <c r="T255" s="461"/>
      <c r="U255" s="461" t="s">
        <v>4125</v>
      </c>
      <c r="V255" s="461" t="s">
        <v>4125</v>
      </c>
      <c r="W255" s="461"/>
      <c r="X255" s="860"/>
      <c r="Y255" s="584"/>
      <c r="Z255" s="861">
        <v>2</v>
      </c>
      <c r="AA255" s="141"/>
    </row>
    <row r="256" spans="1:27" s="154" customFormat="1" ht="15">
      <c r="A256" s="500"/>
      <c r="B256" s="508"/>
      <c r="C256" s="465"/>
      <c r="D256" s="340"/>
      <c r="E256" s="466"/>
      <c r="F256" s="466"/>
      <c r="G256" s="466"/>
      <c r="H256" s="466"/>
      <c r="I256" s="466"/>
      <c r="J256" s="176"/>
      <c r="K256" s="588"/>
      <c r="L256" s="588"/>
      <c r="M256" s="780"/>
      <c r="N256" s="781"/>
      <c r="O256" s="473">
        <v>5</v>
      </c>
      <c r="P256" s="463" t="s">
        <v>5279</v>
      </c>
      <c r="Q256" s="461">
        <v>0</v>
      </c>
      <c r="R256" s="461"/>
      <c r="S256" s="461"/>
      <c r="T256" s="461"/>
      <c r="U256" s="461" t="s">
        <v>4125</v>
      </c>
      <c r="V256" s="461"/>
      <c r="W256" s="461"/>
      <c r="X256" s="461"/>
      <c r="Y256" s="668"/>
      <c r="Z256" s="462" t="s">
        <v>138</v>
      </c>
      <c r="AA256" s="141"/>
    </row>
    <row r="257" spans="1:27" s="154" customFormat="1" ht="15">
      <c r="A257" s="500"/>
      <c r="B257" s="508"/>
      <c r="C257" s="465"/>
      <c r="D257" s="340"/>
      <c r="E257" s="466"/>
      <c r="F257" s="466"/>
      <c r="G257" s="466"/>
      <c r="H257" s="466"/>
      <c r="I257" s="466"/>
      <c r="J257" s="176"/>
      <c r="K257" s="588"/>
      <c r="L257" s="588"/>
      <c r="M257" s="780"/>
      <c r="N257" s="781"/>
      <c r="O257" s="473">
        <v>6</v>
      </c>
      <c r="P257" s="463" t="s">
        <v>5280</v>
      </c>
      <c r="Q257" s="461">
        <v>0</v>
      </c>
      <c r="R257" s="461"/>
      <c r="S257" s="461"/>
      <c r="T257" s="461"/>
      <c r="U257" s="461" t="s">
        <v>4125</v>
      </c>
      <c r="V257" s="461"/>
      <c r="W257" s="461"/>
      <c r="X257" s="461"/>
      <c r="Y257" s="668"/>
      <c r="Z257" s="462" t="s">
        <v>138</v>
      </c>
      <c r="AA257" s="141"/>
    </row>
    <row r="258" spans="1:27" s="154" customFormat="1" ht="15">
      <c r="A258" s="500"/>
      <c r="B258" s="508"/>
      <c r="C258" s="465"/>
      <c r="D258" s="340"/>
      <c r="E258" s="466"/>
      <c r="F258" s="466"/>
      <c r="G258" s="466"/>
      <c r="H258" s="466"/>
      <c r="I258" s="466"/>
      <c r="J258" s="466"/>
      <c r="K258" s="467"/>
      <c r="L258" s="467"/>
      <c r="M258" s="468"/>
      <c r="N258" s="469"/>
      <c r="O258" s="341">
        <v>7</v>
      </c>
      <c r="P258" s="336" t="s">
        <v>5281</v>
      </c>
      <c r="Q258" s="461">
        <v>0</v>
      </c>
      <c r="R258" s="585"/>
      <c r="S258" s="860"/>
      <c r="T258" s="586"/>
      <c r="U258" s="860" t="s">
        <v>4125</v>
      </c>
      <c r="V258" s="587"/>
      <c r="W258" s="586"/>
      <c r="X258" s="461"/>
      <c r="Y258" s="584"/>
      <c r="Z258" s="861">
        <v>2</v>
      </c>
      <c r="AA258" s="141"/>
    </row>
    <row r="259" spans="1:27" s="154" customFormat="1" ht="14.25">
      <c r="A259" s="502"/>
      <c r="B259" s="519"/>
      <c r="C259" s="491"/>
      <c r="D259" s="345"/>
      <c r="E259" s="405"/>
      <c r="F259" s="405"/>
      <c r="G259" s="405"/>
      <c r="H259" s="405"/>
      <c r="I259" s="405"/>
      <c r="J259" s="405"/>
      <c r="K259" s="492"/>
      <c r="L259" s="492"/>
      <c r="M259" s="493"/>
      <c r="N259" s="494"/>
      <c r="O259" s="492"/>
      <c r="P259" s="491"/>
      <c r="Q259" s="405"/>
      <c r="R259" s="491"/>
      <c r="S259" s="405"/>
      <c r="T259" s="405"/>
      <c r="U259" s="405"/>
      <c r="V259" s="308"/>
      <c r="W259" s="308"/>
      <c r="X259" s="308"/>
      <c r="Y259" s="491"/>
      <c r="Z259" s="308"/>
      <c r="AA259" s="141"/>
    </row>
    <row r="260" spans="1:27" s="154" customFormat="1" ht="60.75" customHeight="1">
      <c r="A260" s="500" t="s">
        <v>5282</v>
      </c>
      <c r="B260" s="310" t="s">
        <v>331</v>
      </c>
      <c r="C260" s="327" t="s">
        <v>5283</v>
      </c>
      <c r="D260" s="456" t="s">
        <v>5023</v>
      </c>
      <c r="E260" s="471"/>
      <c r="F260" s="471"/>
      <c r="G260" s="471"/>
      <c r="H260" s="471"/>
      <c r="I260" s="471"/>
      <c r="J260" s="786">
        <v>4.74</v>
      </c>
      <c r="K260" s="779"/>
      <c r="L260" s="779" t="s">
        <v>4125</v>
      </c>
      <c r="M260" s="779" t="s">
        <v>5273</v>
      </c>
      <c r="N260" s="779" t="s">
        <v>5274</v>
      </c>
      <c r="O260" s="779"/>
      <c r="P260" s="482"/>
      <c r="Q260" s="483"/>
      <c r="R260" s="479"/>
      <c r="S260" s="176"/>
      <c r="T260" s="176"/>
      <c r="U260" s="176"/>
      <c r="V260" s="480"/>
      <c r="W260" s="480"/>
      <c r="X260" s="480"/>
      <c r="Y260" s="479"/>
      <c r="Z260" s="773">
        <v>1</v>
      </c>
      <c r="AA260" s="683"/>
    </row>
    <row r="261" spans="1:27" s="154" customFormat="1" ht="15">
      <c r="A261" s="499"/>
      <c r="B261" s="507"/>
      <c r="C261" s="336"/>
      <c r="D261" s="331"/>
      <c r="E261" s="332"/>
      <c r="F261" s="332"/>
      <c r="G261" s="332"/>
      <c r="H261" s="332"/>
      <c r="I261" s="332"/>
      <c r="J261" s="461"/>
      <c r="K261" s="624"/>
      <c r="L261" s="624"/>
      <c r="M261" s="785"/>
      <c r="N261" s="783"/>
      <c r="O261" s="590">
        <v>1</v>
      </c>
      <c r="P261" s="472" t="s">
        <v>5284</v>
      </c>
      <c r="Q261" s="473">
        <v>0</v>
      </c>
      <c r="R261" s="461"/>
      <c r="S261" s="461"/>
      <c r="T261" s="461"/>
      <c r="U261" s="461" t="s">
        <v>4125</v>
      </c>
      <c r="V261" s="461"/>
      <c r="W261" s="461"/>
      <c r="X261" s="461"/>
      <c r="Y261" s="668"/>
      <c r="Z261" s="462" t="s">
        <v>138</v>
      </c>
      <c r="AA261" s="141"/>
    </row>
    <row r="262" spans="1:27" s="154" customFormat="1" ht="15">
      <c r="A262" s="499"/>
      <c r="B262" s="507"/>
      <c r="C262" s="336"/>
      <c r="D262" s="331"/>
      <c r="E262" s="332"/>
      <c r="F262" s="332"/>
      <c r="G262" s="332"/>
      <c r="H262" s="332"/>
      <c r="I262" s="332"/>
      <c r="J262" s="332"/>
      <c r="K262" s="333"/>
      <c r="L262" s="333"/>
      <c r="M262" s="334"/>
      <c r="N262" s="335"/>
      <c r="O262" s="342">
        <v>2</v>
      </c>
      <c r="P262" s="336" t="s">
        <v>5285</v>
      </c>
      <c r="Q262" s="461">
        <v>0</v>
      </c>
      <c r="R262" s="461"/>
      <c r="S262" s="461"/>
      <c r="T262" s="461"/>
      <c r="U262" s="461" t="s">
        <v>4125</v>
      </c>
      <c r="V262" s="461"/>
      <c r="W262" s="461"/>
      <c r="X262" s="860"/>
      <c r="Y262" s="584"/>
      <c r="Z262" s="861">
        <v>2</v>
      </c>
      <c r="AA262" s="141"/>
    </row>
    <row r="263" spans="1:27" s="154" customFormat="1" ht="15">
      <c r="A263" s="499"/>
      <c r="B263" s="507"/>
      <c r="C263" s="336"/>
      <c r="D263" s="331"/>
      <c r="E263" s="332"/>
      <c r="F263" s="332"/>
      <c r="G263" s="332"/>
      <c r="H263" s="332"/>
      <c r="I263" s="332"/>
      <c r="J263" s="332"/>
      <c r="K263" s="333"/>
      <c r="L263" s="333"/>
      <c r="M263" s="334"/>
      <c r="N263" s="335"/>
      <c r="O263" s="342">
        <v>3</v>
      </c>
      <c r="P263" s="336" t="s">
        <v>5286</v>
      </c>
      <c r="Q263" s="461">
        <v>0</v>
      </c>
      <c r="R263" s="461"/>
      <c r="S263" s="461"/>
      <c r="T263" s="461"/>
      <c r="U263" s="461" t="s">
        <v>4125</v>
      </c>
      <c r="V263" s="461"/>
      <c r="W263" s="461"/>
      <c r="X263" s="860"/>
      <c r="Y263" s="584"/>
      <c r="Z263" s="861">
        <v>2</v>
      </c>
      <c r="AA263" s="141"/>
    </row>
    <row r="264" spans="1:27" s="154" customFormat="1" ht="15">
      <c r="A264" s="500"/>
      <c r="B264" s="508"/>
      <c r="C264" s="465"/>
      <c r="D264" s="340"/>
      <c r="E264" s="466"/>
      <c r="F264" s="466"/>
      <c r="G264" s="466"/>
      <c r="H264" s="466"/>
      <c r="I264" s="466"/>
      <c r="J264" s="466"/>
      <c r="K264" s="467"/>
      <c r="L264" s="467"/>
      <c r="M264" s="468"/>
      <c r="N264" s="469"/>
      <c r="O264" s="341">
        <v>4</v>
      </c>
      <c r="P264" s="336" t="s">
        <v>5287</v>
      </c>
      <c r="Q264" s="461">
        <v>0</v>
      </c>
      <c r="R264" s="461"/>
      <c r="S264" s="461"/>
      <c r="T264" s="461"/>
      <c r="U264" s="461" t="s">
        <v>4125</v>
      </c>
      <c r="V264" s="461" t="s">
        <v>4125</v>
      </c>
      <c r="W264" s="461"/>
      <c r="X264" s="860"/>
      <c r="Y264" s="584"/>
      <c r="Z264" s="861">
        <v>2</v>
      </c>
      <c r="AA264" s="141"/>
    </row>
    <row r="265" spans="1:27" s="154" customFormat="1" ht="15">
      <c r="A265" s="500"/>
      <c r="B265" s="508"/>
      <c r="C265" s="465"/>
      <c r="D265" s="340"/>
      <c r="E265" s="466"/>
      <c r="F265" s="466"/>
      <c r="G265" s="466"/>
      <c r="H265" s="466"/>
      <c r="I265" s="466"/>
      <c r="J265" s="176"/>
      <c r="K265" s="588"/>
      <c r="L265" s="588"/>
      <c r="M265" s="780"/>
      <c r="N265" s="781"/>
      <c r="O265" s="473">
        <v>5</v>
      </c>
      <c r="P265" s="463" t="s">
        <v>5288</v>
      </c>
      <c r="Q265" s="461">
        <v>0</v>
      </c>
      <c r="R265" s="461"/>
      <c r="S265" s="461"/>
      <c r="T265" s="461"/>
      <c r="U265" s="461" t="s">
        <v>4125</v>
      </c>
      <c r="V265" s="461"/>
      <c r="W265" s="461"/>
      <c r="X265" s="461"/>
      <c r="Y265" s="668"/>
      <c r="Z265" s="462" t="s">
        <v>138</v>
      </c>
      <c r="AA265" s="141"/>
    </row>
    <row r="266" spans="1:27" s="154" customFormat="1" ht="15">
      <c r="A266" s="500"/>
      <c r="B266" s="508"/>
      <c r="C266" s="465"/>
      <c r="D266" s="340"/>
      <c r="E266" s="466"/>
      <c r="F266" s="466"/>
      <c r="G266" s="466"/>
      <c r="H266" s="466"/>
      <c r="I266" s="466"/>
      <c r="J266" s="176"/>
      <c r="K266" s="588"/>
      <c r="L266" s="588"/>
      <c r="M266" s="780"/>
      <c r="N266" s="781"/>
      <c r="O266" s="473">
        <v>6</v>
      </c>
      <c r="P266" s="463" t="s">
        <v>5289</v>
      </c>
      <c r="Q266" s="461">
        <v>0</v>
      </c>
      <c r="R266" s="461"/>
      <c r="S266" s="461"/>
      <c r="T266" s="461"/>
      <c r="U266" s="461" t="s">
        <v>4125</v>
      </c>
      <c r="V266" s="461"/>
      <c r="W266" s="461"/>
      <c r="X266" s="461"/>
      <c r="Y266" s="668"/>
      <c r="Z266" s="462" t="s">
        <v>138</v>
      </c>
      <c r="AA266" s="141"/>
    </row>
    <row r="267" spans="1:27" s="154" customFormat="1" ht="15">
      <c r="A267" s="500"/>
      <c r="B267" s="508"/>
      <c r="C267" s="465"/>
      <c r="D267" s="340"/>
      <c r="E267" s="466"/>
      <c r="F267" s="466"/>
      <c r="G267" s="466"/>
      <c r="H267" s="466"/>
      <c r="I267" s="466"/>
      <c r="J267" s="466"/>
      <c r="K267" s="467"/>
      <c r="L267" s="467"/>
      <c r="M267" s="468"/>
      <c r="N267" s="469"/>
      <c r="O267" s="341">
        <v>7</v>
      </c>
      <c r="P267" s="336" t="s">
        <v>5290</v>
      </c>
      <c r="Q267" s="461">
        <v>0</v>
      </c>
      <c r="R267" s="585"/>
      <c r="S267" s="860"/>
      <c r="T267" s="586"/>
      <c r="U267" s="860" t="s">
        <v>4125</v>
      </c>
      <c r="V267" s="587"/>
      <c r="W267" s="586"/>
      <c r="X267" s="461"/>
      <c r="Y267" s="584"/>
      <c r="Z267" s="861">
        <v>2</v>
      </c>
      <c r="AA267" s="141"/>
    </row>
    <row r="268" spans="1:27" s="154" customFormat="1" ht="14.25">
      <c r="A268" s="502"/>
      <c r="B268" s="519"/>
      <c r="C268" s="491"/>
      <c r="D268" s="345"/>
      <c r="E268" s="405"/>
      <c r="F268" s="405"/>
      <c r="G268" s="405"/>
      <c r="H268" s="405"/>
      <c r="I268" s="405"/>
      <c r="J268" s="405"/>
      <c r="K268" s="492"/>
      <c r="L268" s="492"/>
      <c r="M268" s="493"/>
      <c r="N268" s="494"/>
      <c r="O268" s="492"/>
      <c r="P268" s="491"/>
      <c r="Q268" s="405"/>
      <c r="R268" s="491"/>
      <c r="S268" s="405"/>
      <c r="T268" s="405"/>
      <c r="U268" s="405"/>
      <c r="V268" s="308"/>
      <c r="W268" s="308"/>
      <c r="X268" s="308"/>
      <c r="Y268" s="491"/>
      <c r="Z268" s="308"/>
      <c r="AA268" s="141"/>
    </row>
    <row r="269" spans="1:27" s="154" customFormat="1" ht="14.25">
      <c r="A269" s="500" t="s">
        <v>4820</v>
      </c>
      <c r="B269" s="310" t="s">
        <v>331</v>
      </c>
      <c r="C269" s="327" t="s">
        <v>5291</v>
      </c>
      <c r="D269" s="456" t="s">
        <v>4978</v>
      </c>
      <c r="E269" s="322">
        <v>0</v>
      </c>
      <c r="F269" s="322">
        <v>100</v>
      </c>
      <c r="G269" s="322" t="s">
        <v>41</v>
      </c>
      <c r="H269" s="322">
        <v>40</v>
      </c>
      <c r="I269" s="322">
        <v>100</v>
      </c>
      <c r="J269" s="693">
        <v>520</v>
      </c>
      <c r="K269" s="323" t="s">
        <v>4125</v>
      </c>
      <c r="L269" s="323" t="s">
        <v>4125</v>
      </c>
      <c r="M269" s="324" t="s">
        <v>4979</v>
      </c>
      <c r="N269" s="324" t="s">
        <v>4980</v>
      </c>
      <c r="O269" s="323"/>
      <c r="P269" s="327"/>
      <c r="Q269" s="322"/>
      <c r="R269" s="465"/>
      <c r="S269" s="466"/>
      <c r="T269" s="466"/>
      <c r="U269" s="466"/>
      <c r="V269" s="470"/>
      <c r="W269" s="470"/>
      <c r="X269" s="470"/>
      <c r="Y269" s="465"/>
      <c r="Z269" s="317"/>
      <c r="AA269" s="141"/>
    </row>
    <row r="270" spans="1:27" s="154" customFormat="1" ht="71.25">
      <c r="A270" s="499"/>
      <c r="B270" s="507"/>
      <c r="C270" s="336"/>
      <c r="D270" s="331"/>
      <c r="E270" s="332"/>
      <c r="F270" s="332"/>
      <c r="G270" s="332"/>
      <c r="H270" s="332"/>
      <c r="I270" s="332"/>
      <c r="J270" s="461"/>
      <c r="K270" s="624"/>
      <c r="L270" s="624"/>
      <c r="M270" s="624"/>
      <c r="N270" s="624"/>
      <c r="O270" s="590">
        <v>1</v>
      </c>
      <c r="P270" s="472" t="s">
        <v>5292</v>
      </c>
      <c r="Q270" s="473">
        <v>0</v>
      </c>
      <c r="R270" s="461"/>
      <c r="S270" s="461"/>
      <c r="T270" s="461"/>
      <c r="U270" s="461" t="s">
        <v>4125</v>
      </c>
      <c r="V270" s="461"/>
      <c r="W270" s="461"/>
      <c r="X270" s="461"/>
      <c r="Y270" s="784" t="s">
        <v>5242</v>
      </c>
      <c r="Z270" s="462" t="s">
        <v>138</v>
      </c>
      <c r="AA270" s="679"/>
    </row>
    <row r="271" spans="1:27" s="154" customFormat="1" ht="15">
      <c r="A271" s="499"/>
      <c r="B271" s="507"/>
      <c r="C271" s="336"/>
      <c r="D271" s="331"/>
      <c r="E271" s="332"/>
      <c r="F271" s="332"/>
      <c r="G271" s="332"/>
      <c r="H271" s="332"/>
      <c r="I271" s="332"/>
      <c r="J271" s="332"/>
      <c r="K271" s="333"/>
      <c r="L271" s="333"/>
      <c r="M271" s="334"/>
      <c r="N271" s="335"/>
      <c r="O271" s="342">
        <v>2</v>
      </c>
      <c r="P271" s="336" t="s">
        <v>5293</v>
      </c>
      <c r="Q271" s="461">
        <v>0</v>
      </c>
      <c r="R271" s="461"/>
      <c r="S271" s="461"/>
      <c r="T271" s="461"/>
      <c r="U271" s="461" t="s">
        <v>4125</v>
      </c>
      <c r="V271" s="461"/>
      <c r="W271" s="461"/>
      <c r="X271" s="860"/>
      <c r="Y271" s="584"/>
      <c r="Z271" s="861">
        <v>2</v>
      </c>
      <c r="AA271" s="141"/>
    </row>
    <row r="272" spans="1:27" s="154" customFormat="1" ht="15">
      <c r="A272" s="499"/>
      <c r="B272" s="507"/>
      <c r="C272" s="336"/>
      <c r="D272" s="331"/>
      <c r="E272" s="332"/>
      <c r="F272" s="332"/>
      <c r="G272" s="332"/>
      <c r="H272" s="332"/>
      <c r="I272" s="332"/>
      <c r="J272" s="332"/>
      <c r="K272" s="333"/>
      <c r="L272" s="333"/>
      <c r="M272" s="334"/>
      <c r="N272" s="335"/>
      <c r="O272" s="342">
        <v>3</v>
      </c>
      <c r="P272" s="336" t="s">
        <v>5294</v>
      </c>
      <c r="Q272" s="461">
        <v>0</v>
      </c>
      <c r="R272" s="461"/>
      <c r="S272" s="461"/>
      <c r="T272" s="461"/>
      <c r="U272" s="461" t="s">
        <v>4125</v>
      </c>
      <c r="V272" s="461"/>
      <c r="W272" s="461"/>
      <c r="X272" s="860"/>
      <c r="Y272" s="584"/>
      <c r="Z272" s="861">
        <v>2</v>
      </c>
      <c r="AA272" s="141"/>
    </row>
    <row r="273" spans="1:27" s="154" customFormat="1" ht="15">
      <c r="A273" s="499"/>
      <c r="B273" s="507"/>
      <c r="C273" s="336"/>
      <c r="D273" s="331"/>
      <c r="E273" s="332"/>
      <c r="F273" s="332"/>
      <c r="G273" s="332"/>
      <c r="H273" s="332"/>
      <c r="I273" s="332"/>
      <c r="J273" s="332"/>
      <c r="K273" s="333"/>
      <c r="L273" s="333"/>
      <c r="M273" s="334"/>
      <c r="N273" s="335"/>
      <c r="O273" s="341">
        <v>4</v>
      </c>
      <c r="P273" s="336" t="s">
        <v>5295</v>
      </c>
      <c r="Q273" s="461">
        <v>0</v>
      </c>
      <c r="R273" s="461"/>
      <c r="S273" s="461"/>
      <c r="T273" s="461"/>
      <c r="U273" s="461" t="s">
        <v>4125</v>
      </c>
      <c r="V273" s="461" t="s">
        <v>4125</v>
      </c>
      <c r="W273" s="461"/>
      <c r="X273" s="860"/>
      <c r="Y273" s="584"/>
      <c r="Z273" s="861">
        <v>2</v>
      </c>
      <c r="AA273" s="141"/>
    </row>
    <row r="274" spans="1:27" s="154" customFormat="1" ht="15">
      <c r="A274" s="499"/>
      <c r="B274" s="507"/>
      <c r="C274" s="336"/>
      <c r="D274" s="331"/>
      <c r="E274" s="332"/>
      <c r="F274" s="332"/>
      <c r="G274" s="332"/>
      <c r="H274" s="332"/>
      <c r="I274" s="332"/>
      <c r="J274" s="461"/>
      <c r="K274" s="624"/>
      <c r="L274" s="624"/>
      <c r="M274" s="785"/>
      <c r="N274" s="783"/>
      <c r="O274" s="473">
        <v>5</v>
      </c>
      <c r="P274" s="463" t="s">
        <v>5296</v>
      </c>
      <c r="Q274" s="461">
        <v>0</v>
      </c>
      <c r="R274" s="461"/>
      <c r="S274" s="461"/>
      <c r="T274" s="461"/>
      <c r="U274" s="461" t="s">
        <v>4125</v>
      </c>
      <c r="V274" s="461"/>
      <c r="W274" s="461"/>
      <c r="X274" s="461"/>
      <c r="Y274" s="668"/>
      <c r="Z274" s="462" t="s">
        <v>138</v>
      </c>
      <c r="AA274" s="141"/>
    </row>
    <row r="275" spans="1:27" s="154" customFormat="1" ht="15">
      <c r="A275" s="499"/>
      <c r="B275" s="507"/>
      <c r="C275" s="336"/>
      <c r="D275" s="331"/>
      <c r="E275" s="332"/>
      <c r="F275" s="332"/>
      <c r="G275" s="332"/>
      <c r="H275" s="332"/>
      <c r="I275" s="332"/>
      <c r="J275" s="461"/>
      <c r="K275" s="624"/>
      <c r="L275" s="624"/>
      <c r="M275" s="785"/>
      <c r="N275" s="783"/>
      <c r="O275" s="473">
        <v>6</v>
      </c>
      <c r="P275" s="463" t="s">
        <v>5297</v>
      </c>
      <c r="Q275" s="461">
        <v>0</v>
      </c>
      <c r="R275" s="461"/>
      <c r="S275" s="461"/>
      <c r="T275" s="461"/>
      <c r="U275" s="461" t="s">
        <v>4125</v>
      </c>
      <c r="V275" s="461"/>
      <c r="W275" s="461"/>
      <c r="X275" s="461"/>
      <c r="Y275" s="668"/>
      <c r="Z275" s="462" t="s">
        <v>138</v>
      </c>
      <c r="AA275" s="141"/>
    </row>
    <row r="276" spans="1:27" s="154" customFormat="1" ht="15">
      <c r="A276" s="499"/>
      <c r="B276" s="507"/>
      <c r="C276" s="336"/>
      <c r="D276" s="331"/>
      <c r="E276" s="332"/>
      <c r="F276" s="332"/>
      <c r="G276" s="332"/>
      <c r="H276" s="332"/>
      <c r="I276" s="332"/>
      <c r="J276" s="332"/>
      <c r="K276" s="333"/>
      <c r="L276" s="333"/>
      <c r="M276" s="334"/>
      <c r="N276" s="335"/>
      <c r="O276" s="341">
        <v>7</v>
      </c>
      <c r="P276" s="336" t="s">
        <v>5298</v>
      </c>
      <c r="Q276" s="461">
        <v>0</v>
      </c>
      <c r="R276" s="585"/>
      <c r="S276" s="860"/>
      <c r="T276" s="586"/>
      <c r="U276" s="860" t="s">
        <v>4125</v>
      </c>
      <c r="V276" s="587"/>
      <c r="W276" s="586"/>
      <c r="X276" s="461"/>
      <c r="Y276" s="584"/>
      <c r="Z276" s="861">
        <v>2</v>
      </c>
      <c r="AA276" s="141"/>
    </row>
    <row r="277" spans="1:27" s="154" customFormat="1" ht="14.25">
      <c r="A277" s="499"/>
      <c r="B277" s="507"/>
      <c r="C277" s="336"/>
      <c r="D277" s="331"/>
      <c r="E277" s="332"/>
      <c r="F277" s="332"/>
      <c r="G277" s="332"/>
      <c r="H277" s="332"/>
      <c r="I277" s="332"/>
      <c r="J277" s="461"/>
      <c r="K277" s="624"/>
      <c r="L277" s="624"/>
      <c r="M277" s="785"/>
      <c r="N277" s="783"/>
      <c r="O277" s="461">
        <v>8</v>
      </c>
      <c r="P277" s="463" t="s">
        <v>5299</v>
      </c>
      <c r="Q277" s="176">
        <v>5</v>
      </c>
      <c r="R277" s="479"/>
      <c r="S277" s="176"/>
      <c r="T277" s="176" t="s">
        <v>4125</v>
      </c>
      <c r="U277" s="176"/>
      <c r="V277" s="480"/>
      <c r="W277" s="480" t="s">
        <v>4125</v>
      </c>
      <c r="X277" s="480"/>
      <c r="Y277" s="463" t="s">
        <v>5250</v>
      </c>
      <c r="Z277" s="462" t="s">
        <v>184</v>
      </c>
      <c r="AA277" s="141"/>
    </row>
    <row r="278" spans="1:27" s="154" customFormat="1" ht="14.25">
      <c r="A278" s="500"/>
      <c r="B278" s="507"/>
      <c r="C278" s="336"/>
      <c r="D278" s="331"/>
      <c r="E278" s="466"/>
      <c r="F278" s="466"/>
      <c r="G278" s="466"/>
      <c r="H278" s="466"/>
      <c r="I278" s="466"/>
      <c r="J278" s="176"/>
      <c r="K278" s="588"/>
      <c r="L278" s="588"/>
      <c r="M278" s="780"/>
      <c r="N278" s="781"/>
      <c r="O278" s="176">
        <v>9</v>
      </c>
      <c r="P278" s="479" t="s">
        <v>5300</v>
      </c>
      <c r="Q278" s="176">
        <v>5</v>
      </c>
      <c r="R278" s="479"/>
      <c r="S278" s="176"/>
      <c r="T278" s="176" t="s">
        <v>4125</v>
      </c>
      <c r="U278" s="176"/>
      <c r="V278" s="480"/>
      <c r="W278" s="480" t="s">
        <v>4125</v>
      </c>
      <c r="X278" s="480"/>
      <c r="Y278" s="463" t="s">
        <v>5252</v>
      </c>
      <c r="Z278" s="462" t="s">
        <v>184</v>
      </c>
      <c r="AA278" s="683"/>
    </row>
    <row r="279" spans="1:27" s="154" customFormat="1" ht="14.25">
      <c r="A279" s="500"/>
      <c r="B279" s="507"/>
      <c r="C279" s="336"/>
      <c r="D279" s="331"/>
      <c r="E279" s="466"/>
      <c r="F279" s="466"/>
      <c r="G279" s="466"/>
      <c r="H279" s="466"/>
      <c r="I279" s="466"/>
      <c r="J279" s="176"/>
      <c r="K279" s="588"/>
      <c r="L279" s="588"/>
      <c r="M279" s="780"/>
      <c r="N279" s="781"/>
      <c r="O279" s="176">
        <v>10</v>
      </c>
      <c r="P279" s="479" t="s">
        <v>5301</v>
      </c>
      <c r="Q279" s="176">
        <v>5</v>
      </c>
      <c r="R279" s="479"/>
      <c r="S279" s="176"/>
      <c r="T279" s="176" t="s">
        <v>4125</v>
      </c>
      <c r="U279" s="176"/>
      <c r="V279" s="480"/>
      <c r="W279" s="480" t="s">
        <v>4125</v>
      </c>
      <c r="X279" s="480"/>
      <c r="Y279" s="463" t="s">
        <v>5254</v>
      </c>
      <c r="Z279" s="462" t="s">
        <v>184</v>
      </c>
      <c r="AA279" s="141"/>
    </row>
    <row r="280" spans="1:27" s="154" customFormat="1" ht="14.25">
      <c r="A280" s="500"/>
      <c r="B280" s="507"/>
      <c r="C280" s="336"/>
      <c r="D280" s="331"/>
      <c r="E280" s="466"/>
      <c r="F280" s="466"/>
      <c r="G280" s="466"/>
      <c r="H280" s="466"/>
      <c r="I280" s="466"/>
      <c r="J280" s="176"/>
      <c r="K280" s="588"/>
      <c r="L280" s="588"/>
      <c r="M280" s="780"/>
      <c r="N280" s="781"/>
      <c r="O280" s="176">
        <v>11</v>
      </c>
      <c r="P280" s="479" t="s">
        <v>5302</v>
      </c>
      <c r="Q280" s="176">
        <v>5</v>
      </c>
      <c r="R280" s="479"/>
      <c r="S280" s="176"/>
      <c r="T280" s="176" t="s">
        <v>4125</v>
      </c>
      <c r="U280" s="176"/>
      <c r="V280" s="480"/>
      <c r="W280" s="480" t="s">
        <v>4125</v>
      </c>
      <c r="X280" s="480"/>
      <c r="Y280" s="463" t="s">
        <v>5256</v>
      </c>
      <c r="Z280" s="462" t="s">
        <v>184</v>
      </c>
      <c r="AA280" s="141"/>
    </row>
    <row r="281" spans="1:27" s="154" customFormat="1" ht="14.25">
      <c r="A281" s="500"/>
      <c r="B281" s="507"/>
      <c r="C281" s="336"/>
      <c r="D281" s="331"/>
      <c r="E281" s="466"/>
      <c r="F281" s="466"/>
      <c r="G281" s="466"/>
      <c r="H281" s="466"/>
      <c r="I281" s="466"/>
      <c r="J281" s="176"/>
      <c r="K281" s="588"/>
      <c r="L281" s="588"/>
      <c r="M281" s="780"/>
      <c r="N281" s="781"/>
      <c r="O281" s="176">
        <v>12</v>
      </c>
      <c r="P281" s="479" t="s">
        <v>5303</v>
      </c>
      <c r="Q281" s="176">
        <v>5</v>
      </c>
      <c r="R281" s="479"/>
      <c r="S281" s="176"/>
      <c r="T281" s="176" t="s">
        <v>4125</v>
      </c>
      <c r="U281" s="176"/>
      <c r="V281" s="480"/>
      <c r="W281" s="480" t="s">
        <v>4125</v>
      </c>
      <c r="X281" s="480"/>
      <c r="Y281" s="463" t="s">
        <v>5258</v>
      </c>
      <c r="Z281" s="462" t="s">
        <v>184</v>
      </c>
      <c r="AA281" s="141"/>
    </row>
    <row r="282" spans="1:27" s="154" customFormat="1" ht="36" customHeight="1">
      <c r="A282" s="500"/>
      <c r="B282" s="507"/>
      <c r="C282" s="336"/>
      <c r="D282" s="331"/>
      <c r="E282" s="466"/>
      <c r="F282" s="466"/>
      <c r="G282" s="466"/>
      <c r="H282" s="466"/>
      <c r="I282" s="466"/>
      <c r="J282" s="176"/>
      <c r="K282" s="588"/>
      <c r="L282" s="588"/>
      <c r="M282" s="780"/>
      <c r="N282" s="781"/>
      <c r="O282" s="176">
        <v>13</v>
      </c>
      <c r="P282" s="479" t="s">
        <v>5304</v>
      </c>
      <c r="Q282" s="176">
        <v>5</v>
      </c>
      <c r="R282" s="479"/>
      <c r="S282" s="176"/>
      <c r="T282" s="176"/>
      <c r="U282" s="176" t="s">
        <v>4125</v>
      </c>
      <c r="V282" s="480"/>
      <c r="W282" s="480"/>
      <c r="X282" s="480"/>
      <c r="Y282" s="463" t="s">
        <v>5260</v>
      </c>
      <c r="Z282" s="462" t="s">
        <v>184</v>
      </c>
      <c r="AA282" s="683"/>
    </row>
    <row r="283" spans="1:27" s="154" customFormat="1" ht="36" customHeight="1">
      <c r="A283" s="500"/>
      <c r="B283" s="507"/>
      <c r="C283" s="336"/>
      <c r="D283" s="331"/>
      <c r="E283" s="466"/>
      <c r="F283" s="466"/>
      <c r="G283" s="466"/>
      <c r="H283" s="466"/>
      <c r="I283" s="466"/>
      <c r="J283" s="176"/>
      <c r="K283" s="588"/>
      <c r="L283" s="588"/>
      <c r="M283" s="780"/>
      <c r="N283" s="781"/>
      <c r="O283" s="176">
        <v>14</v>
      </c>
      <c r="P283" s="479" t="s">
        <v>5305</v>
      </c>
      <c r="Q283" s="176">
        <v>5</v>
      </c>
      <c r="R283" s="479"/>
      <c r="S283" s="176"/>
      <c r="T283" s="176"/>
      <c r="U283" s="176" t="s">
        <v>4125</v>
      </c>
      <c r="V283" s="480"/>
      <c r="W283" s="480"/>
      <c r="X283" s="480"/>
      <c r="Y283" s="463" t="s">
        <v>5262</v>
      </c>
      <c r="Z283" s="462" t="s">
        <v>184</v>
      </c>
      <c r="AA283" s="683"/>
    </row>
    <row r="284" spans="1:27" s="154" customFormat="1" ht="36" customHeight="1">
      <c r="A284" s="500"/>
      <c r="B284" s="507"/>
      <c r="C284" s="336"/>
      <c r="D284" s="331"/>
      <c r="E284" s="466"/>
      <c r="F284" s="466"/>
      <c r="G284" s="466"/>
      <c r="H284" s="466"/>
      <c r="I284" s="466"/>
      <c r="J284" s="176"/>
      <c r="K284" s="588"/>
      <c r="L284" s="588"/>
      <c r="M284" s="780"/>
      <c r="N284" s="781"/>
      <c r="O284" s="176">
        <v>15</v>
      </c>
      <c r="P284" s="479" t="s">
        <v>5306</v>
      </c>
      <c r="Q284" s="176">
        <v>5</v>
      </c>
      <c r="R284" s="479"/>
      <c r="S284" s="176"/>
      <c r="T284" s="176"/>
      <c r="U284" s="176" t="s">
        <v>4125</v>
      </c>
      <c r="V284" s="480"/>
      <c r="W284" s="480"/>
      <c r="X284" s="480"/>
      <c r="Y284" s="463" t="s">
        <v>5264</v>
      </c>
      <c r="Z284" s="462" t="s">
        <v>184</v>
      </c>
      <c r="AA284" s="683"/>
    </row>
    <row r="285" spans="1:27" s="154" customFormat="1" ht="14.25">
      <c r="A285" s="500"/>
      <c r="B285" s="507"/>
      <c r="C285" s="336"/>
      <c r="D285" s="331"/>
      <c r="E285" s="466"/>
      <c r="F285" s="466"/>
      <c r="G285" s="466"/>
      <c r="H285" s="466"/>
      <c r="I285" s="466"/>
      <c r="J285" s="176"/>
      <c r="K285" s="588"/>
      <c r="L285" s="588"/>
      <c r="M285" s="780"/>
      <c r="N285" s="781"/>
      <c r="O285" s="176">
        <v>16</v>
      </c>
      <c r="P285" s="479" t="s">
        <v>5307</v>
      </c>
      <c r="Q285" s="176">
        <v>5</v>
      </c>
      <c r="R285" s="479"/>
      <c r="S285" s="176"/>
      <c r="T285" s="176"/>
      <c r="U285" s="176" t="s">
        <v>4125</v>
      </c>
      <c r="V285" s="480"/>
      <c r="W285" s="480"/>
      <c r="X285" s="480"/>
      <c r="Y285" s="463" t="s">
        <v>5266</v>
      </c>
      <c r="Z285" s="462" t="s">
        <v>184</v>
      </c>
      <c r="AA285" s="683"/>
    </row>
    <row r="286" spans="1:27" s="154" customFormat="1" ht="14.25">
      <c r="A286" s="500"/>
      <c r="B286" s="507"/>
      <c r="C286" s="336"/>
      <c r="D286" s="331"/>
      <c r="E286" s="466"/>
      <c r="F286" s="466"/>
      <c r="G286" s="466"/>
      <c r="H286" s="466"/>
      <c r="I286" s="466"/>
      <c r="J286" s="176"/>
      <c r="K286" s="588"/>
      <c r="L286" s="588"/>
      <c r="M286" s="780"/>
      <c r="N286" s="781"/>
      <c r="O286" s="461">
        <v>17</v>
      </c>
      <c r="P286" s="463" t="s">
        <v>5308</v>
      </c>
      <c r="Q286" s="461">
        <v>5</v>
      </c>
      <c r="R286" s="463"/>
      <c r="S286" s="461"/>
      <c r="T286" s="461"/>
      <c r="U286" s="461" t="s">
        <v>4125</v>
      </c>
      <c r="V286" s="462"/>
      <c r="W286" s="462"/>
      <c r="X286" s="462"/>
      <c r="Y286" s="463" t="s">
        <v>5268</v>
      </c>
      <c r="Z286" s="462" t="s">
        <v>184</v>
      </c>
      <c r="AA286" s="683"/>
    </row>
    <row r="287" spans="1:27" s="154" customFormat="1" ht="57">
      <c r="A287" s="500"/>
      <c r="B287" s="508"/>
      <c r="C287" s="465"/>
      <c r="D287" s="340"/>
      <c r="E287" s="466"/>
      <c r="F287" s="466"/>
      <c r="G287" s="466"/>
      <c r="H287" s="466"/>
      <c r="I287" s="466"/>
      <c r="J287" s="176"/>
      <c r="K287" s="588"/>
      <c r="L287" s="588"/>
      <c r="M287" s="780"/>
      <c r="N287" s="781"/>
      <c r="O287" s="176">
        <v>18</v>
      </c>
      <c r="P287" s="479" t="s">
        <v>5269</v>
      </c>
      <c r="Q287" s="176">
        <v>0</v>
      </c>
      <c r="R287" s="479"/>
      <c r="S287" s="176"/>
      <c r="T287" s="176" t="s">
        <v>4125</v>
      </c>
      <c r="U287" s="176"/>
      <c r="V287" s="480"/>
      <c r="W287" s="480" t="s">
        <v>4125</v>
      </c>
      <c r="X287" s="480"/>
      <c r="Y287" s="479" t="s">
        <v>5309</v>
      </c>
      <c r="Z287" s="480">
        <v>0</v>
      </c>
      <c r="AA287" s="141"/>
    </row>
    <row r="288" spans="1:27" s="154" customFormat="1" ht="14.25">
      <c r="A288" s="502"/>
      <c r="B288" s="519"/>
      <c r="C288" s="491"/>
      <c r="D288" s="345"/>
      <c r="E288" s="405"/>
      <c r="F288" s="405"/>
      <c r="G288" s="405"/>
      <c r="H288" s="405"/>
      <c r="I288" s="405"/>
      <c r="J288" s="405"/>
      <c r="K288" s="492"/>
      <c r="L288" s="492"/>
      <c r="M288" s="493"/>
      <c r="N288" s="494"/>
      <c r="O288" s="467"/>
      <c r="P288" s="592"/>
      <c r="Q288" s="466"/>
      <c r="R288" s="491"/>
      <c r="S288" s="405"/>
      <c r="T288" s="405"/>
      <c r="U288" s="405"/>
      <c r="V288" s="308"/>
      <c r="W288" s="308"/>
      <c r="X288" s="308"/>
      <c r="Y288" s="491"/>
      <c r="Z288" s="308"/>
      <c r="AA288" s="141"/>
    </row>
    <row r="289" spans="1:27" s="154" customFormat="1" ht="55.5" customHeight="1">
      <c r="A289" s="500" t="s">
        <v>5310</v>
      </c>
      <c r="B289" s="310" t="s">
        <v>331</v>
      </c>
      <c r="C289" s="327" t="s">
        <v>5311</v>
      </c>
      <c r="D289" s="456" t="s">
        <v>5023</v>
      </c>
      <c r="E289" s="471"/>
      <c r="F289" s="471"/>
      <c r="G289" s="471"/>
      <c r="H289" s="471"/>
      <c r="I289" s="471"/>
      <c r="J289" s="786">
        <v>1.1599999999999999</v>
      </c>
      <c r="K289" s="779"/>
      <c r="L289" s="779" t="s">
        <v>4125</v>
      </c>
      <c r="M289" s="779" t="s">
        <v>5312</v>
      </c>
      <c r="N289" s="779" t="s">
        <v>5313</v>
      </c>
      <c r="O289" s="779"/>
      <c r="P289" s="482"/>
      <c r="Q289" s="483"/>
      <c r="R289" s="787"/>
      <c r="S289" s="176"/>
      <c r="T289" s="176"/>
      <c r="U289" s="176"/>
      <c r="V289" s="480"/>
      <c r="W289" s="480"/>
      <c r="X289" s="480"/>
      <c r="Y289" s="479"/>
      <c r="Z289" s="773">
        <v>1</v>
      </c>
      <c r="AA289" s="141"/>
    </row>
    <row r="290" spans="1:27" s="154" customFormat="1" ht="15">
      <c r="A290" s="499"/>
      <c r="B290" s="507"/>
      <c r="C290" s="336"/>
      <c r="D290" s="331"/>
      <c r="E290" s="332"/>
      <c r="F290" s="332"/>
      <c r="G290" s="332"/>
      <c r="H290" s="332"/>
      <c r="I290" s="332"/>
      <c r="J290" s="461"/>
      <c r="K290" s="624"/>
      <c r="L290" s="624"/>
      <c r="M290" s="785"/>
      <c r="N290" s="783"/>
      <c r="O290" s="590">
        <v>1</v>
      </c>
      <c r="P290" s="472" t="s">
        <v>5314</v>
      </c>
      <c r="Q290" s="473">
        <v>0</v>
      </c>
      <c r="R290" s="461"/>
      <c r="S290" s="461"/>
      <c r="T290" s="461"/>
      <c r="U290" s="461" t="s">
        <v>4125</v>
      </c>
      <c r="V290" s="461"/>
      <c r="W290" s="461"/>
      <c r="X290" s="461"/>
      <c r="Y290" s="668"/>
      <c r="Z290" s="462" t="s">
        <v>138</v>
      </c>
      <c r="AA290" s="141"/>
    </row>
    <row r="291" spans="1:27" s="154" customFormat="1" ht="15">
      <c r="A291" s="499"/>
      <c r="B291" s="507"/>
      <c r="C291" s="336"/>
      <c r="D291" s="331"/>
      <c r="E291" s="332"/>
      <c r="F291" s="332"/>
      <c r="G291" s="332"/>
      <c r="H291" s="332"/>
      <c r="I291" s="332"/>
      <c r="J291" s="332"/>
      <c r="K291" s="333"/>
      <c r="L291" s="333"/>
      <c r="M291" s="334"/>
      <c r="N291" s="335"/>
      <c r="O291" s="342">
        <v>2</v>
      </c>
      <c r="P291" s="336" t="s">
        <v>5315</v>
      </c>
      <c r="Q291" s="461">
        <v>0</v>
      </c>
      <c r="R291" s="461"/>
      <c r="S291" s="461"/>
      <c r="T291" s="461"/>
      <c r="U291" s="461" t="s">
        <v>4125</v>
      </c>
      <c r="V291" s="461"/>
      <c r="W291" s="461"/>
      <c r="X291" s="860"/>
      <c r="Y291" s="584"/>
      <c r="Z291" s="861">
        <v>2</v>
      </c>
      <c r="AA291" s="141"/>
    </row>
    <row r="292" spans="1:27" s="154" customFormat="1" ht="15">
      <c r="A292" s="499"/>
      <c r="B292" s="507"/>
      <c r="C292" s="336"/>
      <c r="D292" s="331"/>
      <c r="E292" s="332"/>
      <c r="F292" s="332"/>
      <c r="G292" s="332"/>
      <c r="H292" s="332"/>
      <c r="I292" s="332"/>
      <c r="J292" s="332"/>
      <c r="K292" s="333"/>
      <c r="L292" s="333"/>
      <c r="M292" s="334"/>
      <c r="N292" s="335"/>
      <c r="O292" s="342">
        <v>3</v>
      </c>
      <c r="P292" s="336" t="s">
        <v>5316</v>
      </c>
      <c r="Q292" s="461">
        <v>0</v>
      </c>
      <c r="R292" s="461"/>
      <c r="S292" s="461"/>
      <c r="T292" s="461"/>
      <c r="U292" s="461" t="s">
        <v>4125</v>
      </c>
      <c r="V292" s="461"/>
      <c r="W292" s="461"/>
      <c r="X292" s="860"/>
      <c r="Y292" s="584"/>
      <c r="Z292" s="861">
        <v>2</v>
      </c>
      <c r="AA292" s="141"/>
    </row>
    <row r="293" spans="1:27" s="154" customFormat="1" ht="15">
      <c r="A293" s="500"/>
      <c r="B293" s="508"/>
      <c r="C293" s="465"/>
      <c r="D293" s="340"/>
      <c r="E293" s="466"/>
      <c r="F293" s="466"/>
      <c r="G293" s="466"/>
      <c r="H293" s="466"/>
      <c r="I293" s="466"/>
      <c r="J293" s="466"/>
      <c r="K293" s="467"/>
      <c r="L293" s="467"/>
      <c r="M293" s="468"/>
      <c r="N293" s="469"/>
      <c r="O293" s="341">
        <v>4</v>
      </c>
      <c r="P293" s="336" t="s">
        <v>5317</v>
      </c>
      <c r="Q293" s="461">
        <v>0</v>
      </c>
      <c r="R293" s="461"/>
      <c r="S293" s="461"/>
      <c r="T293" s="461"/>
      <c r="U293" s="461" t="s">
        <v>4125</v>
      </c>
      <c r="V293" s="461" t="s">
        <v>4125</v>
      </c>
      <c r="W293" s="461"/>
      <c r="X293" s="860"/>
      <c r="Y293" s="584"/>
      <c r="Z293" s="861">
        <v>2</v>
      </c>
      <c r="AA293" s="141"/>
    </row>
    <row r="294" spans="1:27" s="154" customFormat="1" ht="15">
      <c r="A294" s="500"/>
      <c r="B294" s="508"/>
      <c r="C294" s="465"/>
      <c r="D294" s="340"/>
      <c r="E294" s="466"/>
      <c r="F294" s="466"/>
      <c r="G294" s="466"/>
      <c r="H294" s="466"/>
      <c r="I294" s="466"/>
      <c r="J294" s="176"/>
      <c r="K294" s="588"/>
      <c r="L294" s="588"/>
      <c r="M294" s="780"/>
      <c r="N294" s="781"/>
      <c r="O294" s="473">
        <v>5</v>
      </c>
      <c r="P294" s="463" t="s">
        <v>5318</v>
      </c>
      <c r="Q294" s="461">
        <v>0</v>
      </c>
      <c r="R294" s="461"/>
      <c r="S294" s="461"/>
      <c r="T294" s="461"/>
      <c r="U294" s="461" t="s">
        <v>4125</v>
      </c>
      <c r="V294" s="461"/>
      <c r="W294" s="461"/>
      <c r="X294" s="461"/>
      <c r="Y294" s="668"/>
      <c r="Z294" s="462" t="s">
        <v>138</v>
      </c>
      <c r="AA294" s="141"/>
    </row>
    <row r="295" spans="1:27" s="154" customFormat="1" ht="15">
      <c r="A295" s="500"/>
      <c r="B295" s="508"/>
      <c r="C295" s="465"/>
      <c r="D295" s="340"/>
      <c r="E295" s="466"/>
      <c r="F295" s="466"/>
      <c r="G295" s="466"/>
      <c r="H295" s="466"/>
      <c r="I295" s="466"/>
      <c r="J295" s="176"/>
      <c r="K295" s="588"/>
      <c r="L295" s="588"/>
      <c r="M295" s="780"/>
      <c r="N295" s="781"/>
      <c r="O295" s="473">
        <v>6</v>
      </c>
      <c r="P295" s="463" t="s">
        <v>5319</v>
      </c>
      <c r="Q295" s="461">
        <v>0</v>
      </c>
      <c r="R295" s="461"/>
      <c r="S295" s="461"/>
      <c r="T295" s="461"/>
      <c r="U295" s="461" t="s">
        <v>4125</v>
      </c>
      <c r="V295" s="461"/>
      <c r="W295" s="461"/>
      <c r="X295" s="461"/>
      <c r="Y295" s="668"/>
      <c r="Z295" s="462" t="s">
        <v>138</v>
      </c>
      <c r="AA295" s="141"/>
    </row>
    <row r="296" spans="1:27" s="154" customFormat="1" ht="15">
      <c r="A296" s="500"/>
      <c r="B296" s="508"/>
      <c r="C296" s="465"/>
      <c r="D296" s="340"/>
      <c r="E296" s="466"/>
      <c r="F296" s="466"/>
      <c r="G296" s="466"/>
      <c r="H296" s="466"/>
      <c r="I296" s="466"/>
      <c r="J296" s="466"/>
      <c r="K296" s="467"/>
      <c r="L296" s="467"/>
      <c r="M296" s="468"/>
      <c r="N296" s="469"/>
      <c r="O296" s="341">
        <v>7</v>
      </c>
      <c r="P296" s="336" t="s">
        <v>5320</v>
      </c>
      <c r="Q296" s="461">
        <v>0</v>
      </c>
      <c r="R296" s="585"/>
      <c r="S296" s="860"/>
      <c r="T296" s="586"/>
      <c r="U296" s="860" t="s">
        <v>4125</v>
      </c>
      <c r="V296" s="587"/>
      <c r="W296" s="586"/>
      <c r="X296" s="461"/>
      <c r="Y296" s="584"/>
      <c r="Z296" s="861">
        <v>2</v>
      </c>
      <c r="AA296" s="141"/>
    </row>
    <row r="297" spans="1:27" s="154" customFormat="1" ht="14.25">
      <c r="A297" s="502"/>
      <c r="B297" s="519"/>
      <c r="C297" s="491"/>
      <c r="D297" s="345"/>
      <c r="E297" s="405"/>
      <c r="F297" s="405"/>
      <c r="G297" s="405"/>
      <c r="H297" s="405"/>
      <c r="I297" s="405"/>
      <c r="J297" s="405"/>
      <c r="K297" s="492"/>
      <c r="L297" s="492"/>
      <c r="M297" s="493"/>
      <c r="N297" s="494"/>
      <c r="O297" s="492"/>
      <c r="P297" s="491"/>
      <c r="Q297" s="405"/>
      <c r="R297" s="491"/>
      <c r="S297" s="405"/>
      <c r="T297" s="405"/>
      <c r="U297" s="405"/>
      <c r="V297" s="308"/>
      <c r="W297" s="308"/>
      <c r="X297" s="308"/>
      <c r="Y297" s="491"/>
      <c r="Z297" s="308"/>
      <c r="AA297" s="141"/>
    </row>
    <row r="298" spans="1:27" s="154" customFormat="1" ht="63.75" customHeight="1">
      <c r="A298" s="501" t="s">
        <v>5321</v>
      </c>
      <c r="B298" s="310" t="s">
        <v>331</v>
      </c>
      <c r="C298" s="327" t="s">
        <v>5322</v>
      </c>
      <c r="D298" s="456" t="s">
        <v>5023</v>
      </c>
      <c r="E298" s="471"/>
      <c r="F298" s="471"/>
      <c r="G298" s="471"/>
      <c r="H298" s="471"/>
      <c r="I298" s="471"/>
      <c r="J298" s="786">
        <v>4.74</v>
      </c>
      <c r="K298" s="779"/>
      <c r="L298" s="779" t="s">
        <v>4125</v>
      </c>
      <c r="M298" s="779" t="s">
        <v>5312</v>
      </c>
      <c r="N298" s="779" t="s">
        <v>5313</v>
      </c>
      <c r="O298" s="779"/>
      <c r="P298" s="483"/>
      <c r="Q298" s="482"/>
      <c r="R298" s="483"/>
      <c r="S298" s="483"/>
      <c r="T298" s="483"/>
      <c r="U298" s="483"/>
      <c r="V298" s="484"/>
      <c r="W298" s="484"/>
      <c r="X298" s="484"/>
      <c r="Y298" s="482"/>
      <c r="Z298" s="484">
        <v>1</v>
      </c>
      <c r="AA298" s="141"/>
    </row>
    <row r="299" spans="1:27" s="154" customFormat="1" ht="15">
      <c r="A299" s="499"/>
      <c r="B299" s="507"/>
      <c r="C299" s="336"/>
      <c r="D299" s="331"/>
      <c r="E299" s="332"/>
      <c r="F299" s="332"/>
      <c r="G299" s="332"/>
      <c r="H299" s="332"/>
      <c r="I299" s="332"/>
      <c r="J299" s="461"/>
      <c r="K299" s="624"/>
      <c r="L299" s="624"/>
      <c r="M299" s="785"/>
      <c r="N299" s="783"/>
      <c r="O299" s="590">
        <v>1</v>
      </c>
      <c r="P299" s="472" t="s">
        <v>5323</v>
      </c>
      <c r="Q299" s="473">
        <v>0</v>
      </c>
      <c r="R299" s="461"/>
      <c r="S299" s="461"/>
      <c r="T299" s="461"/>
      <c r="U299" s="461" t="s">
        <v>4125</v>
      </c>
      <c r="V299" s="461"/>
      <c r="W299" s="461"/>
      <c r="X299" s="461"/>
      <c r="Y299" s="668"/>
      <c r="Z299" s="462" t="s">
        <v>138</v>
      </c>
      <c r="AA299" s="141"/>
    </row>
    <row r="300" spans="1:27" s="154" customFormat="1" ht="15">
      <c r="A300" s="499"/>
      <c r="B300" s="507"/>
      <c r="C300" s="336"/>
      <c r="D300" s="331"/>
      <c r="E300" s="332"/>
      <c r="F300" s="332"/>
      <c r="G300" s="332"/>
      <c r="H300" s="332"/>
      <c r="I300" s="332"/>
      <c r="J300" s="332"/>
      <c r="K300" s="333"/>
      <c r="L300" s="333"/>
      <c r="M300" s="334"/>
      <c r="N300" s="335"/>
      <c r="O300" s="342">
        <v>2</v>
      </c>
      <c r="P300" s="336" t="s">
        <v>5324</v>
      </c>
      <c r="Q300" s="461">
        <v>0</v>
      </c>
      <c r="R300" s="461"/>
      <c r="S300" s="461"/>
      <c r="T300" s="461"/>
      <c r="U300" s="461" t="s">
        <v>4125</v>
      </c>
      <c r="V300" s="461"/>
      <c r="W300" s="461"/>
      <c r="X300" s="860"/>
      <c r="Y300" s="584"/>
      <c r="Z300" s="861">
        <v>2</v>
      </c>
      <c r="AA300" s="141"/>
    </row>
    <row r="301" spans="1:27" s="154" customFormat="1" ht="15">
      <c r="A301" s="499"/>
      <c r="B301" s="507"/>
      <c r="C301" s="336"/>
      <c r="D301" s="331"/>
      <c r="E301" s="332"/>
      <c r="F301" s="332"/>
      <c r="G301" s="332"/>
      <c r="H301" s="332"/>
      <c r="I301" s="332"/>
      <c r="J301" s="332"/>
      <c r="K301" s="333"/>
      <c r="L301" s="333"/>
      <c r="M301" s="334"/>
      <c r="N301" s="335"/>
      <c r="O301" s="342">
        <v>3</v>
      </c>
      <c r="P301" s="336" t="s">
        <v>5325</v>
      </c>
      <c r="Q301" s="461">
        <v>0</v>
      </c>
      <c r="R301" s="461"/>
      <c r="S301" s="461"/>
      <c r="T301" s="461"/>
      <c r="U301" s="461" t="s">
        <v>4125</v>
      </c>
      <c r="V301" s="461"/>
      <c r="W301" s="461"/>
      <c r="X301" s="860"/>
      <c r="Y301" s="584"/>
      <c r="Z301" s="861">
        <v>2</v>
      </c>
      <c r="AA301" s="141"/>
    </row>
    <row r="302" spans="1:27" s="154" customFormat="1" ht="15">
      <c r="A302" s="500"/>
      <c r="B302" s="508"/>
      <c r="C302" s="465"/>
      <c r="D302" s="340"/>
      <c r="E302" s="466"/>
      <c r="F302" s="466"/>
      <c r="G302" s="466"/>
      <c r="H302" s="466"/>
      <c r="I302" s="466"/>
      <c r="J302" s="466"/>
      <c r="K302" s="467"/>
      <c r="L302" s="467"/>
      <c r="M302" s="468"/>
      <c r="N302" s="469"/>
      <c r="O302" s="341">
        <v>4</v>
      </c>
      <c r="P302" s="336" t="s">
        <v>5326</v>
      </c>
      <c r="Q302" s="461">
        <v>0</v>
      </c>
      <c r="R302" s="461"/>
      <c r="S302" s="461"/>
      <c r="T302" s="461"/>
      <c r="U302" s="461" t="s">
        <v>4125</v>
      </c>
      <c r="V302" s="461" t="s">
        <v>4125</v>
      </c>
      <c r="W302" s="461"/>
      <c r="X302" s="860"/>
      <c r="Y302" s="584"/>
      <c r="Z302" s="861">
        <v>2</v>
      </c>
      <c r="AA302" s="141"/>
    </row>
    <row r="303" spans="1:27" s="154" customFormat="1" ht="15">
      <c r="A303" s="500"/>
      <c r="B303" s="508"/>
      <c r="C303" s="465"/>
      <c r="D303" s="340"/>
      <c r="E303" s="466"/>
      <c r="F303" s="466"/>
      <c r="G303" s="466"/>
      <c r="H303" s="466"/>
      <c r="I303" s="466"/>
      <c r="J303" s="176"/>
      <c r="K303" s="588"/>
      <c r="L303" s="588"/>
      <c r="M303" s="780"/>
      <c r="N303" s="781"/>
      <c r="O303" s="473">
        <v>5</v>
      </c>
      <c r="P303" s="463" t="s">
        <v>5327</v>
      </c>
      <c r="Q303" s="461">
        <v>0</v>
      </c>
      <c r="R303" s="461"/>
      <c r="S303" s="461"/>
      <c r="T303" s="461"/>
      <c r="U303" s="461" t="s">
        <v>4125</v>
      </c>
      <c r="V303" s="461"/>
      <c r="W303" s="461"/>
      <c r="X303" s="461"/>
      <c r="Y303" s="668"/>
      <c r="Z303" s="462" t="s">
        <v>138</v>
      </c>
      <c r="AA303" s="141"/>
    </row>
    <row r="304" spans="1:27" s="154" customFormat="1" ht="15">
      <c r="A304" s="500"/>
      <c r="B304" s="508"/>
      <c r="C304" s="465"/>
      <c r="D304" s="340"/>
      <c r="E304" s="466"/>
      <c r="F304" s="466"/>
      <c r="G304" s="466"/>
      <c r="H304" s="466"/>
      <c r="I304" s="466"/>
      <c r="J304" s="176"/>
      <c r="K304" s="588"/>
      <c r="L304" s="588"/>
      <c r="M304" s="780"/>
      <c r="N304" s="781"/>
      <c r="O304" s="473">
        <v>6</v>
      </c>
      <c r="P304" s="463" t="s">
        <v>5328</v>
      </c>
      <c r="Q304" s="461">
        <v>0</v>
      </c>
      <c r="R304" s="461"/>
      <c r="S304" s="461"/>
      <c r="T304" s="461"/>
      <c r="U304" s="461" t="s">
        <v>4125</v>
      </c>
      <c r="V304" s="461"/>
      <c r="W304" s="461"/>
      <c r="X304" s="461"/>
      <c r="Y304" s="668"/>
      <c r="Z304" s="462" t="s">
        <v>138</v>
      </c>
      <c r="AA304" s="141"/>
    </row>
    <row r="305" spans="1:27" s="154" customFormat="1" ht="15">
      <c r="A305" s="500"/>
      <c r="B305" s="508"/>
      <c r="C305" s="465"/>
      <c r="D305" s="340"/>
      <c r="E305" s="466"/>
      <c r="F305" s="466"/>
      <c r="G305" s="466"/>
      <c r="H305" s="466"/>
      <c r="I305" s="466"/>
      <c r="J305" s="466"/>
      <c r="K305" s="467"/>
      <c r="L305" s="467"/>
      <c r="M305" s="468"/>
      <c r="N305" s="469"/>
      <c r="O305" s="341">
        <v>7</v>
      </c>
      <c r="P305" s="336" t="s">
        <v>5329</v>
      </c>
      <c r="Q305" s="461">
        <v>0</v>
      </c>
      <c r="R305" s="585"/>
      <c r="S305" s="860"/>
      <c r="T305" s="586"/>
      <c r="U305" s="860" t="s">
        <v>4125</v>
      </c>
      <c r="V305" s="587"/>
      <c r="W305" s="586"/>
      <c r="X305" s="461"/>
      <c r="Y305" s="584"/>
      <c r="Z305" s="861">
        <v>2</v>
      </c>
      <c r="AA305" s="141"/>
    </row>
    <row r="306" spans="1:27" s="154" customFormat="1" ht="14.25">
      <c r="A306" s="502"/>
      <c r="B306" s="519"/>
      <c r="C306" s="491"/>
      <c r="D306" s="345"/>
      <c r="E306" s="405"/>
      <c r="F306" s="405"/>
      <c r="G306" s="405"/>
      <c r="H306" s="405"/>
      <c r="I306" s="405"/>
      <c r="J306" s="405"/>
      <c r="K306" s="492"/>
      <c r="L306" s="492"/>
      <c r="M306" s="493"/>
      <c r="N306" s="494"/>
      <c r="O306" s="467"/>
      <c r="P306" s="465"/>
      <c r="Q306" s="466"/>
      <c r="R306" s="491"/>
      <c r="S306" s="405"/>
      <c r="T306" s="405"/>
      <c r="U306" s="405"/>
      <c r="V306" s="308"/>
      <c r="W306" s="308"/>
      <c r="X306" s="308"/>
      <c r="Y306" s="491"/>
      <c r="Z306" s="308"/>
      <c r="AA306" s="141"/>
    </row>
    <row r="307" spans="1:27" s="154" customFormat="1" ht="14.25">
      <c r="A307" s="500" t="s">
        <v>4827</v>
      </c>
      <c r="B307" s="310" t="s">
        <v>331</v>
      </c>
      <c r="C307" s="327" t="s">
        <v>5330</v>
      </c>
      <c r="D307" s="456" t="s">
        <v>4978</v>
      </c>
      <c r="E307" s="322">
        <v>0</v>
      </c>
      <c r="F307" s="322">
        <v>100</v>
      </c>
      <c r="G307" s="322" t="s">
        <v>41</v>
      </c>
      <c r="H307" s="322">
        <v>40</v>
      </c>
      <c r="I307" s="322">
        <v>100</v>
      </c>
      <c r="J307" s="693">
        <v>520</v>
      </c>
      <c r="K307" s="323" t="s">
        <v>4125</v>
      </c>
      <c r="L307" s="323" t="s">
        <v>4125</v>
      </c>
      <c r="M307" s="324" t="s">
        <v>4979</v>
      </c>
      <c r="N307" s="593" t="s">
        <v>4980</v>
      </c>
      <c r="O307" s="323"/>
      <c r="P307" s="327"/>
      <c r="Q307" s="322"/>
      <c r="R307" s="591"/>
      <c r="S307" s="466"/>
      <c r="T307" s="466"/>
      <c r="U307" s="466"/>
      <c r="V307" s="470"/>
      <c r="W307" s="470"/>
      <c r="X307" s="470"/>
      <c r="Y307" s="465"/>
      <c r="Z307" s="317"/>
      <c r="AA307" s="141"/>
    </row>
    <row r="308" spans="1:27" s="154" customFormat="1" ht="71.25">
      <c r="A308" s="499"/>
      <c r="B308" s="507"/>
      <c r="C308" s="336"/>
      <c r="D308" s="331"/>
      <c r="E308" s="332"/>
      <c r="F308" s="332"/>
      <c r="G308" s="332"/>
      <c r="H308" s="332"/>
      <c r="I308" s="332"/>
      <c r="J308" s="461"/>
      <c r="K308" s="624"/>
      <c r="L308" s="624"/>
      <c r="M308" s="624"/>
      <c r="N308" s="624"/>
      <c r="O308" s="590">
        <v>1</v>
      </c>
      <c r="P308" s="472" t="s">
        <v>5331</v>
      </c>
      <c r="Q308" s="473">
        <v>0</v>
      </c>
      <c r="R308" s="461"/>
      <c r="S308" s="461"/>
      <c r="T308" s="461"/>
      <c r="U308" s="461" t="s">
        <v>4125</v>
      </c>
      <c r="V308" s="461"/>
      <c r="W308" s="461"/>
      <c r="X308" s="461"/>
      <c r="Y308" s="784" t="s">
        <v>5242</v>
      </c>
      <c r="Z308" s="462" t="s">
        <v>138</v>
      </c>
      <c r="AA308" s="679"/>
    </row>
    <row r="309" spans="1:27" s="154" customFormat="1" ht="15">
      <c r="A309" s="499"/>
      <c r="B309" s="507"/>
      <c r="C309" s="336"/>
      <c r="D309" s="331"/>
      <c r="E309" s="332"/>
      <c r="F309" s="332"/>
      <c r="G309" s="332"/>
      <c r="H309" s="332"/>
      <c r="I309" s="332"/>
      <c r="J309" s="332"/>
      <c r="K309" s="333"/>
      <c r="L309" s="333"/>
      <c r="M309" s="334"/>
      <c r="N309" s="335"/>
      <c r="O309" s="342">
        <v>2</v>
      </c>
      <c r="P309" s="336" t="s">
        <v>5332</v>
      </c>
      <c r="Q309" s="461">
        <v>0</v>
      </c>
      <c r="R309" s="461"/>
      <c r="S309" s="461"/>
      <c r="T309" s="461"/>
      <c r="U309" s="461" t="s">
        <v>4125</v>
      </c>
      <c r="V309" s="461"/>
      <c r="W309" s="461"/>
      <c r="X309" s="860"/>
      <c r="Y309" s="584"/>
      <c r="Z309" s="861">
        <v>2</v>
      </c>
      <c r="AA309" s="141"/>
    </row>
    <row r="310" spans="1:27" s="154" customFormat="1" ht="15">
      <c r="A310" s="499"/>
      <c r="B310" s="507"/>
      <c r="C310" s="336"/>
      <c r="D310" s="331"/>
      <c r="E310" s="332"/>
      <c r="F310" s="332"/>
      <c r="G310" s="332"/>
      <c r="H310" s="332"/>
      <c r="I310" s="332"/>
      <c r="J310" s="332"/>
      <c r="K310" s="333"/>
      <c r="L310" s="333"/>
      <c r="M310" s="334"/>
      <c r="N310" s="335"/>
      <c r="O310" s="342">
        <v>3</v>
      </c>
      <c r="P310" s="336" t="s">
        <v>5333</v>
      </c>
      <c r="Q310" s="461">
        <v>0</v>
      </c>
      <c r="R310" s="461"/>
      <c r="S310" s="461"/>
      <c r="T310" s="461"/>
      <c r="U310" s="461" t="s">
        <v>4125</v>
      </c>
      <c r="V310" s="461"/>
      <c r="W310" s="461"/>
      <c r="X310" s="860"/>
      <c r="Y310" s="584"/>
      <c r="Z310" s="861">
        <v>2</v>
      </c>
      <c r="AA310" s="141"/>
    </row>
    <row r="311" spans="1:27" s="154" customFormat="1" ht="15">
      <c r="A311" s="499"/>
      <c r="B311" s="507"/>
      <c r="C311" s="336"/>
      <c r="D311" s="331"/>
      <c r="E311" s="332"/>
      <c r="F311" s="332"/>
      <c r="G311" s="332"/>
      <c r="H311" s="332"/>
      <c r="I311" s="332"/>
      <c r="J311" s="332"/>
      <c r="K311" s="333"/>
      <c r="L311" s="333"/>
      <c r="M311" s="334"/>
      <c r="N311" s="335"/>
      <c r="O311" s="341">
        <v>4</v>
      </c>
      <c r="P311" s="336" t="s">
        <v>5334</v>
      </c>
      <c r="Q311" s="461">
        <v>0</v>
      </c>
      <c r="R311" s="461"/>
      <c r="S311" s="461"/>
      <c r="T311" s="461"/>
      <c r="U311" s="461" t="s">
        <v>4125</v>
      </c>
      <c r="V311" s="461" t="s">
        <v>4125</v>
      </c>
      <c r="W311" s="461"/>
      <c r="X311" s="860"/>
      <c r="Y311" s="584"/>
      <c r="Z311" s="861">
        <v>2</v>
      </c>
      <c r="AA311" s="141"/>
    </row>
    <row r="312" spans="1:27" s="154" customFormat="1" ht="15">
      <c r="A312" s="499"/>
      <c r="B312" s="507"/>
      <c r="C312" s="336"/>
      <c r="D312" s="331"/>
      <c r="E312" s="332"/>
      <c r="F312" s="332"/>
      <c r="G312" s="332"/>
      <c r="H312" s="332"/>
      <c r="I312" s="332"/>
      <c r="J312" s="461"/>
      <c r="K312" s="624"/>
      <c r="L312" s="624"/>
      <c r="M312" s="785"/>
      <c r="N312" s="783"/>
      <c r="O312" s="473">
        <v>5</v>
      </c>
      <c r="P312" s="463" t="s">
        <v>5335</v>
      </c>
      <c r="Q312" s="461">
        <v>0</v>
      </c>
      <c r="R312" s="461"/>
      <c r="S312" s="461"/>
      <c r="T312" s="461"/>
      <c r="U312" s="461" t="s">
        <v>4125</v>
      </c>
      <c r="V312" s="461"/>
      <c r="W312" s="461"/>
      <c r="X312" s="461"/>
      <c r="Y312" s="668"/>
      <c r="Z312" s="462" t="s">
        <v>138</v>
      </c>
      <c r="AA312" s="141"/>
    </row>
    <row r="313" spans="1:27" s="154" customFormat="1" ht="15">
      <c r="A313" s="499"/>
      <c r="B313" s="507"/>
      <c r="C313" s="336"/>
      <c r="D313" s="331"/>
      <c r="E313" s="332"/>
      <c r="F313" s="332"/>
      <c r="G313" s="332"/>
      <c r="H313" s="332"/>
      <c r="I313" s="332"/>
      <c r="J313" s="461"/>
      <c r="K313" s="624"/>
      <c r="L313" s="624"/>
      <c r="M313" s="785"/>
      <c r="N313" s="783"/>
      <c r="O313" s="473">
        <v>6</v>
      </c>
      <c r="P313" s="463" t="s">
        <v>5336</v>
      </c>
      <c r="Q313" s="461">
        <v>0</v>
      </c>
      <c r="R313" s="461"/>
      <c r="S313" s="461"/>
      <c r="T313" s="461"/>
      <c r="U313" s="461" t="s">
        <v>4125</v>
      </c>
      <c r="V313" s="461"/>
      <c r="W313" s="461"/>
      <c r="X313" s="461"/>
      <c r="Y313" s="668"/>
      <c r="Z313" s="462" t="s">
        <v>138</v>
      </c>
      <c r="AA313" s="141"/>
    </row>
    <row r="314" spans="1:27" s="154" customFormat="1" ht="15">
      <c r="A314" s="499"/>
      <c r="B314" s="507"/>
      <c r="C314" s="336"/>
      <c r="D314" s="331"/>
      <c r="E314" s="332"/>
      <c r="F314" s="332"/>
      <c r="G314" s="332"/>
      <c r="H314" s="332"/>
      <c r="I314" s="332"/>
      <c r="J314" s="332"/>
      <c r="K314" s="333"/>
      <c r="L314" s="333"/>
      <c r="M314" s="334"/>
      <c r="N314" s="335"/>
      <c r="O314" s="341">
        <v>7</v>
      </c>
      <c r="P314" s="336" t="s">
        <v>5337</v>
      </c>
      <c r="Q314" s="461">
        <v>0</v>
      </c>
      <c r="R314" s="585"/>
      <c r="S314" s="860"/>
      <c r="T314" s="586"/>
      <c r="U314" s="860" t="s">
        <v>4125</v>
      </c>
      <c r="V314" s="587"/>
      <c r="W314" s="586"/>
      <c r="X314" s="461"/>
      <c r="Y314" s="584"/>
      <c r="Z314" s="861">
        <v>2</v>
      </c>
      <c r="AA314" s="141"/>
    </row>
    <row r="315" spans="1:27" s="154" customFormat="1" ht="14.25">
      <c r="A315" s="499"/>
      <c r="B315" s="507"/>
      <c r="C315" s="336"/>
      <c r="D315" s="331"/>
      <c r="E315" s="332"/>
      <c r="F315" s="332"/>
      <c r="G315" s="332"/>
      <c r="H315" s="332"/>
      <c r="I315" s="332"/>
      <c r="J315" s="461"/>
      <c r="K315" s="624"/>
      <c r="L315" s="624"/>
      <c r="M315" s="785"/>
      <c r="N315" s="783"/>
      <c r="O315" s="461">
        <v>8</v>
      </c>
      <c r="P315" s="463" t="s">
        <v>5338</v>
      </c>
      <c r="Q315" s="176">
        <v>5</v>
      </c>
      <c r="R315" s="479"/>
      <c r="S315" s="176"/>
      <c r="T315" s="176" t="s">
        <v>4125</v>
      </c>
      <c r="U315" s="176"/>
      <c r="V315" s="480"/>
      <c r="W315" s="480" t="s">
        <v>4125</v>
      </c>
      <c r="X315" s="480"/>
      <c r="Y315" s="463" t="s">
        <v>5250</v>
      </c>
      <c r="Z315" s="462" t="s">
        <v>184</v>
      </c>
      <c r="AA315" s="141"/>
    </row>
    <row r="316" spans="1:27" s="154" customFormat="1" ht="14.25">
      <c r="A316" s="500"/>
      <c r="B316" s="507"/>
      <c r="C316" s="336"/>
      <c r="D316" s="331"/>
      <c r="E316" s="466"/>
      <c r="F316" s="466"/>
      <c r="G316" s="466"/>
      <c r="H316" s="466"/>
      <c r="I316" s="466"/>
      <c r="J316" s="176"/>
      <c r="K316" s="588"/>
      <c r="L316" s="588"/>
      <c r="M316" s="780"/>
      <c r="N316" s="781"/>
      <c r="O316" s="176">
        <v>9</v>
      </c>
      <c r="P316" s="479" t="s">
        <v>5339</v>
      </c>
      <c r="Q316" s="176">
        <v>5</v>
      </c>
      <c r="R316" s="479"/>
      <c r="S316" s="176"/>
      <c r="T316" s="176" t="s">
        <v>4125</v>
      </c>
      <c r="U316" s="176"/>
      <c r="V316" s="480"/>
      <c r="W316" s="480" t="s">
        <v>4125</v>
      </c>
      <c r="X316" s="480"/>
      <c r="Y316" s="463" t="s">
        <v>5252</v>
      </c>
      <c r="Z316" s="462" t="s">
        <v>138</v>
      </c>
      <c r="AA316" s="683"/>
    </row>
    <row r="317" spans="1:27" s="154" customFormat="1" ht="14.25">
      <c r="A317" s="500"/>
      <c r="B317" s="507"/>
      <c r="C317" s="336"/>
      <c r="D317" s="331"/>
      <c r="E317" s="466"/>
      <c r="F317" s="466"/>
      <c r="G317" s="466"/>
      <c r="H317" s="466"/>
      <c r="I317" s="466"/>
      <c r="J317" s="176"/>
      <c r="K317" s="588"/>
      <c r="L317" s="588"/>
      <c r="M317" s="780"/>
      <c r="N317" s="781"/>
      <c r="O317" s="176">
        <v>10</v>
      </c>
      <c r="P317" s="479" t="s">
        <v>5340</v>
      </c>
      <c r="Q317" s="176">
        <v>5</v>
      </c>
      <c r="R317" s="479"/>
      <c r="S317" s="176"/>
      <c r="T317" s="176" t="s">
        <v>4125</v>
      </c>
      <c r="U317" s="176"/>
      <c r="V317" s="480"/>
      <c r="W317" s="480" t="s">
        <v>4125</v>
      </c>
      <c r="X317" s="480"/>
      <c r="Y317" s="463" t="s">
        <v>5254</v>
      </c>
      <c r="Z317" s="462" t="s">
        <v>184</v>
      </c>
      <c r="AA317" s="141"/>
    </row>
    <row r="318" spans="1:27" s="154" customFormat="1" ht="14.25">
      <c r="A318" s="500"/>
      <c r="B318" s="507"/>
      <c r="C318" s="336"/>
      <c r="D318" s="331"/>
      <c r="E318" s="466"/>
      <c r="F318" s="466"/>
      <c r="G318" s="466"/>
      <c r="H318" s="466"/>
      <c r="I318" s="466"/>
      <c r="J318" s="176"/>
      <c r="K318" s="588"/>
      <c r="L318" s="588"/>
      <c r="M318" s="780"/>
      <c r="N318" s="781"/>
      <c r="O318" s="176">
        <v>11</v>
      </c>
      <c r="P318" s="479" t="s">
        <v>5341</v>
      </c>
      <c r="Q318" s="176">
        <v>5</v>
      </c>
      <c r="R318" s="479"/>
      <c r="S318" s="176"/>
      <c r="T318" s="176" t="s">
        <v>4125</v>
      </c>
      <c r="U318" s="176"/>
      <c r="V318" s="480"/>
      <c r="W318" s="480" t="s">
        <v>4125</v>
      </c>
      <c r="X318" s="480"/>
      <c r="Y318" s="463" t="s">
        <v>5256</v>
      </c>
      <c r="Z318" s="462" t="s">
        <v>184</v>
      </c>
      <c r="AA318" s="141"/>
    </row>
    <row r="319" spans="1:27" s="154" customFormat="1" ht="14.25">
      <c r="A319" s="500"/>
      <c r="B319" s="507"/>
      <c r="C319" s="336"/>
      <c r="D319" s="331"/>
      <c r="E319" s="466"/>
      <c r="F319" s="466"/>
      <c r="G319" s="466"/>
      <c r="H319" s="466"/>
      <c r="I319" s="466"/>
      <c r="J319" s="176"/>
      <c r="K319" s="588"/>
      <c r="L319" s="588"/>
      <c r="M319" s="780"/>
      <c r="N319" s="781"/>
      <c r="O319" s="176">
        <v>12</v>
      </c>
      <c r="P319" s="479" t="s">
        <v>5342</v>
      </c>
      <c r="Q319" s="176">
        <v>5</v>
      </c>
      <c r="R319" s="479"/>
      <c r="S319" s="176"/>
      <c r="T319" s="176" t="s">
        <v>4125</v>
      </c>
      <c r="U319" s="176"/>
      <c r="V319" s="480"/>
      <c r="W319" s="480" t="s">
        <v>4125</v>
      </c>
      <c r="X319" s="480"/>
      <c r="Y319" s="463" t="s">
        <v>5258</v>
      </c>
      <c r="Z319" s="462" t="s">
        <v>184</v>
      </c>
      <c r="AA319" s="141"/>
    </row>
    <row r="320" spans="1:27" s="154" customFormat="1" ht="28.5">
      <c r="A320" s="500"/>
      <c r="B320" s="507"/>
      <c r="C320" s="336"/>
      <c r="D320" s="331"/>
      <c r="E320" s="466"/>
      <c r="F320" s="466"/>
      <c r="G320" s="466"/>
      <c r="H320" s="466"/>
      <c r="I320" s="466"/>
      <c r="J320" s="176"/>
      <c r="K320" s="588"/>
      <c r="L320" s="588"/>
      <c r="M320" s="780"/>
      <c r="N320" s="781"/>
      <c r="O320" s="176">
        <v>13</v>
      </c>
      <c r="P320" s="479" t="s">
        <v>5343</v>
      </c>
      <c r="Q320" s="176">
        <v>5</v>
      </c>
      <c r="R320" s="479"/>
      <c r="S320" s="176"/>
      <c r="T320" s="176"/>
      <c r="U320" s="176" t="s">
        <v>4125</v>
      </c>
      <c r="V320" s="480"/>
      <c r="W320" s="480"/>
      <c r="X320" s="480"/>
      <c r="Y320" s="463" t="s">
        <v>5260</v>
      </c>
      <c r="Z320" s="462" t="s">
        <v>184</v>
      </c>
      <c r="AA320" s="683"/>
    </row>
    <row r="321" spans="1:27" s="154" customFormat="1" ht="28.5">
      <c r="A321" s="500"/>
      <c r="B321" s="507"/>
      <c r="C321" s="336"/>
      <c r="D321" s="331"/>
      <c r="E321" s="466"/>
      <c r="F321" s="466"/>
      <c r="G321" s="466"/>
      <c r="H321" s="466"/>
      <c r="I321" s="466"/>
      <c r="J321" s="176"/>
      <c r="K321" s="588"/>
      <c r="L321" s="588"/>
      <c r="M321" s="780"/>
      <c r="N321" s="781"/>
      <c r="O321" s="176">
        <v>14</v>
      </c>
      <c r="P321" s="479" t="s">
        <v>5344</v>
      </c>
      <c r="Q321" s="176">
        <v>5</v>
      </c>
      <c r="R321" s="479"/>
      <c r="S321" s="176"/>
      <c r="T321" s="176"/>
      <c r="U321" s="176" t="s">
        <v>4125</v>
      </c>
      <c r="V321" s="480"/>
      <c r="W321" s="480"/>
      <c r="X321" s="480"/>
      <c r="Y321" s="463" t="s">
        <v>5262</v>
      </c>
      <c r="Z321" s="462" t="s">
        <v>184</v>
      </c>
      <c r="AA321" s="683"/>
    </row>
    <row r="322" spans="1:27" s="154" customFormat="1" ht="28.5">
      <c r="A322" s="500"/>
      <c r="B322" s="507"/>
      <c r="C322" s="336"/>
      <c r="D322" s="331"/>
      <c r="E322" s="466"/>
      <c r="F322" s="466"/>
      <c r="G322" s="466"/>
      <c r="H322" s="466"/>
      <c r="I322" s="466"/>
      <c r="J322" s="176"/>
      <c r="K322" s="588"/>
      <c r="L322" s="588"/>
      <c r="M322" s="780"/>
      <c r="N322" s="781"/>
      <c r="O322" s="176">
        <v>15</v>
      </c>
      <c r="P322" s="479" t="s">
        <v>5345</v>
      </c>
      <c r="Q322" s="176">
        <v>5</v>
      </c>
      <c r="R322" s="479"/>
      <c r="S322" s="176"/>
      <c r="T322" s="176"/>
      <c r="U322" s="176" t="s">
        <v>4125</v>
      </c>
      <c r="V322" s="480"/>
      <c r="W322" s="480"/>
      <c r="X322" s="480"/>
      <c r="Y322" s="463" t="s">
        <v>5264</v>
      </c>
      <c r="Z322" s="462" t="s">
        <v>184</v>
      </c>
      <c r="AA322" s="683"/>
    </row>
    <row r="323" spans="1:27" s="154" customFormat="1" ht="14.25">
      <c r="A323" s="500"/>
      <c r="B323" s="507"/>
      <c r="C323" s="336"/>
      <c r="D323" s="331"/>
      <c r="E323" s="466"/>
      <c r="F323" s="466"/>
      <c r="G323" s="466"/>
      <c r="H323" s="466"/>
      <c r="I323" s="466"/>
      <c r="J323" s="176"/>
      <c r="K323" s="588"/>
      <c r="L323" s="588"/>
      <c r="M323" s="780"/>
      <c r="N323" s="781"/>
      <c r="O323" s="176">
        <v>16</v>
      </c>
      <c r="P323" s="479" t="s">
        <v>5346</v>
      </c>
      <c r="Q323" s="176">
        <v>5</v>
      </c>
      <c r="R323" s="479"/>
      <c r="S323" s="176"/>
      <c r="T323" s="176"/>
      <c r="U323" s="176" t="s">
        <v>4125</v>
      </c>
      <c r="V323" s="480"/>
      <c r="W323" s="480"/>
      <c r="X323" s="480"/>
      <c r="Y323" s="463" t="s">
        <v>5266</v>
      </c>
      <c r="Z323" s="462" t="s">
        <v>184</v>
      </c>
      <c r="AA323" s="683"/>
    </row>
    <row r="324" spans="1:27" s="154" customFormat="1" ht="14.25">
      <c r="A324" s="500"/>
      <c r="B324" s="507"/>
      <c r="C324" s="336"/>
      <c r="D324" s="331"/>
      <c r="E324" s="466"/>
      <c r="F324" s="466"/>
      <c r="G324" s="466"/>
      <c r="H324" s="466"/>
      <c r="I324" s="466"/>
      <c r="J324" s="176"/>
      <c r="K324" s="588"/>
      <c r="L324" s="588"/>
      <c r="M324" s="780"/>
      <c r="N324" s="781"/>
      <c r="O324" s="461">
        <v>17</v>
      </c>
      <c r="P324" s="463" t="s">
        <v>5347</v>
      </c>
      <c r="Q324" s="461">
        <v>5</v>
      </c>
      <c r="R324" s="463"/>
      <c r="S324" s="461"/>
      <c r="T324" s="461"/>
      <c r="U324" s="461" t="s">
        <v>4125</v>
      </c>
      <c r="V324" s="462"/>
      <c r="W324" s="462"/>
      <c r="X324" s="462"/>
      <c r="Y324" s="463" t="s">
        <v>5268</v>
      </c>
      <c r="Z324" s="462" t="s">
        <v>184</v>
      </c>
      <c r="AA324" s="683"/>
    </row>
    <row r="325" spans="1:27" s="154" customFormat="1" ht="57">
      <c r="A325" s="500"/>
      <c r="B325" s="508"/>
      <c r="C325" s="465"/>
      <c r="D325" s="340"/>
      <c r="E325" s="466"/>
      <c r="F325" s="466"/>
      <c r="G325" s="466"/>
      <c r="H325" s="466"/>
      <c r="I325" s="466"/>
      <c r="J325" s="176"/>
      <c r="K325" s="588"/>
      <c r="L325" s="588"/>
      <c r="M325" s="780"/>
      <c r="N325" s="781"/>
      <c r="O325" s="176">
        <v>18</v>
      </c>
      <c r="P325" s="479" t="s">
        <v>5269</v>
      </c>
      <c r="Q325" s="176">
        <v>0</v>
      </c>
      <c r="R325" s="479"/>
      <c r="S325" s="176"/>
      <c r="T325" s="176" t="s">
        <v>4125</v>
      </c>
      <c r="U325" s="176"/>
      <c r="V325" s="480"/>
      <c r="W325" s="480" t="s">
        <v>4125</v>
      </c>
      <c r="X325" s="480"/>
      <c r="Y325" s="479" t="s">
        <v>5348</v>
      </c>
      <c r="Z325" s="480">
        <v>0</v>
      </c>
      <c r="AA325" s="141"/>
    </row>
    <row r="326" spans="1:27" s="154" customFormat="1" ht="14.25">
      <c r="A326" s="502"/>
      <c r="B326" s="519"/>
      <c r="C326" s="491"/>
      <c r="D326" s="345"/>
      <c r="E326" s="405"/>
      <c r="F326" s="405"/>
      <c r="G326" s="405"/>
      <c r="H326" s="405"/>
      <c r="I326" s="405"/>
      <c r="J326" s="405"/>
      <c r="K326" s="492"/>
      <c r="L326" s="492"/>
      <c r="M326" s="493"/>
      <c r="N326" s="494"/>
      <c r="O326" s="467"/>
      <c r="P326" s="592"/>
      <c r="Q326" s="466"/>
      <c r="R326" s="491"/>
      <c r="S326" s="405"/>
      <c r="T326" s="405"/>
      <c r="U326" s="405"/>
      <c r="V326" s="308"/>
      <c r="W326" s="308"/>
      <c r="X326" s="308"/>
      <c r="Y326" s="491"/>
      <c r="Z326" s="308"/>
      <c r="AA326" s="141"/>
    </row>
    <row r="327" spans="1:27" s="154" customFormat="1" ht="57" customHeight="1">
      <c r="A327" s="500" t="s">
        <v>5349</v>
      </c>
      <c r="B327" s="310" t="s">
        <v>331</v>
      </c>
      <c r="C327" s="327" t="s">
        <v>5350</v>
      </c>
      <c r="D327" s="456" t="s">
        <v>5023</v>
      </c>
      <c r="E327" s="471"/>
      <c r="F327" s="471"/>
      <c r="G327" s="471"/>
      <c r="H327" s="471"/>
      <c r="I327" s="471"/>
      <c r="J327" s="786">
        <v>1.1599999999999999</v>
      </c>
      <c r="K327" s="779"/>
      <c r="L327" s="779" t="s">
        <v>4125</v>
      </c>
      <c r="M327" s="779" t="s">
        <v>5351</v>
      </c>
      <c r="N327" s="779" t="s">
        <v>5352</v>
      </c>
      <c r="O327" s="779"/>
      <c r="P327" s="482"/>
      <c r="Q327" s="483"/>
      <c r="R327" s="787"/>
      <c r="S327" s="176"/>
      <c r="T327" s="176"/>
      <c r="U327" s="176"/>
      <c r="V327" s="480"/>
      <c r="W327" s="480"/>
      <c r="X327" s="480"/>
      <c r="Y327" s="479"/>
      <c r="Z327" s="773">
        <v>1</v>
      </c>
      <c r="AA327" s="141"/>
    </row>
    <row r="328" spans="1:27" s="154" customFormat="1" ht="15">
      <c r="A328" s="499"/>
      <c r="B328" s="507"/>
      <c r="C328" s="336"/>
      <c r="D328" s="331"/>
      <c r="E328" s="332"/>
      <c r="F328" s="332"/>
      <c r="G328" s="332"/>
      <c r="H328" s="332"/>
      <c r="I328" s="332"/>
      <c r="J328" s="461"/>
      <c r="K328" s="624"/>
      <c r="L328" s="624"/>
      <c r="M328" s="785"/>
      <c r="N328" s="783"/>
      <c r="O328" s="590">
        <v>1</v>
      </c>
      <c r="P328" s="472" t="s">
        <v>5353</v>
      </c>
      <c r="Q328" s="473">
        <v>0</v>
      </c>
      <c r="R328" s="461"/>
      <c r="S328" s="461"/>
      <c r="T328" s="461"/>
      <c r="U328" s="461" t="s">
        <v>4125</v>
      </c>
      <c r="V328" s="461"/>
      <c r="W328" s="461"/>
      <c r="X328" s="461"/>
      <c r="Y328" s="668"/>
      <c r="Z328" s="462" t="s">
        <v>138</v>
      </c>
      <c r="AA328" s="141"/>
    </row>
    <row r="329" spans="1:27" s="154" customFormat="1" ht="15">
      <c r="A329" s="499"/>
      <c r="B329" s="507"/>
      <c r="C329" s="336"/>
      <c r="D329" s="331"/>
      <c r="E329" s="332"/>
      <c r="F329" s="332"/>
      <c r="G329" s="332"/>
      <c r="H329" s="332"/>
      <c r="I329" s="332"/>
      <c r="J329" s="332"/>
      <c r="K329" s="333"/>
      <c r="L329" s="333"/>
      <c r="M329" s="334"/>
      <c r="N329" s="335"/>
      <c r="O329" s="342">
        <v>2</v>
      </c>
      <c r="P329" s="336" t="s">
        <v>5354</v>
      </c>
      <c r="Q329" s="461">
        <v>0</v>
      </c>
      <c r="R329" s="461"/>
      <c r="S329" s="461"/>
      <c r="T329" s="461"/>
      <c r="U329" s="461" t="s">
        <v>4125</v>
      </c>
      <c r="V329" s="461"/>
      <c r="W329" s="461"/>
      <c r="X329" s="860"/>
      <c r="Y329" s="584"/>
      <c r="Z329" s="861">
        <v>2</v>
      </c>
      <c r="AA329" s="141"/>
    </row>
    <row r="330" spans="1:27" s="154" customFormat="1" ht="15">
      <c r="A330" s="499"/>
      <c r="B330" s="507"/>
      <c r="C330" s="336"/>
      <c r="D330" s="331"/>
      <c r="E330" s="332"/>
      <c r="F330" s="332"/>
      <c r="G330" s="332"/>
      <c r="H330" s="332"/>
      <c r="I330" s="332"/>
      <c r="J330" s="332"/>
      <c r="K330" s="333"/>
      <c r="L330" s="333"/>
      <c r="M330" s="334"/>
      <c r="N330" s="335"/>
      <c r="O330" s="342">
        <v>3</v>
      </c>
      <c r="P330" s="336" t="s">
        <v>5355</v>
      </c>
      <c r="Q330" s="461">
        <v>0</v>
      </c>
      <c r="R330" s="461"/>
      <c r="S330" s="461"/>
      <c r="T330" s="461"/>
      <c r="U330" s="461" t="s">
        <v>4125</v>
      </c>
      <c r="V330" s="461"/>
      <c r="W330" s="461"/>
      <c r="X330" s="860"/>
      <c r="Y330" s="584"/>
      <c r="Z330" s="861">
        <v>2</v>
      </c>
      <c r="AA330" s="141"/>
    </row>
    <row r="331" spans="1:27" s="154" customFormat="1" ht="15">
      <c r="A331" s="500"/>
      <c r="B331" s="508"/>
      <c r="C331" s="465"/>
      <c r="D331" s="340"/>
      <c r="E331" s="466"/>
      <c r="F331" s="466"/>
      <c r="G331" s="466"/>
      <c r="H331" s="466"/>
      <c r="I331" s="466"/>
      <c r="J331" s="466"/>
      <c r="K331" s="467"/>
      <c r="L331" s="467"/>
      <c r="M331" s="468"/>
      <c r="N331" s="469"/>
      <c r="O331" s="341">
        <v>4</v>
      </c>
      <c r="P331" s="336" t="s">
        <v>5356</v>
      </c>
      <c r="Q331" s="461">
        <v>0</v>
      </c>
      <c r="R331" s="461"/>
      <c r="S331" s="461"/>
      <c r="T331" s="461"/>
      <c r="U331" s="461" t="s">
        <v>4125</v>
      </c>
      <c r="V331" s="461" t="s">
        <v>4125</v>
      </c>
      <c r="W331" s="461"/>
      <c r="X331" s="860"/>
      <c r="Y331" s="584"/>
      <c r="Z331" s="861">
        <v>2</v>
      </c>
      <c r="AA331" s="141"/>
    </row>
    <row r="332" spans="1:27" s="154" customFormat="1" ht="15">
      <c r="A332" s="500"/>
      <c r="B332" s="508"/>
      <c r="C332" s="465"/>
      <c r="D332" s="340"/>
      <c r="E332" s="466"/>
      <c r="F332" s="466"/>
      <c r="G332" s="466"/>
      <c r="H332" s="466"/>
      <c r="I332" s="466"/>
      <c r="J332" s="176"/>
      <c r="K332" s="588"/>
      <c r="L332" s="588"/>
      <c r="M332" s="780"/>
      <c r="N332" s="781"/>
      <c r="O332" s="473">
        <v>5</v>
      </c>
      <c r="P332" s="463" t="s">
        <v>5357</v>
      </c>
      <c r="Q332" s="461">
        <v>0</v>
      </c>
      <c r="R332" s="461"/>
      <c r="S332" s="461"/>
      <c r="T332" s="461"/>
      <c r="U332" s="461" t="s">
        <v>4125</v>
      </c>
      <c r="V332" s="461"/>
      <c r="W332" s="461"/>
      <c r="X332" s="461"/>
      <c r="Y332" s="668"/>
      <c r="Z332" s="462" t="s">
        <v>138</v>
      </c>
      <c r="AA332" s="141"/>
    </row>
    <row r="333" spans="1:27" s="154" customFormat="1" ht="15">
      <c r="A333" s="500"/>
      <c r="B333" s="508"/>
      <c r="C333" s="465"/>
      <c r="D333" s="340"/>
      <c r="E333" s="466"/>
      <c r="F333" s="466"/>
      <c r="G333" s="466"/>
      <c r="H333" s="466"/>
      <c r="I333" s="466"/>
      <c r="J333" s="176"/>
      <c r="K333" s="588"/>
      <c r="L333" s="588"/>
      <c r="M333" s="780"/>
      <c r="N333" s="781"/>
      <c r="O333" s="473">
        <v>6</v>
      </c>
      <c r="P333" s="463" t="s">
        <v>5358</v>
      </c>
      <c r="Q333" s="461">
        <v>0</v>
      </c>
      <c r="R333" s="461"/>
      <c r="S333" s="461"/>
      <c r="T333" s="461"/>
      <c r="U333" s="461" t="s">
        <v>4125</v>
      </c>
      <c r="V333" s="461"/>
      <c r="W333" s="461"/>
      <c r="X333" s="461"/>
      <c r="Y333" s="668"/>
      <c r="Z333" s="462" t="s">
        <v>138</v>
      </c>
      <c r="AA333" s="141"/>
    </row>
    <row r="334" spans="1:27" s="154" customFormat="1" ht="15">
      <c r="A334" s="500"/>
      <c r="B334" s="508"/>
      <c r="C334" s="465"/>
      <c r="D334" s="340"/>
      <c r="E334" s="466"/>
      <c r="F334" s="466"/>
      <c r="G334" s="466"/>
      <c r="H334" s="466"/>
      <c r="I334" s="466"/>
      <c r="J334" s="466"/>
      <c r="K334" s="467"/>
      <c r="L334" s="467"/>
      <c r="M334" s="468"/>
      <c r="N334" s="469"/>
      <c r="O334" s="341">
        <v>7</v>
      </c>
      <c r="P334" s="336" t="s">
        <v>5359</v>
      </c>
      <c r="Q334" s="461">
        <v>0</v>
      </c>
      <c r="R334" s="585"/>
      <c r="S334" s="860"/>
      <c r="T334" s="586"/>
      <c r="U334" s="860" t="s">
        <v>4125</v>
      </c>
      <c r="V334" s="587"/>
      <c r="W334" s="586"/>
      <c r="X334" s="461"/>
      <c r="Y334" s="584"/>
      <c r="Z334" s="861">
        <v>2</v>
      </c>
      <c r="AA334" s="141"/>
    </row>
    <row r="335" spans="1:27" s="154" customFormat="1" ht="14.25">
      <c r="A335" s="502"/>
      <c r="B335" s="519"/>
      <c r="C335" s="491"/>
      <c r="D335" s="345"/>
      <c r="E335" s="405"/>
      <c r="F335" s="405"/>
      <c r="G335" s="405"/>
      <c r="H335" s="405"/>
      <c r="I335" s="405"/>
      <c r="J335" s="405"/>
      <c r="K335" s="492"/>
      <c r="L335" s="492"/>
      <c r="M335" s="493"/>
      <c r="N335" s="494"/>
      <c r="O335" s="467"/>
      <c r="P335" s="465"/>
      <c r="Q335" s="466"/>
      <c r="R335" s="491"/>
      <c r="S335" s="405"/>
      <c r="T335" s="405"/>
      <c r="U335" s="405"/>
      <c r="V335" s="308"/>
      <c r="W335" s="308"/>
      <c r="X335" s="308"/>
      <c r="Y335" s="491"/>
      <c r="Z335" s="308"/>
      <c r="AA335" s="141"/>
    </row>
    <row r="336" spans="1:27" s="154" customFormat="1" ht="60.75" customHeight="1">
      <c r="A336" s="500" t="s">
        <v>5360</v>
      </c>
      <c r="B336" s="310" t="s">
        <v>331</v>
      </c>
      <c r="C336" s="327" t="s">
        <v>5361</v>
      </c>
      <c r="D336" s="456" t="s">
        <v>5023</v>
      </c>
      <c r="E336" s="471"/>
      <c r="F336" s="471"/>
      <c r="G336" s="471"/>
      <c r="H336" s="471"/>
      <c r="I336" s="471"/>
      <c r="J336" s="786">
        <v>4.74</v>
      </c>
      <c r="K336" s="779"/>
      <c r="L336" s="779" t="s">
        <v>4125</v>
      </c>
      <c r="M336" s="779" t="s">
        <v>5351</v>
      </c>
      <c r="N336" s="779" t="s">
        <v>5352</v>
      </c>
      <c r="O336" s="779"/>
      <c r="P336" s="482"/>
      <c r="Q336" s="483"/>
      <c r="R336" s="787"/>
      <c r="S336" s="176"/>
      <c r="T336" s="176"/>
      <c r="U336" s="176"/>
      <c r="V336" s="480"/>
      <c r="W336" s="480"/>
      <c r="X336" s="480"/>
      <c r="Y336" s="479"/>
      <c r="Z336" s="773">
        <v>1</v>
      </c>
      <c r="AA336" s="141"/>
    </row>
    <row r="337" spans="1:27" s="154" customFormat="1" ht="15">
      <c r="A337" s="499"/>
      <c r="B337" s="507"/>
      <c r="C337" s="336"/>
      <c r="D337" s="331"/>
      <c r="E337" s="332"/>
      <c r="F337" s="332"/>
      <c r="G337" s="332"/>
      <c r="H337" s="332"/>
      <c r="I337" s="332"/>
      <c r="J337" s="461"/>
      <c r="K337" s="624"/>
      <c r="L337" s="624"/>
      <c r="M337" s="785"/>
      <c r="N337" s="783"/>
      <c r="O337" s="590">
        <v>1</v>
      </c>
      <c r="P337" s="472" t="s">
        <v>5362</v>
      </c>
      <c r="Q337" s="473">
        <v>0</v>
      </c>
      <c r="R337" s="461"/>
      <c r="S337" s="461"/>
      <c r="T337" s="461"/>
      <c r="U337" s="461" t="s">
        <v>4125</v>
      </c>
      <c r="V337" s="461"/>
      <c r="W337" s="461"/>
      <c r="X337" s="461"/>
      <c r="Y337" s="668"/>
      <c r="Z337" s="462" t="s">
        <v>138</v>
      </c>
      <c r="AA337" s="141"/>
    </row>
    <row r="338" spans="1:27" s="154" customFormat="1" ht="15">
      <c r="A338" s="499"/>
      <c r="B338" s="507"/>
      <c r="C338" s="336"/>
      <c r="D338" s="331"/>
      <c r="E338" s="332"/>
      <c r="F338" s="332"/>
      <c r="G338" s="332"/>
      <c r="H338" s="332"/>
      <c r="I338" s="332"/>
      <c r="J338" s="332"/>
      <c r="K338" s="333"/>
      <c r="L338" s="333"/>
      <c r="M338" s="334"/>
      <c r="N338" s="335"/>
      <c r="O338" s="342">
        <v>2</v>
      </c>
      <c r="P338" s="336" t="s">
        <v>5363</v>
      </c>
      <c r="Q338" s="461">
        <v>0</v>
      </c>
      <c r="R338" s="461"/>
      <c r="S338" s="461"/>
      <c r="T338" s="461"/>
      <c r="U338" s="461" t="s">
        <v>4125</v>
      </c>
      <c r="V338" s="461"/>
      <c r="W338" s="461"/>
      <c r="X338" s="860"/>
      <c r="Y338" s="584"/>
      <c r="Z338" s="861">
        <v>2</v>
      </c>
      <c r="AA338" s="141"/>
    </row>
    <row r="339" spans="1:27" s="154" customFormat="1" ht="15">
      <c r="A339" s="499"/>
      <c r="B339" s="507"/>
      <c r="C339" s="336"/>
      <c r="D339" s="331"/>
      <c r="E339" s="332"/>
      <c r="F339" s="332"/>
      <c r="G339" s="332"/>
      <c r="H339" s="332"/>
      <c r="I339" s="332"/>
      <c r="J339" s="332"/>
      <c r="K339" s="333"/>
      <c r="L339" s="333"/>
      <c r="M339" s="334"/>
      <c r="N339" s="335"/>
      <c r="O339" s="342">
        <v>3</v>
      </c>
      <c r="P339" s="336" t="s">
        <v>5364</v>
      </c>
      <c r="Q339" s="461">
        <v>0</v>
      </c>
      <c r="R339" s="461"/>
      <c r="S339" s="461"/>
      <c r="T339" s="461"/>
      <c r="U339" s="461" t="s">
        <v>4125</v>
      </c>
      <c r="V339" s="461"/>
      <c r="W339" s="461"/>
      <c r="X339" s="860"/>
      <c r="Y339" s="584"/>
      <c r="Z339" s="861">
        <v>2</v>
      </c>
      <c r="AA339" s="141"/>
    </row>
    <row r="340" spans="1:27" s="154" customFormat="1" ht="15">
      <c r="A340" s="500"/>
      <c r="B340" s="508"/>
      <c r="C340" s="465"/>
      <c r="D340" s="340"/>
      <c r="E340" s="466"/>
      <c r="F340" s="466"/>
      <c r="G340" s="466"/>
      <c r="H340" s="466"/>
      <c r="I340" s="466"/>
      <c r="J340" s="466"/>
      <c r="K340" s="467"/>
      <c r="L340" s="467"/>
      <c r="M340" s="468"/>
      <c r="N340" s="469"/>
      <c r="O340" s="341">
        <v>4</v>
      </c>
      <c r="P340" s="336" t="s">
        <v>5365</v>
      </c>
      <c r="Q340" s="461">
        <v>0</v>
      </c>
      <c r="R340" s="461"/>
      <c r="S340" s="461"/>
      <c r="T340" s="461"/>
      <c r="U340" s="461" t="s">
        <v>4125</v>
      </c>
      <c r="V340" s="461" t="s">
        <v>4125</v>
      </c>
      <c r="W340" s="461"/>
      <c r="X340" s="860"/>
      <c r="Y340" s="584"/>
      <c r="Z340" s="861">
        <v>2</v>
      </c>
      <c r="AA340" s="141"/>
    </row>
    <row r="341" spans="1:27" s="154" customFormat="1" ht="15">
      <c r="A341" s="500"/>
      <c r="B341" s="508"/>
      <c r="C341" s="465"/>
      <c r="D341" s="340"/>
      <c r="E341" s="466"/>
      <c r="F341" s="466"/>
      <c r="G341" s="466"/>
      <c r="H341" s="466"/>
      <c r="I341" s="466"/>
      <c r="J341" s="176"/>
      <c r="K341" s="588"/>
      <c r="L341" s="588"/>
      <c r="M341" s="780"/>
      <c r="N341" s="781"/>
      <c r="O341" s="473">
        <v>5</v>
      </c>
      <c r="P341" s="463" t="s">
        <v>5366</v>
      </c>
      <c r="Q341" s="461">
        <v>0</v>
      </c>
      <c r="R341" s="461"/>
      <c r="S341" s="461"/>
      <c r="T341" s="461"/>
      <c r="U341" s="461" t="s">
        <v>4125</v>
      </c>
      <c r="V341" s="461"/>
      <c r="W341" s="461"/>
      <c r="X341" s="461"/>
      <c r="Y341" s="668"/>
      <c r="Z341" s="462" t="s">
        <v>138</v>
      </c>
      <c r="AA341" s="141"/>
    </row>
    <row r="342" spans="1:27" s="154" customFormat="1" ht="15">
      <c r="A342" s="500"/>
      <c r="B342" s="508"/>
      <c r="C342" s="465"/>
      <c r="D342" s="340"/>
      <c r="E342" s="466"/>
      <c r="F342" s="466"/>
      <c r="G342" s="466"/>
      <c r="H342" s="466"/>
      <c r="I342" s="466"/>
      <c r="J342" s="176"/>
      <c r="K342" s="588"/>
      <c r="L342" s="588"/>
      <c r="M342" s="780"/>
      <c r="N342" s="781"/>
      <c r="O342" s="473">
        <v>6</v>
      </c>
      <c r="P342" s="463" t="s">
        <v>5367</v>
      </c>
      <c r="Q342" s="461">
        <v>0</v>
      </c>
      <c r="R342" s="461"/>
      <c r="S342" s="461"/>
      <c r="T342" s="461"/>
      <c r="U342" s="461" t="s">
        <v>4125</v>
      </c>
      <c r="V342" s="461"/>
      <c r="W342" s="461"/>
      <c r="X342" s="461"/>
      <c r="Y342" s="668"/>
      <c r="Z342" s="462" t="s">
        <v>138</v>
      </c>
      <c r="AA342" s="141"/>
    </row>
    <row r="343" spans="1:27" s="154" customFormat="1" ht="15">
      <c r="A343" s="500"/>
      <c r="B343" s="508"/>
      <c r="C343" s="465"/>
      <c r="D343" s="340"/>
      <c r="E343" s="466"/>
      <c r="F343" s="466"/>
      <c r="G343" s="466"/>
      <c r="H343" s="466"/>
      <c r="I343" s="466"/>
      <c r="J343" s="466"/>
      <c r="K343" s="467"/>
      <c r="L343" s="467"/>
      <c r="M343" s="468"/>
      <c r="N343" s="469"/>
      <c r="O343" s="341">
        <v>7</v>
      </c>
      <c r="P343" s="336" t="s">
        <v>5368</v>
      </c>
      <c r="Q343" s="461">
        <v>0</v>
      </c>
      <c r="R343" s="585"/>
      <c r="S343" s="860"/>
      <c r="T343" s="586"/>
      <c r="U343" s="860" t="s">
        <v>4125</v>
      </c>
      <c r="V343" s="587"/>
      <c r="W343" s="586"/>
      <c r="X343" s="461"/>
      <c r="Y343" s="584"/>
      <c r="Z343" s="861">
        <v>2</v>
      </c>
      <c r="AA343" s="141"/>
    </row>
    <row r="344" spans="1:27" s="154" customFormat="1" ht="14.25">
      <c r="A344" s="502"/>
      <c r="B344" s="519"/>
      <c r="C344" s="491"/>
      <c r="D344" s="345"/>
      <c r="E344" s="405"/>
      <c r="F344" s="405"/>
      <c r="G344" s="405"/>
      <c r="H344" s="405"/>
      <c r="I344" s="405"/>
      <c r="J344" s="405"/>
      <c r="K344" s="492"/>
      <c r="L344" s="492"/>
      <c r="M344" s="493"/>
      <c r="N344" s="494"/>
      <c r="O344" s="467"/>
      <c r="P344" s="465"/>
      <c r="Q344" s="466"/>
      <c r="R344" s="491"/>
      <c r="S344" s="405"/>
      <c r="T344" s="405"/>
      <c r="U344" s="405"/>
      <c r="V344" s="308"/>
      <c r="W344" s="308"/>
      <c r="X344" s="308"/>
      <c r="Y344" s="491"/>
      <c r="Z344" s="308"/>
      <c r="AA344" s="141"/>
    </row>
    <row r="345" spans="1:27" s="154" customFormat="1" ht="14.25">
      <c r="A345" s="500" t="s">
        <v>4834</v>
      </c>
      <c r="B345" s="310" t="s">
        <v>331</v>
      </c>
      <c r="C345" s="327" t="s">
        <v>5369</v>
      </c>
      <c r="D345" s="456" t="s">
        <v>4978</v>
      </c>
      <c r="E345" s="322">
        <v>0</v>
      </c>
      <c r="F345" s="322">
        <v>100</v>
      </c>
      <c r="G345" s="322" t="s">
        <v>41</v>
      </c>
      <c r="H345" s="322">
        <v>40</v>
      </c>
      <c r="I345" s="322">
        <v>100</v>
      </c>
      <c r="J345" s="693">
        <v>520</v>
      </c>
      <c r="K345" s="323" t="s">
        <v>4125</v>
      </c>
      <c r="L345" s="323" t="s">
        <v>4125</v>
      </c>
      <c r="M345" s="324" t="s">
        <v>4979</v>
      </c>
      <c r="N345" s="593" t="s">
        <v>4980</v>
      </c>
      <c r="O345" s="323"/>
      <c r="P345" s="327"/>
      <c r="Q345" s="322"/>
      <c r="R345" s="591"/>
      <c r="S345" s="466"/>
      <c r="T345" s="466"/>
      <c r="U345" s="466"/>
      <c r="V345" s="470"/>
      <c r="W345" s="470"/>
      <c r="X345" s="470"/>
      <c r="Y345" s="465"/>
      <c r="Z345" s="317"/>
      <c r="AA345" s="141"/>
    </row>
    <row r="346" spans="1:27" s="154" customFormat="1" ht="71.25">
      <c r="A346" s="499"/>
      <c r="B346" s="507"/>
      <c r="C346" s="336"/>
      <c r="D346" s="331"/>
      <c r="E346" s="332"/>
      <c r="F346" s="332"/>
      <c r="G346" s="332"/>
      <c r="H346" s="332"/>
      <c r="I346" s="332"/>
      <c r="J346" s="461"/>
      <c r="K346" s="624"/>
      <c r="L346" s="624"/>
      <c r="M346" s="624"/>
      <c r="N346" s="624"/>
      <c r="O346" s="590">
        <v>1</v>
      </c>
      <c r="P346" s="472" t="s">
        <v>5370</v>
      </c>
      <c r="Q346" s="473">
        <v>0</v>
      </c>
      <c r="R346" s="461"/>
      <c r="S346" s="461"/>
      <c r="T346" s="461"/>
      <c r="U346" s="461" t="s">
        <v>4125</v>
      </c>
      <c r="V346" s="461"/>
      <c r="W346" s="461"/>
      <c r="X346" s="461"/>
      <c r="Y346" s="784" t="s">
        <v>5242</v>
      </c>
      <c r="Z346" s="462" t="s">
        <v>138</v>
      </c>
      <c r="AA346" s="679"/>
    </row>
    <row r="347" spans="1:27" s="154" customFormat="1" ht="15">
      <c r="A347" s="499"/>
      <c r="B347" s="507"/>
      <c r="C347" s="336"/>
      <c r="D347" s="331"/>
      <c r="E347" s="332"/>
      <c r="F347" s="332"/>
      <c r="G347" s="332"/>
      <c r="H347" s="332"/>
      <c r="I347" s="332"/>
      <c r="J347" s="332"/>
      <c r="K347" s="333"/>
      <c r="L347" s="333"/>
      <c r="M347" s="334"/>
      <c r="N347" s="335"/>
      <c r="O347" s="342">
        <v>2</v>
      </c>
      <c r="P347" s="336" t="s">
        <v>5371</v>
      </c>
      <c r="Q347" s="461">
        <v>0</v>
      </c>
      <c r="R347" s="461"/>
      <c r="S347" s="461"/>
      <c r="T347" s="461"/>
      <c r="U347" s="461" t="s">
        <v>4125</v>
      </c>
      <c r="V347" s="461"/>
      <c r="W347" s="461"/>
      <c r="X347" s="860"/>
      <c r="Y347" s="584"/>
      <c r="Z347" s="861">
        <v>2</v>
      </c>
      <c r="AA347" s="141"/>
    </row>
    <row r="348" spans="1:27" s="154" customFormat="1" ht="15">
      <c r="A348" s="499"/>
      <c r="B348" s="507"/>
      <c r="C348" s="336"/>
      <c r="D348" s="331"/>
      <c r="E348" s="332"/>
      <c r="F348" s="332"/>
      <c r="G348" s="332"/>
      <c r="H348" s="332"/>
      <c r="I348" s="332"/>
      <c r="J348" s="332"/>
      <c r="K348" s="333"/>
      <c r="L348" s="333"/>
      <c r="M348" s="334"/>
      <c r="N348" s="335"/>
      <c r="O348" s="342">
        <v>3</v>
      </c>
      <c r="P348" s="336" t="s">
        <v>5372</v>
      </c>
      <c r="Q348" s="461">
        <v>0</v>
      </c>
      <c r="R348" s="461"/>
      <c r="S348" s="461"/>
      <c r="T348" s="461"/>
      <c r="U348" s="461" t="s">
        <v>4125</v>
      </c>
      <c r="V348" s="461"/>
      <c r="W348" s="461"/>
      <c r="X348" s="860"/>
      <c r="Y348" s="584"/>
      <c r="Z348" s="861">
        <v>2</v>
      </c>
      <c r="AA348" s="141"/>
    </row>
    <row r="349" spans="1:27" s="154" customFormat="1" ht="15">
      <c r="A349" s="499"/>
      <c r="B349" s="507"/>
      <c r="C349" s="336"/>
      <c r="D349" s="331"/>
      <c r="E349" s="332"/>
      <c r="F349" s="332"/>
      <c r="G349" s="332"/>
      <c r="H349" s="332"/>
      <c r="I349" s="332"/>
      <c r="J349" s="332"/>
      <c r="K349" s="333"/>
      <c r="L349" s="333"/>
      <c r="M349" s="334"/>
      <c r="N349" s="335"/>
      <c r="O349" s="341">
        <v>4</v>
      </c>
      <c r="P349" s="336" t="s">
        <v>5373</v>
      </c>
      <c r="Q349" s="461">
        <v>0</v>
      </c>
      <c r="R349" s="461"/>
      <c r="S349" s="461"/>
      <c r="T349" s="461"/>
      <c r="U349" s="461" t="s">
        <v>4125</v>
      </c>
      <c r="V349" s="461" t="s">
        <v>4125</v>
      </c>
      <c r="W349" s="461"/>
      <c r="X349" s="860"/>
      <c r="Y349" s="584"/>
      <c r="Z349" s="861">
        <v>2</v>
      </c>
      <c r="AA349" s="141"/>
    </row>
    <row r="350" spans="1:27" s="154" customFormat="1" ht="15">
      <c r="A350" s="499"/>
      <c r="B350" s="507"/>
      <c r="C350" s="336"/>
      <c r="D350" s="331"/>
      <c r="E350" s="332"/>
      <c r="F350" s="332"/>
      <c r="G350" s="332"/>
      <c r="H350" s="332"/>
      <c r="I350" s="332"/>
      <c r="J350" s="461"/>
      <c r="K350" s="624"/>
      <c r="L350" s="624"/>
      <c r="M350" s="785"/>
      <c r="N350" s="783"/>
      <c r="O350" s="473">
        <v>5</v>
      </c>
      <c r="P350" s="463" t="s">
        <v>5374</v>
      </c>
      <c r="Q350" s="461">
        <v>0</v>
      </c>
      <c r="R350" s="461"/>
      <c r="S350" s="461"/>
      <c r="T350" s="461"/>
      <c r="U350" s="461" t="s">
        <v>4125</v>
      </c>
      <c r="V350" s="461"/>
      <c r="W350" s="461"/>
      <c r="X350" s="461"/>
      <c r="Y350" s="668"/>
      <c r="Z350" s="462" t="s">
        <v>138</v>
      </c>
      <c r="AA350" s="141"/>
    </row>
    <row r="351" spans="1:27" s="154" customFormat="1" ht="15">
      <c r="A351" s="499"/>
      <c r="B351" s="507"/>
      <c r="C351" s="336"/>
      <c r="D351" s="331"/>
      <c r="E351" s="332"/>
      <c r="F351" s="332"/>
      <c r="G351" s="332"/>
      <c r="H351" s="332"/>
      <c r="I351" s="332"/>
      <c r="J351" s="461"/>
      <c r="K351" s="624"/>
      <c r="L351" s="624"/>
      <c r="M351" s="785"/>
      <c r="N351" s="783"/>
      <c r="O351" s="473">
        <v>6</v>
      </c>
      <c r="P351" s="463" t="s">
        <v>5375</v>
      </c>
      <c r="Q351" s="461">
        <v>0</v>
      </c>
      <c r="R351" s="461"/>
      <c r="S351" s="461"/>
      <c r="T351" s="461"/>
      <c r="U351" s="461" t="s">
        <v>4125</v>
      </c>
      <c r="V351" s="461"/>
      <c r="W351" s="461"/>
      <c r="X351" s="461"/>
      <c r="Y351" s="668"/>
      <c r="Z351" s="462" t="s">
        <v>138</v>
      </c>
      <c r="AA351" s="141"/>
    </row>
    <row r="352" spans="1:27" s="154" customFormat="1" ht="15">
      <c r="A352" s="499"/>
      <c r="B352" s="507"/>
      <c r="C352" s="336"/>
      <c r="D352" s="331"/>
      <c r="E352" s="332"/>
      <c r="F352" s="332"/>
      <c r="G352" s="332"/>
      <c r="H352" s="332"/>
      <c r="I352" s="332"/>
      <c r="J352" s="332"/>
      <c r="K352" s="333"/>
      <c r="L352" s="333"/>
      <c r="M352" s="334"/>
      <c r="N352" s="335"/>
      <c r="O352" s="341">
        <v>7</v>
      </c>
      <c r="P352" s="336" t="s">
        <v>5376</v>
      </c>
      <c r="Q352" s="461">
        <v>0</v>
      </c>
      <c r="R352" s="585"/>
      <c r="S352" s="860"/>
      <c r="T352" s="586"/>
      <c r="U352" s="860" t="s">
        <v>4125</v>
      </c>
      <c r="V352" s="587"/>
      <c r="W352" s="586"/>
      <c r="X352" s="461"/>
      <c r="Y352" s="584"/>
      <c r="Z352" s="861">
        <v>2</v>
      </c>
      <c r="AA352" s="141"/>
    </row>
    <row r="353" spans="1:27" s="154" customFormat="1" ht="14.25">
      <c r="A353" s="499"/>
      <c r="B353" s="507"/>
      <c r="C353" s="336"/>
      <c r="D353" s="331"/>
      <c r="E353" s="332"/>
      <c r="F353" s="332"/>
      <c r="G353" s="332"/>
      <c r="H353" s="332"/>
      <c r="I353" s="332"/>
      <c r="J353" s="461"/>
      <c r="K353" s="624"/>
      <c r="L353" s="624"/>
      <c r="M353" s="785"/>
      <c r="N353" s="783"/>
      <c r="O353" s="461">
        <v>8</v>
      </c>
      <c r="P353" s="463" t="s">
        <v>5377</v>
      </c>
      <c r="Q353" s="176">
        <v>5</v>
      </c>
      <c r="R353" s="479"/>
      <c r="S353" s="176"/>
      <c r="T353" s="176" t="s">
        <v>4125</v>
      </c>
      <c r="U353" s="176"/>
      <c r="V353" s="480"/>
      <c r="W353" s="480" t="s">
        <v>4125</v>
      </c>
      <c r="X353" s="480"/>
      <c r="Y353" s="463" t="s">
        <v>5250</v>
      </c>
      <c r="Z353" s="462" t="s">
        <v>184</v>
      </c>
      <c r="AA353" s="141"/>
    </row>
    <row r="354" spans="1:27" s="154" customFormat="1" ht="14.25">
      <c r="A354" s="499"/>
      <c r="B354" s="507"/>
      <c r="C354" s="336"/>
      <c r="D354" s="331"/>
      <c r="E354" s="332"/>
      <c r="F354" s="332"/>
      <c r="G354" s="332"/>
      <c r="H354" s="332"/>
      <c r="I354" s="332"/>
      <c r="J354" s="461"/>
      <c r="K354" s="624"/>
      <c r="L354" s="624"/>
      <c r="M354" s="785"/>
      <c r="N354" s="783"/>
      <c r="O354" s="461">
        <v>9</v>
      </c>
      <c r="P354" s="463" t="s">
        <v>5378</v>
      </c>
      <c r="Q354" s="461">
        <v>5</v>
      </c>
      <c r="R354" s="463"/>
      <c r="S354" s="461"/>
      <c r="T354" s="461" t="s">
        <v>4125</v>
      </c>
      <c r="U354" s="461"/>
      <c r="V354" s="462"/>
      <c r="W354" s="462" t="s">
        <v>4125</v>
      </c>
      <c r="X354" s="462"/>
      <c r="Y354" s="463" t="s">
        <v>5252</v>
      </c>
      <c r="Z354" s="462" t="s">
        <v>184</v>
      </c>
      <c r="AA354" s="683"/>
    </row>
    <row r="355" spans="1:27" s="154" customFormat="1" ht="14.25">
      <c r="A355" s="499"/>
      <c r="B355" s="507"/>
      <c r="C355" s="336"/>
      <c r="D355" s="331"/>
      <c r="E355" s="332"/>
      <c r="F355" s="332"/>
      <c r="G355" s="332"/>
      <c r="H355" s="332"/>
      <c r="I355" s="332"/>
      <c r="J355" s="461"/>
      <c r="K355" s="624"/>
      <c r="L355" s="624"/>
      <c r="M355" s="785"/>
      <c r="N355" s="783"/>
      <c r="O355" s="461">
        <v>10</v>
      </c>
      <c r="P355" s="463" t="s">
        <v>5379</v>
      </c>
      <c r="Q355" s="461">
        <v>5</v>
      </c>
      <c r="R355" s="463"/>
      <c r="S355" s="461"/>
      <c r="T355" s="461" t="s">
        <v>4125</v>
      </c>
      <c r="U355" s="461"/>
      <c r="V355" s="462"/>
      <c r="W355" s="462" t="s">
        <v>4125</v>
      </c>
      <c r="X355" s="462"/>
      <c r="Y355" s="463" t="s">
        <v>5254</v>
      </c>
      <c r="Z355" s="462" t="s">
        <v>184</v>
      </c>
      <c r="AA355" s="141"/>
    </row>
    <row r="356" spans="1:27" s="154" customFormat="1" ht="14.25">
      <c r="A356" s="500"/>
      <c r="B356" s="507"/>
      <c r="C356" s="336"/>
      <c r="D356" s="331"/>
      <c r="E356" s="466"/>
      <c r="F356" s="466"/>
      <c r="G356" s="466"/>
      <c r="H356" s="466"/>
      <c r="I356" s="466"/>
      <c r="J356" s="176"/>
      <c r="K356" s="588"/>
      <c r="L356" s="588"/>
      <c r="M356" s="780"/>
      <c r="N356" s="781"/>
      <c r="O356" s="176">
        <v>11</v>
      </c>
      <c r="P356" s="479" t="s">
        <v>5380</v>
      </c>
      <c r="Q356" s="176">
        <v>5</v>
      </c>
      <c r="R356" s="479"/>
      <c r="S356" s="176"/>
      <c r="T356" s="176" t="s">
        <v>4125</v>
      </c>
      <c r="U356" s="176"/>
      <c r="V356" s="480"/>
      <c r="W356" s="480" t="s">
        <v>4125</v>
      </c>
      <c r="X356" s="480"/>
      <c r="Y356" s="463" t="s">
        <v>5256</v>
      </c>
      <c r="Z356" s="462" t="s">
        <v>184</v>
      </c>
      <c r="AA356" s="141"/>
    </row>
    <row r="357" spans="1:27" s="154" customFormat="1" ht="14.25">
      <c r="A357" s="500"/>
      <c r="B357" s="507"/>
      <c r="C357" s="336"/>
      <c r="D357" s="331"/>
      <c r="E357" s="466"/>
      <c r="F357" s="466"/>
      <c r="G357" s="466"/>
      <c r="H357" s="466"/>
      <c r="I357" s="466"/>
      <c r="J357" s="176"/>
      <c r="K357" s="588"/>
      <c r="L357" s="588"/>
      <c r="M357" s="780"/>
      <c r="N357" s="781"/>
      <c r="O357" s="176">
        <v>12</v>
      </c>
      <c r="P357" s="479" t="s">
        <v>5381</v>
      </c>
      <c r="Q357" s="176">
        <v>5</v>
      </c>
      <c r="R357" s="479"/>
      <c r="S357" s="176"/>
      <c r="T357" s="176" t="s">
        <v>4125</v>
      </c>
      <c r="U357" s="176"/>
      <c r="V357" s="480"/>
      <c r="W357" s="480" t="s">
        <v>4125</v>
      </c>
      <c r="X357" s="480"/>
      <c r="Y357" s="463" t="s">
        <v>5258</v>
      </c>
      <c r="Z357" s="462" t="s">
        <v>184</v>
      </c>
      <c r="AA357" s="141"/>
    </row>
    <row r="358" spans="1:27" s="154" customFormat="1" ht="28.5">
      <c r="A358" s="500"/>
      <c r="B358" s="507"/>
      <c r="C358" s="336"/>
      <c r="D358" s="331"/>
      <c r="E358" s="466"/>
      <c r="F358" s="466"/>
      <c r="G358" s="466"/>
      <c r="H358" s="466"/>
      <c r="I358" s="466"/>
      <c r="J358" s="176"/>
      <c r="K358" s="588"/>
      <c r="L358" s="588"/>
      <c r="M358" s="780"/>
      <c r="N358" s="781"/>
      <c r="O358" s="176">
        <v>13</v>
      </c>
      <c r="P358" s="479" t="s">
        <v>5382</v>
      </c>
      <c r="Q358" s="176">
        <v>5</v>
      </c>
      <c r="R358" s="479"/>
      <c r="S358" s="176"/>
      <c r="T358" s="176"/>
      <c r="U358" s="176" t="s">
        <v>4125</v>
      </c>
      <c r="V358" s="480"/>
      <c r="W358" s="480"/>
      <c r="X358" s="480"/>
      <c r="Y358" s="463" t="s">
        <v>5260</v>
      </c>
      <c r="Z358" s="462" t="s">
        <v>184</v>
      </c>
      <c r="AA358" s="683"/>
    </row>
    <row r="359" spans="1:27" s="154" customFormat="1" ht="28.5">
      <c r="A359" s="500"/>
      <c r="B359" s="507"/>
      <c r="C359" s="336"/>
      <c r="D359" s="331"/>
      <c r="E359" s="466"/>
      <c r="F359" s="466"/>
      <c r="G359" s="466"/>
      <c r="H359" s="466"/>
      <c r="I359" s="466"/>
      <c r="J359" s="176"/>
      <c r="K359" s="588"/>
      <c r="L359" s="588"/>
      <c r="M359" s="780"/>
      <c r="N359" s="781"/>
      <c r="O359" s="176">
        <v>14</v>
      </c>
      <c r="P359" s="479" t="s">
        <v>5383</v>
      </c>
      <c r="Q359" s="176">
        <v>5</v>
      </c>
      <c r="R359" s="479"/>
      <c r="S359" s="176"/>
      <c r="T359" s="176"/>
      <c r="U359" s="176" t="s">
        <v>4125</v>
      </c>
      <c r="V359" s="480"/>
      <c r="W359" s="480"/>
      <c r="X359" s="480"/>
      <c r="Y359" s="463" t="s">
        <v>5262</v>
      </c>
      <c r="Z359" s="462" t="s">
        <v>184</v>
      </c>
      <c r="AA359" s="683"/>
    </row>
    <row r="360" spans="1:27" s="154" customFormat="1" ht="28.5">
      <c r="A360" s="500"/>
      <c r="B360" s="507"/>
      <c r="C360" s="336"/>
      <c r="D360" s="331"/>
      <c r="E360" s="466"/>
      <c r="F360" s="466"/>
      <c r="G360" s="466"/>
      <c r="H360" s="466"/>
      <c r="I360" s="466"/>
      <c r="J360" s="176"/>
      <c r="K360" s="588"/>
      <c r="L360" s="588"/>
      <c r="M360" s="780"/>
      <c r="N360" s="781"/>
      <c r="O360" s="176">
        <v>15</v>
      </c>
      <c r="P360" s="479" t="s">
        <v>5384</v>
      </c>
      <c r="Q360" s="176">
        <v>5</v>
      </c>
      <c r="R360" s="479"/>
      <c r="S360" s="176"/>
      <c r="T360" s="176"/>
      <c r="U360" s="176" t="s">
        <v>4125</v>
      </c>
      <c r="V360" s="480"/>
      <c r="W360" s="480"/>
      <c r="X360" s="480"/>
      <c r="Y360" s="463" t="s">
        <v>5264</v>
      </c>
      <c r="Z360" s="462" t="s">
        <v>184</v>
      </c>
      <c r="AA360" s="683"/>
    </row>
    <row r="361" spans="1:27" s="154" customFormat="1" ht="14.25">
      <c r="A361" s="500"/>
      <c r="B361" s="507"/>
      <c r="C361" s="336"/>
      <c r="D361" s="331"/>
      <c r="E361" s="466"/>
      <c r="F361" s="466"/>
      <c r="G361" s="466"/>
      <c r="H361" s="466"/>
      <c r="I361" s="466"/>
      <c r="J361" s="176"/>
      <c r="K361" s="588"/>
      <c r="L361" s="588"/>
      <c r="M361" s="780"/>
      <c r="N361" s="781"/>
      <c r="O361" s="176">
        <v>16</v>
      </c>
      <c r="P361" s="479" t="s">
        <v>5385</v>
      </c>
      <c r="Q361" s="176">
        <v>5</v>
      </c>
      <c r="R361" s="479"/>
      <c r="S361" s="176"/>
      <c r="T361" s="176"/>
      <c r="U361" s="176" t="s">
        <v>4125</v>
      </c>
      <c r="V361" s="480"/>
      <c r="W361" s="480"/>
      <c r="X361" s="480"/>
      <c r="Y361" s="463" t="s">
        <v>5266</v>
      </c>
      <c r="Z361" s="462" t="s">
        <v>184</v>
      </c>
      <c r="AA361" s="683"/>
    </row>
    <row r="362" spans="1:27" s="154" customFormat="1" ht="14.25">
      <c r="A362" s="500"/>
      <c r="B362" s="507"/>
      <c r="C362" s="336"/>
      <c r="D362" s="331"/>
      <c r="E362" s="466"/>
      <c r="F362" s="466"/>
      <c r="G362" s="466"/>
      <c r="H362" s="466"/>
      <c r="I362" s="466"/>
      <c r="J362" s="176"/>
      <c r="K362" s="588"/>
      <c r="L362" s="588"/>
      <c r="M362" s="780"/>
      <c r="N362" s="781"/>
      <c r="O362" s="461">
        <v>17</v>
      </c>
      <c r="P362" s="463" t="s">
        <v>5386</v>
      </c>
      <c r="Q362" s="461">
        <v>5</v>
      </c>
      <c r="R362" s="463"/>
      <c r="S362" s="461"/>
      <c r="T362" s="461"/>
      <c r="U362" s="461" t="s">
        <v>4125</v>
      </c>
      <c r="V362" s="462"/>
      <c r="W362" s="462"/>
      <c r="X362" s="462"/>
      <c r="Y362" s="463" t="s">
        <v>5268</v>
      </c>
      <c r="Z362" s="462" t="s">
        <v>184</v>
      </c>
      <c r="AA362" s="683"/>
    </row>
    <row r="363" spans="1:27" s="154" customFormat="1" ht="57">
      <c r="A363" s="500"/>
      <c r="B363" s="508"/>
      <c r="C363" s="465"/>
      <c r="D363" s="340"/>
      <c r="E363" s="466"/>
      <c r="F363" s="466"/>
      <c r="G363" s="466"/>
      <c r="H363" s="466"/>
      <c r="I363" s="466"/>
      <c r="J363" s="176"/>
      <c r="K363" s="588"/>
      <c r="L363" s="588"/>
      <c r="M363" s="780"/>
      <c r="N363" s="781"/>
      <c r="O363" s="176">
        <v>18</v>
      </c>
      <c r="P363" s="479" t="s">
        <v>5269</v>
      </c>
      <c r="Q363" s="176">
        <v>0</v>
      </c>
      <c r="R363" s="479"/>
      <c r="S363" s="176"/>
      <c r="T363" s="176" t="s">
        <v>4125</v>
      </c>
      <c r="U363" s="176"/>
      <c r="V363" s="480"/>
      <c r="W363" s="480" t="s">
        <v>4125</v>
      </c>
      <c r="X363" s="480"/>
      <c r="Y363" s="479" t="s">
        <v>5387</v>
      </c>
      <c r="Z363" s="480">
        <v>0</v>
      </c>
      <c r="AA363" s="141"/>
    </row>
    <row r="364" spans="1:27" s="154" customFormat="1" ht="14.25">
      <c r="A364" s="502"/>
      <c r="B364" s="519"/>
      <c r="C364" s="491"/>
      <c r="D364" s="345"/>
      <c r="E364" s="405"/>
      <c r="F364" s="405"/>
      <c r="G364" s="405"/>
      <c r="H364" s="405"/>
      <c r="I364" s="405"/>
      <c r="J364" s="405"/>
      <c r="K364" s="492"/>
      <c r="L364" s="492"/>
      <c r="M364" s="493"/>
      <c r="N364" s="494"/>
      <c r="O364" s="492"/>
      <c r="P364" s="241"/>
      <c r="Q364" s="405"/>
      <c r="R364" s="491"/>
      <c r="S364" s="405"/>
      <c r="T364" s="405"/>
      <c r="U364" s="405"/>
      <c r="V364" s="308"/>
      <c r="W364" s="308"/>
      <c r="X364" s="308"/>
      <c r="Y364" s="491"/>
      <c r="Z364" s="308"/>
      <c r="AA364" s="141"/>
    </row>
    <row r="365" spans="1:27" s="154" customFormat="1" ht="66" customHeight="1">
      <c r="A365" s="500" t="s">
        <v>5388</v>
      </c>
      <c r="B365" s="310" t="s">
        <v>331</v>
      </c>
      <c r="C365" s="327" t="s">
        <v>5389</v>
      </c>
      <c r="D365" s="456" t="s">
        <v>5023</v>
      </c>
      <c r="E365" s="471"/>
      <c r="F365" s="471"/>
      <c r="G365" s="471"/>
      <c r="H365" s="471"/>
      <c r="I365" s="471"/>
      <c r="J365" s="786">
        <v>1.1599999999999999</v>
      </c>
      <c r="K365" s="779"/>
      <c r="L365" s="779" t="s">
        <v>4125</v>
      </c>
      <c r="M365" s="779" t="s">
        <v>5390</v>
      </c>
      <c r="N365" s="779" t="s">
        <v>5391</v>
      </c>
      <c r="O365" s="779"/>
      <c r="P365" s="482"/>
      <c r="Q365" s="483"/>
      <c r="R365" s="482"/>
      <c r="S365" s="788"/>
      <c r="T365" s="176"/>
      <c r="U365" s="176"/>
      <c r="V365" s="480"/>
      <c r="W365" s="480"/>
      <c r="X365" s="480"/>
      <c r="Y365" s="479"/>
      <c r="Z365" s="773">
        <v>1</v>
      </c>
      <c r="AA365" s="141"/>
    </row>
    <row r="366" spans="1:27" s="154" customFormat="1" ht="15">
      <c r="A366" s="499"/>
      <c r="B366" s="507"/>
      <c r="C366" s="336"/>
      <c r="D366" s="331"/>
      <c r="E366" s="332"/>
      <c r="F366" s="332"/>
      <c r="G366" s="332"/>
      <c r="H366" s="332"/>
      <c r="I366" s="332"/>
      <c r="J366" s="461"/>
      <c r="K366" s="624"/>
      <c r="L366" s="624"/>
      <c r="M366" s="785"/>
      <c r="N366" s="783"/>
      <c r="O366" s="590">
        <v>1</v>
      </c>
      <c r="P366" s="472" t="s">
        <v>5392</v>
      </c>
      <c r="Q366" s="473">
        <v>0</v>
      </c>
      <c r="R366" s="461"/>
      <c r="S366" s="461"/>
      <c r="T366" s="461"/>
      <c r="U366" s="461" t="s">
        <v>4125</v>
      </c>
      <c r="V366" s="461"/>
      <c r="W366" s="461"/>
      <c r="X366" s="461"/>
      <c r="Y366" s="668"/>
      <c r="Z366" s="462" t="s">
        <v>138</v>
      </c>
      <c r="AA366" s="141"/>
    </row>
    <row r="367" spans="1:27" s="154" customFormat="1" ht="15">
      <c r="A367" s="499"/>
      <c r="B367" s="507"/>
      <c r="C367" s="336"/>
      <c r="D367" s="331"/>
      <c r="E367" s="332"/>
      <c r="F367" s="332"/>
      <c r="G367" s="332"/>
      <c r="H367" s="332"/>
      <c r="I367" s="332"/>
      <c r="J367" s="332"/>
      <c r="K367" s="333"/>
      <c r="L367" s="333"/>
      <c r="M367" s="334"/>
      <c r="N367" s="335"/>
      <c r="O367" s="342">
        <v>2</v>
      </c>
      <c r="P367" s="336" t="s">
        <v>5393</v>
      </c>
      <c r="Q367" s="461">
        <v>0</v>
      </c>
      <c r="R367" s="461"/>
      <c r="S367" s="461"/>
      <c r="T367" s="461"/>
      <c r="U367" s="461" t="s">
        <v>4125</v>
      </c>
      <c r="V367" s="461"/>
      <c r="W367" s="461"/>
      <c r="X367" s="860"/>
      <c r="Y367" s="584"/>
      <c r="Z367" s="861">
        <v>2</v>
      </c>
      <c r="AA367" s="141"/>
    </row>
    <row r="368" spans="1:27" s="154" customFormat="1" ht="15">
      <c r="A368" s="499"/>
      <c r="B368" s="507"/>
      <c r="C368" s="336"/>
      <c r="D368" s="331"/>
      <c r="E368" s="332"/>
      <c r="F368" s="332"/>
      <c r="G368" s="332"/>
      <c r="H368" s="332"/>
      <c r="I368" s="332"/>
      <c r="J368" s="332"/>
      <c r="K368" s="333"/>
      <c r="L368" s="333"/>
      <c r="M368" s="334"/>
      <c r="N368" s="335"/>
      <c r="O368" s="342">
        <v>3</v>
      </c>
      <c r="P368" s="336" t="s">
        <v>5394</v>
      </c>
      <c r="Q368" s="461">
        <v>0</v>
      </c>
      <c r="R368" s="461"/>
      <c r="S368" s="461"/>
      <c r="T368" s="461"/>
      <c r="U368" s="461" t="s">
        <v>4125</v>
      </c>
      <c r="V368" s="461"/>
      <c r="W368" s="461"/>
      <c r="X368" s="860"/>
      <c r="Y368" s="584"/>
      <c r="Z368" s="861">
        <v>2</v>
      </c>
      <c r="AA368" s="141"/>
    </row>
    <row r="369" spans="1:27" s="154" customFormat="1" ht="15">
      <c r="A369" s="500"/>
      <c r="B369" s="508"/>
      <c r="C369" s="465"/>
      <c r="D369" s="340"/>
      <c r="E369" s="466"/>
      <c r="F369" s="466"/>
      <c r="G369" s="466"/>
      <c r="H369" s="466"/>
      <c r="I369" s="466"/>
      <c r="J369" s="466"/>
      <c r="K369" s="467"/>
      <c r="L369" s="467"/>
      <c r="M369" s="468"/>
      <c r="N369" s="469"/>
      <c r="O369" s="341">
        <v>4</v>
      </c>
      <c r="P369" s="336" t="s">
        <v>5395</v>
      </c>
      <c r="Q369" s="461">
        <v>0</v>
      </c>
      <c r="R369" s="461"/>
      <c r="S369" s="461"/>
      <c r="T369" s="461"/>
      <c r="U369" s="461" t="s">
        <v>4125</v>
      </c>
      <c r="V369" s="461" t="s">
        <v>4125</v>
      </c>
      <c r="W369" s="461"/>
      <c r="X369" s="860"/>
      <c r="Y369" s="584"/>
      <c r="Z369" s="861">
        <v>2</v>
      </c>
      <c r="AA369" s="141"/>
    </row>
    <row r="370" spans="1:27" s="154" customFormat="1" ht="15">
      <c r="A370" s="500"/>
      <c r="B370" s="508"/>
      <c r="C370" s="465"/>
      <c r="D370" s="340"/>
      <c r="E370" s="466"/>
      <c r="F370" s="466"/>
      <c r="G370" s="466"/>
      <c r="H370" s="466"/>
      <c r="I370" s="466"/>
      <c r="J370" s="176"/>
      <c r="K370" s="588"/>
      <c r="L370" s="588"/>
      <c r="M370" s="780"/>
      <c r="N370" s="781"/>
      <c r="O370" s="473">
        <v>5</v>
      </c>
      <c r="P370" s="463" t="s">
        <v>5396</v>
      </c>
      <c r="Q370" s="461">
        <v>0</v>
      </c>
      <c r="R370" s="461"/>
      <c r="S370" s="461"/>
      <c r="T370" s="461"/>
      <c r="U370" s="461" t="s">
        <v>4125</v>
      </c>
      <c r="V370" s="461"/>
      <c r="W370" s="461"/>
      <c r="X370" s="461"/>
      <c r="Y370" s="668"/>
      <c r="Z370" s="462" t="s">
        <v>138</v>
      </c>
      <c r="AA370" s="141"/>
    </row>
    <row r="371" spans="1:27" s="154" customFormat="1" ht="15">
      <c r="A371" s="500"/>
      <c r="B371" s="508"/>
      <c r="C371" s="465"/>
      <c r="D371" s="340"/>
      <c r="E371" s="466"/>
      <c r="F371" s="466"/>
      <c r="G371" s="466"/>
      <c r="H371" s="466"/>
      <c r="I371" s="466"/>
      <c r="J371" s="176"/>
      <c r="K371" s="588"/>
      <c r="L371" s="588"/>
      <c r="M371" s="780"/>
      <c r="N371" s="781"/>
      <c r="O371" s="473">
        <v>6</v>
      </c>
      <c r="P371" s="463" t="s">
        <v>5397</v>
      </c>
      <c r="Q371" s="461">
        <v>0</v>
      </c>
      <c r="R371" s="461"/>
      <c r="S371" s="461"/>
      <c r="T371" s="461"/>
      <c r="U371" s="461" t="s">
        <v>4125</v>
      </c>
      <c r="V371" s="461"/>
      <c r="W371" s="461"/>
      <c r="X371" s="461"/>
      <c r="Y371" s="668"/>
      <c r="Z371" s="462" t="s">
        <v>138</v>
      </c>
      <c r="AA371" s="141"/>
    </row>
    <row r="372" spans="1:27" s="154" customFormat="1" ht="15">
      <c r="A372" s="500"/>
      <c r="B372" s="508"/>
      <c r="C372" s="465"/>
      <c r="D372" s="340"/>
      <c r="E372" s="466"/>
      <c r="F372" s="466"/>
      <c r="G372" s="466"/>
      <c r="H372" s="466"/>
      <c r="I372" s="466"/>
      <c r="J372" s="466"/>
      <c r="K372" s="467"/>
      <c r="L372" s="467"/>
      <c r="M372" s="468"/>
      <c r="N372" s="469"/>
      <c r="O372" s="341">
        <v>7</v>
      </c>
      <c r="P372" s="336" t="s">
        <v>5398</v>
      </c>
      <c r="Q372" s="461">
        <v>0</v>
      </c>
      <c r="R372" s="585"/>
      <c r="S372" s="860"/>
      <c r="T372" s="586"/>
      <c r="U372" s="860" t="s">
        <v>4125</v>
      </c>
      <c r="V372" s="587"/>
      <c r="W372" s="586"/>
      <c r="X372" s="461"/>
      <c r="Y372" s="584"/>
      <c r="Z372" s="861">
        <v>2</v>
      </c>
      <c r="AA372" s="141"/>
    </row>
    <row r="373" spans="1:27" s="154" customFormat="1" ht="14.25">
      <c r="A373" s="502"/>
      <c r="B373" s="519"/>
      <c r="C373" s="491"/>
      <c r="D373" s="345"/>
      <c r="E373" s="405"/>
      <c r="F373" s="405"/>
      <c r="G373" s="405"/>
      <c r="H373" s="405"/>
      <c r="I373" s="405"/>
      <c r="J373" s="405"/>
      <c r="K373" s="492"/>
      <c r="L373" s="492"/>
      <c r="M373" s="493"/>
      <c r="N373" s="494"/>
      <c r="O373" s="467"/>
      <c r="P373" s="465"/>
      <c r="Q373" s="466"/>
      <c r="R373" s="465"/>
      <c r="S373" s="405"/>
      <c r="T373" s="405"/>
      <c r="U373" s="405"/>
      <c r="V373" s="308"/>
      <c r="W373" s="308"/>
      <c r="X373" s="308"/>
      <c r="Y373" s="491"/>
      <c r="Z373" s="308"/>
      <c r="AA373" s="141"/>
    </row>
    <row r="374" spans="1:27" s="154" customFormat="1" ht="69" customHeight="1">
      <c r="A374" s="500" t="s">
        <v>5399</v>
      </c>
      <c r="B374" s="310" t="s">
        <v>331</v>
      </c>
      <c r="C374" s="327" t="s">
        <v>5400</v>
      </c>
      <c r="D374" s="456" t="s">
        <v>5023</v>
      </c>
      <c r="E374" s="471"/>
      <c r="F374" s="471"/>
      <c r="G374" s="471"/>
      <c r="H374" s="471"/>
      <c r="I374" s="471"/>
      <c r="J374" s="786">
        <v>4.74</v>
      </c>
      <c r="K374" s="779"/>
      <c r="L374" s="779" t="s">
        <v>4125</v>
      </c>
      <c r="M374" s="779" t="s">
        <v>5390</v>
      </c>
      <c r="N374" s="779" t="s">
        <v>5391</v>
      </c>
      <c r="O374" s="779"/>
      <c r="P374" s="482"/>
      <c r="Q374" s="483"/>
      <c r="R374" s="482"/>
      <c r="S374" s="788"/>
      <c r="T374" s="176"/>
      <c r="U374" s="176"/>
      <c r="V374" s="480"/>
      <c r="W374" s="480"/>
      <c r="X374" s="480"/>
      <c r="Y374" s="479"/>
      <c r="Z374" s="773">
        <v>1</v>
      </c>
      <c r="AA374" s="141"/>
    </row>
    <row r="375" spans="1:27" s="154" customFormat="1" ht="15">
      <c r="A375" s="499"/>
      <c r="B375" s="507"/>
      <c r="C375" s="336"/>
      <c r="D375" s="331"/>
      <c r="E375" s="332"/>
      <c r="F375" s="332"/>
      <c r="G375" s="332"/>
      <c r="H375" s="332"/>
      <c r="I375" s="332"/>
      <c r="J375" s="461"/>
      <c r="K375" s="624"/>
      <c r="L375" s="624"/>
      <c r="M375" s="785"/>
      <c r="N375" s="783"/>
      <c r="O375" s="590">
        <v>1</v>
      </c>
      <c r="P375" s="472" t="s">
        <v>5401</v>
      </c>
      <c r="Q375" s="473">
        <v>0</v>
      </c>
      <c r="R375" s="461"/>
      <c r="S375" s="461"/>
      <c r="T375" s="461"/>
      <c r="U375" s="461" t="s">
        <v>4125</v>
      </c>
      <c r="V375" s="461"/>
      <c r="W375" s="461"/>
      <c r="X375" s="461"/>
      <c r="Y375" s="668"/>
      <c r="Z375" s="462" t="s">
        <v>138</v>
      </c>
      <c r="AA375" s="141"/>
    </row>
    <row r="376" spans="1:27" s="154" customFormat="1" ht="15">
      <c r="A376" s="499"/>
      <c r="B376" s="507"/>
      <c r="C376" s="336"/>
      <c r="D376" s="331"/>
      <c r="E376" s="332"/>
      <c r="F376" s="332"/>
      <c r="G376" s="332"/>
      <c r="H376" s="332"/>
      <c r="I376" s="332"/>
      <c r="J376" s="332"/>
      <c r="K376" s="333"/>
      <c r="L376" s="333"/>
      <c r="M376" s="334"/>
      <c r="N376" s="335"/>
      <c r="O376" s="342">
        <v>2</v>
      </c>
      <c r="P376" s="336" t="s">
        <v>5402</v>
      </c>
      <c r="Q376" s="461">
        <v>0</v>
      </c>
      <c r="R376" s="461"/>
      <c r="S376" s="461"/>
      <c r="T376" s="461"/>
      <c r="U376" s="461" t="s">
        <v>4125</v>
      </c>
      <c r="V376" s="461"/>
      <c r="W376" s="461"/>
      <c r="X376" s="860"/>
      <c r="Y376" s="584"/>
      <c r="Z376" s="861">
        <v>2</v>
      </c>
      <c r="AA376" s="141"/>
    </row>
    <row r="377" spans="1:27" s="154" customFormat="1" ht="15">
      <c r="A377" s="499"/>
      <c r="B377" s="507"/>
      <c r="C377" s="336"/>
      <c r="D377" s="331"/>
      <c r="E377" s="332"/>
      <c r="F377" s="332"/>
      <c r="G377" s="332"/>
      <c r="H377" s="332"/>
      <c r="I377" s="332"/>
      <c r="J377" s="332"/>
      <c r="K377" s="333"/>
      <c r="L377" s="333"/>
      <c r="M377" s="334"/>
      <c r="N377" s="335"/>
      <c r="O377" s="342">
        <v>3</v>
      </c>
      <c r="P377" s="336" t="s">
        <v>5403</v>
      </c>
      <c r="Q377" s="461">
        <v>0</v>
      </c>
      <c r="R377" s="461"/>
      <c r="S377" s="461"/>
      <c r="T377" s="461"/>
      <c r="U377" s="461" t="s">
        <v>4125</v>
      </c>
      <c r="V377" s="461"/>
      <c r="W377" s="461"/>
      <c r="X377" s="860"/>
      <c r="Y377" s="584"/>
      <c r="Z377" s="861">
        <v>2</v>
      </c>
      <c r="AA377" s="141"/>
    </row>
    <row r="378" spans="1:27" s="154" customFormat="1" ht="15">
      <c r="A378" s="500"/>
      <c r="B378" s="508"/>
      <c r="C378" s="465"/>
      <c r="D378" s="340"/>
      <c r="E378" s="466"/>
      <c r="F378" s="466"/>
      <c r="G378" s="466"/>
      <c r="H378" s="466"/>
      <c r="I378" s="466"/>
      <c r="J378" s="466"/>
      <c r="K378" s="467"/>
      <c r="L378" s="467"/>
      <c r="M378" s="468"/>
      <c r="N378" s="469"/>
      <c r="O378" s="341">
        <v>4</v>
      </c>
      <c r="P378" s="336" t="s">
        <v>5404</v>
      </c>
      <c r="Q378" s="461">
        <v>0</v>
      </c>
      <c r="R378" s="461"/>
      <c r="S378" s="461"/>
      <c r="T378" s="461"/>
      <c r="U378" s="461" t="s">
        <v>4125</v>
      </c>
      <c r="V378" s="461" t="s">
        <v>4125</v>
      </c>
      <c r="W378" s="461"/>
      <c r="X378" s="860"/>
      <c r="Y378" s="584"/>
      <c r="Z378" s="861">
        <v>2</v>
      </c>
      <c r="AA378" s="141"/>
    </row>
    <row r="379" spans="1:27" s="154" customFormat="1" ht="15">
      <c r="A379" s="500"/>
      <c r="B379" s="508"/>
      <c r="C379" s="465"/>
      <c r="D379" s="340"/>
      <c r="E379" s="466"/>
      <c r="F379" s="466"/>
      <c r="G379" s="466"/>
      <c r="H379" s="466"/>
      <c r="I379" s="466"/>
      <c r="J379" s="176"/>
      <c r="K379" s="588"/>
      <c r="L379" s="588"/>
      <c r="M379" s="780"/>
      <c r="N379" s="781"/>
      <c r="O379" s="473">
        <v>5</v>
      </c>
      <c r="P379" s="463" t="s">
        <v>5405</v>
      </c>
      <c r="Q379" s="461">
        <v>0</v>
      </c>
      <c r="R379" s="461"/>
      <c r="S379" s="461"/>
      <c r="T379" s="461"/>
      <c r="U379" s="461" t="s">
        <v>4125</v>
      </c>
      <c r="V379" s="461"/>
      <c r="W379" s="461"/>
      <c r="X379" s="461"/>
      <c r="Y379" s="668"/>
      <c r="Z379" s="462" t="s">
        <v>138</v>
      </c>
      <c r="AA379" s="141"/>
    </row>
    <row r="380" spans="1:27" s="154" customFormat="1" ht="15">
      <c r="A380" s="500"/>
      <c r="B380" s="508"/>
      <c r="C380" s="465"/>
      <c r="D380" s="340"/>
      <c r="E380" s="466"/>
      <c r="F380" s="466"/>
      <c r="G380" s="466"/>
      <c r="H380" s="466"/>
      <c r="I380" s="466"/>
      <c r="J380" s="176"/>
      <c r="K380" s="588"/>
      <c r="L380" s="588"/>
      <c r="M380" s="780"/>
      <c r="N380" s="781"/>
      <c r="O380" s="473">
        <v>6</v>
      </c>
      <c r="P380" s="463" t="s">
        <v>5406</v>
      </c>
      <c r="Q380" s="461">
        <v>0</v>
      </c>
      <c r="R380" s="461"/>
      <c r="S380" s="461"/>
      <c r="T380" s="461"/>
      <c r="U380" s="461" t="s">
        <v>4125</v>
      </c>
      <c r="V380" s="461"/>
      <c r="W380" s="461"/>
      <c r="X380" s="461"/>
      <c r="Y380" s="668"/>
      <c r="Z380" s="462" t="s">
        <v>138</v>
      </c>
      <c r="AA380" s="141"/>
    </row>
    <row r="381" spans="1:27" s="154" customFormat="1" ht="15">
      <c r="A381" s="500"/>
      <c r="B381" s="508"/>
      <c r="C381" s="465"/>
      <c r="D381" s="340"/>
      <c r="E381" s="466"/>
      <c r="F381" s="466"/>
      <c r="G381" s="466"/>
      <c r="H381" s="466"/>
      <c r="I381" s="466"/>
      <c r="J381" s="466"/>
      <c r="K381" s="467"/>
      <c r="L381" s="467"/>
      <c r="M381" s="468"/>
      <c r="N381" s="469"/>
      <c r="O381" s="341">
        <v>7</v>
      </c>
      <c r="P381" s="336" t="s">
        <v>5407</v>
      </c>
      <c r="Q381" s="461">
        <v>0</v>
      </c>
      <c r="R381" s="585"/>
      <c r="S381" s="860"/>
      <c r="T381" s="586"/>
      <c r="U381" s="860" t="s">
        <v>4125</v>
      </c>
      <c r="V381" s="587"/>
      <c r="W381" s="586"/>
      <c r="X381" s="461"/>
      <c r="Y381" s="584"/>
      <c r="Z381" s="861">
        <v>2</v>
      </c>
      <c r="AA381" s="141"/>
    </row>
    <row r="382" spans="1:27" s="154" customFormat="1" ht="14.25">
      <c r="A382" s="502"/>
      <c r="B382" s="519"/>
      <c r="C382" s="491"/>
      <c r="D382" s="345"/>
      <c r="E382" s="405"/>
      <c r="F382" s="405"/>
      <c r="G382" s="405"/>
      <c r="H382" s="405"/>
      <c r="I382" s="405"/>
      <c r="J382" s="405"/>
      <c r="K382" s="492"/>
      <c r="L382" s="492"/>
      <c r="M382" s="493"/>
      <c r="N382" s="494"/>
      <c r="O382" s="467"/>
      <c r="P382" s="465"/>
      <c r="Q382" s="466"/>
      <c r="R382" s="491"/>
      <c r="S382" s="405"/>
      <c r="T382" s="405"/>
      <c r="U382" s="405"/>
      <c r="V382" s="308"/>
      <c r="W382" s="308"/>
      <c r="X382" s="308"/>
      <c r="Y382" s="491"/>
      <c r="Z382" s="308"/>
      <c r="AA382" s="141"/>
    </row>
    <row r="383" spans="1:27" s="154" customFormat="1" ht="28.5">
      <c r="A383" s="501" t="s">
        <v>5408</v>
      </c>
      <c r="B383" s="310" t="s">
        <v>5409</v>
      </c>
      <c r="C383" s="327" t="s">
        <v>5410</v>
      </c>
      <c r="D383" s="456" t="s">
        <v>4978</v>
      </c>
      <c r="E383" s="322">
        <v>0</v>
      </c>
      <c r="F383" s="322">
        <v>100</v>
      </c>
      <c r="G383" s="322" t="s">
        <v>41</v>
      </c>
      <c r="H383" s="322">
        <v>40</v>
      </c>
      <c r="I383" s="322">
        <v>100</v>
      </c>
      <c r="J383" s="693">
        <v>67</v>
      </c>
      <c r="K383" s="779" t="s">
        <v>4125</v>
      </c>
      <c r="L383" s="779" t="s">
        <v>4125</v>
      </c>
      <c r="M383" s="778" t="s">
        <v>4979</v>
      </c>
      <c r="N383" s="778" t="s">
        <v>4980</v>
      </c>
      <c r="O383" s="779"/>
      <c r="P383" s="482"/>
      <c r="Q383" s="483"/>
      <c r="R383" s="482"/>
      <c r="S383" s="483"/>
      <c r="T383" s="483"/>
      <c r="U383" s="483"/>
      <c r="V383" s="484"/>
      <c r="W383" s="484"/>
      <c r="X383" s="484"/>
      <c r="Y383" s="482"/>
      <c r="Z383" s="484">
        <v>1</v>
      </c>
      <c r="AA383" s="141"/>
    </row>
    <row r="384" spans="1:27" s="154" customFormat="1" ht="15">
      <c r="A384" s="499"/>
      <c r="B384" s="338"/>
      <c r="C384" s="336"/>
      <c r="D384" s="331"/>
      <c r="E384" s="332"/>
      <c r="F384" s="332"/>
      <c r="G384" s="332"/>
      <c r="H384" s="332"/>
      <c r="I384" s="332"/>
      <c r="J384" s="461"/>
      <c r="K384" s="624"/>
      <c r="L384" s="624"/>
      <c r="M384" s="667" t="s">
        <v>5411</v>
      </c>
      <c r="N384" s="667" t="s">
        <v>5412</v>
      </c>
      <c r="O384" s="590">
        <v>1</v>
      </c>
      <c r="P384" s="472" t="s">
        <v>5413</v>
      </c>
      <c r="Q384" s="473">
        <v>0</v>
      </c>
      <c r="R384" s="461"/>
      <c r="S384" s="461"/>
      <c r="T384" s="461"/>
      <c r="U384" s="461" t="s">
        <v>4125</v>
      </c>
      <c r="V384" s="461"/>
      <c r="W384" s="461"/>
      <c r="X384" s="461"/>
      <c r="Y384" s="668"/>
      <c r="Z384" s="462" t="s">
        <v>138</v>
      </c>
      <c r="AA384" s="141"/>
    </row>
    <row r="385" spans="1:27" s="154" customFormat="1" ht="15">
      <c r="A385" s="499"/>
      <c r="B385" s="338"/>
      <c r="C385" s="336"/>
      <c r="D385" s="331"/>
      <c r="E385" s="332"/>
      <c r="F385" s="332"/>
      <c r="G385" s="332"/>
      <c r="H385" s="332"/>
      <c r="I385" s="332"/>
      <c r="J385" s="332"/>
      <c r="K385" s="333"/>
      <c r="L385" s="333"/>
      <c r="M385" s="334"/>
      <c r="N385" s="335"/>
      <c r="O385" s="341">
        <v>2</v>
      </c>
      <c r="P385" s="336" t="s">
        <v>5414</v>
      </c>
      <c r="Q385" s="461">
        <v>0</v>
      </c>
      <c r="R385" s="461"/>
      <c r="S385" s="461"/>
      <c r="T385" s="461"/>
      <c r="U385" s="461" t="s">
        <v>4125</v>
      </c>
      <c r="V385" s="461"/>
      <c r="W385" s="461"/>
      <c r="X385" s="860"/>
      <c r="Y385" s="584"/>
      <c r="Z385" s="861">
        <v>2</v>
      </c>
      <c r="AA385" s="141"/>
    </row>
    <row r="386" spans="1:27" s="154" customFormat="1" ht="15">
      <c r="A386" s="499"/>
      <c r="B386" s="338"/>
      <c r="C386" s="336"/>
      <c r="D386" s="331"/>
      <c r="E386" s="332"/>
      <c r="F386" s="332"/>
      <c r="G386" s="332"/>
      <c r="H386" s="332"/>
      <c r="I386" s="332"/>
      <c r="J386" s="332"/>
      <c r="K386" s="333"/>
      <c r="L386" s="333"/>
      <c r="M386" s="334"/>
      <c r="N386" s="335"/>
      <c r="O386" s="341">
        <v>3</v>
      </c>
      <c r="P386" s="336" t="s">
        <v>5415</v>
      </c>
      <c r="Q386" s="461">
        <v>0</v>
      </c>
      <c r="R386" s="461"/>
      <c r="S386" s="461"/>
      <c r="T386" s="461"/>
      <c r="U386" s="461" t="s">
        <v>4125</v>
      </c>
      <c r="V386" s="461"/>
      <c r="W386" s="461"/>
      <c r="X386" s="860"/>
      <c r="Y386" s="584"/>
      <c r="Z386" s="861">
        <v>2</v>
      </c>
      <c r="AA386" s="141"/>
    </row>
    <row r="387" spans="1:27" s="154" customFormat="1" ht="15">
      <c r="A387" s="499"/>
      <c r="B387" s="338"/>
      <c r="C387" s="336"/>
      <c r="D387" s="331"/>
      <c r="E387" s="332"/>
      <c r="F387" s="332"/>
      <c r="G387" s="332"/>
      <c r="H387" s="332"/>
      <c r="I387" s="332"/>
      <c r="J387" s="332"/>
      <c r="K387" s="333"/>
      <c r="L387" s="333"/>
      <c r="M387" s="334"/>
      <c r="N387" s="335"/>
      <c r="O387" s="341">
        <v>4</v>
      </c>
      <c r="P387" s="336" t="s">
        <v>5416</v>
      </c>
      <c r="Q387" s="461">
        <v>0</v>
      </c>
      <c r="R387" s="461"/>
      <c r="S387" s="461"/>
      <c r="T387" s="461"/>
      <c r="U387" s="461" t="s">
        <v>4125</v>
      </c>
      <c r="V387" s="461" t="s">
        <v>4125</v>
      </c>
      <c r="W387" s="461"/>
      <c r="X387" s="860"/>
      <c r="Y387" s="584"/>
      <c r="Z387" s="861">
        <v>2</v>
      </c>
      <c r="AA387" s="141"/>
    </row>
    <row r="388" spans="1:27" s="154" customFormat="1" ht="15">
      <c r="A388" s="499"/>
      <c r="B388" s="338"/>
      <c r="C388" s="336"/>
      <c r="D388" s="331"/>
      <c r="E388" s="332"/>
      <c r="F388" s="332"/>
      <c r="G388" s="332"/>
      <c r="H388" s="332"/>
      <c r="I388" s="332"/>
      <c r="J388" s="461"/>
      <c r="K388" s="624"/>
      <c r="L388" s="624"/>
      <c r="M388" s="785"/>
      <c r="N388" s="783"/>
      <c r="O388" s="473">
        <v>5</v>
      </c>
      <c r="P388" s="463" t="s">
        <v>5417</v>
      </c>
      <c r="Q388" s="461">
        <v>0</v>
      </c>
      <c r="R388" s="461"/>
      <c r="S388" s="461"/>
      <c r="T388" s="461"/>
      <c r="U388" s="461" t="s">
        <v>4125</v>
      </c>
      <c r="V388" s="461"/>
      <c r="W388" s="461"/>
      <c r="X388" s="461"/>
      <c r="Y388" s="668"/>
      <c r="Z388" s="462" t="s">
        <v>138</v>
      </c>
      <c r="AA388" s="141"/>
    </row>
    <row r="389" spans="1:27" s="154" customFormat="1" ht="15">
      <c r="A389" s="499"/>
      <c r="B389" s="338"/>
      <c r="C389" s="336"/>
      <c r="D389" s="331"/>
      <c r="E389" s="332"/>
      <c r="F389" s="332"/>
      <c r="G389" s="332"/>
      <c r="H389" s="332"/>
      <c r="I389" s="332"/>
      <c r="J389" s="461"/>
      <c r="K389" s="624"/>
      <c r="L389" s="624"/>
      <c r="M389" s="785"/>
      <c r="N389" s="783"/>
      <c r="O389" s="473">
        <v>6</v>
      </c>
      <c r="P389" s="463" t="s">
        <v>5418</v>
      </c>
      <c r="Q389" s="461">
        <v>0</v>
      </c>
      <c r="R389" s="461"/>
      <c r="S389" s="461"/>
      <c r="T389" s="461"/>
      <c r="U389" s="461" t="s">
        <v>4125</v>
      </c>
      <c r="V389" s="461"/>
      <c r="W389" s="461"/>
      <c r="X389" s="461"/>
      <c r="Y389" s="668"/>
      <c r="Z389" s="462" t="s">
        <v>138</v>
      </c>
      <c r="AA389" s="141"/>
    </row>
    <row r="390" spans="1:27" s="154" customFormat="1" ht="15">
      <c r="A390" s="499"/>
      <c r="B390" s="338"/>
      <c r="C390" s="336"/>
      <c r="D390" s="331"/>
      <c r="E390" s="332"/>
      <c r="F390" s="332"/>
      <c r="G390" s="332"/>
      <c r="H390" s="332"/>
      <c r="I390" s="332"/>
      <c r="J390" s="332"/>
      <c r="K390" s="333"/>
      <c r="L390" s="333"/>
      <c r="M390" s="334"/>
      <c r="N390" s="335"/>
      <c r="O390" s="341">
        <v>7</v>
      </c>
      <c r="P390" s="336" t="s">
        <v>5419</v>
      </c>
      <c r="Q390" s="461">
        <v>0</v>
      </c>
      <c r="R390" s="585"/>
      <c r="S390" s="860"/>
      <c r="T390" s="586"/>
      <c r="U390" s="860" t="s">
        <v>4125</v>
      </c>
      <c r="V390" s="587"/>
      <c r="W390" s="586"/>
      <c r="X390" s="461"/>
      <c r="Y390" s="584"/>
      <c r="Z390" s="861">
        <v>2</v>
      </c>
      <c r="AA390" s="141"/>
    </row>
    <row r="391" spans="1:27" s="154" customFormat="1" ht="14.25">
      <c r="A391" s="499"/>
      <c r="B391" s="338"/>
      <c r="C391" s="336"/>
      <c r="D391" s="331"/>
      <c r="E391" s="332"/>
      <c r="F391" s="332"/>
      <c r="G391" s="332"/>
      <c r="H391" s="332"/>
      <c r="I391" s="332"/>
      <c r="J391" s="461"/>
      <c r="K391" s="624"/>
      <c r="L391" s="624"/>
      <c r="M391" s="785"/>
      <c r="N391" s="783"/>
      <c r="O391" s="473">
        <v>8</v>
      </c>
      <c r="P391" s="472" t="s">
        <v>5420</v>
      </c>
      <c r="Q391" s="473">
        <v>0</v>
      </c>
      <c r="R391" s="463"/>
      <c r="S391" s="461"/>
      <c r="T391" s="461"/>
      <c r="U391" s="461" t="s">
        <v>4125</v>
      </c>
      <c r="V391" s="462" t="s">
        <v>4125</v>
      </c>
      <c r="W391" s="462"/>
      <c r="X391" s="462" t="s">
        <v>4125</v>
      </c>
      <c r="Y391" s="789" t="s">
        <v>5421</v>
      </c>
      <c r="Z391" s="474" t="s">
        <v>184</v>
      </c>
      <c r="AA391" s="141"/>
    </row>
    <row r="392" spans="1:27" s="154" customFormat="1" ht="14.25">
      <c r="A392" s="500"/>
      <c r="B392" s="464"/>
      <c r="C392" s="465"/>
      <c r="D392" s="340"/>
      <c r="E392" s="466"/>
      <c r="F392" s="466"/>
      <c r="G392" s="466"/>
      <c r="H392" s="466"/>
      <c r="I392" s="466"/>
      <c r="J392" s="466"/>
      <c r="K392" s="467"/>
      <c r="L392" s="467"/>
      <c r="M392" s="468"/>
      <c r="N392" s="469"/>
      <c r="O392" s="177">
        <v>9</v>
      </c>
      <c r="P392" s="522" t="s">
        <v>5411</v>
      </c>
      <c r="Q392" s="177">
        <v>5</v>
      </c>
      <c r="R392" s="479"/>
      <c r="S392" s="176" t="s">
        <v>4125</v>
      </c>
      <c r="T392" s="176"/>
      <c r="U392" s="176"/>
      <c r="V392" s="480"/>
      <c r="W392" s="867" t="s">
        <v>4125</v>
      </c>
      <c r="X392" s="480"/>
      <c r="Y392" s="691" t="s">
        <v>5422</v>
      </c>
      <c r="Z392" s="861">
        <v>2</v>
      </c>
      <c r="AA392" s="141"/>
    </row>
    <row r="393" spans="1:27" s="154" customFormat="1" ht="14.25">
      <c r="A393" s="500"/>
      <c r="B393" s="464"/>
      <c r="C393" s="465"/>
      <c r="D393" s="340"/>
      <c r="E393" s="405"/>
      <c r="F393" s="405"/>
      <c r="G393" s="405"/>
      <c r="H393" s="405"/>
      <c r="I393" s="405"/>
      <c r="J393" s="466"/>
      <c r="K393" s="467"/>
      <c r="L393" s="467"/>
      <c r="M393" s="468"/>
      <c r="N393" s="469"/>
      <c r="O393" s="467"/>
      <c r="P393" s="465"/>
      <c r="Q393" s="466"/>
      <c r="R393" s="465"/>
      <c r="S393" s="466"/>
      <c r="T393" s="466"/>
      <c r="U393" s="466"/>
      <c r="V393" s="470"/>
      <c r="W393" s="470"/>
      <c r="X393" s="470"/>
      <c r="Y393" s="465"/>
      <c r="Z393" s="308"/>
      <c r="AA393" s="141"/>
    </row>
    <row r="394" spans="1:27" s="154" customFormat="1" ht="28.5">
      <c r="A394" s="501" t="s">
        <v>5423</v>
      </c>
      <c r="B394" s="310" t="s">
        <v>5424</v>
      </c>
      <c r="C394" s="327" t="s">
        <v>5425</v>
      </c>
      <c r="D394" s="456" t="s">
        <v>5035</v>
      </c>
      <c r="E394" s="521"/>
      <c r="F394" s="521"/>
      <c r="G394" s="521"/>
      <c r="H394" s="521"/>
      <c r="I394" s="521"/>
      <c r="J394" s="790" t="s">
        <v>857</v>
      </c>
      <c r="K394" s="779" t="s">
        <v>4125</v>
      </c>
      <c r="L394" s="779" t="s">
        <v>4125</v>
      </c>
      <c r="M394" s="778" t="s">
        <v>4979</v>
      </c>
      <c r="N394" s="778" t="s">
        <v>4980</v>
      </c>
      <c r="O394" s="779"/>
      <c r="P394" s="482"/>
      <c r="Q394" s="483"/>
      <c r="R394" s="482"/>
      <c r="S394" s="483"/>
      <c r="T394" s="483"/>
      <c r="U394" s="483"/>
      <c r="V394" s="484"/>
      <c r="W394" s="484"/>
      <c r="X394" s="484"/>
      <c r="Y394" s="482"/>
      <c r="Z394" s="484">
        <v>1</v>
      </c>
      <c r="AA394" s="141"/>
    </row>
    <row r="395" spans="1:27" s="154" customFormat="1" ht="15">
      <c r="A395" s="500"/>
      <c r="B395" s="464"/>
      <c r="C395" s="465"/>
      <c r="D395" s="340"/>
      <c r="E395" s="466"/>
      <c r="F395" s="466"/>
      <c r="G395" s="466"/>
      <c r="H395" s="466"/>
      <c r="I395" s="466"/>
      <c r="J395" s="176"/>
      <c r="K395" s="588"/>
      <c r="L395" s="588"/>
      <c r="M395" s="780"/>
      <c r="N395" s="781"/>
      <c r="O395" s="473">
        <v>1</v>
      </c>
      <c r="P395" s="472" t="s">
        <v>5426</v>
      </c>
      <c r="Q395" s="473">
        <v>0</v>
      </c>
      <c r="R395" s="461"/>
      <c r="S395" s="461"/>
      <c r="T395" s="461"/>
      <c r="U395" s="461" t="s">
        <v>4125</v>
      </c>
      <c r="V395" s="461"/>
      <c r="W395" s="461"/>
      <c r="X395" s="461"/>
      <c r="Y395" s="668"/>
      <c r="Z395" s="462" t="s">
        <v>138</v>
      </c>
      <c r="AA395" s="141"/>
    </row>
    <row r="396" spans="1:27" s="154" customFormat="1" ht="15">
      <c r="A396" s="500"/>
      <c r="B396" s="464"/>
      <c r="C396" s="465"/>
      <c r="D396" s="340"/>
      <c r="E396" s="466"/>
      <c r="F396" s="466"/>
      <c r="G396" s="466"/>
      <c r="H396" s="466"/>
      <c r="I396" s="466"/>
      <c r="J396" s="466"/>
      <c r="K396" s="467"/>
      <c r="L396" s="467"/>
      <c r="M396" s="468"/>
      <c r="N396" s="469"/>
      <c r="O396" s="341">
        <v>2</v>
      </c>
      <c r="P396" s="336" t="s">
        <v>5427</v>
      </c>
      <c r="Q396" s="461">
        <v>0</v>
      </c>
      <c r="R396" s="461"/>
      <c r="S396" s="461"/>
      <c r="T396" s="461"/>
      <c r="U396" s="461" t="s">
        <v>4125</v>
      </c>
      <c r="V396" s="461"/>
      <c r="W396" s="461"/>
      <c r="X396" s="860"/>
      <c r="Y396" s="584"/>
      <c r="Z396" s="861">
        <v>2</v>
      </c>
      <c r="AA396" s="141"/>
    </row>
    <row r="397" spans="1:27" s="154" customFormat="1" ht="15">
      <c r="A397" s="500"/>
      <c r="B397" s="464"/>
      <c r="C397" s="465"/>
      <c r="D397" s="340"/>
      <c r="E397" s="466"/>
      <c r="F397" s="466"/>
      <c r="G397" s="466"/>
      <c r="H397" s="466"/>
      <c r="I397" s="466"/>
      <c r="J397" s="466"/>
      <c r="K397" s="467"/>
      <c r="L397" s="467"/>
      <c r="M397" s="468"/>
      <c r="N397" s="469"/>
      <c r="O397" s="341">
        <v>3</v>
      </c>
      <c r="P397" s="336" t="s">
        <v>5428</v>
      </c>
      <c r="Q397" s="461">
        <v>0</v>
      </c>
      <c r="R397" s="461"/>
      <c r="S397" s="461"/>
      <c r="T397" s="461"/>
      <c r="U397" s="461" t="s">
        <v>4125</v>
      </c>
      <c r="V397" s="461"/>
      <c r="W397" s="461"/>
      <c r="X397" s="860"/>
      <c r="Y397" s="584"/>
      <c r="Z397" s="861">
        <v>2</v>
      </c>
      <c r="AA397" s="141"/>
    </row>
    <row r="398" spans="1:27" s="154" customFormat="1" ht="15">
      <c r="A398" s="500"/>
      <c r="B398" s="464"/>
      <c r="C398" s="465"/>
      <c r="D398" s="340"/>
      <c r="E398" s="466"/>
      <c r="F398" s="466"/>
      <c r="G398" s="466"/>
      <c r="H398" s="466"/>
      <c r="I398" s="466"/>
      <c r="J398" s="466"/>
      <c r="K398" s="467"/>
      <c r="L398" s="467"/>
      <c r="M398" s="468"/>
      <c r="N398" s="469"/>
      <c r="O398" s="341">
        <v>4</v>
      </c>
      <c r="P398" s="336" t="s">
        <v>5429</v>
      </c>
      <c r="Q398" s="461">
        <v>0</v>
      </c>
      <c r="R398" s="461"/>
      <c r="S398" s="461"/>
      <c r="T398" s="461"/>
      <c r="U398" s="461" t="s">
        <v>4125</v>
      </c>
      <c r="V398" s="461" t="s">
        <v>4125</v>
      </c>
      <c r="W398" s="461"/>
      <c r="X398" s="860"/>
      <c r="Y398" s="584"/>
      <c r="Z398" s="861">
        <v>2</v>
      </c>
      <c r="AA398" s="141"/>
    </row>
    <row r="399" spans="1:27" s="154" customFormat="1" ht="15">
      <c r="A399" s="500"/>
      <c r="B399" s="464"/>
      <c r="C399" s="465"/>
      <c r="D399" s="340"/>
      <c r="E399" s="466"/>
      <c r="F399" s="466"/>
      <c r="G399" s="466"/>
      <c r="H399" s="466"/>
      <c r="I399" s="466"/>
      <c r="J399" s="176"/>
      <c r="K399" s="588"/>
      <c r="L399" s="588"/>
      <c r="M399" s="780"/>
      <c r="N399" s="781"/>
      <c r="O399" s="473">
        <v>5</v>
      </c>
      <c r="P399" s="463" t="s">
        <v>5430</v>
      </c>
      <c r="Q399" s="461">
        <v>0</v>
      </c>
      <c r="R399" s="461"/>
      <c r="S399" s="461"/>
      <c r="T399" s="461"/>
      <c r="U399" s="461" t="s">
        <v>4125</v>
      </c>
      <c r="V399" s="461"/>
      <c r="W399" s="461"/>
      <c r="X399" s="461"/>
      <c r="Y399" s="668"/>
      <c r="Z399" s="462" t="s">
        <v>138</v>
      </c>
      <c r="AA399" s="141"/>
    </row>
    <row r="400" spans="1:27" s="154" customFormat="1" ht="15">
      <c r="A400" s="500"/>
      <c r="B400" s="464"/>
      <c r="C400" s="465"/>
      <c r="D400" s="340"/>
      <c r="E400" s="466"/>
      <c r="F400" s="466"/>
      <c r="G400" s="466"/>
      <c r="H400" s="466"/>
      <c r="I400" s="466"/>
      <c r="J400" s="176"/>
      <c r="K400" s="588"/>
      <c r="L400" s="588"/>
      <c r="M400" s="780"/>
      <c r="N400" s="781"/>
      <c r="O400" s="473">
        <v>6</v>
      </c>
      <c r="P400" s="463" t="s">
        <v>5431</v>
      </c>
      <c r="Q400" s="461">
        <v>0</v>
      </c>
      <c r="R400" s="461"/>
      <c r="S400" s="461"/>
      <c r="T400" s="461"/>
      <c r="U400" s="461" t="s">
        <v>4125</v>
      </c>
      <c r="V400" s="461"/>
      <c r="W400" s="461"/>
      <c r="X400" s="461"/>
      <c r="Y400" s="668"/>
      <c r="Z400" s="462" t="s">
        <v>138</v>
      </c>
      <c r="AA400" s="141"/>
    </row>
    <row r="401" spans="1:27" s="154" customFormat="1" ht="15">
      <c r="A401" s="500"/>
      <c r="B401" s="464"/>
      <c r="C401" s="465"/>
      <c r="D401" s="340"/>
      <c r="E401" s="466"/>
      <c r="F401" s="466"/>
      <c r="G401" s="466"/>
      <c r="H401" s="466"/>
      <c r="I401" s="466"/>
      <c r="J401" s="466"/>
      <c r="K401" s="467"/>
      <c r="L401" s="467"/>
      <c r="M401" s="468"/>
      <c r="N401" s="469"/>
      <c r="O401" s="341">
        <v>7</v>
      </c>
      <c r="P401" s="336" t="s">
        <v>5432</v>
      </c>
      <c r="Q401" s="461">
        <v>0</v>
      </c>
      <c r="R401" s="585"/>
      <c r="S401" s="860"/>
      <c r="T401" s="586"/>
      <c r="U401" s="860" t="s">
        <v>4125</v>
      </c>
      <c r="V401" s="587"/>
      <c r="W401" s="586"/>
      <c r="X401" s="461"/>
      <c r="Y401" s="584"/>
      <c r="Z401" s="861">
        <v>2</v>
      </c>
      <c r="AA401" s="141"/>
    </row>
    <row r="402" spans="1:27" s="154" customFormat="1" ht="14.25">
      <c r="A402" s="500"/>
      <c r="B402" s="464"/>
      <c r="C402" s="465"/>
      <c r="D402" s="340"/>
      <c r="E402" s="466"/>
      <c r="F402" s="466"/>
      <c r="G402" s="466"/>
      <c r="H402" s="466"/>
      <c r="I402" s="466"/>
      <c r="J402" s="466"/>
      <c r="K402" s="467"/>
      <c r="L402" s="467"/>
      <c r="M402" s="468"/>
      <c r="N402" s="469"/>
      <c r="O402" s="467"/>
      <c r="P402" s="465"/>
      <c r="Q402" s="466"/>
      <c r="R402" s="465"/>
      <c r="S402" s="466"/>
      <c r="T402" s="466"/>
      <c r="U402" s="466"/>
      <c r="V402" s="470"/>
      <c r="W402" s="470"/>
      <c r="X402" s="470"/>
      <c r="Y402" s="465"/>
      <c r="Z402" s="470"/>
      <c r="AA402" s="141"/>
    </row>
    <row r="403" spans="1:27" s="154" customFormat="1" ht="28.5">
      <c r="A403" s="501" t="s">
        <v>5433</v>
      </c>
      <c r="B403" s="310" t="s">
        <v>5424</v>
      </c>
      <c r="C403" s="327" t="s">
        <v>5434</v>
      </c>
      <c r="D403" s="456" t="s">
        <v>5023</v>
      </c>
      <c r="E403" s="471"/>
      <c r="F403" s="471"/>
      <c r="G403" s="471"/>
      <c r="H403" s="471"/>
      <c r="I403" s="471"/>
      <c r="J403" s="693">
        <v>2.6</v>
      </c>
      <c r="K403" s="779" t="s">
        <v>4125</v>
      </c>
      <c r="L403" s="779" t="s">
        <v>4125</v>
      </c>
      <c r="M403" s="779" t="s">
        <v>5435</v>
      </c>
      <c r="N403" s="779" t="s">
        <v>5436</v>
      </c>
      <c r="O403" s="779"/>
      <c r="P403" s="482"/>
      <c r="Q403" s="483"/>
      <c r="R403" s="482"/>
      <c r="S403" s="483"/>
      <c r="T403" s="483"/>
      <c r="U403" s="483"/>
      <c r="V403" s="484"/>
      <c r="W403" s="484"/>
      <c r="X403" s="484"/>
      <c r="Y403" s="482"/>
      <c r="Z403" s="484">
        <v>1</v>
      </c>
      <c r="AA403" s="685"/>
    </row>
    <row r="404" spans="1:27" s="154" customFormat="1" ht="15">
      <c r="A404" s="500"/>
      <c r="B404" s="338"/>
      <c r="C404" s="336"/>
      <c r="D404" s="331"/>
      <c r="E404" s="332"/>
      <c r="F404" s="332"/>
      <c r="G404" s="332"/>
      <c r="H404" s="332"/>
      <c r="I404" s="332"/>
      <c r="J404" s="461"/>
      <c r="K404" s="624"/>
      <c r="L404" s="624"/>
      <c r="M404" s="785"/>
      <c r="N404" s="783"/>
      <c r="O404" s="590">
        <v>1</v>
      </c>
      <c r="P404" s="472" t="s">
        <v>5437</v>
      </c>
      <c r="Q404" s="473">
        <v>0</v>
      </c>
      <c r="R404" s="461"/>
      <c r="S404" s="461"/>
      <c r="T404" s="461"/>
      <c r="U404" s="461" t="s">
        <v>4125</v>
      </c>
      <c r="V404" s="461"/>
      <c r="W404" s="461"/>
      <c r="X404" s="461"/>
      <c r="Y404" s="668"/>
      <c r="Z404" s="462" t="s">
        <v>138</v>
      </c>
      <c r="AA404" s="141"/>
    </row>
    <row r="405" spans="1:27" s="154" customFormat="1" ht="15">
      <c r="A405" s="500"/>
      <c r="B405" s="598"/>
      <c r="C405" s="594"/>
      <c r="D405" s="466"/>
      <c r="E405" s="466"/>
      <c r="F405" s="466"/>
      <c r="G405" s="466"/>
      <c r="H405" s="466"/>
      <c r="I405" s="466"/>
      <c r="J405" s="466"/>
      <c r="K405" s="468"/>
      <c r="L405" s="469"/>
      <c r="M405" s="466"/>
      <c r="N405" s="466"/>
      <c r="O405" s="341">
        <v>2</v>
      </c>
      <c r="P405" s="336" t="s">
        <v>5438</v>
      </c>
      <c r="Q405" s="461">
        <v>0</v>
      </c>
      <c r="R405" s="461"/>
      <c r="S405" s="461"/>
      <c r="T405" s="461"/>
      <c r="U405" s="461" t="s">
        <v>4125</v>
      </c>
      <c r="V405" s="461"/>
      <c r="W405" s="461"/>
      <c r="X405" s="860"/>
      <c r="Y405" s="584"/>
      <c r="Z405" s="861">
        <v>2</v>
      </c>
      <c r="AA405" s="141"/>
    </row>
    <row r="406" spans="1:27" s="154" customFormat="1" ht="15">
      <c r="A406" s="500"/>
      <c r="B406" s="598"/>
      <c r="C406" s="594"/>
      <c r="D406" s="466"/>
      <c r="E406" s="466"/>
      <c r="F406" s="466"/>
      <c r="G406" s="466"/>
      <c r="H406" s="466"/>
      <c r="I406" s="466"/>
      <c r="J406" s="466"/>
      <c r="K406" s="468"/>
      <c r="L406" s="469"/>
      <c r="M406" s="466"/>
      <c r="N406" s="466"/>
      <c r="O406" s="341">
        <v>3</v>
      </c>
      <c r="P406" s="336" t="s">
        <v>5439</v>
      </c>
      <c r="Q406" s="461">
        <v>0</v>
      </c>
      <c r="R406" s="461"/>
      <c r="S406" s="461"/>
      <c r="T406" s="461"/>
      <c r="U406" s="461" t="s">
        <v>4125</v>
      </c>
      <c r="V406" s="461"/>
      <c r="W406" s="461"/>
      <c r="X406" s="860"/>
      <c r="Y406" s="584"/>
      <c r="Z406" s="861">
        <v>2</v>
      </c>
      <c r="AA406" s="141"/>
    </row>
    <row r="407" spans="1:27" s="154" customFormat="1" ht="15">
      <c r="A407" s="500"/>
      <c r="B407" s="598"/>
      <c r="C407" s="594"/>
      <c r="D407" s="466"/>
      <c r="E407" s="466"/>
      <c r="F407" s="466"/>
      <c r="G407" s="466"/>
      <c r="H407" s="466"/>
      <c r="I407" s="466"/>
      <c r="J407" s="466"/>
      <c r="K407" s="468"/>
      <c r="L407" s="469"/>
      <c r="M407" s="466"/>
      <c r="N407" s="466"/>
      <c r="O407" s="341">
        <v>4</v>
      </c>
      <c r="P407" s="336" t="s">
        <v>5440</v>
      </c>
      <c r="Q407" s="461">
        <v>0</v>
      </c>
      <c r="R407" s="461"/>
      <c r="S407" s="461"/>
      <c r="T407" s="461"/>
      <c r="U407" s="461" t="s">
        <v>4125</v>
      </c>
      <c r="V407" s="461" t="s">
        <v>4125</v>
      </c>
      <c r="W407" s="461"/>
      <c r="X407" s="860"/>
      <c r="Y407" s="584"/>
      <c r="Z407" s="861">
        <v>2</v>
      </c>
      <c r="AA407" s="141"/>
    </row>
    <row r="408" spans="1:27" s="154" customFormat="1" ht="15">
      <c r="A408" s="500"/>
      <c r="B408" s="598"/>
      <c r="C408" s="594"/>
      <c r="D408" s="466"/>
      <c r="E408" s="466"/>
      <c r="F408" s="466"/>
      <c r="G408" s="466"/>
      <c r="H408" s="466"/>
      <c r="I408" s="466"/>
      <c r="J408" s="176"/>
      <c r="K408" s="780"/>
      <c r="L408" s="781"/>
      <c r="M408" s="176"/>
      <c r="N408" s="176"/>
      <c r="O408" s="473">
        <v>5</v>
      </c>
      <c r="P408" s="463" t="s">
        <v>5441</v>
      </c>
      <c r="Q408" s="461">
        <v>0</v>
      </c>
      <c r="R408" s="461"/>
      <c r="S408" s="461"/>
      <c r="T408" s="461"/>
      <c r="U408" s="461" t="s">
        <v>4125</v>
      </c>
      <c r="V408" s="461"/>
      <c r="W408" s="461"/>
      <c r="X408" s="461"/>
      <c r="Y408" s="668"/>
      <c r="Z408" s="462" t="s">
        <v>138</v>
      </c>
      <c r="AA408" s="141"/>
    </row>
    <row r="409" spans="1:27" s="154" customFormat="1" ht="15">
      <c r="A409" s="500"/>
      <c r="B409" s="597"/>
      <c r="C409" s="594"/>
      <c r="D409" s="466"/>
      <c r="E409" s="466"/>
      <c r="F409" s="466"/>
      <c r="G409" s="466"/>
      <c r="H409" s="466"/>
      <c r="I409" s="466"/>
      <c r="J409" s="176"/>
      <c r="K409" s="780"/>
      <c r="L409" s="781"/>
      <c r="M409" s="176"/>
      <c r="N409" s="176"/>
      <c r="O409" s="473">
        <v>6</v>
      </c>
      <c r="P409" s="463" t="s">
        <v>5442</v>
      </c>
      <c r="Q409" s="461">
        <v>0</v>
      </c>
      <c r="R409" s="461"/>
      <c r="S409" s="461"/>
      <c r="T409" s="461"/>
      <c r="U409" s="461" t="s">
        <v>4125</v>
      </c>
      <c r="V409" s="461"/>
      <c r="W409" s="461"/>
      <c r="X409" s="461"/>
      <c r="Y409" s="668"/>
      <c r="Z409" s="462" t="s">
        <v>138</v>
      </c>
      <c r="AA409" s="141"/>
    </row>
    <row r="410" spans="1:27" s="154" customFormat="1" ht="15">
      <c r="A410" s="500"/>
      <c r="B410" s="475"/>
      <c r="C410" s="466"/>
      <c r="D410" s="466"/>
      <c r="E410" s="466"/>
      <c r="F410" s="466"/>
      <c r="G410" s="466"/>
      <c r="H410" s="466"/>
      <c r="I410" s="466"/>
      <c r="J410" s="466"/>
      <c r="K410" s="468"/>
      <c r="L410" s="469"/>
      <c r="M410" s="466"/>
      <c r="N410" s="466"/>
      <c r="O410" s="599">
        <v>7</v>
      </c>
      <c r="P410" s="465" t="s">
        <v>5443</v>
      </c>
      <c r="Q410" s="461">
        <v>0</v>
      </c>
      <c r="R410" s="585"/>
      <c r="S410" s="860"/>
      <c r="T410" s="586"/>
      <c r="U410" s="860" t="s">
        <v>4125</v>
      </c>
      <c r="V410" s="587"/>
      <c r="W410" s="586"/>
      <c r="X410" s="461"/>
      <c r="Y410" s="584"/>
      <c r="Z410" s="861">
        <v>2</v>
      </c>
      <c r="AA410" s="141"/>
    </row>
    <row r="411" spans="1:27" s="154" customFormat="1" ht="14.25">
      <c r="A411" s="500"/>
      <c r="B411" s="338"/>
      <c r="C411" s="332"/>
      <c r="D411" s="332"/>
      <c r="E411" s="600"/>
      <c r="F411" s="332"/>
      <c r="G411" s="332"/>
      <c r="H411" s="332"/>
      <c r="I411" s="332"/>
      <c r="J411" s="461"/>
      <c r="K411" s="785"/>
      <c r="L411" s="783"/>
      <c r="M411" s="461"/>
      <c r="N411" s="461"/>
      <c r="O411" s="461">
        <v>8</v>
      </c>
      <c r="P411" s="463" t="s">
        <v>5420</v>
      </c>
      <c r="Q411" s="791">
        <v>0</v>
      </c>
      <c r="R411" s="463"/>
      <c r="S411" s="461"/>
      <c r="T411" s="461"/>
      <c r="U411" s="461" t="s">
        <v>4125</v>
      </c>
      <c r="V411" s="462" t="s">
        <v>4125</v>
      </c>
      <c r="W411" s="462"/>
      <c r="X411" s="462" t="s">
        <v>4125</v>
      </c>
      <c r="Y411" s="792" t="s">
        <v>5421</v>
      </c>
      <c r="Z411" s="462" t="s">
        <v>184</v>
      </c>
      <c r="AA411" s="141"/>
    </row>
    <row r="412" spans="1:27" s="154" customFormat="1" ht="14.25">
      <c r="A412" s="502"/>
      <c r="B412" s="490"/>
      <c r="C412" s="491"/>
      <c r="D412" s="345"/>
      <c r="E412" s="405"/>
      <c r="F412" s="405"/>
      <c r="G412" s="405"/>
      <c r="H412" s="405"/>
      <c r="I412" s="405"/>
      <c r="J412" s="405"/>
      <c r="K412" s="492"/>
      <c r="L412" s="492"/>
      <c r="M412" s="493"/>
      <c r="N412" s="494"/>
      <c r="O412" s="405"/>
      <c r="P412" s="491"/>
      <c r="Q412" s="405"/>
      <c r="R412" s="495"/>
      <c r="S412" s="496"/>
      <c r="T412" s="496"/>
      <c r="U412" s="496"/>
      <c r="V412" s="497"/>
      <c r="W412" s="497"/>
      <c r="X412" s="497"/>
      <c r="Y412" s="498"/>
      <c r="Z412" s="308"/>
      <c r="AA412" s="141"/>
    </row>
    <row r="413" spans="1:27" s="154" customFormat="1" ht="68.25" customHeight="1">
      <c r="A413" s="501" t="s">
        <v>5444</v>
      </c>
      <c r="B413" s="310" t="s">
        <v>5424</v>
      </c>
      <c r="C413" s="327" t="s">
        <v>5445</v>
      </c>
      <c r="D413" s="456" t="s">
        <v>5023</v>
      </c>
      <c r="E413" s="471"/>
      <c r="F413" s="471"/>
      <c r="G413" s="471"/>
      <c r="H413" s="471"/>
      <c r="I413" s="471"/>
      <c r="J413" s="693">
        <v>55</v>
      </c>
      <c r="K413" s="779" t="s">
        <v>4125</v>
      </c>
      <c r="L413" s="779" t="s">
        <v>4125</v>
      </c>
      <c r="M413" s="779" t="s">
        <v>4223</v>
      </c>
      <c r="N413" s="779" t="s">
        <v>5446</v>
      </c>
      <c r="O413" s="779"/>
      <c r="P413" s="482"/>
      <c r="Q413" s="483"/>
      <c r="R413" s="482"/>
      <c r="S413" s="483"/>
      <c r="T413" s="483"/>
      <c r="U413" s="483"/>
      <c r="V413" s="484"/>
      <c r="W413" s="484"/>
      <c r="X413" s="484"/>
      <c r="Y413" s="793"/>
      <c r="Z413" s="484">
        <v>1</v>
      </c>
      <c r="AA413" s="684"/>
    </row>
    <row r="414" spans="1:27" s="154" customFormat="1" ht="68.25" customHeight="1">
      <c r="A414" s="500"/>
      <c r="B414" s="329"/>
      <c r="C414" s="330"/>
      <c r="D414" s="340"/>
      <c r="E414" s="341"/>
      <c r="F414" s="341"/>
      <c r="G414" s="341"/>
      <c r="H414" s="341"/>
      <c r="I414" s="341"/>
      <c r="J414" s="473"/>
      <c r="K414" s="590"/>
      <c r="L414" s="590"/>
      <c r="M414" s="590" t="s">
        <v>5447</v>
      </c>
      <c r="N414" s="624" t="s">
        <v>4229</v>
      </c>
      <c r="O414" s="590">
        <v>1</v>
      </c>
      <c r="P414" s="472" t="s">
        <v>5448</v>
      </c>
      <c r="Q414" s="473">
        <v>0</v>
      </c>
      <c r="R414" s="461"/>
      <c r="S414" s="461"/>
      <c r="T414" s="461"/>
      <c r="U414" s="461" t="s">
        <v>4125</v>
      </c>
      <c r="V414" s="461"/>
      <c r="W414" s="461"/>
      <c r="X414" s="461"/>
      <c r="Y414" s="668"/>
      <c r="Z414" s="462" t="s">
        <v>138</v>
      </c>
      <c r="AA414" s="684"/>
    </row>
    <row r="415" spans="1:27" s="154" customFormat="1" ht="68.25" customHeight="1">
      <c r="A415" s="500"/>
      <c r="B415" s="329"/>
      <c r="C415" s="330"/>
      <c r="D415" s="340"/>
      <c r="E415" s="341"/>
      <c r="F415" s="341"/>
      <c r="G415" s="341"/>
      <c r="H415" s="341"/>
      <c r="I415" s="341"/>
      <c r="J415" s="341"/>
      <c r="K415" s="342"/>
      <c r="L415" s="342"/>
      <c r="M415" s="590" t="s">
        <v>5449</v>
      </c>
      <c r="N415" s="624" t="s">
        <v>5450</v>
      </c>
      <c r="O415" s="341">
        <v>2</v>
      </c>
      <c r="P415" s="336" t="s">
        <v>5451</v>
      </c>
      <c r="Q415" s="461">
        <v>0</v>
      </c>
      <c r="R415" s="461"/>
      <c r="S415" s="461"/>
      <c r="T415" s="461"/>
      <c r="U415" s="461" t="s">
        <v>4125</v>
      </c>
      <c r="V415" s="461"/>
      <c r="W415" s="461"/>
      <c r="X415" s="860"/>
      <c r="Y415" s="584"/>
      <c r="Z415" s="861">
        <v>2</v>
      </c>
      <c r="AA415" s="141"/>
    </row>
    <row r="416" spans="1:27" s="154" customFormat="1" ht="68.25" customHeight="1">
      <c r="A416" s="500"/>
      <c r="B416" s="329"/>
      <c r="C416" s="330"/>
      <c r="D416" s="340"/>
      <c r="E416" s="341"/>
      <c r="F416" s="341"/>
      <c r="G416" s="341"/>
      <c r="H416" s="341"/>
      <c r="I416" s="341"/>
      <c r="J416" s="341"/>
      <c r="K416" s="342"/>
      <c r="L416" s="342"/>
      <c r="M416" s="589" t="s">
        <v>5452</v>
      </c>
      <c r="N416" s="624" t="s">
        <v>5453</v>
      </c>
      <c r="O416" s="341">
        <v>3</v>
      </c>
      <c r="P416" s="336" t="s">
        <v>5454</v>
      </c>
      <c r="Q416" s="461">
        <v>0</v>
      </c>
      <c r="R416" s="461"/>
      <c r="S416" s="461"/>
      <c r="T416" s="461"/>
      <c r="U416" s="461" t="s">
        <v>4125</v>
      </c>
      <c r="V416" s="461"/>
      <c r="W416" s="461"/>
      <c r="X416" s="860"/>
      <c r="Y416" s="584"/>
      <c r="Z416" s="861">
        <v>2</v>
      </c>
      <c r="AA416" s="141"/>
    </row>
    <row r="417" spans="1:27" s="154" customFormat="1" ht="15">
      <c r="A417" s="500"/>
      <c r="B417" s="329"/>
      <c r="C417" s="330"/>
      <c r="D417" s="340"/>
      <c r="E417" s="341"/>
      <c r="F417" s="341"/>
      <c r="G417" s="341"/>
      <c r="H417" s="341"/>
      <c r="I417" s="341"/>
      <c r="J417" s="341"/>
      <c r="K417" s="342"/>
      <c r="L417" s="342"/>
      <c r="M417" s="343"/>
      <c r="N417" s="335"/>
      <c r="O417" s="341">
        <v>4</v>
      </c>
      <c r="P417" s="336" t="s">
        <v>5455</v>
      </c>
      <c r="Q417" s="461">
        <v>0</v>
      </c>
      <c r="R417" s="461"/>
      <c r="S417" s="461"/>
      <c r="T417" s="461"/>
      <c r="U417" s="461" t="s">
        <v>4125</v>
      </c>
      <c r="V417" s="461" t="s">
        <v>4125</v>
      </c>
      <c r="W417" s="461"/>
      <c r="X417" s="860"/>
      <c r="Y417" s="584"/>
      <c r="Z417" s="861">
        <v>2</v>
      </c>
      <c r="AA417" s="141"/>
    </row>
    <row r="418" spans="1:27" s="154" customFormat="1" ht="15">
      <c r="A418" s="500"/>
      <c r="B418" s="329"/>
      <c r="C418" s="330"/>
      <c r="D418" s="340"/>
      <c r="E418" s="341"/>
      <c r="F418" s="341"/>
      <c r="G418" s="341"/>
      <c r="H418" s="341"/>
      <c r="I418" s="341"/>
      <c r="J418" s="473"/>
      <c r="K418" s="590"/>
      <c r="L418" s="590"/>
      <c r="M418" s="590"/>
      <c r="N418" s="590"/>
      <c r="O418" s="473">
        <v>5</v>
      </c>
      <c r="P418" s="463" t="s">
        <v>5456</v>
      </c>
      <c r="Q418" s="461">
        <v>0</v>
      </c>
      <c r="R418" s="461"/>
      <c r="S418" s="461"/>
      <c r="T418" s="461"/>
      <c r="U418" s="461" t="s">
        <v>4125</v>
      </c>
      <c r="V418" s="461"/>
      <c r="W418" s="461"/>
      <c r="X418" s="461"/>
      <c r="Y418" s="668"/>
      <c r="Z418" s="462" t="s">
        <v>138</v>
      </c>
      <c r="AA418" s="141"/>
    </row>
    <row r="419" spans="1:27" s="154" customFormat="1" ht="15">
      <c r="A419" s="500"/>
      <c r="B419" s="329"/>
      <c r="C419" s="330"/>
      <c r="D419" s="340"/>
      <c r="E419" s="341"/>
      <c r="F419" s="341"/>
      <c r="G419" s="341"/>
      <c r="H419" s="341"/>
      <c r="I419" s="341"/>
      <c r="J419" s="473"/>
      <c r="K419" s="590"/>
      <c r="L419" s="590"/>
      <c r="M419" s="589"/>
      <c r="N419" s="624"/>
      <c r="O419" s="473">
        <v>6</v>
      </c>
      <c r="P419" s="463" t="s">
        <v>5457</v>
      </c>
      <c r="Q419" s="461">
        <v>0</v>
      </c>
      <c r="R419" s="461"/>
      <c r="S419" s="461"/>
      <c r="T419" s="461"/>
      <c r="U419" s="461" t="s">
        <v>4125</v>
      </c>
      <c r="V419" s="461"/>
      <c r="W419" s="461"/>
      <c r="X419" s="461"/>
      <c r="Y419" s="668"/>
      <c r="Z419" s="462" t="s">
        <v>138</v>
      </c>
      <c r="AA419" s="141"/>
    </row>
    <row r="420" spans="1:27" s="154" customFormat="1" ht="15">
      <c r="A420" s="500"/>
      <c r="B420" s="329"/>
      <c r="C420" s="330"/>
      <c r="D420" s="340"/>
      <c r="E420" s="341"/>
      <c r="F420" s="341"/>
      <c r="G420" s="341"/>
      <c r="H420" s="341"/>
      <c r="I420" s="341"/>
      <c r="J420" s="341"/>
      <c r="K420" s="342"/>
      <c r="L420" s="342"/>
      <c r="M420" s="589"/>
      <c r="N420" s="624"/>
      <c r="O420" s="341">
        <v>7</v>
      </c>
      <c r="P420" s="336" t="s">
        <v>5458</v>
      </c>
      <c r="Q420" s="461">
        <v>0</v>
      </c>
      <c r="R420" s="585"/>
      <c r="S420" s="860"/>
      <c r="T420" s="586"/>
      <c r="U420" s="860" t="s">
        <v>4125</v>
      </c>
      <c r="V420" s="587"/>
      <c r="W420" s="586"/>
      <c r="X420" s="461"/>
      <c r="Y420" s="584"/>
      <c r="Z420" s="861">
        <v>2</v>
      </c>
      <c r="AA420" s="141"/>
    </row>
    <row r="421" spans="1:27" s="154" customFormat="1" ht="14.25">
      <c r="A421" s="337"/>
      <c r="B421" s="329"/>
      <c r="C421" s="330"/>
      <c r="D421" s="331"/>
      <c r="E421" s="332"/>
      <c r="F421" s="341"/>
      <c r="G421" s="341"/>
      <c r="H421" s="341"/>
      <c r="I421" s="341"/>
      <c r="J421" s="473"/>
      <c r="K421" s="590"/>
      <c r="L421" s="590"/>
      <c r="M421" s="794"/>
      <c r="N421" s="783"/>
      <c r="O421" s="461">
        <v>8</v>
      </c>
      <c r="P421" s="463" t="s">
        <v>5420</v>
      </c>
      <c r="Q421" s="461">
        <v>0</v>
      </c>
      <c r="R421" s="463"/>
      <c r="S421" s="461"/>
      <c r="T421" s="461"/>
      <c r="U421" s="461" t="s">
        <v>4125</v>
      </c>
      <c r="V421" s="462" t="s">
        <v>4125</v>
      </c>
      <c r="W421" s="462"/>
      <c r="X421" s="462" t="s">
        <v>4125</v>
      </c>
      <c r="Y421" s="792" t="s">
        <v>5421</v>
      </c>
      <c r="Z421" s="462" t="s">
        <v>184</v>
      </c>
      <c r="AA421" s="141"/>
    </row>
    <row r="422" spans="1:27" s="154" customFormat="1" ht="14.25">
      <c r="A422" s="337"/>
      <c r="B422" s="329"/>
      <c r="C422" s="330"/>
      <c r="D422" s="331"/>
      <c r="E422" s="332"/>
      <c r="F422" s="341"/>
      <c r="G422" s="341"/>
      <c r="H422" s="341"/>
      <c r="I422" s="341"/>
      <c r="J422" s="473"/>
      <c r="K422" s="590"/>
      <c r="L422" s="590"/>
      <c r="M422" s="794"/>
      <c r="N422" s="783"/>
      <c r="O422" s="461">
        <v>9</v>
      </c>
      <c r="P422" s="463" t="s">
        <v>4512</v>
      </c>
      <c r="Q422" s="461">
        <v>5</v>
      </c>
      <c r="R422" s="463"/>
      <c r="S422" s="461"/>
      <c r="T422" s="461"/>
      <c r="U422" s="461" t="s">
        <v>4125</v>
      </c>
      <c r="V422" s="462"/>
      <c r="W422" s="462"/>
      <c r="X422" s="462"/>
      <c r="Y422" s="792" t="s">
        <v>5459</v>
      </c>
      <c r="Z422" s="462" t="s">
        <v>184</v>
      </c>
      <c r="AA422" s="141"/>
    </row>
    <row r="423" spans="1:27" s="154" customFormat="1" ht="14.25">
      <c r="A423" s="337"/>
      <c r="B423" s="329"/>
      <c r="C423" s="330"/>
      <c r="D423" s="331"/>
      <c r="E423" s="332"/>
      <c r="F423" s="341"/>
      <c r="G423" s="341"/>
      <c r="H423" s="341"/>
      <c r="I423" s="341"/>
      <c r="J423" s="473"/>
      <c r="K423" s="590"/>
      <c r="L423" s="590"/>
      <c r="M423" s="794"/>
      <c r="N423" s="783"/>
      <c r="O423" s="461">
        <v>10</v>
      </c>
      <c r="P423" s="463" t="s">
        <v>5460</v>
      </c>
      <c r="Q423" s="860">
        <v>3</v>
      </c>
      <c r="R423" s="463"/>
      <c r="S423" s="461"/>
      <c r="T423" s="461"/>
      <c r="U423" s="461" t="s">
        <v>4125</v>
      </c>
      <c r="V423" s="462"/>
      <c r="W423" s="462"/>
      <c r="X423" s="462"/>
      <c r="Y423" s="792" t="s">
        <v>5461</v>
      </c>
      <c r="Z423" s="861">
        <v>2</v>
      </c>
      <c r="AA423" s="141"/>
    </row>
    <row r="424" spans="1:27" s="154" customFormat="1" ht="14.25">
      <c r="A424" s="470"/>
      <c r="B424" s="329"/>
      <c r="C424" s="336"/>
      <c r="D424" s="331"/>
      <c r="E424" s="332"/>
      <c r="F424" s="332"/>
      <c r="G424" s="332"/>
      <c r="H424" s="332"/>
      <c r="I424" s="332"/>
      <c r="J424" s="461"/>
      <c r="K424" s="624"/>
      <c r="L424" s="624"/>
      <c r="M424" s="785"/>
      <c r="N424" s="783"/>
      <c r="O424" s="176">
        <v>11</v>
      </c>
      <c r="P424" s="479" t="s">
        <v>3547</v>
      </c>
      <c r="Q424" s="868">
        <v>3</v>
      </c>
      <c r="R424" s="479"/>
      <c r="S424" s="176"/>
      <c r="T424" s="176"/>
      <c r="U424" s="176" t="s">
        <v>4125</v>
      </c>
      <c r="V424" s="480"/>
      <c r="W424" s="480"/>
      <c r="X424" s="480" t="s">
        <v>4125</v>
      </c>
      <c r="Y424" s="526" t="s">
        <v>5462</v>
      </c>
      <c r="Z424" s="867">
        <v>2</v>
      </c>
      <c r="AA424" s="141"/>
    </row>
    <row r="425" spans="1:27" s="154" customFormat="1" ht="14.25">
      <c r="A425" s="470"/>
      <c r="B425" s="329"/>
      <c r="C425" s="336"/>
      <c r="D425" s="331"/>
      <c r="E425" s="332"/>
      <c r="F425" s="332"/>
      <c r="G425" s="332"/>
      <c r="H425" s="332"/>
      <c r="I425" s="332"/>
      <c r="J425" s="461"/>
      <c r="K425" s="624"/>
      <c r="L425" s="624"/>
      <c r="M425" s="785"/>
      <c r="N425" s="783"/>
      <c r="O425" s="176">
        <v>12</v>
      </c>
      <c r="P425" s="479" t="s">
        <v>3558</v>
      </c>
      <c r="Q425" s="868">
        <v>3</v>
      </c>
      <c r="R425" s="479"/>
      <c r="S425" s="176"/>
      <c r="T425" s="176"/>
      <c r="U425" s="176" t="s">
        <v>4125</v>
      </c>
      <c r="V425" s="480"/>
      <c r="W425" s="480"/>
      <c r="X425" s="480"/>
      <c r="Y425" s="526" t="s">
        <v>5463</v>
      </c>
      <c r="Z425" s="867">
        <v>2</v>
      </c>
      <c r="AA425" s="141"/>
    </row>
    <row r="426" spans="1:27" s="154" customFormat="1" ht="71.25" customHeight="1">
      <c r="A426" s="470"/>
      <c r="B426" s="329"/>
      <c r="C426" s="465"/>
      <c r="D426" s="340"/>
      <c r="E426" s="466"/>
      <c r="F426" s="466"/>
      <c r="G426" s="466"/>
      <c r="H426" s="466"/>
      <c r="I426" s="466"/>
      <c r="J426" s="176"/>
      <c r="K426" s="588"/>
      <c r="L426" s="588"/>
      <c r="M426" s="780"/>
      <c r="N426" s="781"/>
      <c r="O426" s="176">
        <v>13</v>
      </c>
      <c r="P426" s="479" t="s">
        <v>5464</v>
      </c>
      <c r="Q426" s="868">
        <v>3</v>
      </c>
      <c r="R426" s="479"/>
      <c r="S426" s="176"/>
      <c r="T426" s="176"/>
      <c r="U426" s="176" t="s">
        <v>4125</v>
      </c>
      <c r="V426" s="480"/>
      <c r="W426" s="480"/>
      <c r="X426" s="480"/>
      <c r="Y426" s="526" t="s">
        <v>5465</v>
      </c>
      <c r="Z426" s="867">
        <v>2</v>
      </c>
      <c r="AA426" s="141"/>
    </row>
    <row r="427" spans="1:27" s="154" customFormat="1" ht="71.25" customHeight="1">
      <c r="A427" s="470"/>
      <c r="B427" s="329"/>
      <c r="C427" s="465"/>
      <c r="D427" s="340"/>
      <c r="E427" s="466"/>
      <c r="F427" s="466"/>
      <c r="G427" s="466"/>
      <c r="H427" s="466"/>
      <c r="I427" s="466"/>
      <c r="J427" s="176"/>
      <c r="K427" s="588"/>
      <c r="L427" s="588"/>
      <c r="M427" s="780"/>
      <c r="N427" s="781"/>
      <c r="O427" s="176">
        <v>14</v>
      </c>
      <c r="P427" s="479" t="s">
        <v>4245</v>
      </c>
      <c r="Q427" s="868">
        <v>3</v>
      </c>
      <c r="R427" s="479"/>
      <c r="S427" s="176"/>
      <c r="T427" s="176"/>
      <c r="U427" s="176" t="s">
        <v>4125</v>
      </c>
      <c r="V427" s="480"/>
      <c r="W427" s="480"/>
      <c r="X427" s="480"/>
      <c r="Y427" s="526" t="s">
        <v>5466</v>
      </c>
      <c r="Z427" s="867">
        <v>2</v>
      </c>
      <c r="AA427" s="141"/>
    </row>
    <row r="428" spans="1:27" s="154" customFormat="1" ht="71.25" customHeight="1">
      <c r="A428" s="470"/>
      <c r="B428" s="329"/>
      <c r="C428" s="465"/>
      <c r="D428" s="340"/>
      <c r="E428" s="466"/>
      <c r="F428" s="466"/>
      <c r="G428" s="466"/>
      <c r="H428" s="466"/>
      <c r="I428" s="466"/>
      <c r="J428" s="176"/>
      <c r="K428" s="588"/>
      <c r="L428" s="588"/>
      <c r="M428" s="780"/>
      <c r="N428" s="781"/>
      <c r="O428" s="176">
        <v>15</v>
      </c>
      <c r="P428" s="479" t="s">
        <v>4225</v>
      </c>
      <c r="Q428" s="868">
        <v>3</v>
      </c>
      <c r="R428" s="479"/>
      <c r="S428" s="176"/>
      <c r="T428" s="176"/>
      <c r="U428" s="176" t="s">
        <v>4125</v>
      </c>
      <c r="V428" s="480"/>
      <c r="W428" s="480"/>
      <c r="X428" s="480"/>
      <c r="Y428" s="526" t="s">
        <v>5467</v>
      </c>
      <c r="Z428" s="867">
        <v>2</v>
      </c>
      <c r="AA428" s="141"/>
    </row>
    <row r="429" spans="1:27" s="154" customFormat="1" ht="45" customHeight="1">
      <c r="A429" s="470"/>
      <c r="B429" s="329"/>
      <c r="C429" s="465"/>
      <c r="D429" s="340"/>
      <c r="E429" s="466"/>
      <c r="F429" s="466"/>
      <c r="G429" s="466"/>
      <c r="H429" s="466"/>
      <c r="I429" s="466"/>
      <c r="J429" s="176"/>
      <c r="K429" s="588"/>
      <c r="L429" s="588"/>
      <c r="M429" s="780"/>
      <c r="N429" s="781"/>
      <c r="O429" s="176">
        <v>16</v>
      </c>
      <c r="P429" s="479" t="s">
        <v>5468</v>
      </c>
      <c r="Q429" s="868">
        <v>3</v>
      </c>
      <c r="R429" s="479"/>
      <c r="S429" s="176"/>
      <c r="T429" s="176"/>
      <c r="U429" s="176" t="s">
        <v>4125</v>
      </c>
      <c r="V429" s="480"/>
      <c r="W429" s="480"/>
      <c r="X429" s="480"/>
      <c r="Y429" s="526" t="s">
        <v>5469</v>
      </c>
      <c r="Z429" s="867">
        <v>2</v>
      </c>
      <c r="AA429" s="141"/>
    </row>
    <row r="430" spans="1:27" s="154" customFormat="1" ht="51">
      <c r="A430" s="470"/>
      <c r="B430" s="329"/>
      <c r="C430" s="465"/>
      <c r="D430" s="340"/>
      <c r="E430" s="466"/>
      <c r="F430" s="466"/>
      <c r="G430" s="466"/>
      <c r="H430" s="466"/>
      <c r="I430" s="466"/>
      <c r="J430" s="176"/>
      <c r="K430" s="588"/>
      <c r="L430" s="588"/>
      <c r="M430" s="780"/>
      <c r="N430" s="781"/>
      <c r="O430" s="868">
        <v>17</v>
      </c>
      <c r="P430" s="995" t="s">
        <v>5470</v>
      </c>
      <c r="Q430" s="868">
        <v>3</v>
      </c>
      <c r="R430" s="995"/>
      <c r="S430" s="868"/>
      <c r="T430" s="868"/>
      <c r="U430" s="868" t="s">
        <v>4125</v>
      </c>
      <c r="V430" s="867"/>
      <c r="W430" s="867"/>
      <c r="X430" s="867"/>
      <c r="Y430" s="996" t="s">
        <v>5471</v>
      </c>
      <c r="Z430" s="867">
        <v>2</v>
      </c>
      <c r="AA430" s="141"/>
    </row>
    <row r="431" spans="1:27" s="154" customFormat="1" ht="14.25">
      <c r="A431" s="308"/>
      <c r="B431" s="329"/>
      <c r="C431" s="491"/>
      <c r="D431" s="345"/>
      <c r="E431" s="405"/>
      <c r="F431" s="405"/>
      <c r="G431" s="405"/>
      <c r="H431" s="405"/>
      <c r="I431" s="405"/>
      <c r="J431" s="405"/>
      <c r="K431" s="492"/>
      <c r="L431" s="492"/>
      <c r="M431" s="493"/>
      <c r="N431" s="494"/>
      <c r="O431" s="467"/>
      <c r="P431" s="465"/>
      <c r="Q431" s="466"/>
      <c r="R431" s="479"/>
      <c r="S431" s="176"/>
      <c r="T431" s="176"/>
      <c r="U431" s="176"/>
      <c r="V431" s="480"/>
      <c r="W431" s="480"/>
      <c r="X431" s="480"/>
      <c r="Y431" s="488"/>
      <c r="Z431" s="470"/>
      <c r="AA431" s="141"/>
    </row>
    <row r="432" spans="1:27" s="154" customFormat="1" ht="42.75">
      <c r="A432" s="326" t="s">
        <v>5472</v>
      </c>
      <c r="B432" s="310" t="s">
        <v>500</v>
      </c>
      <c r="C432" s="327" t="s">
        <v>5473</v>
      </c>
      <c r="D432" s="456" t="s">
        <v>745</v>
      </c>
      <c r="E432" s="471"/>
      <c r="F432" s="471"/>
      <c r="G432" s="471"/>
      <c r="H432" s="471"/>
      <c r="I432" s="471"/>
      <c r="J432" s="471"/>
      <c r="K432" s="323" t="s">
        <v>4125</v>
      </c>
      <c r="L432" s="323" t="s">
        <v>4125</v>
      </c>
      <c r="M432" s="958" t="s">
        <v>5474</v>
      </c>
      <c r="N432" s="958" t="s">
        <v>5474</v>
      </c>
      <c r="O432" s="323"/>
      <c r="P432" s="327"/>
      <c r="Q432" s="322"/>
      <c r="R432" s="482"/>
      <c r="S432" s="483"/>
      <c r="T432" s="483"/>
      <c r="U432" s="483"/>
      <c r="V432" s="484"/>
      <c r="W432" s="484"/>
      <c r="X432" s="484"/>
      <c r="Y432" s="955" t="s">
        <v>5475</v>
      </c>
      <c r="Z432" s="326"/>
      <c r="AA432" s="684"/>
    </row>
    <row r="433" spans="1:27" s="154" customFormat="1" ht="14.25">
      <c r="A433" s="315"/>
      <c r="B433" s="458"/>
      <c r="C433" s="330"/>
      <c r="D433" s="459"/>
      <c r="E433" s="341"/>
      <c r="F433" s="341"/>
      <c r="G433" s="341"/>
      <c r="H433" s="341"/>
      <c r="I433" s="341"/>
      <c r="J433" s="473"/>
      <c r="K433" s="590"/>
      <c r="L433" s="590"/>
      <c r="M433" s="590"/>
      <c r="N433" s="624"/>
      <c r="O433" s="590">
        <v>1</v>
      </c>
      <c r="P433" s="472" t="s">
        <v>5476</v>
      </c>
      <c r="Q433" s="473">
        <v>0</v>
      </c>
      <c r="R433" s="461"/>
      <c r="S433" s="461"/>
      <c r="T433" s="461"/>
      <c r="U433" s="461" t="s">
        <v>4125</v>
      </c>
      <c r="V433" s="461"/>
      <c r="W433" s="461"/>
      <c r="X433" s="461"/>
      <c r="Y433" s="789"/>
      <c r="Z433" s="462" t="s">
        <v>138</v>
      </c>
      <c r="AA433" s="683"/>
    </row>
    <row r="434" spans="1:27" s="154" customFormat="1" ht="14.25">
      <c r="A434" s="337"/>
      <c r="B434" s="338"/>
      <c r="C434" s="336"/>
      <c r="D434" s="331"/>
      <c r="E434" s="332"/>
      <c r="F434" s="332"/>
      <c r="G434" s="332"/>
      <c r="H434" s="332"/>
      <c r="I434" s="332"/>
      <c r="J434" s="332"/>
      <c r="K434" s="333"/>
      <c r="L434" s="333"/>
      <c r="M434" s="590"/>
      <c r="N434" s="624"/>
      <c r="O434" s="341">
        <v>2</v>
      </c>
      <c r="P434" s="336" t="s">
        <v>5477</v>
      </c>
      <c r="Q434" s="461">
        <v>0</v>
      </c>
      <c r="R434" s="461"/>
      <c r="S434" s="461"/>
      <c r="T434" s="461"/>
      <c r="U434" s="461" t="s">
        <v>4125</v>
      </c>
      <c r="V434" s="461"/>
      <c r="W434" s="461"/>
      <c r="X434" s="860"/>
      <c r="Y434" s="485"/>
      <c r="Z434" s="861">
        <v>2</v>
      </c>
      <c r="AA434" s="683"/>
    </row>
    <row r="435" spans="1:27" s="154" customFormat="1" ht="14.25">
      <c r="A435" s="337"/>
      <c r="B435" s="338"/>
      <c r="C435" s="336"/>
      <c r="D435" s="331"/>
      <c r="E435" s="332"/>
      <c r="F435" s="332"/>
      <c r="G435" s="332"/>
      <c r="H435" s="332"/>
      <c r="I435" s="332"/>
      <c r="J435" s="332"/>
      <c r="K435" s="333"/>
      <c r="L435" s="333"/>
      <c r="M435" s="590"/>
      <c r="N435" s="624"/>
      <c r="O435" s="341">
        <v>3</v>
      </c>
      <c r="P435" s="336" t="s">
        <v>5478</v>
      </c>
      <c r="Q435" s="461">
        <v>0</v>
      </c>
      <c r="R435" s="461"/>
      <c r="S435" s="461"/>
      <c r="T435" s="461"/>
      <c r="U435" s="461" t="s">
        <v>4125</v>
      </c>
      <c r="V435" s="461"/>
      <c r="W435" s="461"/>
      <c r="X435" s="860"/>
      <c r="Y435" s="485"/>
      <c r="Z435" s="861">
        <v>2</v>
      </c>
      <c r="AA435" s="683"/>
    </row>
    <row r="436" spans="1:27" s="154" customFormat="1" ht="14.25">
      <c r="A436" s="337"/>
      <c r="B436" s="338"/>
      <c r="C436" s="336"/>
      <c r="D436" s="331"/>
      <c r="E436" s="332"/>
      <c r="F436" s="332"/>
      <c r="G436" s="332"/>
      <c r="H436" s="332"/>
      <c r="I436" s="332"/>
      <c r="J436" s="332"/>
      <c r="K436" s="333"/>
      <c r="L436" s="333"/>
      <c r="M436" s="590"/>
      <c r="N436" s="624"/>
      <c r="O436" s="341">
        <v>4</v>
      </c>
      <c r="P436" s="336" t="s">
        <v>5479</v>
      </c>
      <c r="Q436" s="461">
        <v>0</v>
      </c>
      <c r="R436" s="461"/>
      <c r="S436" s="461"/>
      <c r="T436" s="461"/>
      <c r="U436" s="461" t="s">
        <v>4125</v>
      </c>
      <c r="V436" s="461" t="s">
        <v>4125</v>
      </c>
      <c r="W436" s="461"/>
      <c r="X436" s="860"/>
      <c r="Y436" s="485"/>
      <c r="Z436" s="861">
        <v>2</v>
      </c>
      <c r="AA436" s="683"/>
    </row>
    <row r="437" spans="1:27" s="154" customFormat="1" ht="14.25">
      <c r="A437" s="337"/>
      <c r="B437" s="338"/>
      <c r="C437" s="336"/>
      <c r="D437" s="331"/>
      <c r="E437" s="332"/>
      <c r="F437" s="332"/>
      <c r="G437" s="332"/>
      <c r="H437" s="332"/>
      <c r="I437" s="332"/>
      <c r="J437" s="461"/>
      <c r="K437" s="624"/>
      <c r="L437" s="624"/>
      <c r="M437" s="590"/>
      <c r="N437" s="624"/>
      <c r="O437" s="473">
        <v>5</v>
      </c>
      <c r="P437" s="463" t="s">
        <v>5480</v>
      </c>
      <c r="Q437" s="461">
        <v>0</v>
      </c>
      <c r="R437" s="461"/>
      <c r="S437" s="461"/>
      <c r="T437" s="461"/>
      <c r="U437" s="461" t="s">
        <v>4125</v>
      </c>
      <c r="V437" s="461"/>
      <c r="W437" s="461"/>
      <c r="X437" s="461"/>
      <c r="Y437" s="792"/>
      <c r="Z437" s="462" t="s">
        <v>138</v>
      </c>
      <c r="AA437" s="683"/>
    </row>
    <row r="438" spans="1:27" s="154" customFormat="1" ht="14.25">
      <c r="A438" s="337"/>
      <c r="B438" s="338"/>
      <c r="C438" s="336"/>
      <c r="D438" s="331"/>
      <c r="E438" s="332"/>
      <c r="F438" s="332"/>
      <c r="G438" s="332"/>
      <c r="H438" s="332"/>
      <c r="I438" s="332"/>
      <c r="J438" s="461"/>
      <c r="K438" s="624"/>
      <c r="L438" s="624"/>
      <c r="M438" s="590"/>
      <c r="N438" s="624"/>
      <c r="O438" s="473">
        <v>6</v>
      </c>
      <c r="P438" s="463" t="s">
        <v>5481</v>
      </c>
      <c r="Q438" s="461">
        <v>0</v>
      </c>
      <c r="R438" s="461"/>
      <c r="S438" s="461"/>
      <c r="T438" s="461"/>
      <c r="U438" s="461" t="s">
        <v>4125</v>
      </c>
      <c r="V438" s="461"/>
      <c r="W438" s="461"/>
      <c r="X438" s="461"/>
      <c r="Y438" s="792"/>
      <c r="Z438" s="462" t="s">
        <v>138</v>
      </c>
      <c r="AA438" s="683"/>
    </row>
    <row r="439" spans="1:27" s="154" customFormat="1" ht="14.25">
      <c r="A439" s="337"/>
      <c r="B439" s="338"/>
      <c r="C439" s="336"/>
      <c r="D439" s="331"/>
      <c r="E439" s="332"/>
      <c r="F439" s="332"/>
      <c r="G439" s="332"/>
      <c r="H439" s="332"/>
      <c r="I439" s="332"/>
      <c r="J439" s="332"/>
      <c r="K439" s="333"/>
      <c r="L439" s="333"/>
      <c r="M439" s="590"/>
      <c r="N439" s="624"/>
      <c r="O439" s="341">
        <v>7</v>
      </c>
      <c r="P439" s="336" t="s">
        <v>5482</v>
      </c>
      <c r="Q439" s="461">
        <v>0</v>
      </c>
      <c r="R439" s="585"/>
      <c r="S439" s="860"/>
      <c r="T439" s="586"/>
      <c r="U439" s="860" t="s">
        <v>4125</v>
      </c>
      <c r="V439" s="587"/>
      <c r="W439" s="586"/>
      <c r="X439" s="461"/>
      <c r="Y439" s="485"/>
      <c r="Z439" s="861">
        <v>2</v>
      </c>
      <c r="AA439" s="683"/>
    </row>
    <row r="440" spans="1:27" s="154" customFormat="1" ht="14.25">
      <c r="A440" s="337"/>
      <c r="B440" s="338"/>
      <c r="C440" s="336"/>
      <c r="D440" s="331"/>
      <c r="E440" s="332"/>
      <c r="F440" s="332"/>
      <c r="G440" s="332"/>
      <c r="H440" s="332"/>
      <c r="I440" s="332"/>
      <c r="J440" s="332"/>
      <c r="K440" s="333"/>
      <c r="L440" s="333"/>
      <c r="M440" s="334"/>
      <c r="N440" s="335"/>
      <c r="O440" s="956">
        <v>8</v>
      </c>
      <c r="P440" s="957" t="s">
        <v>5475</v>
      </c>
      <c r="Q440" s="332"/>
      <c r="R440" s="463"/>
      <c r="S440" s="461"/>
      <c r="T440" s="461"/>
      <c r="U440" s="461"/>
      <c r="V440" s="462"/>
      <c r="W440" s="462"/>
      <c r="X440" s="462"/>
      <c r="Y440" s="485"/>
      <c r="Z440" s="337"/>
      <c r="AA440" s="683"/>
    </row>
    <row r="441" spans="1:27" s="154" customFormat="1" ht="51">
      <c r="A441" s="470"/>
      <c r="B441" s="329"/>
      <c r="C441" s="465"/>
      <c r="D441" s="340"/>
      <c r="E441" s="466"/>
      <c r="F441" s="466"/>
      <c r="G441" s="466"/>
      <c r="H441" s="466"/>
      <c r="I441" s="466"/>
      <c r="J441" s="176"/>
      <c r="K441" s="588"/>
      <c r="L441" s="588"/>
      <c r="M441" s="780"/>
      <c r="N441" s="781"/>
      <c r="O441" s="868">
        <v>9</v>
      </c>
      <c r="P441" s="995" t="s">
        <v>5470</v>
      </c>
      <c r="Q441" s="868">
        <v>3</v>
      </c>
      <c r="R441" s="995"/>
      <c r="S441" s="868"/>
      <c r="T441" s="868"/>
      <c r="U441" s="868" t="s">
        <v>4125</v>
      </c>
      <c r="V441" s="867"/>
      <c r="W441" s="867"/>
      <c r="X441" s="867"/>
      <c r="Y441" s="996" t="s">
        <v>5471</v>
      </c>
      <c r="Z441" s="867">
        <v>2</v>
      </c>
      <c r="AA441" s="141"/>
    </row>
    <row r="442" spans="1:27" s="154" customFormat="1" ht="14.25">
      <c r="A442" s="308"/>
      <c r="B442" s="490"/>
      <c r="C442" s="491"/>
      <c r="D442" s="345"/>
      <c r="E442" s="405"/>
      <c r="F442" s="405"/>
      <c r="G442" s="405"/>
      <c r="H442" s="405"/>
      <c r="I442" s="405"/>
      <c r="J442" s="405"/>
      <c r="K442" s="492"/>
      <c r="L442" s="492"/>
      <c r="M442" s="493"/>
      <c r="N442" s="494"/>
      <c r="O442" s="492"/>
      <c r="P442" s="491"/>
      <c r="Q442" s="405"/>
      <c r="R442" s="495"/>
      <c r="S442" s="496"/>
      <c r="T442" s="496"/>
      <c r="U442" s="496"/>
      <c r="V442" s="497"/>
      <c r="W442" s="497"/>
      <c r="X442" s="497"/>
      <c r="Y442" s="498"/>
      <c r="Z442" s="308"/>
      <c r="AA442" s="141"/>
    </row>
    <row r="443" spans="1:27" s="154" customFormat="1" ht="28.5">
      <c r="A443" s="876" t="s">
        <v>5483</v>
      </c>
      <c r="B443" s="877" t="s">
        <v>5424</v>
      </c>
      <c r="C443" s="878" t="s">
        <v>5484</v>
      </c>
      <c r="D443" s="879" t="s">
        <v>745</v>
      </c>
      <c r="E443" s="880"/>
      <c r="F443" s="880"/>
      <c r="G443" s="880"/>
      <c r="H443" s="880"/>
      <c r="I443" s="880"/>
      <c r="J443" s="880"/>
      <c r="K443" s="881" t="s">
        <v>4125</v>
      </c>
      <c r="L443" s="881" t="s">
        <v>4125</v>
      </c>
      <c r="M443" s="881" t="s">
        <v>4223</v>
      </c>
      <c r="N443" s="881" t="s">
        <v>5446</v>
      </c>
      <c r="O443" s="881"/>
      <c r="P443" s="878"/>
      <c r="Q443" s="880"/>
      <c r="R443" s="878"/>
      <c r="S443" s="880"/>
      <c r="T443" s="880"/>
      <c r="U443" s="880"/>
      <c r="V443" s="876"/>
      <c r="W443" s="876"/>
      <c r="X443" s="876"/>
      <c r="Y443" s="882"/>
      <c r="Z443" s="876"/>
      <c r="AA443" s="684"/>
    </row>
    <row r="444" spans="1:27" s="154" customFormat="1" ht="42.75">
      <c r="A444" s="883"/>
      <c r="B444" s="884"/>
      <c r="C444" s="885"/>
      <c r="D444" s="886"/>
      <c r="E444" s="887"/>
      <c r="F444" s="887"/>
      <c r="G444" s="887"/>
      <c r="H444" s="887"/>
      <c r="I444" s="887"/>
      <c r="J444" s="887"/>
      <c r="K444" s="888"/>
      <c r="L444" s="888"/>
      <c r="M444" s="888" t="s">
        <v>5447</v>
      </c>
      <c r="N444" s="889" t="s">
        <v>4229</v>
      </c>
      <c r="O444" s="888">
        <v>1</v>
      </c>
      <c r="P444" s="885" t="s">
        <v>5420</v>
      </c>
      <c r="Q444" s="887">
        <v>0</v>
      </c>
      <c r="R444" s="885"/>
      <c r="S444" s="887"/>
      <c r="T444" s="887"/>
      <c r="U444" s="887" t="s">
        <v>4125</v>
      </c>
      <c r="V444" s="883" t="s">
        <v>4125</v>
      </c>
      <c r="W444" s="883"/>
      <c r="X444" s="883" t="s">
        <v>4125</v>
      </c>
      <c r="Y444" s="890" t="s">
        <v>5421</v>
      </c>
      <c r="Z444" s="883" t="s">
        <v>184</v>
      </c>
      <c r="AA444" s="683"/>
    </row>
    <row r="445" spans="1:27" s="154" customFormat="1" ht="57">
      <c r="A445" s="891"/>
      <c r="B445" s="892"/>
      <c r="C445" s="893"/>
      <c r="D445" s="894"/>
      <c r="E445" s="895"/>
      <c r="F445" s="895"/>
      <c r="G445" s="895"/>
      <c r="H445" s="895"/>
      <c r="I445" s="895"/>
      <c r="J445" s="895"/>
      <c r="K445" s="889"/>
      <c r="L445" s="889"/>
      <c r="M445" s="888" t="s">
        <v>5449</v>
      </c>
      <c r="N445" s="889" t="s">
        <v>5450</v>
      </c>
      <c r="O445" s="889">
        <v>2</v>
      </c>
      <c r="P445" s="893" t="s">
        <v>5485</v>
      </c>
      <c r="Q445" s="895">
        <v>0</v>
      </c>
      <c r="R445" s="893"/>
      <c r="S445" s="895"/>
      <c r="T445" s="895"/>
      <c r="U445" s="895" t="s">
        <v>4125</v>
      </c>
      <c r="V445" s="891"/>
      <c r="W445" s="891"/>
      <c r="X445" s="891" t="s">
        <v>4125</v>
      </c>
      <c r="Y445" s="896"/>
      <c r="Z445" s="891" t="s">
        <v>184</v>
      </c>
      <c r="AA445" s="683"/>
    </row>
    <row r="446" spans="1:27" s="154" customFormat="1" ht="28.5">
      <c r="A446" s="891"/>
      <c r="B446" s="892"/>
      <c r="C446" s="893"/>
      <c r="D446" s="894"/>
      <c r="E446" s="895"/>
      <c r="F446" s="895"/>
      <c r="G446" s="895"/>
      <c r="H446" s="895"/>
      <c r="I446" s="895"/>
      <c r="J446" s="895"/>
      <c r="K446" s="889"/>
      <c r="L446" s="889"/>
      <c r="M446" s="888" t="s">
        <v>5452</v>
      </c>
      <c r="N446" s="889" t="s">
        <v>5453</v>
      </c>
      <c r="O446" s="889">
        <v>3</v>
      </c>
      <c r="P446" s="893" t="s">
        <v>5486</v>
      </c>
      <c r="Q446" s="895">
        <v>0</v>
      </c>
      <c r="R446" s="893"/>
      <c r="S446" s="895"/>
      <c r="T446" s="895"/>
      <c r="U446" s="895" t="s">
        <v>4125</v>
      </c>
      <c r="V446" s="891"/>
      <c r="W446" s="891"/>
      <c r="X446" s="891" t="s">
        <v>4125</v>
      </c>
      <c r="Y446" s="896"/>
      <c r="Z446" s="891" t="s">
        <v>184</v>
      </c>
      <c r="AA446" s="683"/>
    </row>
    <row r="447" spans="1:27" s="154" customFormat="1" ht="14.25">
      <c r="A447" s="897"/>
      <c r="B447" s="898"/>
      <c r="C447" s="899"/>
      <c r="D447" s="900"/>
      <c r="E447" s="901"/>
      <c r="F447" s="901"/>
      <c r="G447" s="901"/>
      <c r="H447" s="901"/>
      <c r="I447" s="901"/>
      <c r="J447" s="901"/>
      <c r="K447" s="902"/>
      <c r="L447" s="902"/>
      <c r="M447" s="903"/>
      <c r="N447" s="904"/>
      <c r="O447" s="902"/>
      <c r="P447" s="899"/>
      <c r="Q447" s="901"/>
      <c r="R447" s="899"/>
      <c r="S447" s="901"/>
      <c r="T447" s="901"/>
      <c r="U447" s="901"/>
      <c r="V447" s="897"/>
      <c r="W447" s="897"/>
      <c r="X447" s="897"/>
      <c r="Y447" s="905"/>
      <c r="Z447" s="897"/>
      <c r="AA447" s="683"/>
    </row>
    <row r="448" spans="1:27" s="154" customFormat="1" ht="28.5">
      <c r="A448" s="876" t="s">
        <v>5487</v>
      </c>
      <c r="B448" s="877" t="s">
        <v>5424</v>
      </c>
      <c r="C448" s="878" t="s">
        <v>5488</v>
      </c>
      <c r="D448" s="879" t="s">
        <v>745</v>
      </c>
      <c r="E448" s="880"/>
      <c r="F448" s="880"/>
      <c r="G448" s="880"/>
      <c r="H448" s="880"/>
      <c r="I448" s="880"/>
      <c r="J448" s="880"/>
      <c r="K448" s="881" t="s">
        <v>4125</v>
      </c>
      <c r="L448" s="881" t="s">
        <v>4125</v>
      </c>
      <c r="M448" s="881" t="s">
        <v>5452</v>
      </c>
      <c r="N448" s="881" t="s">
        <v>5453</v>
      </c>
      <c r="O448" s="881"/>
      <c r="P448" s="878"/>
      <c r="Q448" s="880"/>
      <c r="R448" s="878"/>
      <c r="S448" s="880"/>
      <c r="T448" s="880"/>
      <c r="U448" s="880"/>
      <c r="V448" s="876"/>
      <c r="W448" s="876"/>
      <c r="X448" s="876"/>
      <c r="Y448" s="882" t="s">
        <v>5489</v>
      </c>
      <c r="Z448" s="876"/>
      <c r="AA448" s="683"/>
    </row>
    <row r="449" spans="1:27" s="154" customFormat="1" ht="57">
      <c r="A449" s="883"/>
      <c r="B449" s="884"/>
      <c r="C449" s="885"/>
      <c r="D449" s="886"/>
      <c r="E449" s="887"/>
      <c r="F449" s="887"/>
      <c r="G449" s="887"/>
      <c r="H449" s="887"/>
      <c r="I449" s="887"/>
      <c r="J449" s="887"/>
      <c r="K449" s="888"/>
      <c r="L449" s="888"/>
      <c r="M449" s="888" t="s">
        <v>5490</v>
      </c>
      <c r="N449" s="888" t="s">
        <v>5491</v>
      </c>
      <c r="O449" s="888">
        <v>1</v>
      </c>
      <c r="P449" s="885" t="s">
        <v>5420</v>
      </c>
      <c r="Q449" s="887">
        <v>0</v>
      </c>
      <c r="R449" s="885"/>
      <c r="S449" s="887"/>
      <c r="T449" s="887"/>
      <c r="U449" s="887" t="s">
        <v>4125</v>
      </c>
      <c r="V449" s="883" t="s">
        <v>4125</v>
      </c>
      <c r="W449" s="883"/>
      <c r="X449" s="883" t="s">
        <v>4125</v>
      </c>
      <c r="Y449" s="890" t="s">
        <v>5421</v>
      </c>
      <c r="Z449" s="883" t="s">
        <v>138</v>
      </c>
      <c r="AA449" s="683"/>
    </row>
    <row r="450" spans="1:27" s="154" customFormat="1" ht="71.25">
      <c r="A450" s="891"/>
      <c r="B450" s="892"/>
      <c r="C450" s="893"/>
      <c r="D450" s="894"/>
      <c r="E450" s="895"/>
      <c r="F450" s="895"/>
      <c r="G450" s="895"/>
      <c r="H450" s="895"/>
      <c r="I450" s="895"/>
      <c r="J450" s="895"/>
      <c r="K450" s="889"/>
      <c r="L450" s="889"/>
      <c r="M450" s="888" t="s">
        <v>5492</v>
      </c>
      <c r="N450" s="888" t="s">
        <v>5493</v>
      </c>
      <c r="O450" s="889">
        <v>2</v>
      </c>
      <c r="P450" s="893" t="s">
        <v>5494</v>
      </c>
      <c r="Q450" s="895">
        <v>0</v>
      </c>
      <c r="R450" s="893"/>
      <c r="S450" s="895"/>
      <c r="T450" s="895"/>
      <c r="U450" s="895" t="s">
        <v>4125</v>
      </c>
      <c r="V450" s="891"/>
      <c r="W450" s="891"/>
      <c r="X450" s="891" t="s">
        <v>4125</v>
      </c>
      <c r="Y450" s="896"/>
      <c r="Z450" s="891" t="s">
        <v>138</v>
      </c>
      <c r="AA450" s="683"/>
    </row>
    <row r="451" spans="1:27" s="154" customFormat="1" ht="14.25">
      <c r="A451" s="897"/>
      <c r="B451" s="898"/>
      <c r="C451" s="899"/>
      <c r="D451" s="900"/>
      <c r="E451" s="901"/>
      <c r="F451" s="901"/>
      <c r="G451" s="901"/>
      <c r="H451" s="901"/>
      <c r="I451" s="901"/>
      <c r="J451" s="901"/>
      <c r="K451" s="902"/>
      <c r="L451" s="902"/>
      <c r="M451" s="903"/>
      <c r="N451" s="904"/>
      <c r="O451" s="902"/>
      <c r="P451" s="899"/>
      <c r="Q451" s="901"/>
      <c r="R451" s="899"/>
      <c r="S451" s="901"/>
      <c r="T451" s="901"/>
      <c r="U451" s="901"/>
      <c r="V451" s="897"/>
      <c r="W451" s="897"/>
      <c r="X451" s="897"/>
      <c r="Y451" s="905"/>
      <c r="Z451" s="897"/>
      <c r="AA451" s="686"/>
    </row>
    <row r="452" spans="1:27" s="154" customFormat="1" ht="54.75" customHeight="1">
      <c r="A452" s="326" t="s">
        <v>5495</v>
      </c>
      <c r="B452" s="310" t="s">
        <v>5424</v>
      </c>
      <c r="C452" s="327" t="s">
        <v>5496</v>
      </c>
      <c r="D452" s="456" t="s">
        <v>5023</v>
      </c>
      <c r="E452" s="471"/>
      <c r="F452" s="471"/>
      <c r="G452" s="471"/>
      <c r="H452" s="471"/>
      <c r="I452" s="471"/>
      <c r="J452" s="693">
        <v>4.8</v>
      </c>
      <c r="K452" s="779" t="s">
        <v>4125</v>
      </c>
      <c r="L452" s="779" t="s">
        <v>4125</v>
      </c>
      <c r="M452" s="779" t="s">
        <v>5452</v>
      </c>
      <c r="N452" s="779" t="s">
        <v>5453</v>
      </c>
      <c r="O452" s="779"/>
      <c r="P452" s="482"/>
      <c r="Q452" s="483"/>
      <c r="R452" s="482"/>
      <c r="S452" s="483"/>
      <c r="T452" s="483"/>
      <c r="U452" s="483"/>
      <c r="V452" s="484"/>
      <c r="W452" s="484"/>
      <c r="X452" s="484"/>
      <c r="Y452" s="793" t="s">
        <v>5489</v>
      </c>
      <c r="Z452" s="484">
        <v>1</v>
      </c>
      <c r="AA452" s="141"/>
    </row>
    <row r="453" spans="1:27" s="154" customFormat="1" ht="92.25" customHeight="1">
      <c r="A453" s="395"/>
      <c r="B453" s="458"/>
      <c r="C453" s="330"/>
      <c r="D453" s="459"/>
      <c r="E453" s="341"/>
      <c r="F453" s="341"/>
      <c r="G453" s="341"/>
      <c r="H453" s="341"/>
      <c r="I453" s="341"/>
      <c r="J453" s="523"/>
      <c r="K453" s="590"/>
      <c r="L453" s="590"/>
      <c r="M453" s="590" t="s">
        <v>5490</v>
      </c>
      <c r="N453" s="590" t="s">
        <v>5497</v>
      </c>
      <c r="O453" s="590">
        <v>1</v>
      </c>
      <c r="P453" s="472" t="s">
        <v>5498</v>
      </c>
      <c r="Q453" s="473">
        <v>0</v>
      </c>
      <c r="R453" s="461"/>
      <c r="S453" s="461"/>
      <c r="T453" s="461"/>
      <c r="U453" s="461" t="s">
        <v>4125</v>
      </c>
      <c r="V453" s="461"/>
      <c r="W453" s="461"/>
      <c r="X453" s="461"/>
      <c r="Y453" s="668"/>
      <c r="Z453" s="462" t="s">
        <v>138</v>
      </c>
      <c r="AA453" s="141"/>
    </row>
    <row r="454" spans="1:27" s="154" customFormat="1" ht="92.25" customHeight="1">
      <c r="A454" s="395"/>
      <c r="B454" s="458"/>
      <c r="C454" s="330"/>
      <c r="D454" s="459"/>
      <c r="E454" s="341"/>
      <c r="F454" s="341"/>
      <c r="G454" s="341"/>
      <c r="H454" s="341"/>
      <c r="I454" s="341"/>
      <c r="J454" s="486"/>
      <c r="K454" s="342"/>
      <c r="L454" s="342"/>
      <c r="M454" s="342" t="s">
        <v>5492</v>
      </c>
      <c r="N454" s="342" t="s">
        <v>5493</v>
      </c>
      <c r="O454" s="341">
        <v>2</v>
      </c>
      <c r="P454" s="336" t="s">
        <v>5499</v>
      </c>
      <c r="Q454" s="461">
        <v>0</v>
      </c>
      <c r="R454" s="461"/>
      <c r="S454" s="461"/>
      <c r="T454" s="461"/>
      <c r="U454" s="461" t="s">
        <v>4125</v>
      </c>
      <c r="V454" s="461"/>
      <c r="W454" s="461"/>
      <c r="X454" s="860"/>
      <c r="Y454" s="584"/>
      <c r="Z454" s="861">
        <v>2</v>
      </c>
      <c r="AA454" s="141"/>
    </row>
    <row r="455" spans="1:27" s="154" customFormat="1" ht="15">
      <c r="A455" s="395"/>
      <c r="B455" s="458"/>
      <c r="C455" s="330"/>
      <c r="D455" s="459"/>
      <c r="E455" s="341"/>
      <c r="F455" s="341"/>
      <c r="G455" s="341"/>
      <c r="H455" s="341"/>
      <c r="I455" s="341"/>
      <c r="J455" s="486"/>
      <c r="K455" s="342"/>
      <c r="L455" s="342"/>
      <c r="M455" s="342"/>
      <c r="N455" s="344"/>
      <c r="O455" s="341">
        <v>3</v>
      </c>
      <c r="P455" s="336" t="s">
        <v>5500</v>
      </c>
      <c r="Q455" s="461">
        <v>0</v>
      </c>
      <c r="R455" s="461"/>
      <c r="S455" s="461"/>
      <c r="T455" s="461"/>
      <c r="U455" s="461" t="s">
        <v>4125</v>
      </c>
      <c r="V455" s="461"/>
      <c r="W455" s="461"/>
      <c r="X455" s="860"/>
      <c r="Y455" s="584"/>
      <c r="Z455" s="861">
        <v>2</v>
      </c>
      <c r="AA455" s="141"/>
    </row>
    <row r="456" spans="1:27" s="154" customFormat="1" ht="15">
      <c r="A456" s="395"/>
      <c r="B456" s="458"/>
      <c r="C456" s="330"/>
      <c r="D456" s="459"/>
      <c r="E456" s="341"/>
      <c r="F456" s="341"/>
      <c r="G456" s="341"/>
      <c r="H456" s="341"/>
      <c r="I456" s="341"/>
      <c r="J456" s="486"/>
      <c r="K456" s="342"/>
      <c r="L456" s="342"/>
      <c r="M456" s="343"/>
      <c r="N456" s="344"/>
      <c r="O456" s="341">
        <v>4</v>
      </c>
      <c r="P456" s="336" t="s">
        <v>5501</v>
      </c>
      <c r="Q456" s="461">
        <v>0</v>
      </c>
      <c r="R456" s="461"/>
      <c r="S456" s="461"/>
      <c r="T456" s="461"/>
      <c r="U456" s="461" t="s">
        <v>4125</v>
      </c>
      <c r="V456" s="461" t="s">
        <v>4125</v>
      </c>
      <c r="W456" s="461"/>
      <c r="X456" s="860"/>
      <c r="Y456" s="584"/>
      <c r="Z456" s="861">
        <v>2</v>
      </c>
      <c r="AA456" s="141"/>
    </row>
    <row r="457" spans="1:27" s="154" customFormat="1" ht="15">
      <c r="A457" s="395"/>
      <c r="B457" s="458"/>
      <c r="C457" s="330"/>
      <c r="D457" s="459"/>
      <c r="E457" s="341"/>
      <c r="F457" s="341"/>
      <c r="G457" s="341"/>
      <c r="H457" s="341"/>
      <c r="I457" s="341"/>
      <c r="J457" s="523"/>
      <c r="K457" s="590"/>
      <c r="L457" s="590"/>
      <c r="M457" s="794"/>
      <c r="N457" s="795"/>
      <c r="O457" s="473">
        <v>5</v>
      </c>
      <c r="P457" s="463" t="s">
        <v>5502</v>
      </c>
      <c r="Q457" s="461">
        <v>0</v>
      </c>
      <c r="R457" s="461"/>
      <c r="S457" s="461"/>
      <c r="T457" s="461"/>
      <c r="U457" s="461" t="s">
        <v>4125</v>
      </c>
      <c r="V457" s="461"/>
      <c r="W457" s="461"/>
      <c r="X457" s="461"/>
      <c r="Y457" s="668"/>
      <c r="Z457" s="462" t="s">
        <v>138</v>
      </c>
      <c r="AA457" s="141"/>
    </row>
    <row r="458" spans="1:27" s="154" customFormat="1" ht="15">
      <c r="A458" s="395"/>
      <c r="B458" s="458"/>
      <c r="C458" s="330"/>
      <c r="D458" s="459"/>
      <c r="E458" s="341"/>
      <c r="F458" s="341"/>
      <c r="G458" s="341"/>
      <c r="H458" s="341"/>
      <c r="I458" s="341"/>
      <c r="J458" s="523"/>
      <c r="K458" s="590"/>
      <c r="L458" s="590"/>
      <c r="M458" s="794"/>
      <c r="N458" s="795"/>
      <c r="O458" s="473">
        <v>6</v>
      </c>
      <c r="P458" s="463" t="s">
        <v>5503</v>
      </c>
      <c r="Q458" s="461">
        <v>0</v>
      </c>
      <c r="R458" s="461"/>
      <c r="S458" s="461"/>
      <c r="T458" s="461"/>
      <c r="U458" s="461" t="s">
        <v>4125</v>
      </c>
      <c r="V458" s="461"/>
      <c r="W458" s="461"/>
      <c r="X458" s="461"/>
      <c r="Y458" s="668"/>
      <c r="Z458" s="462" t="s">
        <v>138</v>
      </c>
      <c r="AA458" s="141"/>
    </row>
    <row r="459" spans="1:27" s="154" customFormat="1" ht="15">
      <c r="A459" s="395"/>
      <c r="B459" s="458"/>
      <c r="C459" s="330"/>
      <c r="D459" s="459"/>
      <c r="E459" s="341"/>
      <c r="F459" s="341"/>
      <c r="G459" s="341"/>
      <c r="H459" s="341"/>
      <c r="I459" s="341"/>
      <c r="J459" s="486"/>
      <c r="K459" s="342"/>
      <c r="L459" s="342"/>
      <c r="M459" s="343"/>
      <c r="N459" s="344"/>
      <c r="O459" s="342">
        <v>7</v>
      </c>
      <c r="P459" s="336" t="s">
        <v>5504</v>
      </c>
      <c r="Q459" s="461">
        <v>0</v>
      </c>
      <c r="R459" s="585"/>
      <c r="S459" s="860"/>
      <c r="T459" s="586"/>
      <c r="U459" s="860" t="s">
        <v>4125</v>
      </c>
      <c r="V459" s="587"/>
      <c r="W459" s="586"/>
      <c r="X459" s="461"/>
      <c r="Y459" s="584"/>
      <c r="Z459" s="861">
        <v>2</v>
      </c>
      <c r="AA459" s="141"/>
    </row>
    <row r="460" spans="1:27" s="154" customFormat="1" ht="14.25">
      <c r="A460" s="395"/>
      <c r="B460" s="458"/>
      <c r="C460" s="330"/>
      <c r="D460" s="331"/>
      <c r="E460" s="341"/>
      <c r="F460" s="341"/>
      <c r="G460" s="341"/>
      <c r="H460" s="341"/>
      <c r="I460" s="341"/>
      <c r="J460" s="523"/>
      <c r="K460" s="590"/>
      <c r="L460" s="590"/>
      <c r="M460" s="794"/>
      <c r="N460" s="795"/>
      <c r="O460" s="473">
        <v>8</v>
      </c>
      <c r="P460" s="463" t="s">
        <v>5420</v>
      </c>
      <c r="Q460" s="473">
        <v>0</v>
      </c>
      <c r="R460" s="472"/>
      <c r="S460" s="473"/>
      <c r="T460" s="473"/>
      <c r="U460" s="461" t="s">
        <v>4125</v>
      </c>
      <c r="V460" s="462"/>
      <c r="W460" s="462"/>
      <c r="X460" s="462" t="s">
        <v>4125</v>
      </c>
      <c r="Y460" s="789" t="s">
        <v>5421</v>
      </c>
      <c r="Z460" s="474" t="s">
        <v>184</v>
      </c>
      <c r="AA460" s="141"/>
    </row>
    <row r="461" spans="1:27" s="154" customFormat="1" ht="14.25">
      <c r="A461" s="395"/>
      <c r="B461" s="458"/>
      <c r="C461" s="330"/>
      <c r="D461" s="331"/>
      <c r="E461" s="341"/>
      <c r="F461" s="341"/>
      <c r="G461" s="341"/>
      <c r="H461" s="341"/>
      <c r="I461" s="341"/>
      <c r="J461" s="523"/>
      <c r="K461" s="590"/>
      <c r="L461" s="590"/>
      <c r="M461" s="794"/>
      <c r="N461" s="795"/>
      <c r="O461" s="473">
        <v>9</v>
      </c>
      <c r="P461" s="472" t="s">
        <v>3511</v>
      </c>
      <c r="Q461" s="868">
        <v>3</v>
      </c>
      <c r="R461" s="472"/>
      <c r="S461" s="473"/>
      <c r="T461" s="473"/>
      <c r="U461" s="473" t="s">
        <v>4125</v>
      </c>
      <c r="V461" s="474"/>
      <c r="W461" s="474"/>
      <c r="X461" s="474"/>
      <c r="Y461" s="789" t="s">
        <v>5505</v>
      </c>
      <c r="Z461" s="869">
        <v>2</v>
      </c>
      <c r="AA461" s="141"/>
    </row>
    <row r="462" spans="1:27" s="154" customFormat="1" ht="14.25">
      <c r="A462" s="500"/>
      <c r="B462" s="329"/>
      <c r="C462" s="330"/>
      <c r="D462" s="340"/>
      <c r="E462" s="341"/>
      <c r="F462" s="341"/>
      <c r="G462" s="341"/>
      <c r="H462" s="341"/>
      <c r="I462" s="341"/>
      <c r="J462" s="473"/>
      <c r="K462" s="590"/>
      <c r="L462" s="590"/>
      <c r="M462" s="794"/>
      <c r="N462" s="795"/>
      <c r="O462" s="473">
        <v>10</v>
      </c>
      <c r="P462" s="472" t="s">
        <v>3515</v>
      </c>
      <c r="Q462" s="868">
        <v>3</v>
      </c>
      <c r="R462" s="472"/>
      <c r="S462" s="473"/>
      <c r="T462" s="473"/>
      <c r="U462" s="473" t="s">
        <v>4125</v>
      </c>
      <c r="V462" s="474"/>
      <c r="W462" s="462"/>
      <c r="X462" s="474"/>
      <c r="Y462" s="789" t="s">
        <v>5506</v>
      </c>
      <c r="Z462" s="869">
        <v>2</v>
      </c>
      <c r="AA462" s="141"/>
    </row>
    <row r="463" spans="1:27" s="154" customFormat="1" ht="73.5" customHeight="1">
      <c r="A463" s="500"/>
      <c r="B463" s="464"/>
      <c r="C463" s="465"/>
      <c r="D463" s="340"/>
      <c r="E463" s="466"/>
      <c r="F463" s="466"/>
      <c r="G463" s="466"/>
      <c r="H463" s="466"/>
      <c r="I463" s="466"/>
      <c r="J463" s="466"/>
      <c r="K463" s="467"/>
      <c r="L463" s="467"/>
      <c r="M463" s="468"/>
      <c r="N463" s="469"/>
      <c r="O463" s="342">
        <v>11</v>
      </c>
      <c r="P463" s="465" t="s">
        <v>5507</v>
      </c>
      <c r="Q463" s="868">
        <v>3</v>
      </c>
      <c r="R463" s="479"/>
      <c r="S463" s="176"/>
      <c r="T463" s="176" t="s">
        <v>4125</v>
      </c>
      <c r="U463" s="176"/>
      <c r="V463" s="480"/>
      <c r="W463" s="867" t="s">
        <v>4125</v>
      </c>
      <c r="X463" s="480"/>
      <c r="Y463" s="488" t="s">
        <v>5508</v>
      </c>
      <c r="Z463" s="867">
        <v>2</v>
      </c>
      <c r="AA463" s="679"/>
    </row>
    <row r="464" spans="1:27" s="154" customFormat="1" ht="51">
      <c r="A464" s="470"/>
      <c r="B464" s="329"/>
      <c r="C464" s="465"/>
      <c r="D464" s="340"/>
      <c r="E464" s="466"/>
      <c r="F464" s="466"/>
      <c r="G464" s="466"/>
      <c r="H464" s="466"/>
      <c r="I464" s="466"/>
      <c r="J464" s="176"/>
      <c r="K464" s="588"/>
      <c r="L464" s="588"/>
      <c r="M464" s="780"/>
      <c r="N464" s="781"/>
      <c r="O464" s="868">
        <v>12</v>
      </c>
      <c r="P464" s="995" t="s">
        <v>5470</v>
      </c>
      <c r="Q464" s="868">
        <v>3</v>
      </c>
      <c r="R464" s="995"/>
      <c r="S464" s="868"/>
      <c r="T464" s="868"/>
      <c r="U464" s="868" t="s">
        <v>4125</v>
      </c>
      <c r="V464" s="867"/>
      <c r="W464" s="867"/>
      <c r="X464" s="867"/>
      <c r="Y464" s="996" t="s">
        <v>5471</v>
      </c>
      <c r="Z464" s="867">
        <v>2</v>
      </c>
      <c r="AA464" s="141"/>
    </row>
    <row r="465" spans="1:27" s="154" customFormat="1" ht="14.25">
      <c r="A465" s="502"/>
      <c r="B465" s="490"/>
      <c r="C465" s="491"/>
      <c r="D465" s="345"/>
      <c r="E465" s="405"/>
      <c r="F465" s="405"/>
      <c r="G465" s="405"/>
      <c r="H465" s="405"/>
      <c r="I465" s="405"/>
      <c r="J465" s="405"/>
      <c r="K465" s="492"/>
      <c r="L465" s="492"/>
      <c r="M465" s="493"/>
      <c r="N465" s="494"/>
      <c r="O465" s="492"/>
      <c r="P465" s="491"/>
      <c r="Q465" s="405"/>
      <c r="R465" s="495"/>
      <c r="S465" s="496"/>
      <c r="T465" s="496"/>
      <c r="U465" s="496"/>
      <c r="V465" s="497"/>
      <c r="W465" s="497"/>
      <c r="X465" s="497"/>
      <c r="Y465" s="498"/>
      <c r="Z465" s="308"/>
      <c r="AA465" s="141"/>
    </row>
    <row r="466" spans="1:27" s="154" customFormat="1" ht="42.75">
      <c r="A466" s="501" t="s">
        <v>5509</v>
      </c>
      <c r="B466" s="310" t="s">
        <v>132</v>
      </c>
      <c r="C466" s="327" t="s">
        <v>5510</v>
      </c>
      <c r="D466" s="456" t="s">
        <v>5511</v>
      </c>
      <c r="E466" s="471"/>
      <c r="F466" s="471"/>
      <c r="G466" s="471"/>
      <c r="H466" s="471"/>
      <c r="I466" s="471"/>
      <c r="J466" s="483">
        <v>92.8</v>
      </c>
      <c r="K466" s="779" t="s">
        <v>4125</v>
      </c>
      <c r="L466" s="779" t="s">
        <v>4125</v>
      </c>
      <c r="M466" s="778" t="s">
        <v>5512</v>
      </c>
      <c r="N466" s="779" t="s">
        <v>5513</v>
      </c>
      <c r="O466" s="779"/>
      <c r="P466" s="482"/>
      <c r="Q466" s="483"/>
      <c r="R466" s="482"/>
      <c r="S466" s="483"/>
      <c r="T466" s="483"/>
      <c r="U466" s="483"/>
      <c r="V466" s="484"/>
      <c r="W466" s="484"/>
      <c r="X466" s="484"/>
      <c r="Y466" s="793"/>
      <c r="Z466" s="484" t="s">
        <v>138</v>
      </c>
      <c r="AA466" s="679"/>
    </row>
    <row r="467" spans="1:27" ht="14.25">
      <c r="A467" s="457"/>
      <c r="B467" s="458"/>
      <c r="C467" s="330"/>
      <c r="D467" s="459"/>
      <c r="E467" s="341"/>
      <c r="F467" s="341"/>
      <c r="G467" s="341"/>
      <c r="H467" s="341"/>
      <c r="I467" s="341"/>
      <c r="J467" s="523"/>
      <c r="K467" s="590"/>
      <c r="L467" s="590"/>
      <c r="M467" s="589" t="s">
        <v>5514</v>
      </c>
      <c r="N467" s="590" t="s">
        <v>5515</v>
      </c>
      <c r="O467" s="590">
        <v>1</v>
      </c>
      <c r="P467" s="472" t="s">
        <v>5516</v>
      </c>
      <c r="Q467" s="473">
        <v>0</v>
      </c>
      <c r="R467" s="461"/>
      <c r="S467" s="461"/>
      <c r="T467" s="461"/>
      <c r="U467" s="461" t="s">
        <v>4125</v>
      </c>
      <c r="V467" s="461"/>
      <c r="W467" s="461"/>
      <c r="X467" s="461"/>
      <c r="Y467" s="796"/>
      <c r="Z467" s="462" t="s">
        <v>138</v>
      </c>
    </row>
    <row r="468" spans="1:27" ht="15">
      <c r="A468" s="457"/>
      <c r="B468" s="458"/>
      <c r="C468" s="524"/>
      <c r="D468" s="459"/>
      <c r="E468" s="341"/>
      <c r="F468" s="341"/>
      <c r="G468" s="341"/>
      <c r="H468" s="341"/>
      <c r="I468" s="341"/>
      <c r="J468" s="523"/>
      <c r="K468" s="342"/>
      <c r="L468" s="342"/>
      <c r="M468" s="460"/>
      <c r="N468" s="460"/>
      <c r="O468" s="342">
        <v>2</v>
      </c>
      <c r="P468" s="336" t="s">
        <v>5517</v>
      </c>
      <c r="Q468" s="461">
        <v>0</v>
      </c>
      <c r="R468" s="461"/>
      <c r="S468" s="461"/>
      <c r="T468" s="461"/>
      <c r="U468" s="461" t="s">
        <v>4125</v>
      </c>
      <c r="V468" s="461"/>
      <c r="W468" s="461"/>
      <c r="X468" s="860"/>
      <c r="Y468" s="643"/>
      <c r="Z468" s="861">
        <v>2</v>
      </c>
    </row>
    <row r="469" spans="1:27" ht="14.25">
      <c r="A469" s="457"/>
      <c r="B469" s="458"/>
      <c r="C469" s="330"/>
      <c r="D469" s="459"/>
      <c r="E469" s="341"/>
      <c r="F469" s="341"/>
      <c r="G469" s="341"/>
      <c r="H469" s="341"/>
      <c r="I469" s="341"/>
      <c r="J469" s="523"/>
      <c r="K469" s="342"/>
      <c r="L469" s="342"/>
      <c r="M469" s="460"/>
      <c r="N469" s="460"/>
      <c r="O469" s="342">
        <v>3</v>
      </c>
      <c r="P469" s="336" t="s">
        <v>5518</v>
      </c>
      <c r="Q469" s="461">
        <v>0</v>
      </c>
      <c r="R469" s="461"/>
      <c r="S469" s="461"/>
      <c r="T469" s="461"/>
      <c r="U469" s="461" t="s">
        <v>4125</v>
      </c>
      <c r="V469" s="461"/>
      <c r="W469" s="461"/>
      <c r="X469" s="860"/>
      <c r="Y469" s="643"/>
      <c r="Z469" s="861">
        <v>2</v>
      </c>
    </row>
    <row r="470" spans="1:27" ht="14.25">
      <c r="A470" s="457"/>
      <c r="B470" s="458"/>
      <c r="C470" s="330"/>
      <c r="D470" s="459"/>
      <c r="E470" s="341"/>
      <c r="F470" s="341"/>
      <c r="G470" s="341"/>
      <c r="H470" s="341"/>
      <c r="I470" s="341"/>
      <c r="J470" s="523"/>
      <c r="K470" s="342"/>
      <c r="L470" s="342"/>
      <c r="M470" s="460"/>
      <c r="N470" s="460"/>
      <c r="O470" s="341">
        <v>4</v>
      </c>
      <c r="P470" s="336" t="s">
        <v>5519</v>
      </c>
      <c r="Q470" s="461">
        <v>0</v>
      </c>
      <c r="R470" s="461"/>
      <c r="S470" s="461"/>
      <c r="T470" s="461"/>
      <c r="U470" s="461" t="s">
        <v>4125</v>
      </c>
      <c r="V470" s="461" t="s">
        <v>4125</v>
      </c>
      <c r="W470" s="461"/>
      <c r="X470" s="860"/>
      <c r="Y470" s="643"/>
      <c r="Z470" s="861">
        <v>2</v>
      </c>
    </row>
    <row r="471" spans="1:27" ht="14.25">
      <c r="A471" s="457"/>
      <c r="B471" s="458"/>
      <c r="C471" s="601"/>
      <c r="D471" s="459"/>
      <c r="E471" s="596"/>
      <c r="F471" s="341"/>
      <c r="G471" s="341"/>
      <c r="H471" s="341"/>
      <c r="I471" s="341"/>
      <c r="J471" s="523"/>
      <c r="K471" s="590"/>
      <c r="L471" s="590"/>
      <c r="M471" s="589"/>
      <c r="N471" s="589"/>
      <c r="O471" s="473">
        <v>5</v>
      </c>
      <c r="P471" s="463" t="s">
        <v>5520</v>
      </c>
      <c r="Q471" s="461">
        <v>0</v>
      </c>
      <c r="R471" s="461"/>
      <c r="S471" s="461"/>
      <c r="T471" s="461"/>
      <c r="U471" s="461" t="s">
        <v>4125</v>
      </c>
      <c r="V471" s="461"/>
      <c r="W471" s="461"/>
      <c r="X471" s="461"/>
      <c r="Y471" s="796"/>
      <c r="Z471" s="462" t="s">
        <v>138</v>
      </c>
    </row>
    <row r="472" spans="1:27" ht="14.25">
      <c r="A472" s="457"/>
      <c r="B472" s="458"/>
      <c r="C472" s="601"/>
      <c r="D472" s="459"/>
      <c r="E472" s="596"/>
      <c r="F472" s="341"/>
      <c r="G472" s="341"/>
      <c r="H472" s="341"/>
      <c r="I472" s="341"/>
      <c r="J472" s="523"/>
      <c r="K472" s="590"/>
      <c r="L472" s="590"/>
      <c r="M472" s="589"/>
      <c r="N472" s="589"/>
      <c r="O472" s="473">
        <v>6</v>
      </c>
      <c r="P472" s="463" t="s">
        <v>5521</v>
      </c>
      <c r="Q472" s="461">
        <v>0</v>
      </c>
      <c r="R472" s="461"/>
      <c r="S472" s="461"/>
      <c r="T472" s="461"/>
      <c r="U472" s="461" t="s">
        <v>4125</v>
      </c>
      <c r="V472" s="461"/>
      <c r="W472" s="461"/>
      <c r="X472" s="461"/>
      <c r="Y472" s="796"/>
      <c r="Z472" s="462" t="s">
        <v>138</v>
      </c>
    </row>
    <row r="473" spans="1:27" ht="14.25">
      <c r="A473" s="457"/>
      <c r="B473" s="458"/>
      <c r="C473" s="330"/>
      <c r="D473" s="459"/>
      <c r="E473" s="341"/>
      <c r="F473" s="341"/>
      <c r="G473" s="341"/>
      <c r="H473" s="341"/>
      <c r="I473" s="341"/>
      <c r="J473" s="523"/>
      <c r="K473" s="342"/>
      <c r="L473" s="342"/>
      <c r="M473" s="460"/>
      <c r="N473" s="460"/>
      <c r="O473" s="341">
        <v>7</v>
      </c>
      <c r="P473" s="336" t="s">
        <v>5522</v>
      </c>
      <c r="Q473" s="461">
        <v>0</v>
      </c>
      <c r="R473" s="585"/>
      <c r="S473" s="860"/>
      <c r="T473" s="586"/>
      <c r="U473" s="860" t="s">
        <v>4125</v>
      </c>
      <c r="V473" s="587"/>
      <c r="W473" s="586"/>
      <c r="X473" s="461"/>
      <c r="Y473" s="643"/>
      <c r="Z473" s="861">
        <v>2</v>
      </c>
    </row>
    <row r="474" spans="1:27" s="154" customFormat="1" ht="38.25">
      <c r="A474" s="500"/>
      <c r="B474" s="329"/>
      <c r="C474" s="330"/>
      <c r="D474" s="340"/>
      <c r="E474" s="341"/>
      <c r="F474" s="341"/>
      <c r="G474" s="341"/>
      <c r="H474" s="341"/>
      <c r="I474" s="341"/>
      <c r="J474" s="473"/>
      <c r="K474" s="590"/>
      <c r="L474" s="590"/>
      <c r="M474" s="794"/>
      <c r="N474" s="795"/>
      <c r="O474" s="461">
        <v>8</v>
      </c>
      <c r="P474" s="463" t="s">
        <v>5523</v>
      </c>
      <c r="Q474" s="461">
        <v>5</v>
      </c>
      <c r="R474" s="463"/>
      <c r="S474" s="461"/>
      <c r="T474" s="461" t="s">
        <v>4125</v>
      </c>
      <c r="U474" s="461"/>
      <c r="V474" s="462"/>
      <c r="W474" s="462" t="s">
        <v>4125</v>
      </c>
      <c r="X474" s="462"/>
      <c r="Y474" s="797" t="s">
        <v>5524</v>
      </c>
      <c r="Z474" s="462" t="s">
        <v>184</v>
      </c>
      <c r="AA474" s="679"/>
    </row>
    <row r="475" spans="1:27" s="154" customFormat="1" ht="38.25">
      <c r="A475" s="499"/>
      <c r="B475" s="338"/>
      <c r="C475" s="336"/>
      <c r="D475" s="331"/>
      <c r="E475" s="332"/>
      <c r="F475" s="332"/>
      <c r="G475" s="332"/>
      <c r="H475" s="332"/>
      <c r="I475" s="332"/>
      <c r="J475" s="461"/>
      <c r="K475" s="624"/>
      <c r="L475" s="624"/>
      <c r="M475" s="785"/>
      <c r="N475" s="783"/>
      <c r="O475" s="461">
        <v>9</v>
      </c>
      <c r="P475" s="463" t="s">
        <v>5525</v>
      </c>
      <c r="Q475" s="461">
        <v>5</v>
      </c>
      <c r="R475" s="463"/>
      <c r="S475" s="461"/>
      <c r="T475" s="461" t="s">
        <v>4125</v>
      </c>
      <c r="U475" s="461"/>
      <c r="V475" s="462"/>
      <c r="W475" s="462" t="s">
        <v>4125</v>
      </c>
      <c r="X475" s="462"/>
      <c r="Y475" s="792" t="s">
        <v>5526</v>
      </c>
      <c r="Z475" s="462" t="s">
        <v>138</v>
      </c>
      <c r="AA475" s="679"/>
    </row>
    <row r="476" spans="1:27" s="154" customFormat="1" ht="38.25">
      <c r="A476" s="499"/>
      <c r="B476" s="338"/>
      <c r="C476" s="336"/>
      <c r="D476" s="331"/>
      <c r="E476" s="332"/>
      <c r="F476" s="332"/>
      <c r="G476" s="332"/>
      <c r="H476" s="332"/>
      <c r="I476" s="332"/>
      <c r="J476" s="461"/>
      <c r="K476" s="624"/>
      <c r="L476" s="624"/>
      <c r="M476" s="785"/>
      <c r="N476" s="783"/>
      <c r="O476" s="461">
        <v>10</v>
      </c>
      <c r="P476" s="463" t="s">
        <v>4512</v>
      </c>
      <c r="Q476" s="461">
        <v>5</v>
      </c>
      <c r="R476" s="463"/>
      <c r="S476" s="461"/>
      <c r="T476" s="461" t="s">
        <v>4125</v>
      </c>
      <c r="U476" s="461"/>
      <c r="V476" s="462"/>
      <c r="W476" s="462" t="s">
        <v>4125</v>
      </c>
      <c r="X476" s="462"/>
      <c r="Y476" s="792" t="s">
        <v>5527</v>
      </c>
      <c r="Z476" s="462" t="s">
        <v>138</v>
      </c>
      <c r="AA476" s="679"/>
    </row>
    <row r="477" spans="1:27" s="154" customFormat="1" ht="14.25">
      <c r="A477" s="502"/>
      <c r="B477" s="490"/>
      <c r="C477" s="491"/>
      <c r="D477" s="345"/>
      <c r="E477" s="405"/>
      <c r="F477" s="405"/>
      <c r="G477" s="405"/>
      <c r="H477" s="405"/>
      <c r="I477" s="405"/>
      <c r="J477" s="405"/>
      <c r="K477" s="492"/>
      <c r="L477" s="492"/>
      <c r="M477" s="493"/>
      <c r="N477" s="494"/>
      <c r="O477" s="492"/>
      <c r="P477" s="491"/>
      <c r="Q477" s="405"/>
      <c r="R477" s="495"/>
      <c r="S477" s="496"/>
      <c r="T477" s="496"/>
      <c r="U477" s="496"/>
      <c r="V477" s="497"/>
      <c r="W477" s="497"/>
      <c r="X477" s="497"/>
      <c r="Y477" s="498"/>
      <c r="Z477" s="308"/>
      <c r="AA477" s="141"/>
    </row>
    <row r="478" spans="1:27" s="154" customFormat="1" ht="42.75">
      <c r="A478" s="501" t="s">
        <v>5528</v>
      </c>
      <c r="B478" s="310" t="s">
        <v>223</v>
      </c>
      <c r="C478" s="330" t="s">
        <v>5529</v>
      </c>
      <c r="D478" s="459" t="s">
        <v>5511</v>
      </c>
      <c r="E478" s="471"/>
      <c r="F478" s="471"/>
      <c r="G478" s="471"/>
      <c r="H478" s="471"/>
      <c r="I478" s="471"/>
      <c r="J478" s="483">
        <v>92.8</v>
      </c>
      <c r="K478" s="779" t="s">
        <v>4125</v>
      </c>
      <c r="L478" s="779" t="s">
        <v>4125</v>
      </c>
      <c r="M478" s="778" t="s">
        <v>5530</v>
      </c>
      <c r="N478" s="779" t="s">
        <v>5531</v>
      </c>
      <c r="O478" s="590"/>
      <c r="P478" s="472"/>
      <c r="Q478" s="473"/>
      <c r="R478" s="472"/>
      <c r="S478" s="473"/>
      <c r="T478" s="473"/>
      <c r="U478" s="473"/>
      <c r="V478" s="474"/>
      <c r="W478" s="474"/>
      <c r="X478" s="474"/>
      <c r="Y478" s="793"/>
      <c r="Z478" s="484" t="s">
        <v>138</v>
      </c>
      <c r="AA478" s="679"/>
    </row>
    <row r="479" spans="1:27" ht="14.25">
      <c r="A479" s="514"/>
      <c r="B479" s="507"/>
      <c r="C479" s="330"/>
      <c r="D479" s="459"/>
      <c r="E479" s="341"/>
      <c r="F479" s="341"/>
      <c r="G479" s="341"/>
      <c r="H479" s="341"/>
      <c r="I479" s="341"/>
      <c r="J479" s="523"/>
      <c r="K479" s="590"/>
      <c r="L479" s="590"/>
      <c r="M479" s="589"/>
      <c r="N479" s="589"/>
      <c r="O479" s="590">
        <v>1</v>
      </c>
      <c r="P479" s="472" t="s">
        <v>5532</v>
      </c>
      <c r="Q479" s="473">
        <v>0</v>
      </c>
      <c r="R479" s="461"/>
      <c r="S479" s="461"/>
      <c r="T479" s="461"/>
      <c r="U479" s="461" t="s">
        <v>4125</v>
      </c>
      <c r="V479" s="461"/>
      <c r="W479" s="461"/>
      <c r="X479" s="461"/>
      <c r="Y479" s="796"/>
      <c r="Z479" s="462" t="s">
        <v>138</v>
      </c>
    </row>
    <row r="480" spans="1:27" ht="15">
      <c r="A480" s="457"/>
      <c r="B480" s="458"/>
      <c r="C480" s="524"/>
      <c r="D480" s="459"/>
      <c r="E480" s="341"/>
      <c r="F480" s="341"/>
      <c r="G480" s="341"/>
      <c r="H480" s="341"/>
      <c r="I480" s="341"/>
      <c r="J480" s="523"/>
      <c r="K480" s="342"/>
      <c r="L480" s="342"/>
      <c r="M480" s="460"/>
      <c r="N480" s="460"/>
      <c r="O480" s="342">
        <v>2</v>
      </c>
      <c r="P480" s="336" t="s">
        <v>5533</v>
      </c>
      <c r="Q480" s="461">
        <v>0</v>
      </c>
      <c r="R480" s="461"/>
      <c r="S480" s="461"/>
      <c r="T480" s="461"/>
      <c r="U480" s="461" t="s">
        <v>4125</v>
      </c>
      <c r="V480" s="461"/>
      <c r="W480" s="461"/>
      <c r="X480" s="860"/>
      <c r="Y480" s="643"/>
      <c r="Z480" s="861">
        <v>2</v>
      </c>
    </row>
    <row r="481" spans="1:27" ht="14.25">
      <c r="A481" s="457"/>
      <c r="B481" s="458"/>
      <c r="C481" s="330"/>
      <c r="D481" s="459"/>
      <c r="E481" s="341"/>
      <c r="F481" s="341"/>
      <c r="G481" s="341"/>
      <c r="H481" s="341"/>
      <c r="I481" s="341"/>
      <c r="J481" s="523"/>
      <c r="K481" s="342"/>
      <c r="L481" s="342"/>
      <c r="M481" s="460"/>
      <c r="N481" s="460"/>
      <c r="O481" s="342">
        <v>3</v>
      </c>
      <c r="P481" s="336" t="s">
        <v>5534</v>
      </c>
      <c r="Q481" s="461">
        <v>0</v>
      </c>
      <c r="R481" s="461"/>
      <c r="S481" s="461"/>
      <c r="T481" s="461"/>
      <c r="U481" s="461" t="s">
        <v>4125</v>
      </c>
      <c r="V481" s="461"/>
      <c r="W481" s="461"/>
      <c r="X481" s="860"/>
      <c r="Y481" s="643"/>
      <c r="Z481" s="861">
        <v>2</v>
      </c>
    </row>
    <row r="482" spans="1:27" ht="14.25">
      <c r="A482" s="457"/>
      <c r="B482" s="458"/>
      <c r="C482" s="330"/>
      <c r="D482" s="459"/>
      <c r="E482" s="341"/>
      <c r="F482" s="341"/>
      <c r="G482" s="341"/>
      <c r="H482" s="341"/>
      <c r="I482" s="341"/>
      <c r="J482" s="523"/>
      <c r="K482" s="342"/>
      <c r="L482" s="342"/>
      <c r="M482" s="460"/>
      <c r="N482" s="460"/>
      <c r="O482" s="341">
        <v>4</v>
      </c>
      <c r="P482" s="336" t="s">
        <v>5535</v>
      </c>
      <c r="Q482" s="461">
        <v>0</v>
      </c>
      <c r="R482" s="461"/>
      <c r="S482" s="461"/>
      <c r="T482" s="461"/>
      <c r="U482" s="461" t="s">
        <v>4125</v>
      </c>
      <c r="V482" s="461" t="s">
        <v>4125</v>
      </c>
      <c r="W482" s="461"/>
      <c r="X482" s="860"/>
      <c r="Y482" s="643"/>
      <c r="Z482" s="861">
        <v>2</v>
      </c>
    </row>
    <row r="483" spans="1:27" ht="14.25">
      <c r="A483" s="457"/>
      <c r="B483" s="458"/>
      <c r="C483" s="330"/>
      <c r="D483" s="459"/>
      <c r="E483" s="341"/>
      <c r="F483" s="341"/>
      <c r="G483" s="341"/>
      <c r="H483" s="341"/>
      <c r="I483" s="341"/>
      <c r="J483" s="523"/>
      <c r="K483" s="590"/>
      <c r="L483" s="590"/>
      <c r="M483" s="589"/>
      <c r="N483" s="589"/>
      <c r="O483" s="473">
        <v>5</v>
      </c>
      <c r="P483" s="463" t="s">
        <v>5536</v>
      </c>
      <c r="Q483" s="461">
        <v>0</v>
      </c>
      <c r="R483" s="461"/>
      <c r="S483" s="461"/>
      <c r="T483" s="461"/>
      <c r="U483" s="461" t="s">
        <v>4125</v>
      </c>
      <c r="V483" s="461"/>
      <c r="W483" s="461"/>
      <c r="X483" s="461"/>
      <c r="Y483" s="796"/>
      <c r="Z483" s="462" t="s">
        <v>138</v>
      </c>
    </row>
    <row r="484" spans="1:27" ht="14.25">
      <c r="A484" s="457"/>
      <c r="B484" s="458"/>
      <c r="C484" s="330"/>
      <c r="D484" s="459"/>
      <c r="E484" s="341"/>
      <c r="F484" s="341"/>
      <c r="G484" s="341"/>
      <c r="H484" s="341"/>
      <c r="I484" s="341"/>
      <c r="J484" s="523"/>
      <c r="K484" s="590"/>
      <c r="L484" s="590"/>
      <c r="M484" s="589"/>
      <c r="N484" s="589"/>
      <c r="O484" s="473">
        <v>6</v>
      </c>
      <c r="P484" s="463" t="s">
        <v>5537</v>
      </c>
      <c r="Q484" s="461">
        <v>0</v>
      </c>
      <c r="R484" s="461"/>
      <c r="S484" s="461"/>
      <c r="T484" s="461"/>
      <c r="U484" s="461" t="s">
        <v>4125</v>
      </c>
      <c r="V484" s="461"/>
      <c r="W484" s="461"/>
      <c r="X484" s="461"/>
      <c r="Y484" s="796"/>
      <c r="Z484" s="462" t="s">
        <v>138</v>
      </c>
    </row>
    <row r="485" spans="1:27" ht="14.25">
      <c r="A485" s="457"/>
      <c r="B485" s="458"/>
      <c r="C485" s="330"/>
      <c r="D485" s="459"/>
      <c r="E485" s="341"/>
      <c r="F485" s="341"/>
      <c r="G485" s="341"/>
      <c r="H485" s="341"/>
      <c r="I485" s="341"/>
      <c r="J485" s="523"/>
      <c r="K485" s="342"/>
      <c r="L485" s="342"/>
      <c r="M485" s="460"/>
      <c r="N485" s="460"/>
      <c r="O485" s="341">
        <v>7</v>
      </c>
      <c r="P485" s="336" t="s">
        <v>5538</v>
      </c>
      <c r="Q485" s="461">
        <v>0</v>
      </c>
      <c r="R485" s="585"/>
      <c r="S485" s="860"/>
      <c r="T485" s="586"/>
      <c r="U485" s="860" t="s">
        <v>4125</v>
      </c>
      <c r="V485" s="587"/>
      <c r="W485" s="586"/>
      <c r="X485" s="461"/>
      <c r="Y485" s="643"/>
      <c r="Z485" s="861">
        <v>2</v>
      </c>
    </row>
    <row r="486" spans="1:27" ht="38.25">
      <c r="A486" s="641"/>
      <c r="B486" s="642"/>
      <c r="C486" s="476"/>
      <c r="D486" s="595"/>
      <c r="E486" s="477"/>
      <c r="F486" s="477"/>
      <c r="G486" s="477"/>
      <c r="H486" s="477"/>
      <c r="I486" s="477"/>
      <c r="J486" s="775"/>
      <c r="K486" s="782"/>
      <c r="L486" s="782"/>
      <c r="M486" s="798"/>
      <c r="N486" s="798"/>
      <c r="O486" s="177">
        <v>8</v>
      </c>
      <c r="P486" s="479" t="s">
        <v>5539</v>
      </c>
      <c r="Q486" s="176">
        <v>5</v>
      </c>
      <c r="R486" s="799"/>
      <c r="S486" s="176"/>
      <c r="T486" s="461" t="s">
        <v>4125</v>
      </c>
      <c r="U486" s="461"/>
      <c r="V486" s="461"/>
      <c r="W486" s="461" t="s">
        <v>4125</v>
      </c>
      <c r="X486" s="176"/>
      <c r="Y486" s="797" t="s">
        <v>5524</v>
      </c>
      <c r="Z486" s="480" t="s">
        <v>138</v>
      </c>
    </row>
    <row r="487" spans="1:27" s="154" customFormat="1" ht="38.25">
      <c r="A487" s="499"/>
      <c r="B487" s="338"/>
      <c r="C487" s="336"/>
      <c r="D487" s="331"/>
      <c r="E487" s="332"/>
      <c r="F487" s="332"/>
      <c r="G487" s="332"/>
      <c r="H487" s="332"/>
      <c r="I487" s="332"/>
      <c r="J487" s="461"/>
      <c r="K487" s="624"/>
      <c r="L487" s="624"/>
      <c r="M487" s="785"/>
      <c r="N487" s="783"/>
      <c r="O487" s="461">
        <v>9</v>
      </c>
      <c r="P487" s="463" t="s">
        <v>4515</v>
      </c>
      <c r="Q487" s="461">
        <v>5</v>
      </c>
      <c r="R487" s="463"/>
      <c r="S487" s="461"/>
      <c r="T487" s="461" t="s">
        <v>4125</v>
      </c>
      <c r="U487" s="461"/>
      <c r="V487" s="462"/>
      <c r="W487" s="462" t="s">
        <v>4125</v>
      </c>
      <c r="X487" s="462"/>
      <c r="Y487" s="792" t="s">
        <v>5526</v>
      </c>
      <c r="Z487" s="462" t="s">
        <v>138</v>
      </c>
      <c r="AA487" s="679"/>
    </row>
    <row r="488" spans="1:27" s="154" customFormat="1" ht="38.25">
      <c r="A488" s="499"/>
      <c r="B488" s="338"/>
      <c r="C488" s="336"/>
      <c r="D488" s="331"/>
      <c r="E488" s="332"/>
      <c r="F488" s="332"/>
      <c r="G488" s="332"/>
      <c r="H488" s="332"/>
      <c r="I488" s="332"/>
      <c r="J488" s="461"/>
      <c r="K488" s="624"/>
      <c r="L488" s="624"/>
      <c r="M488" s="785"/>
      <c r="N488" s="783"/>
      <c r="O488" s="461">
        <v>10</v>
      </c>
      <c r="P488" s="463" t="s">
        <v>4512</v>
      </c>
      <c r="Q488" s="461">
        <v>5</v>
      </c>
      <c r="R488" s="463"/>
      <c r="S488" s="461"/>
      <c r="T488" s="461" t="s">
        <v>4125</v>
      </c>
      <c r="U488" s="461"/>
      <c r="V488" s="462"/>
      <c r="W488" s="462" t="s">
        <v>4125</v>
      </c>
      <c r="X488" s="462"/>
      <c r="Y488" s="792" t="s">
        <v>5527</v>
      </c>
      <c r="Z488" s="462" t="s">
        <v>138</v>
      </c>
      <c r="AA488" s="679"/>
    </row>
    <row r="489" spans="1:27" s="154" customFormat="1" ht="14.25">
      <c r="A489" s="502"/>
      <c r="B489" s="490"/>
      <c r="C489" s="491"/>
      <c r="D489" s="345"/>
      <c r="E489" s="405"/>
      <c r="F489" s="405"/>
      <c r="G489" s="405"/>
      <c r="H489" s="405"/>
      <c r="I489" s="405"/>
      <c r="J489" s="405"/>
      <c r="K489" s="492"/>
      <c r="L489" s="492"/>
      <c r="M489" s="493"/>
      <c r="N489" s="494"/>
      <c r="O489" s="492"/>
      <c r="P489" s="491"/>
      <c r="Q489" s="405"/>
      <c r="R489" s="495"/>
      <c r="S489" s="496"/>
      <c r="T489" s="496"/>
      <c r="U489" s="496"/>
      <c r="V489" s="497"/>
      <c r="W489" s="497"/>
      <c r="X489" s="497"/>
      <c r="Y489" s="498"/>
      <c r="Z489" s="308"/>
      <c r="AA489" s="679"/>
    </row>
    <row r="490" spans="1:27" s="154" customFormat="1" ht="42.75">
      <c r="A490" s="501" t="s">
        <v>5540</v>
      </c>
      <c r="B490" s="310" t="s">
        <v>3650</v>
      </c>
      <c r="C490" s="327" t="s">
        <v>5541</v>
      </c>
      <c r="D490" s="456" t="s">
        <v>5511</v>
      </c>
      <c r="E490" s="471"/>
      <c r="F490" s="471"/>
      <c r="G490" s="471"/>
      <c r="H490" s="471"/>
      <c r="I490" s="471"/>
      <c r="J490" s="483">
        <v>92.8</v>
      </c>
      <c r="K490" s="779" t="s">
        <v>4125</v>
      </c>
      <c r="L490" s="779" t="s">
        <v>4125</v>
      </c>
      <c r="M490" s="778" t="s">
        <v>5542</v>
      </c>
      <c r="N490" s="779" t="s">
        <v>5543</v>
      </c>
      <c r="O490" s="779"/>
      <c r="P490" s="482"/>
      <c r="Q490" s="483"/>
      <c r="R490" s="482"/>
      <c r="S490" s="483"/>
      <c r="T490" s="483"/>
      <c r="U490" s="483"/>
      <c r="V490" s="484"/>
      <c r="W490" s="484"/>
      <c r="X490" s="484"/>
      <c r="Y490" s="793"/>
      <c r="Z490" s="484" t="s">
        <v>138</v>
      </c>
      <c r="AA490" s="683"/>
    </row>
    <row r="491" spans="1:27" ht="14.25">
      <c r="A491" s="514"/>
      <c r="B491" s="507"/>
      <c r="C491" s="330"/>
      <c r="D491" s="459"/>
      <c r="E491" s="341"/>
      <c r="F491" s="341"/>
      <c r="G491" s="341"/>
      <c r="H491" s="341"/>
      <c r="I491" s="341"/>
      <c r="J491" s="523"/>
      <c r="K491" s="590"/>
      <c r="L491" s="590"/>
      <c r="M491" s="589"/>
      <c r="N491" s="589"/>
      <c r="O491" s="590">
        <v>1</v>
      </c>
      <c r="P491" s="472" t="s">
        <v>5544</v>
      </c>
      <c r="Q491" s="473">
        <v>0</v>
      </c>
      <c r="R491" s="461"/>
      <c r="S491" s="461"/>
      <c r="T491" s="461"/>
      <c r="U491" s="461" t="s">
        <v>4125</v>
      </c>
      <c r="V491" s="461"/>
      <c r="W491" s="461"/>
      <c r="X491" s="461"/>
      <c r="Y491" s="796"/>
      <c r="Z491" s="462" t="s">
        <v>138</v>
      </c>
    </row>
    <row r="492" spans="1:27" ht="15">
      <c r="A492" s="457"/>
      <c r="B492" s="458"/>
      <c r="C492" s="524"/>
      <c r="D492" s="459"/>
      <c r="E492" s="341"/>
      <c r="F492" s="341"/>
      <c r="G492" s="341"/>
      <c r="H492" s="341"/>
      <c r="I492" s="341"/>
      <c r="J492" s="523"/>
      <c r="K492" s="342"/>
      <c r="L492" s="342"/>
      <c r="M492" s="460"/>
      <c r="N492" s="460"/>
      <c r="O492" s="342">
        <v>2</v>
      </c>
      <c r="P492" s="336" t="s">
        <v>5545</v>
      </c>
      <c r="Q492" s="461">
        <v>0</v>
      </c>
      <c r="R492" s="461"/>
      <c r="S492" s="461"/>
      <c r="T492" s="461"/>
      <c r="U492" s="461" t="s">
        <v>4125</v>
      </c>
      <c r="V492" s="461"/>
      <c r="W492" s="461"/>
      <c r="X492" s="860"/>
      <c r="Y492" s="643"/>
      <c r="Z492" s="861">
        <v>2</v>
      </c>
    </row>
    <row r="493" spans="1:27" ht="14.25">
      <c r="A493" s="457"/>
      <c r="B493" s="458"/>
      <c r="C493" s="330"/>
      <c r="D493" s="459"/>
      <c r="E493" s="341"/>
      <c r="F493" s="341"/>
      <c r="G493" s="341"/>
      <c r="H493" s="341"/>
      <c r="I493" s="341"/>
      <c r="J493" s="523"/>
      <c r="K493" s="342"/>
      <c r="L493" s="342"/>
      <c r="M493" s="460"/>
      <c r="N493" s="460"/>
      <c r="O493" s="342">
        <v>3</v>
      </c>
      <c r="P493" s="336" t="s">
        <v>5546</v>
      </c>
      <c r="Q493" s="461">
        <v>0</v>
      </c>
      <c r="R493" s="461"/>
      <c r="S493" s="461"/>
      <c r="T493" s="461"/>
      <c r="U493" s="461" t="s">
        <v>4125</v>
      </c>
      <c r="V493" s="461"/>
      <c r="W493" s="461"/>
      <c r="X493" s="860"/>
      <c r="Y493" s="643"/>
      <c r="Z493" s="861">
        <v>2</v>
      </c>
    </row>
    <row r="494" spans="1:27" ht="14.25">
      <c r="A494" s="514"/>
      <c r="B494" s="507"/>
      <c r="C494" s="330"/>
      <c r="D494" s="459"/>
      <c r="E494" s="341"/>
      <c r="F494" s="341"/>
      <c r="G494" s="341"/>
      <c r="H494" s="341"/>
      <c r="I494" s="341"/>
      <c r="J494" s="523"/>
      <c r="K494" s="342"/>
      <c r="L494" s="342"/>
      <c r="M494" s="460"/>
      <c r="N494" s="460"/>
      <c r="O494" s="341">
        <v>4</v>
      </c>
      <c r="P494" s="336" t="s">
        <v>5547</v>
      </c>
      <c r="Q494" s="461">
        <v>0</v>
      </c>
      <c r="R494" s="461"/>
      <c r="S494" s="461"/>
      <c r="T494" s="461"/>
      <c r="U494" s="461" t="s">
        <v>4125</v>
      </c>
      <c r="V494" s="461" t="s">
        <v>4125</v>
      </c>
      <c r="W494" s="461"/>
      <c r="X494" s="860"/>
      <c r="Y494" s="643"/>
      <c r="Z494" s="861">
        <v>2</v>
      </c>
    </row>
    <row r="495" spans="1:27" ht="15">
      <c r="A495" s="457"/>
      <c r="B495" s="458"/>
      <c r="C495" s="524"/>
      <c r="D495" s="459"/>
      <c r="E495" s="341"/>
      <c r="F495" s="341"/>
      <c r="G495" s="341"/>
      <c r="H495" s="341"/>
      <c r="I495" s="341"/>
      <c r="J495" s="523"/>
      <c r="K495" s="590"/>
      <c r="L495" s="590"/>
      <c r="M495" s="589"/>
      <c r="N495" s="589"/>
      <c r="O495" s="473">
        <v>5</v>
      </c>
      <c r="P495" s="463" t="s">
        <v>5548</v>
      </c>
      <c r="Q495" s="461">
        <v>0</v>
      </c>
      <c r="R495" s="461"/>
      <c r="S495" s="461"/>
      <c r="T495" s="461"/>
      <c r="U495" s="461" t="s">
        <v>4125</v>
      </c>
      <c r="V495" s="461"/>
      <c r="W495" s="461"/>
      <c r="X495" s="461"/>
      <c r="Y495" s="796"/>
      <c r="Z495" s="462" t="s">
        <v>138</v>
      </c>
    </row>
    <row r="496" spans="1:27" ht="14.25">
      <c r="A496" s="457"/>
      <c r="B496" s="458"/>
      <c r="C496" s="330"/>
      <c r="D496" s="459"/>
      <c r="E496" s="341"/>
      <c r="F496" s="341"/>
      <c r="G496" s="341"/>
      <c r="H496" s="341"/>
      <c r="I496" s="341"/>
      <c r="J496" s="523"/>
      <c r="K496" s="590"/>
      <c r="L496" s="590"/>
      <c r="M496" s="589"/>
      <c r="N496" s="589"/>
      <c r="O496" s="473">
        <v>6</v>
      </c>
      <c r="P496" s="463" t="s">
        <v>5549</v>
      </c>
      <c r="Q496" s="461">
        <v>0</v>
      </c>
      <c r="R496" s="461"/>
      <c r="S496" s="461"/>
      <c r="T496" s="461"/>
      <c r="U496" s="461" t="s">
        <v>4125</v>
      </c>
      <c r="V496" s="461"/>
      <c r="W496" s="461"/>
      <c r="X496" s="461"/>
      <c r="Y496" s="796"/>
      <c r="Z496" s="462" t="s">
        <v>138</v>
      </c>
    </row>
    <row r="497" spans="1:27" ht="14.25">
      <c r="A497" s="514"/>
      <c r="B497" s="507"/>
      <c r="C497" s="330"/>
      <c r="D497" s="459"/>
      <c r="E497" s="341"/>
      <c r="F497" s="341"/>
      <c r="G497" s="341"/>
      <c r="H497" s="341"/>
      <c r="I497" s="341"/>
      <c r="J497" s="523"/>
      <c r="K497" s="342"/>
      <c r="L497" s="342"/>
      <c r="M497" s="460"/>
      <c r="N497" s="460"/>
      <c r="O497" s="341">
        <v>7</v>
      </c>
      <c r="P497" s="336" t="s">
        <v>5550</v>
      </c>
      <c r="Q497" s="461">
        <v>0</v>
      </c>
      <c r="R497" s="585"/>
      <c r="S497" s="860"/>
      <c r="T497" s="586"/>
      <c r="U497" s="860" t="s">
        <v>4125</v>
      </c>
      <c r="V497" s="587"/>
      <c r="W497" s="586"/>
      <c r="X497" s="461"/>
      <c r="Y497" s="643"/>
      <c r="Z497" s="861">
        <v>2</v>
      </c>
    </row>
    <row r="498" spans="1:27" ht="60.75" customHeight="1">
      <c r="A498" s="641"/>
      <c r="B498" s="642"/>
      <c r="C498" s="476"/>
      <c r="D498" s="595"/>
      <c r="E498" s="477"/>
      <c r="F498" s="477"/>
      <c r="G498" s="477"/>
      <c r="H498" s="477"/>
      <c r="I498" s="477"/>
      <c r="J498" s="775"/>
      <c r="K498" s="782"/>
      <c r="L498" s="782"/>
      <c r="M498" s="798"/>
      <c r="N498" s="798"/>
      <c r="O498" s="177">
        <v>8</v>
      </c>
      <c r="P498" s="479" t="s">
        <v>5539</v>
      </c>
      <c r="Q498" s="176">
        <v>5</v>
      </c>
      <c r="R498" s="799"/>
      <c r="S498" s="176"/>
      <c r="T498" s="461" t="s">
        <v>4125</v>
      </c>
      <c r="U498" s="461"/>
      <c r="V498" s="461"/>
      <c r="W498" s="461" t="s">
        <v>4125</v>
      </c>
      <c r="X498" s="176"/>
      <c r="Y498" s="797" t="s">
        <v>5524</v>
      </c>
      <c r="Z498" s="480" t="s">
        <v>138</v>
      </c>
    </row>
    <row r="499" spans="1:27" s="154" customFormat="1" ht="60.75" customHeight="1">
      <c r="A499" s="499"/>
      <c r="B499" s="338"/>
      <c r="C499" s="336"/>
      <c r="D499" s="331"/>
      <c r="E499" s="332"/>
      <c r="F499" s="332"/>
      <c r="G499" s="332"/>
      <c r="H499" s="332"/>
      <c r="I499" s="332"/>
      <c r="J499" s="461"/>
      <c r="K499" s="624"/>
      <c r="L499" s="624"/>
      <c r="M499" s="785"/>
      <c r="N499" s="783"/>
      <c r="O499" s="461">
        <v>9</v>
      </c>
      <c r="P499" s="463" t="s">
        <v>4515</v>
      </c>
      <c r="Q499" s="461">
        <v>5</v>
      </c>
      <c r="R499" s="463"/>
      <c r="S499" s="461"/>
      <c r="T499" s="461" t="s">
        <v>4125</v>
      </c>
      <c r="U499" s="461"/>
      <c r="V499" s="462"/>
      <c r="W499" s="462" t="s">
        <v>4125</v>
      </c>
      <c r="X499" s="462"/>
      <c r="Y499" s="792" t="s">
        <v>5526</v>
      </c>
      <c r="Z499" s="462" t="s">
        <v>138</v>
      </c>
      <c r="AA499" s="679"/>
    </row>
    <row r="500" spans="1:27" s="154" customFormat="1" ht="60.75" customHeight="1">
      <c r="A500" s="499"/>
      <c r="B500" s="338"/>
      <c r="C500" s="336"/>
      <c r="D500" s="331"/>
      <c r="E500" s="332"/>
      <c r="F500" s="332"/>
      <c r="G500" s="332"/>
      <c r="H500" s="332"/>
      <c r="I500" s="332"/>
      <c r="J500" s="461"/>
      <c r="K500" s="624"/>
      <c r="L500" s="624"/>
      <c r="M500" s="785"/>
      <c r="N500" s="783"/>
      <c r="O500" s="461">
        <v>10</v>
      </c>
      <c r="P500" s="463" t="s">
        <v>4512</v>
      </c>
      <c r="Q500" s="461">
        <v>5</v>
      </c>
      <c r="R500" s="463"/>
      <c r="S500" s="461"/>
      <c r="T500" s="461" t="s">
        <v>4125</v>
      </c>
      <c r="U500" s="461"/>
      <c r="V500" s="462"/>
      <c r="W500" s="462" t="s">
        <v>4125</v>
      </c>
      <c r="X500" s="462"/>
      <c r="Y500" s="792" t="s">
        <v>5527</v>
      </c>
      <c r="Z500" s="462" t="s">
        <v>138</v>
      </c>
      <c r="AA500" s="679"/>
    </row>
    <row r="501" spans="1:27" s="154" customFormat="1" ht="14.25">
      <c r="A501" s="502"/>
      <c r="B501" s="490"/>
      <c r="C501" s="491"/>
      <c r="D501" s="345"/>
      <c r="E501" s="405"/>
      <c r="F501" s="405"/>
      <c r="G501" s="405"/>
      <c r="H501" s="405"/>
      <c r="I501" s="405"/>
      <c r="J501" s="405"/>
      <c r="K501" s="492"/>
      <c r="L501" s="492"/>
      <c r="M501" s="493"/>
      <c r="N501" s="494"/>
      <c r="O501" s="492"/>
      <c r="P501" s="491"/>
      <c r="Q501" s="405"/>
      <c r="R501" s="495"/>
      <c r="S501" s="496"/>
      <c r="T501" s="496"/>
      <c r="U501" s="496"/>
      <c r="V501" s="497"/>
      <c r="W501" s="497"/>
      <c r="X501" s="497"/>
      <c r="Y501" s="498"/>
      <c r="Z501" s="308"/>
      <c r="AA501" s="679"/>
    </row>
    <row r="502" spans="1:27" s="154" customFormat="1" ht="42.75">
      <c r="A502" s="500" t="s">
        <v>5551</v>
      </c>
      <c r="B502" s="310" t="s">
        <v>500</v>
      </c>
      <c r="C502" s="327" t="s">
        <v>5552</v>
      </c>
      <c r="D502" s="456" t="s">
        <v>5511</v>
      </c>
      <c r="E502" s="471"/>
      <c r="F502" s="471"/>
      <c r="G502" s="471"/>
      <c r="H502" s="471"/>
      <c r="I502" s="471"/>
      <c r="J502" s="483">
        <v>127</v>
      </c>
      <c r="K502" s="779" t="s">
        <v>4125</v>
      </c>
      <c r="L502" s="779" t="s">
        <v>4125</v>
      </c>
      <c r="M502" s="778" t="s">
        <v>5553</v>
      </c>
      <c r="N502" s="779" t="s">
        <v>5554</v>
      </c>
      <c r="O502" s="590"/>
      <c r="P502" s="472"/>
      <c r="Q502" s="473"/>
      <c r="R502" s="472"/>
      <c r="S502" s="473"/>
      <c r="T502" s="473"/>
      <c r="U502" s="473"/>
      <c r="V502" s="474"/>
      <c r="W502" s="474"/>
      <c r="X502" s="474"/>
      <c r="Y502" s="526"/>
      <c r="Z502" s="474" t="s">
        <v>138</v>
      </c>
      <c r="AA502" s="141"/>
    </row>
    <row r="503" spans="1:27" ht="14.25">
      <c r="A503" s="514"/>
      <c r="B503" s="507"/>
      <c r="C503" s="330"/>
      <c r="D503" s="459"/>
      <c r="E503" s="341"/>
      <c r="F503" s="341"/>
      <c r="G503" s="341"/>
      <c r="H503" s="341"/>
      <c r="I503" s="341"/>
      <c r="J503" s="523"/>
      <c r="K503" s="590"/>
      <c r="L503" s="590"/>
      <c r="M503" s="589"/>
      <c r="N503" s="589"/>
      <c r="O503" s="590">
        <v>1</v>
      </c>
      <c r="P503" s="472" t="s">
        <v>5555</v>
      </c>
      <c r="Q503" s="473">
        <v>0</v>
      </c>
      <c r="R503" s="461"/>
      <c r="S503" s="461"/>
      <c r="T503" s="461"/>
      <c r="U503" s="461" t="s">
        <v>4125</v>
      </c>
      <c r="V503" s="461"/>
      <c r="W503" s="461"/>
      <c r="X503" s="461"/>
      <c r="Y503" s="796"/>
      <c r="Z503" s="462" t="s">
        <v>138</v>
      </c>
    </row>
    <row r="504" spans="1:27" ht="15">
      <c r="A504" s="457"/>
      <c r="B504" s="458"/>
      <c r="C504" s="524"/>
      <c r="D504" s="459"/>
      <c r="E504" s="341"/>
      <c r="F504" s="341"/>
      <c r="G504" s="341"/>
      <c r="H504" s="341"/>
      <c r="I504" s="341"/>
      <c r="J504" s="523"/>
      <c r="K504" s="342"/>
      <c r="L504" s="342"/>
      <c r="M504" s="460"/>
      <c r="N504" s="460"/>
      <c r="O504" s="342">
        <v>2</v>
      </c>
      <c r="P504" s="336" t="s">
        <v>5556</v>
      </c>
      <c r="Q504" s="461">
        <v>0</v>
      </c>
      <c r="R504" s="461"/>
      <c r="S504" s="461"/>
      <c r="T504" s="461"/>
      <c r="U504" s="461" t="s">
        <v>4125</v>
      </c>
      <c r="V504" s="461"/>
      <c r="W504" s="461"/>
      <c r="X504" s="860"/>
      <c r="Y504" s="643"/>
      <c r="Z504" s="861">
        <v>2</v>
      </c>
    </row>
    <row r="505" spans="1:27" ht="14.25">
      <c r="A505" s="457"/>
      <c r="B505" s="458"/>
      <c r="C505" s="330"/>
      <c r="D505" s="459"/>
      <c r="E505" s="341"/>
      <c r="F505" s="341"/>
      <c r="G505" s="341"/>
      <c r="H505" s="341"/>
      <c r="I505" s="341"/>
      <c r="J505" s="523"/>
      <c r="K505" s="342"/>
      <c r="L505" s="342"/>
      <c r="M505" s="460"/>
      <c r="N505" s="460"/>
      <c r="O505" s="342">
        <v>3</v>
      </c>
      <c r="P505" s="336" t="s">
        <v>5557</v>
      </c>
      <c r="Q505" s="461">
        <v>0</v>
      </c>
      <c r="R505" s="461"/>
      <c r="S505" s="461"/>
      <c r="T505" s="461"/>
      <c r="U505" s="461" t="s">
        <v>4125</v>
      </c>
      <c r="V505" s="461"/>
      <c r="W505" s="461"/>
      <c r="X505" s="860"/>
      <c r="Y505" s="643"/>
      <c r="Z505" s="861">
        <v>2</v>
      </c>
    </row>
    <row r="506" spans="1:27" ht="14.25">
      <c r="A506" s="514"/>
      <c r="B506" s="507"/>
      <c r="C506" s="330"/>
      <c r="D506" s="459"/>
      <c r="E506" s="341"/>
      <c r="F506" s="341"/>
      <c r="G506" s="341"/>
      <c r="H506" s="341"/>
      <c r="I506" s="341"/>
      <c r="J506" s="523"/>
      <c r="K506" s="342"/>
      <c r="L506" s="342"/>
      <c r="M506" s="460"/>
      <c r="N506" s="460"/>
      <c r="O506" s="341">
        <v>4</v>
      </c>
      <c r="P506" s="336" t="s">
        <v>5558</v>
      </c>
      <c r="Q506" s="461">
        <v>0</v>
      </c>
      <c r="R506" s="461"/>
      <c r="S506" s="461"/>
      <c r="T506" s="461"/>
      <c r="U506" s="461" t="s">
        <v>4125</v>
      </c>
      <c r="V506" s="461" t="s">
        <v>4125</v>
      </c>
      <c r="W506" s="461"/>
      <c r="X506" s="860"/>
      <c r="Y506" s="643"/>
      <c r="Z506" s="861">
        <v>2</v>
      </c>
    </row>
    <row r="507" spans="1:27" ht="15">
      <c r="A507" s="457"/>
      <c r="B507" s="458"/>
      <c r="C507" s="524"/>
      <c r="D507" s="459"/>
      <c r="E507" s="341"/>
      <c r="F507" s="341"/>
      <c r="G507" s="341"/>
      <c r="H507" s="341"/>
      <c r="I507" s="341"/>
      <c r="J507" s="523"/>
      <c r="K507" s="590"/>
      <c r="L507" s="590"/>
      <c r="M507" s="589"/>
      <c r="N507" s="589"/>
      <c r="O507" s="473">
        <v>5</v>
      </c>
      <c r="P507" s="463" t="s">
        <v>5559</v>
      </c>
      <c r="Q507" s="461">
        <v>0</v>
      </c>
      <c r="R507" s="461"/>
      <c r="S507" s="461"/>
      <c r="T507" s="461"/>
      <c r="U507" s="461" t="s">
        <v>4125</v>
      </c>
      <c r="V507" s="461"/>
      <c r="W507" s="461"/>
      <c r="X507" s="461"/>
      <c r="Y507" s="796"/>
      <c r="Z507" s="462" t="s">
        <v>138</v>
      </c>
    </row>
    <row r="508" spans="1:27" ht="14.25">
      <c r="A508" s="514"/>
      <c r="B508" s="507"/>
      <c r="C508" s="330"/>
      <c r="D508" s="459"/>
      <c r="E508" s="341"/>
      <c r="F508" s="341"/>
      <c r="G508" s="341"/>
      <c r="H508" s="341"/>
      <c r="I508" s="341"/>
      <c r="J508" s="523"/>
      <c r="K508" s="590"/>
      <c r="L508" s="590"/>
      <c r="M508" s="589"/>
      <c r="N508" s="589"/>
      <c r="O508" s="473">
        <v>6</v>
      </c>
      <c r="P508" s="463" t="s">
        <v>5560</v>
      </c>
      <c r="Q508" s="461">
        <v>0</v>
      </c>
      <c r="R508" s="461"/>
      <c r="S508" s="461"/>
      <c r="T508" s="461"/>
      <c r="U508" s="461" t="s">
        <v>4125</v>
      </c>
      <c r="V508" s="461"/>
      <c r="W508" s="461"/>
      <c r="X508" s="461"/>
      <c r="Y508" s="796"/>
      <c r="Z508" s="462" t="s">
        <v>138</v>
      </c>
    </row>
    <row r="509" spans="1:27" ht="15">
      <c r="A509" s="457"/>
      <c r="B509" s="458"/>
      <c r="C509" s="524"/>
      <c r="D509" s="459"/>
      <c r="E509" s="341"/>
      <c r="F509" s="341"/>
      <c r="G509" s="341"/>
      <c r="H509" s="341"/>
      <c r="I509" s="341"/>
      <c r="J509" s="523"/>
      <c r="K509" s="342"/>
      <c r="L509" s="342"/>
      <c r="M509" s="460"/>
      <c r="N509" s="460"/>
      <c r="O509" s="341">
        <v>7</v>
      </c>
      <c r="P509" s="336" t="s">
        <v>5561</v>
      </c>
      <c r="Q509" s="461">
        <v>0</v>
      </c>
      <c r="R509" s="585"/>
      <c r="S509" s="860"/>
      <c r="T509" s="586"/>
      <c r="U509" s="860" t="s">
        <v>4125</v>
      </c>
      <c r="V509" s="587"/>
      <c r="W509" s="586"/>
      <c r="X509" s="461"/>
      <c r="Y509" s="643"/>
      <c r="Z509" s="861">
        <v>2</v>
      </c>
    </row>
    <row r="510" spans="1:27" s="154" customFormat="1" ht="54.75" customHeight="1">
      <c r="A510" s="499"/>
      <c r="B510" s="338"/>
      <c r="C510" s="336"/>
      <c r="D510" s="331"/>
      <c r="E510" s="332"/>
      <c r="F510" s="332"/>
      <c r="G510" s="332"/>
      <c r="H510" s="332"/>
      <c r="I510" s="332"/>
      <c r="J510" s="461"/>
      <c r="K510" s="624"/>
      <c r="L510" s="624"/>
      <c r="M510" s="785"/>
      <c r="N510" s="783"/>
      <c r="O510" s="461">
        <v>8</v>
      </c>
      <c r="P510" s="463" t="s">
        <v>4515</v>
      </c>
      <c r="Q510" s="461">
        <v>5</v>
      </c>
      <c r="R510" s="463"/>
      <c r="S510" s="461"/>
      <c r="T510" s="461" t="s">
        <v>4125</v>
      </c>
      <c r="U510" s="461"/>
      <c r="V510" s="462"/>
      <c r="W510" s="462" t="s">
        <v>4125</v>
      </c>
      <c r="X510" s="462"/>
      <c r="Y510" s="792" t="s">
        <v>5562</v>
      </c>
      <c r="Z510" s="462" t="s">
        <v>138</v>
      </c>
      <c r="AA510" s="679"/>
    </row>
    <row r="511" spans="1:27" s="154" customFormat="1" ht="54.75" customHeight="1">
      <c r="A511" s="499"/>
      <c r="B511" s="338"/>
      <c r="C511" s="336"/>
      <c r="D511" s="331"/>
      <c r="E511" s="332"/>
      <c r="F511" s="332"/>
      <c r="G511" s="332"/>
      <c r="H511" s="332"/>
      <c r="I511" s="332"/>
      <c r="J511" s="461"/>
      <c r="K511" s="624"/>
      <c r="L511" s="624"/>
      <c r="M511" s="785"/>
      <c r="N511" s="783"/>
      <c r="O511" s="461">
        <v>9</v>
      </c>
      <c r="P511" s="463" t="s">
        <v>4512</v>
      </c>
      <c r="Q511" s="461">
        <v>5</v>
      </c>
      <c r="R511" s="463"/>
      <c r="S511" s="461"/>
      <c r="T511" s="461" t="s">
        <v>4125</v>
      </c>
      <c r="U511" s="461"/>
      <c r="V511" s="462"/>
      <c r="W511" s="462" t="s">
        <v>4125</v>
      </c>
      <c r="X511" s="462"/>
      <c r="Y511" s="792" t="s">
        <v>5563</v>
      </c>
      <c r="Z511" s="462" t="s">
        <v>138</v>
      </c>
      <c r="AA511" s="679"/>
    </row>
    <row r="512" spans="1:27" s="154" customFormat="1" ht="14.25">
      <c r="A512" s="502"/>
      <c r="B512" s="490"/>
      <c r="C512" s="491"/>
      <c r="D512" s="345"/>
      <c r="E512" s="405"/>
      <c r="F512" s="405"/>
      <c r="G512" s="405"/>
      <c r="H512" s="405"/>
      <c r="I512" s="405"/>
      <c r="J512" s="405"/>
      <c r="K512" s="492"/>
      <c r="L512" s="492"/>
      <c r="M512" s="493"/>
      <c r="N512" s="494"/>
      <c r="O512" s="492"/>
      <c r="P512" s="491"/>
      <c r="Q512" s="405"/>
      <c r="R512" s="495"/>
      <c r="S512" s="496"/>
      <c r="T512" s="496"/>
      <c r="U512" s="496"/>
      <c r="V512" s="497"/>
      <c r="W512" s="497"/>
      <c r="X512" s="497"/>
      <c r="Y512" s="498"/>
      <c r="Z512" s="308"/>
      <c r="AA512" s="141"/>
    </row>
    <row r="513" spans="1:27" s="154" customFormat="1" ht="42.75">
      <c r="A513" s="500" t="s">
        <v>5564</v>
      </c>
      <c r="B513" s="310" t="s">
        <v>566</v>
      </c>
      <c r="C513" s="327" t="s">
        <v>5565</v>
      </c>
      <c r="D513" s="456" t="s">
        <v>5511</v>
      </c>
      <c r="E513" s="471"/>
      <c r="F513" s="471"/>
      <c r="G513" s="471"/>
      <c r="H513" s="471"/>
      <c r="I513" s="471"/>
      <c r="J513" s="483">
        <v>51.4</v>
      </c>
      <c r="K513" s="779" t="s">
        <v>4125</v>
      </c>
      <c r="L513" s="779" t="s">
        <v>4125</v>
      </c>
      <c r="M513" s="778" t="s">
        <v>5566</v>
      </c>
      <c r="N513" s="779" t="s">
        <v>5567</v>
      </c>
      <c r="O513" s="590"/>
      <c r="P513" s="472"/>
      <c r="Q513" s="473"/>
      <c r="R513" s="472"/>
      <c r="S513" s="473"/>
      <c r="T513" s="473"/>
      <c r="U513" s="473"/>
      <c r="V513" s="474"/>
      <c r="W513" s="474"/>
      <c r="X513" s="474"/>
      <c r="Y513" s="526"/>
      <c r="Z513" s="474" t="s">
        <v>138</v>
      </c>
      <c r="AA513" s="141"/>
    </row>
    <row r="514" spans="1:27" ht="14.25">
      <c r="A514" s="514"/>
      <c r="B514" s="507"/>
      <c r="C514" s="330"/>
      <c r="D514" s="459"/>
      <c r="E514" s="341"/>
      <c r="F514" s="341"/>
      <c r="G514" s="341"/>
      <c r="H514" s="341"/>
      <c r="I514" s="341"/>
      <c r="J514" s="523"/>
      <c r="K514" s="590"/>
      <c r="L514" s="590"/>
      <c r="M514" s="589"/>
      <c r="N514" s="589"/>
      <c r="O514" s="590">
        <v>1</v>
      </c>
      <c r="P514" s="472" t="s">
        <v>5568</v>
      </c>
      <c r="Q514" s="473">
        <v>0</v>
      </c>
      <c r="R514" s="461"/>
      <c r="S514" s="461"/>
      <c r="T514" s="461"/>
      <c r="U514" s="461" t="s">
        <v>4125</v>
      </c>
      <c r="V514" s="461"/>
      <c r="W514" s="461"/>
      <c r="X514" s="461"/>
      <c r="Y514" s="796"/>
      <c r="Z514" s="462" t="s">
        <v>138</v>
      </c>
    </row>
    <row r="515" spans="1:27" ht="15">
      <c r="A515" s="457"/>
      <c r="B515" s="458"/>
      <c r="C515" s="524"/>
      <c r="D515" s="459"/>
      <c r="E515" s="341"/>
      <c r="F515" s="341"/>
      <c r="G515" s="341"/>
      <c r="H515" s="341"/>
      <c r="I515" s="341"/>
      <c r="J515" s="523"/>
      <c r="K515" s="342"/>
      <c r="L515" s="342"/>
      <c r="M515" s="460"/>
      <c r="N515" s="460"/>
      <c r="O515" s="342">
        <v>2</v>
      </c>
      <c r="P515" s="336" t="s">
        <v>5569</v>
      </c>
      <c r="Q515" s="461">
        <v>0</v>
      </c>
      <c r="R515" s="461"/>
      <c r="S515" s="461"/>
      <c r="T515" s="461"/>
      <c r="U515" s="461" t="s">
        <v>4125</v>
      </c>
      <c r="V515" s="461"/>
      <c r="W515" s="461"/>
      <c r="X515" s="860"/>
      <c r="Y515" s="643"/>
      <c r="Z515" s="861">
        <v>2</v>
      </c>
    </row>
    <row r="516" spans="1:27" ht="14.25">
      <c r="A516" s="457"/>
      <c r="B516" s="458"/>
      <c r="C516" s="330"/>
      <c r="D516" s="459"/>
      <c r="E516" s="341"/>
      <c r="F516" s="341"/>
      <c r="G516" s="341"/>
      <c r="H516" s="341"/>
      <c r="I516" s="341"/>
      <c r="J516" s="523"/>
      <c r="K516" s="342"/>
      <c r="L516" s="342"/>
      <c r="M516" s="460"/>
      <c r="N516" s="460"/>
      <c r="O516" s="342">
        <v>3</v>
      </c>
      <c r="P516" s="336" t="s">
        <v>5570</v>
      </c>
      <c r="Q516" s="461">
        <v>0</v>
      </c>
      <c r="R516" s="461"/>
      <c r="S516" s="461"/>
      <c r="T516" s="461"/>
      <c r="U516" s="461" t="s">
        <v>4125</v>
      </c>
      <c r="V516" s="461"/>
      <c r="W516" s="461"/>
      <c r="X516" s="860"/>
      <c r="Y516" s="643"/>
      <c r="Z516" s="861">
        <v>2</v>
      </c>
    </row>
    <row r="517" spans="1:27" ht="15">
      <c r="A517" s="457"/>
      <c r="B517" s="458"/>
      <c r="C517" s="524"/>
      <c r="D517" s="459"/>
      <c r="E517" s="341"/>
      <c r="F517" s="341"/>
      <c r="G517" s="341"/>
      <c r="H517" s="341"/>
      <c r="I517" s="341"/>
      <c r="J517" s="523"/>
      <c r="K517" s="342"/>
      <c r="L517" s="342"/>
      <c r="M517" s="460"/>
      <c r="N517" s="460"/>
      <c r="O517" s="341">
        <v>4</v>
      </c>
      <c r="P517" s="336" t="s">
        <v>5571</v>
      </c>
      <c r="Q517" s="461">
        <v>0</v>
      </c>
      <c r="R517" s="461"/>
      <c r="S517" s="461"/>
      <c r="T517" s="461"/>
      <c r="U517" s="461" t="s">
        <v>4125</v>
      </c>
      <c r="V517" s="461" t="s">
        <v>4125</v>
      </c>
      <c r="W517" s="461"/>
      <c r="X517" s="860"/>
      <c r="Y517" s="643"/>
      <c r="Z517" s="861">
        <v>2</v>
      </c>
    </row>
    <row r="518" spans="1:27" ht="14.25">
      <c r="A518" s="457"/>
      <c r="B518" s="458"/>
      <c r="C518" s="330"/>
      <c r="D518" s="459"/>
      <c r="E518" s="341"/>
      <c r="F518" s="341"/>
      <c r="G518" s="341"/>
      <c r="H518" s="341"/>
      <c r="I518" s="341"/>
      <c r="J518" s="523"/>
      <c r="K518" s="590"/>
      <c r="L518" s="590"/>
      <c r="M518" s="589"/>
      <c r="N518" s="589"/>
      <c r="O518" s="473">
        <v>5</v>
      </c>
      <c r="P518" s="463" t="s">
        <v>5572</v>
      </c>
      <c r="Q518" s="461">
        <v>0</v>
      </c>
      <c r="R518" s="461"/>
      <c r="S518" s="461"/>
      <c r="T518" s="461"/>
      <c r="U518" s="461" t="s">
        <v>4125</v>
      </c>
      <c r="V518" s="461"/>
      <c r="W518" s="461"/>
      <c r="X518" s="461"/>
      <c r="Y518" s="796"/>
      <c r="Z518" s="462" t="s">
        <v>138</v>
      </c>
    </row>
    <row r="519" spans="1:27" ht="15">
      <c r="A519" s="457"/>
      <c r="B519" s="458"/>
      <c r="C519" s="524"/>
      <c r="D519" s="459"/>
      <c r="E519" s="341"/>
      <c r="F519" s="341"/>
      <c r="G519" s="341"/>
      <c r="H519" s="341"/>
      <c r="I519" s="341"/>
      <c r="J519" s="523"/>
      <c r="K519" s="590"/>
      <c r="L519" s="590"/>
      <c r="M519" s="589"/>
      <c r="N519" s="589"/>
      <c r="O519" s="473">
        <v>6</v>
      </c>
      <c r="P519" s="463" t="s">
        <v>5573</v>
      </c>
      <c r="Q519" s="461">
        <v>0</v>
      </c>
      <c r="R519" s="461"/>
      <c r="S519" s="461"/>
      <c r="T519" s="461"/>
      <c r="U519" s="461" t="s">
        <v>4125</v>
      </c>
      <c r="V519" s="461"/>
      <c r="W519" s="461"/>
      <c r="X519" s="461"/>
      <c r="Y519" s="796"/>
      <c r="Z519" s="462" t="s">
        <v>138</v>
      </c>
    </row>
    <row r="520" spans="1:27" ht="14.25">
      <c r="A520" s="457"/>
      <c r="B520" s="458"/>
      <c r="C520" s="330"/>
      <c r="D520" s="459"/>
      <c r="E520" s="341"/>
      <c r="F520" s="341"/>
      <c r="G520" s="341"/>
      <c r="H520" s="341"/>
      <c r="I520" s="341"/>
      <c r="J520" s="523"/>
      <c r="K520" s="342"/>
      <c r="L520" s="342"/>
      <c r="M520" s="460"/>
      <c r="N520" s="460"/>
      <c r="O520" s="341">
        <v>7</v>
      </c>
      <c r="P520" s="336" t="s">
        <v>5574</v>
      </c>
      <c r="Q520" s="461">
        <v>0</v>
      </c>
      <c r="R520" s="585"/>
      <c r="S520" s="860"/>
      <c r="T520" s="586"/>
      <c r="U520" s="860" t="s">
        <v>4125</v>
      </c>
      <c r="V520" s="587"/>
      <c r="W520" s="586"/>
      <c r="X520" s="461"/>
      <c r="Y520" s="643"/>
      <c r="Z520" s="861">
        <v>2</v>
      </c>
    </row>
    <row r="521" spans="1:27" s="154" customFormat="1" ht="14.25">
      <c r="A521" s="525"/>
      <c r="B521" s="490"/>
      <c r="C521" s="491"/>
      <c r="D521" s="345"/>
      <c r="E521" s="405"/>
      <c r="F521" s="405"/>
      <c r="G521" s="405"/>
      <c r="H521" s="405"/>
      <c r="I521" s="405"/>
      <c r="J521" s="405"/>
      <c r="K521" s="492"/>
      <c r="L521" s="492"/>
      <c r="M521" s="493"/>
      <c r="N521" s="494"/>
      <c r="O521" s="492"/>
      <c r="P521" s="491"/>
      <c r="Q521" s="405"/>
      <c r="R521" s="495"/>
      <c r="S521" s="496"/>
      <c r="T521" s="496"/>
      <c r="U521" s="496"/>
      <c r="V521" s="497"/>
      <c r="W521" s="497"/>
      <c r="X521" s="497"/>
      <c r="Y521" s="498"/>
      <c r="Z521" s="308"/>
      <c r="AA521" s="141"/>
    </row>
    <row r="522" spans="1:27" s="154" customFormat="1" ht="28.5">
      <c r="A522" s="578" t="s">
        <v>5575</v>
      </c>
      <c r="B522" s="310" t="s">
        <v>132</v>
      </c>
      <c r="C522" s="327" t="s">
        <v>5576</v>
      </c>
      <c r="D522" s="456" t="s">
        <v>4978</v>
      </c>
      <c r="E522" s="322">
        <v>0</v>
      </c>
      <c r="F522" s="322">
        <v>100</v>
      </c>
      <c r="G522" s="322" t="s">
        <v>41</v>
      </c>
      <c r="H522" s="322">
        <v>40</v>
      </c>
      <c r="I522" s="322">
        <v>100</v>
      </c>
      <c r="J522" s="483">
        <v>9.83</v>
      </c>
      <c r="K522" s="323" t="s">
        <v>4125</v>
      </c>
      <c r="L522" s="323"/>
      <c r="M522" s="324" t="s">
        <v>4979</v>
      </c>
      <c r="N522" s="324" t="s">
        <v>4980</v>
      </c>
      <c r="O522" s="342"/>
      <c r="P522" s="330"/>
      <c r="Q522" s="341"/>
      <c r="R522" s="472"/>
      <c r="S522" s="473"/>
      <c r="T522" s="473"/>
      <c r="U522" s="473"/>
      <c r="V522" s="474"/>
      <c r="W522" s="474"/>
      <c r="X522" s="474"/>
      <c r="Y522" s="488"/>
      <c r="Z522" s="315"/>
      <c r="AA522" s="141"/>
    </row>
    <row r="523" spans="1:27" ht="14.25">
      <c r="A523" s="580"/>
      <c r="B523" s="507"/>
      <c r="C523" s="330"/>
      <c r="D523" s="459"/>
      <c r="E523" s="341"/>
      <c r="F523" s="341"/>
      <c r="G523" s="341"/>
      <c r="H523" s="341"/>
      <c r="I523" s="341"/>
      <c r="J523" s="523"/>
      <c r="K523" s="590"/>
      <c r="L523" s="590"/>
      <c r="M523" s="589"/>
      <c r="N523" s="589"/>
      <c r="O523" s="590">
        <v>1</v>
      </c>
      <c r="P523" s="472" t="s">
        <v>5577</v>
      </c>
      <c r="Q523" s="473">
        <v>0</v>
      </c>
      <c r="R523" s="461"/>
      <c r="S523" s="461"/>
      <c r="T523" s="461"/>
      <c r="U523" s="461" t="s">
        <v>4125</v>
      </c>
      <c r="V523" s="461"/>
      <c r="W523" s="461"/>
      <c r="X523" s="461"/>
      <c r="Y523" s="796"/>
      <c r="Z523" s="462" t="s">
        <v>138</v>
      </c>
    </row>
    <row r="524" spans="1:27" ht="15">
      <c r="A524" s="581"/>
      <c r="B524" s="458"/>
      <c r="C524" s="524"/>
      <c r="D524" s="459"/>
      <c r="E524" s="341"/>
      <c r="F524" s="341"/>
      <c r="G524" s="341"/>
      <c r="H524" s="341"/>
      <c r="I524" s="341"/>
      <c r="J524" s="523"/>
      <c r="K524" s="342"/>
      <c r="L524" s="342"/>
      <c r="M524" s="460"/>
      <c r="N524" s="460"/>
      <c r="O524" s="342">
        <v>2</v>
      </c>
      <c r="P524" s="336" t="s">
        <v>5578</v>
      </c>
      <c r="Q524" s="461">
        <v>0</v>
      </c>
      <c r="R524" s="461"/>
      <c r="S524" s="461"/>
      <c r="T524" s="461"/>
      <c r="U524" s="461" t="s">
        <v>4125</v>
      </c>
      <c r="V524" s="461"/>
      <c r="W524" s="461"/>
      <c r="X524" s="860"/>
      <c r="Y524" s="643"/>
      <c r="Z524" s="861">
        <v>2</v>
      </c>
    </row>
    <row r="525" spans="1:27" ht="14.25">
      <c r="A525" s="580"/>
      <c r="B525" s="515"/>
      <c r="C525" s="336"/>
      <c r="D525" s="331"/>
      <c r="E525" s="332"/>
      <c r="F525" s="332"/>
      <c r="G525" s="332"/>
      <c r="H525" s="332"/>
      <c r="I525" s="332"/>
      <c r="J525" s="527"/>
      <c r="K525" s="333"/>
      <c r="L525" s="333"/>
      <c r="M525" s="509"/>
      <c r="N525" s="509"/>
      <c r="O525" s="342">
        <v>3</v>
      </c>
      <c r="P525" s="336" t="s">
        <v>5579</v>
      </c>
      <c r="Q525" s="461">
        <v>0</v>
      </c>
      <c r="R525" s="461"/>
      <c r="S525" s="461"/>
      <c r="T525" s="461"/>
      <c r="U525" s="461" t="s">
        <v>4125</v>
      </c>
      <c r="V525" s="461"/>
      <c r="W525" s="461"/>
      <c r="X525" s="860"/>
      <c r="Y525" s="643"/>
      <c r="Z525" s="861">
        <v>2</v>
      </c>
    </row>
    <row r="526" spans="1:27" ht="14.25">
      <c r="A526" s="580"/>
      <c r="B526" s="515"/>
      <c r="C526" s="336"/>
      <c r="D526" s="331"/>
      <c r="E526" s="332"/>
      <c r="F526" s="332"/>
      <c r="G526" s="332"/>
      <c r="H526" s="332"/>
      <c r="I526" s="332"/>
      <c r="J526" s="527"/>
      <c r="K526" s="333"/>
      <c r="L526" s="333"/>
      <c r="M526" s="509"/>
      <c r="N526" s="509"/>
      <c r="O526" s="341">
        <v>4</v>
      </c>
      <c r="P526" s="336" t="s">
        <v>5580</v>
      </c>
      <c r="Q526" s="461">
        <v>0</v>
      </c>
      <c r="R526" s="461"/>
      <c r="S526" s="461"/>
      <c r="T526" s="461"/>
      <c r="U526" s="461" t="s">
        <v>4125</v>
      </c>
      <c r="V526" s="461" t="s">
        <v>4125</v>
      </c>
      <c r="W526" s="461"/>
      <c r="X526" s="860"/>
      <c r="Y526" s="643"/>
      <c r="Z526" s="861">
        <v>2</v>
      </c>
    </row>
    <row r="527" spans="1:27" ht="14.25">
      <c r="A527" s="580"/>
      <c r="B527" s="515"/>
      <c r="C527" s="336"/>
      <c r="D527" s="331"/>
      <c r="E527" s="332"/>
      <c r="F527" s="332"/>
      <c r="G527" s="332"/>
      <c r="H527" s="332"/>
      <c r="I527" s="332"/>
      <c r="J527" s="527"/>
      <c r="K527" s="624"/>
      <c r="L527" s="624"/>
      <c r="M527" s="667"/>
      <c r="N527" s="667"/>
      <c r="O527" s="473">
        <v>5</v>
      </c>
      <c r="P527" s="463" t="s">
        <v>5581</v>
      </c>
      <c r="Q527" s="461">
        <v>0</v>
      </c>
      <c r="R527" s="461"/>
      <c r="S527" s="461"/>
      <c r="T527" s="461"/>
      <c r="U527" s="461" t="s">
        <v>4125</v>
      </c>
      <c r="V527" s="461"/>
      <c r="W527" s="461"/>
      <c r="X527" s="461"/>
      <c r="Y527" s="796"/>
      <c r="Z527" s="462" t="s">
        <v>138</v>
      </c>
    </row>
    <row r="528" spans="1:27" ht="14.25">
      <c r="A528" s="580"/>
      <c r="B528" s="515"/>
      <c r="C528" s="336"/>
      <c r="D528" s="331"/>
      <c r="E528" s="332"/>
      <c r="F528" s="332"/>
      <c r="G528" s="332"/>
      <c r="H528" s="332"/>
      <c r="I528" s="332"/>
      <c r="J528" s="527"/>
      <c r="K528" s="624"/>
      <c r="L528" s="624"/>
      <c r="M528" s="667"/>
      <c r="N528" s="667"/>
      <c r="O528" s="473">
        <v>6</v>
      </c>
      <c r="P528" s="463" t="s">
        <v>5582</v>
      </c>
      <c r="Q528" s="461">
        <v>0</v>
      </c>
      <c r="R528" s="461"/>
      <c r="S528" s="461"/>
      <c r="T528" s="461"/>
      <c r="U528" s="461" t="s">
        <v>4125</v>
      </c>
      <c r="V528" s="461"/>
      <c r="W528" s="461"/>
      <c r="X528" s="461"/>
      <c r="Y528" s="796"/>
      <c r="Z528" s="462" t="s">
        <v>138</v>
      </c>
    </row>
    <row r="529" spans="1:27" ht="14.25">
      <c r="A529" s="580"/>
      <c r="B529" s="515"/>
      <c r="C529" s="336"/>
      <c r="D529" s="331"/>
      <c r="E529" s="332"/>
      <c r="F529" s="332"/>
      <c r="G529" s="332"/>
      <c r="H529" s="332"/>
      <c r="I529" s="332"/>
      <c r="J529" s="527"/>
      <c r="K529" s="333"/>
      <c r="L529" s="333"/>
      <c r="M529" s="509"/>
      <c r="N529" s="509"/>
      <c r="O529" s="341">
        <v>7</v>
      </c>
      <c r="P529" s="336" t="s">
        <v>5583</v>
      </c>
      <c r="Q529" s="461">
        <v>0</v>
      </c>
      <c r="R529" s="585"/>
      <c r="S529" s="860"/>
      <c r="T529" s="586"/>
      <c r="U529" s="860" t="s">
        <v>4125</v>
      </c>
      <c r="V529" s="587"/>
      <c r="W529" s="586"/>
      <c r="X529" s="461"/>
      <c r="Y529" s="643"/>
      <c r="Z529" s="861">
        <v>2</v>
      </c>
    </row>
    <row r="530" spans="1:27" ht="14.25">
      <c r="A530" s="580"/>
      <c r="B530" s="515"/>
      <c r="C530" s="336"/>
      <c r="D530" s="331"/>
      <c r="E530" s="332"/>
      <c r="F530" s="332"/>
      <c r="G530" s="332"/>
      <c r="H530" s="332"/>
      <c r="I530" s="332"/>
      <c r="J530" s="527"/>
      <c r="K530" s="624"/>
      <c r="L530" s="624"/>
      <c r="M530" s="667"/>
      <c r="N530" s="667"/>
      <c r="O530" s="461">
        <v>8</v>
      </c>
      <c r="P530" s="463" t="s">
        <v>5584</v>
      </c>
      <c r="Q530" s="868">
        <v>3</v>
      </c>
      <c r="R530" s="176"/>
      <c r="S530" s="176"/>
      <c r="T530" s="176" t="s">
        <v>4125</v>
      </c>
      <c r="U530" s="176"/>
      <c r="V530" s="176"/>
      <c r="W530" s="176" t="s">
        <v>4125</v>
      </c>
      <c r="X530" s="480"/>
      <c r="Y530" s="526" t="s">
        <v>5585</v>
      </c>
      <c r="Z530" s="867">
        <v>2</v>
      </c>
      <c r="AA530" s="683"/>
    </row>
    <row r="531" spans="1:27" ht="14.25">
      <c r="A531" s="580"/>
      <c r="B531" s="515"/>
      <c r="C531" s="336"/>
      <c r="D531" s="331"/>
      <c r="E531" s="332"/>
      <c r="F531" s="332"/>
      <c r="G531" s="332"/>
      <c r="H531" s="332"/>
      <c r="I531" s="332"/>
      <c r="J531" s="527"/>
      <c r="K531" s="624"/>
      <c r="L531" s="624"/>
      <c r="M531" s="667"/>
      <c r="N531" s="667"/>
      <c r="O531" s="461">
        <v>9</v>
      </c>
      <c r="P531" s="463" t="s">
        <v>5586</v>
      </c>
      <c r="Q531" s="176">
        <v>5</v>
      </c>
      <c r="R531" s="176"/>
      <c r="S531" s="176"/>
      <c r="T531" s="176" t="s">
        <v>4125</v>
      </c>
      <c r="U531" s="176"/>
      <c r="V531" s="176"/>
      <c r="W531" s="176" t="s">
        <v>4125</v>
      </c>
      <c r="X531" s="480"/>
      <c r="Y531" s="526" t="s">
        <v>5587</v>
      </c>
      <c r="Z531" s="480" t="s">
        <v>138</v>
      </c>
    </row>
    <row r="532" spans="1:27" s="154" customFormat="1" ht="14.25">
      <c r="A532" s="582"/>
      <c r="B532" s="490"/>
      <c r="C532" s="491"/>
      <c r="D532" s="345"/>
      <c r="E532" s="405"/>
      <c r="F532" s="405"/>
      <c r="G532" s="405"/>
      <c r="H532" s="405"/>
      <c r="I532" s="405"/>
      <c r="J532" s="405"/>
      <c r="K532" s="492"/>
      <c r="L532" s="492"/>
      <c r="M532" s="493"/>
      <c r="N532" s="494"/>
      <c r="O532" s="492"/>
      <c r="P532" s="491"/>
      <c r="Q532" s="405"/>
      <c r="R532" s="495"/>
      <c r="S532" s="496"/>
      <c r="T532" s="496"/>
      <c r="U532" s="496"/>
      <c r="V532" s="497"/>
      <c r="W532" s="497"/>
      <c r="X532" s="497"/>
      <c r="Y532" s="498"/>
      <c r="Z532" s="308"/>
      <c r="AA532" s="141"/>
    </row>
    <row r="533" spans="1:27" s="154" customFormat="1" ht="28.5">
      <c r="A533" s="578" t="s">
        <v>5588</v>
      </c>
      <c r="B533" s="310" t="s">
        <v>132</v>
      </c>
      <c r="C533" s="327" t="s">
        <v>5589</v>
      </c>
      <c r="D533" s="456" t="s">
        <v>4978</v>
      </c>
      <c r="E533" s="322">
        <v>0</v>
      </c>
      <c r="F533" s="322">
        <v>100</v>
      </c>
      <c r="G533" s="322" t="s">
        <v>41</v>
      </c>
      <c r="H533" s="322">
        <v>40</v>
      </c>
      <c r="I533" s="322">
        <v>100</v>
      </c>
      <c r="J533" s="483">
        <v>9.83</v>
      </c>
      <c r="K533" s="323" t="s">
        <v>4125</v>
      </c>
      <c r="L533" s="323"/>
      <c r="M533" s="324" t="s">
        <v>4979</v>
      </c>
      <c r="N533" s="324" t="s">
        <v>4980</v>
      </c>
      <c r="O533" s="342"/>
      <c r="P533" s="330"/>
      <c r="Q533" s="341"/>
      <c r="R533" s="472"/>
      <c r="S533" s="473"/>
      <c r="T533" s="473"/>
      <c r="U533" s="473"/>
      <c r="V533" s="474"/>
      <c r="W533" s="474"/>
      <c r="X533" s="474"/>
      <c r="Y533" s="488"/>
      <c r="Z533" s="315"/>
      <c r="AA533" s="141"/>
    </row>
    <row r="534" spans="1:27" ht="14.25">
      <c r="A534" s="514"/>
      <c r="B534" s="507"/>
      <c r="C534" s="330"/>
      <c r="D534" s="459"/>
      <c r="E534" s="341"/>
      <c r="F534" s="341"/>
      <c r="G534" s="341"/>
      <c r="H534" s="341"/>
      <c r="I534" s="341"/>
      <c r="J534" s="523"/>
      <c r="K534" s="590"/>
      <c r="L534" s="590"/>
      <c r="M534" s="589"/>
      <c r="N534" s="589"/>
      <c r="O534" s="590">
        <v>1</v>
      </c>
      <c r="P534" s="472" t="s">
        <v>5590</v>
      </c>
      <c r="Q534" s="473">
        <v>0</v>
      </c>
      <c r="R534" s="461"/>
      <c r="S534" s="461"/>
      <c r="T534" s="461"/>
      <c r="U534" s="461" t="s">
        <v>4125</v>
      </c>
      <c r="V534" s="461"/>
      <c r="W534" s="461"/>
      <c r="X534" s="461"/>
      <c r="Y534" s="796"/>
      <c r="Z534" s="462" t="s">
        <v>138</v>
      </c>
    </row>
    <row r="535" spans="1:27" ht="15">
      <c r="A535" s="457"/>
      <c r="B535" s="458"/>
      <c r="C535" s="524"/>
      <c r="D535" s="459"/>
      <c r="E535" s="341"/>
      <c r="F535" s="341"/>
      <c r="G535" s="341"/>
      <c r="H535" s="341"/>
      <c r="I535" s="341"/>
      <c r="J535" s="523"/>
      <c r="K535" s="342"/>
      <c r="L535" s="342"/>
      <c r="M535" s="460"/>
      <c r="N535" s="460"/>
      <c r="O535" s="342">
        <v>2</v>
      </c>
      <c r="P535" s="336" t="s">
        <v>5591</v>
      </c>
      <c r="Q535" s="461">
        <v>0</v>
      </c>
      <c r="R535" s="461"/>
      <c r="S535" s="461"/>
      <c r="T535" s="461"/>
      <c r="U535" s="461" t="s">
        <v>4125</v>
      </c>
      <c r="V535" s="461"/>
      <c r="W535" s="461"/>
      <c r="X535" s="860"/>
      <c r="Y535" s="643"/>
      <c r="Z535" s="861">
        <v>2</v>
      </c>
    </row>
    <row r="536" spans="1:27" ht="14.25">
      <c r="A536" s="514"/>
      <c r="B536" s="515"/>
      <c r="C536" s="336"/>
      <c r="D536" s="331"/>
      <c r="E536" s="332"/>
      <c r="F536" s="332"/>
      <c r="G536" s="332"/>
      <c r="H536" s="332"/>
      <c r="I536" s="332"/>
      <c r="J536" s="527"/>
      <c r="K536" s="333"/>
      <c r="L536" s="333"/>
      <c r="M536" s="509"/>
      <c r="N536" s="509"/>
      <c r="O536" s="342">
        <v>3</v>
      </c>
      <c r="P536" s="336" t="s">
        <v>5592</v>
      </c>
      <c r="Q536" s="461">
        <v>0</v>
      </c>
      <c r="R536" s="461"/>
      <c r="S536" s="461"/>
      <c r="T536" s="461"/>
      <c r="U536" s="461" t="s">
        <v>4125</v>
      </c>
      <c r="V536" s="461"/>
      <c r="W536" s="461"/>
      <c r="X536" s="860"/>
      <c r="Y536" s="643"/>
      <c r="Z536" s="861">
        <v>2</v>
      </c>
    </row>
    <row r="537" spans="1:27" ht="14.25">
      <c r="A537" s="514"/>
      <c r="B537" s="515"/>
      <c r="C537" s="336"/>
      <c r="D537" s="331"/>
      <c r="E537" s="332"/>
      <c r="F537" s="332"/>
      <c r="G537" s="332"/>
      <c r="H537" s="332"/>
      <c r="I537" s="332"/>
      <c r="J537" s="527"/>
      <c r="K537" s="333"/>
      <c r="L537" s="333"/>
      <c r="M537" s="509"/>
      <c r="N537" s="509"/>
      <c r="O537" s="341">
        <v>4</v>
      </c>
      <c r="P537" s="336" t="s">
        <v>5593</v>
      </c>
      <c r="Q537" s="461">
        <v>0</v>
      </c>
      <c r="R537" s="461"/>
      <c r="S537" s="461"/>
      <c r="T537" s="461"/>
      <c r="U537" s="461" t="s">
        <v>4125</v>
      </c>
      <c r="V537" s="461" t="s">
        <v>4125</v>
      </c>
      <c r="W537" s="461"/>
      <c r="X537" s="860"/>
      <c r="Y537" s="643"/>
      <c r="Z537" s="861">
        <v>2</v>
      </c>
    </row>
    <row r="538" spans="1:27" ht="14.25">
      <c r="A538" s="514"/>
      <c r="B538" s="515"/>
      <c r="C538" s="336"/>
      <c r="D538" s="331"/>
      <c r="E538" s="332"/>
      <c r="F538" s="332"/>
      <c r="G538" s="332"/>
      <c r="H538" s="332"/>
      <c r="I538" s="332"/>
      <c r="J538" s="527"/>
      <c r="K538" s="624"/>
      <c r="L538" s="624"/>
      <c r="M538" s="667"/>
      <c r="N538" s="667"/>
      <c r="O538" s="473">
        <v>5</v>
      </c>
      <c r="P538" s="463" t="s">
        <v>5594</v>
      </c>
      <c r="Q538" s="461">
        <v>0</v>
      </c>
      <c r="R538" s="461"/>
      <c r="S538" s="461"/>
      <c r="T538" s="461"/>
      <c r="U538" s="461" t="s">
        <v>4125</v>
      </c>
      <c r="V538" s="461"/>
      <c r="W538" s="461"/>
      <c r="X538" s="461"/>
      <c r="Y538" s="796"/>
      <c r="Z538" s="462" t="s">
        <v>138</v>
      </c>
    </row>
    <row r="539" spans="1:27" ht="14.25">
      <c r="A539" s="514"/>
      <c r="B539" s="515"/>
      <c r="C539" s="336"/>
      <c r="D539" s="331"/>
      <c r="E539" s="332"/>
      <c r="F539" s="332"/>
      <c r="G539" s="332"/>
      <c r="H539" s="332"/>
      <c r="I539" s="332"/>
      <c r="J539" s="527"/>
      <c r="K539" s="624"/>
      <c r="L539" s="624"/>
      <c r="M539" s="667"/>
      <c r="N539" s="667"/>
      <c r="O539" s="473">
        <v>6</v>
      </c>
      <c r="P539" s="463" t="s">
        <v>5595</v>
      </c>
      <c r="Q539" s="461">
        <v>0</v>
      </c>
      <c r="R539" s="461"/>
      <c r="S539" s="461"/>
      <c r="T539" s="461"/>
      <c r="U539" s="461" t="s">
        <v>4125</v>
      </c>
      <c r="V539" s="461"/>
      <c r="W539" s="461"/>
      <c r="X539" s="461"/>
      <c r="Y539" s="796"/>
      <c r="Z539" s="462" t="s">
        <v>138</v>
      </c>
    </row>
    <row r="540" spans="1:27" ht="14.25">
      <c r="A540" s="514"/>
      <c r="B540" s="515"/>
      <c r="C540" s="336"/>
      <c r="D540" s="331"/>
      <c r="E540" s="332"/>
      <c r="F540" s="332"/>
      <c r="G540" s="332"/>
      <c r="H540" s="332"/>
      <c r="I540" s="332"/>
      <c r="J540" s="527"/>
      <c r="K540" s="333"/>
      <c r="L540" s="333"/>
      <c r="M540" s="509"/>
      <c r="N540" s="509"/>
      <c r="O540" s="341">
        <v>7</v>
      </c>
      <c r="P540" s="336" t="s">
        <v>5596</v>
      </c>
      <c r="Q540" s="461">
        <v>0</v>
      </c>
      <c r="R540" s="585"/>
      <c r="S540" s="860"/>
      <c r="T540" s="586"/>
      <c r="U540" s="860" t="s">
        <v>4125</v>
      </c>
      <c r="V540" s="587"/>
      <c r="W540" s="586"/>
      <c r="X540" s="461"/>
      <c r="Y540" s="643"/>
      <c r="Z540" s="861">
        <v>2</v>
      </c>
    </row>
    <row r="541" spans="1:27" ht="14.25">
      <c r="A541" s="514"/>
      <c r="B541" s="515"/>
      <c r="C541" s="336"/>
      <c r="D541" s="331"/>
      <c r="E541" s="332"/>
      <c r="F541" s="332"/>
      <c r="G541" s="332"/>
      <c r="H541" s="332"/>
      <c r="I541" s="332"/>
      <c r="J541" s="527"/>
      <c r="K541" s="624"/>
      <c r="L541" s="624"/>
      <c r="M541" s="667"/>
      <c r="N541" s="667"/>
      <c r="O541" s="461">
        <v>8</v>
      </c>
      <c r="P541" s="463" t="s">
        <v>5597</v>
      </c>
      <c r="Q541" s="868">
        <v>3</v>
      </c>
      <c r="R541" s="176"/>
      <c r="S541" s="176"/>
      <c r="T541" s="176" t="s">
        <v>4125</v>
      </c>
      <c r="U541" s="176"/>
      <c r="V541" s="176"/>
      <c r="W541" s="176" t="s">
        <v>4125</v>
      </c>
      <c r="X541" s="480"/>
      <c r="Y541" s="526" t="s">
        <v>5585</v>
      </c>
      <c r="Z541" s="867">
        <v>2</v>
      </c>
      <c r="AA541" s="683"/>
    </row>
    <row r="542" spans="1:27" ht="14.25">
      <c r="A542" s="514"/>
      <c r="B542" s="515"/>
      <c r="C542" s="336"/>
      <c r="D542" s="331"/>
      <c r="E542" s="332"/>
      <c r="F542" s="332"/>
      <c r="G542" s="332"/>
      <c r="H542" s="332"/>
      <c r="I542" s="332"/>
      <c r="J542" s="527"/>
      <c r="K542" s="624"/>
      <c r="L542" s="624"/>
      <c r="M542" s="667"/>
      <c r="N542" s="667"/>
      <c r="O542" s="461">
        <v>9</v>
      </c>
      <c r="P542" s="463" t="s">
        <v>5598</v>
      </c>
      <c r="Q542" s="176">
        <v>5</v>
      </c>
      <c r="R542" s="176"/>
      <c r="S542" s="176"/>
      <c r="T542" s="176" t="s">
        <v>4125</v>
      </c>
      <c r="U542" s="176"/>
      <c r="V542" s="176"/>
      <c r="W542" s="176" t="s">
        <v>4125</v>
      </c>
      <c r="X542" s="480"/>
      <c r="Y542" s="526" t="s">
        <v>5587</v>
      </c>
      <c r="Z542" s="480" t="s">
        <v>138</v>
      </c>
    </row>
    <row r="543" spans="1:27" s="154" customFormat="1" ht="14.25">
      <c r="A543" s="525"/>
      <c r="B543" s="490"/>
      <c r="C543" s="491"/>
      <c r="D543" s="345"/>
      <c r="E543" s="405"/>
      <c r="F543" s="405"/>
      <c r="G543" s="405"/>
      <c r="H543" s="405"/>
      <c r="I543" s="405"/>
      <c r="J543" s="405"/>
      <c r="K543" s="492"/>
      <c r="L543" s="492"/>
      <c r="M543" s="493"/>
      <c r="N543" s="494"/>
      <c r="O543" s="492"/>
      <c r="P543" s="491"/>
      <c r="Q543" s="405"/>
      <c r="R543" s="495"/>
      <c r="S543" s="496"/>
      <c r="T543" s="496"/>
      <c r="U543" s="496"/>
      <c r="V543" s="497"/>
      <c r="W543" s="497"/>
      <c r="X543" s="497"/>
      <c r="Y543" s="498"/>
      <c r="Z543" s="308"/>
      <c r="AA543" s="141"/>
    </row>
    <row r="544" spans="1:27" s="154" customFormat="1" ht="28.5">
      <c r="A544" s="578" t="s">
        <v>5599</v>
      </c>
      <c r="B544" s="310" t="s">
        <v>172</v>
      </c>
      <c r="C544" s="327" t="s">
        <v>5600</v>
      </c>
      <c r="D544" s="456" t="s">
        <v>4978</v>
      </c>
      <c r="E544" s="322">
        <v>0</v>
      </c>
      <c r="F544" s="322">
        <v>100</v>
      </c>
      <c r="G544" s="322" t="s">
        <v>41</v>
      </c>
      <c r="H544" s="322">
        <v>40</v>
      </c>
      <c r="I544" s="322">
        <v>100</v>
      </c>
      <c r="J544" s="483">
        <v>9.83</v>
      </c>
      <c r="K544" s="323" t="s">
        <v>4125</v>
      </c>
      <c r="L544" s="323"/>
      <c r="M544" s="324" t="s">
        <v>4979</v>
      </c>
      <c r="N544" s="324" t="s">
        <v>4980</v>
      </c>
      <c r="O544" s="342"/>
      <c r="P544" s="330"/>
      <c r="Q544" s="341"/>
      <c r="R544" s="472"/>
      <c r="S544" s="473"/>
      <c r="T544" s="473"/>
      <c r="U544" s="473"/>
      <c r="V544" s="474"/>
      <c r="W544" s="474"/>
      <c r="X544" s="474"/>
      <c r="Y544" s="488"/>
      <c r="Z544" s="315"/>
      <c r="AA544" s="141"/>
    </row>
    <row r="545" spans="1:27" ht="14.25">
      <c r="A545" s="514"/>
      <c r="B545" s="507"/>
      <c r="C545" s="330"/>
      <c r="D545" s="459"/>
      <c r="E545" s="341"/>
      <c r="F545" s="341"/>
      <c r="G545" s="341"/>
      <c r="H545" s="341"/>
      <c r="I545" s="341"/>
      <c r="J545" s="523"/>
      <c r="K545" s="590"/>
      <c r="L545" s="590"/>
      <c r="M545" s="589"/>
      <c r="N545" s="589"/>
      <c r="O545" s="590">
        <v>1</v>
      </c>
      <c r="P545" s="472" t="s">
        <v>5601</v>
      </c>
      <c r="Q545" s="473">
        <v>0</v>
      </c>
      <c r="R545" s="461"/>
      <c r="S545" s="461"/>
      <c r="T545" s="461"/>
      <c r="U545" s="461" t="s">
        <v>4125</v>
      </c>
      <c r="V545" s="461"/>
      <c r="W545" s="461"/>
      <c r="X545" s="461"/>
      <c r="Y545" s="796"/>
      <c r="Z545" s="462" t="s">
        <v>138</v>
      </c>
    </row>
    <row r="546" spans="1:27" ht="15">
      <c r="A546" s="457"/>
      <c r="B546" s="458"/>
      <c r="C546" s="524"/>
      <c r="D546" s="459"/>
      <c r="E546" s="341"/>
      <c r="F546" s="341"/>
      <c r="G546" s="341"/>
      <c r="H546" s="341"/>
      <c r="I546" s="341"/>
      <c r="J546" s="523"/>
      <c r="K546" s="342"/>
      <c r="L546" s="342"/>
      <c r="M546" s="460"/>
      <c r="N546" s="460"/>
      <c r="O546" s="342">
        <v>2</v>
      </c>
      <c r="P546" s="336" t="s">
        <v>5602</v>
      </c>
      <c r="Q546" s="461">
        <v>0</v>
      </c>
      <c r="R546" s="461"/>
      <c r="S546" s="461"/>
      <c r="T546" s="461"/>
      <c r="U546" s="461" t="s">
        <v>4125</v>
      </c>
      <c r="V546" s="461"/>
      <c r="W546" s="461"/>
      <c r="X546" s="860"/>
      <c r="Y546" s="643"/>
      <c r="Z546" s="861">
        <v>2</v>
      </c>
    </row>
    <row r="547" spans="1:27" ht="14.25">
      <c r="A547" s="514"/>
      <c r="B547" s="515"/>
      <c r="C547" s="336"/>
      <c r="D547" s="331"/>
      <c r="E547" s="332"/>
      <c r="F547" s="332"/>
      <c r="G547" s="332"/>
      <c r="H547" s="332"/>
      <c r="I547" s="332"/>
      <c r="J547" s="527"/>
      <c r="K547" s="333"/>
      <c r="L547" s="333"/>
      <c r="M547" s="509"/>
      <c r="N547" s="509"/>
      <c r="O547" s="342">
        <v>3</v>
      </c>
      <c r="P547" s="336" t="s">
        <v>5603</v>
      </c>
      <c r="Q547" s="461">
        <v>0</v>
      </c>
      <c r="R547" s="461"/>
      <c r="S547" s="461"/>
      <c r="T547" s="461"/>
      <c r="U547" s="461" t="s">
        <v>4125</v>
      </c>
      <c r="V547" s="461"/>
      <c r="W547" s="461"/>
      <c r="X547" s="860"/>
      <c r="Y547" s="643"/>
      <c r="Z547" s="861">
        <v>2</v>
      </c>
    </row>
    <row r="548" spans="1:27" ht="14.25">
      <c r="A548" s="514"/>
      <c r="B548" s="515"/>
      <c r="C548" s="336"/>
      <c r="D548" s="331"/>
      <c r="E548" s="332"/>
      <c r="F548" s="332"/>
      <c r="G548" s="332"/>
      <c r="H548" s="332"/>
      <c r="I548" s="332"/>
      <c r="J548" s="527"/>
      <c r="K548" s="333"/>
      <c r="L548" s="333"/>
      <c r="M548" s="509"/>
      <c r="N548" s="509"/>
      <c r="O548" s="341">
        <v>4</v>
      </c>
      <c r="P548" s="336" t="s">
        <v>5604</v>
      </c>
      <c r="Q548" s="461">
        <v>0</v>
      </c>
      <c r="R548" s="461"/>
      <c r="S548" s="461"/>
      <c r="T548" s="461"/>
      <c r="U548" s="461" t="s">
        <v>4125</v>
      </c>
      <c r="V548" s="461" t="s">
        <v>4125</v>
      </c>
      <c r="W548" s="461"/>
      <c r="X548" s="860"/>
      <c r="Y548" s="643"/>
      <c r="Z548" s="861">
        <v>2</v>
      </c>
    </row>
    <row r="549" spans="1:27" ht="14.25">
      <c r="A549" s="514"/>
      <c r="B549" s="515"/>
      <c r="C549" s="336"/>
      <c r="D549" s="331"/>
      <c r="E549" s="332"/>
      <c r="F549" s="332"/>
      <c r="G549" s="332"/>
      <c r="H549" s="332"/>
      <c r="I549" s="332"/>
      <c r="J549" s="527"/>
      <c r="K549" s="624"/>
      <c r="L549" s="624"/>
      <c r="M549" s="667"/>
      <c r="N549" s="667"/>
      <c r="O549" s="473">
        <v>5</v>
      </c>
      <c r="P549" s="463" t="s">
        <v>5605</v>
      </c>
      <c r="Q549" s="461">
        <v>0</v>
      </c>
      <c r="R549" s="461"/>
      <c r="S549" s="461"/>
      <c r="T549" s="461"/>
      <c r="U549" s="461" t="s">
        <v>4125</v>
      </c>
      <c r="V549" s="461"/>
      <c r="W549" s="461"/>
      <c r="X549" s="461"/>
      <c r="Y549" s="796"/>
      <c r="Z549" s="462" t="s">
        <v>138</v>
      </c>
    </row>
    <row r="550" spans="1:27" ht="14.25">
      <c r="A550" s="514"/>
      <c r="B550" s="515"/>
      <c r="C550" s="336"/>
      <c r="D550" s="331"/>
      <c r="E550" s="332"/>
      <c r="F550" s="332"/>
      <c r="G550" s="332"/>
      <c r="H550" s="332"/>
      <c r="I550" s="332"/>
      <c r="J550" s="527"/>
      <c r="K550" s="624"/>
      <c r="L550" s="624"/>
      <c r="M550" s="667"/>
      <c r="N550" s="667"/>
      <c r="O550" s="473">
        <v>6</v>
      </c>
      <c r="P550" s="463" t="s">
        <v>5606</v>
      </c>
      <c r="Q550" s="461">
        <v>0</v>
      </c>
      <c r="R550" s="461"/>
      <c r="S550" s="461"/>
      <c r="T550" s="461"/>
      <c r="U550" s="461" t="s">
        <v>4125</v>
      </c>
      <c r="V550" s="461"/>
      <c r="W550" s="461"/>
      <c r="X550" s="461"/>
      <c r="Y550" s="796"/>
      <c r="Z550" s="462" t="s">
        <v>138</v>
      </c>
    </row>
    <row r="551" spans="1:27" ht="14.25">
      <c r="A551" s="514"/>
      <c r="B551" s="515"/>
      <c r="C551" s="336"/>
      <c r="D551" s="331"/>
      <c r="E551" s="332"/>
      <c r="F551" s="332"/>
      <c r="G551" s="332"/>
      <c r="H551" s="332"/>
      <c r="I551" s="332"/>
      <c r="J551" s="527"/>
      <c r="K551" s="333"/>
      <c r="L551" s="333"/>
      <c r="M551" s="509"/>
      <c r="N551" s="509"/>
      <c r="O551" s="341">
        <v>7</v>
      </c>
      <c r="P551" s="336" t="s">
        <v>5607</v>
      </c>
      <c r="Q551" s="461">
        <v>0</v>
      </c>
      <c r="R551" s="585"/>
      <c r="S551" s="860"/>
      <c r="T551" s="586"/>
      <c r="U551" s="860" t="s">
        <v>4125</v>
      </c>
      <c r="V551" s="587"/>
      <c r="W551" s="586"/>
      <c r="X551" s="461"/>
      <c r="Y551" s="643"/>
      <c r="Z551" s="861">
        <v>2</v>
      </c>
    </row>
    <row r="552" spans="1:27" ht="14.25">
      <c r="A552" s="514"/>
      <c r="B552" s="515"/>
      <c r="C552" s="336"/>
      <c r="D552" s="331"/>
      <c r="E552" s="332"/>
      <c r="F552" s="332"/>
      <c r="G552" s="332"/>
      <c r="H552" s="332"/>
      <c r="I552" s="332"/>
      <c r="J552" s="527"/>
      <c r="K552" s="624"/>
      <c r="L552" s="624"/>
      <c r="M552" s="667"/>
      <c r="N552" s="667"/>
      <c r="O552" s="461">
        <v>8</v>
      </c>
      <c r="P552" s="463" t="s">
        <v>5608</v>
      </c>
      <c r="Q552" s="868">
        <v>3</v>
      </c>
      <c r="R552" s="176"/>
      <c r="S552" s="176"/>
      <c r="T552" s="176" t="s">
        <v>4125</v>
      </c>
      <c r="U552" s="176"/>
      <c r="V552" s="176"/>
      <c r="W552" s="176" t="s">
        <v>4125</v>
      </c>
      <c r="X552" s="480"/>
      <c r="Y552" s="526" t="s">
        <v>5585</v>
      </c>
      <c r="Z552" s="867">
        <v>2</v>
      </c>
      <c r="AA552" s="683"/>
    </row>
    <row r="553" spans="1:27" s="154" customFormat="1" ht="14.25">
      <c r="A553" s="525"/>
      <c r="B553" s="490"/>
      <c r="C553" s="491"/>
      <c r="D553" s="345"/>
      <c r="E553" s="405"/>
      <c r="F553" s="405"/>
      <c r="G553" s="405"/>
      <c r="H553" s="405"/>
      <c r="I553" s="405"/>
      <c r="J553" s="405"/>
      <c r="K553" s="492"/>
      <c r="L553" s="492"/>
      <c r="M553" s="493"/>
      <c r="N553" s="494"/>
      <c r="O553" s="492"/>
      <c r="P553" s="491"/>
      <c r="Q553" s="405"/>
      <c r="R553" s="495"/>
      <c r="S553" s="496"/>
      <c r="T553" s="496"/>
      <c r="U553" s="496"/>
      <c r="V553" s="497"/>
      <c r="W553" s="497"/>
      <c r="X553" s="497"/>
      <c r="Y553" s="498"/>
      <c r="Z553" s="308"/>
      <c r="AA553" s="141"/>
    </row>
    <row r="554" spans="1:27" s="154" customFormat="1" ht="14.25">
      <c r="A554" s="501" t="s">
        <v>5609</v>
      </c>
      <c r="B554" s="310" t="s">
        <v>223</v>
      </c>
      <c r="C554" s="327" t="s">
        <v>5610</v>
      </c>
      <c r="D554" s="456" t="s">
        <v>5023</v>
      </c>
      <c r="E554" s="471"/>
      <c r="F554" s="471"/>
      <c r="G554" s="471"/>
      <c r="H554" s="471"/>
      <c r="I554" s="471"/>
      <c r="J554" s="483">
        <v>127</v>
      </c>
      <c r="K554" s="779" t="s">
        <v>4125</v>
      </c>
      <c r="L554" s="779"/>
      <c r="M554" s="778" t="s">
        <v>4979</v>
      </c>
      <c r="N554" s="778" t="s">
        <v>4980</v>
      </c>
      <c r="O554" s="779"/>
      <c r="P554" s="482"/>
      <c r="Q554" s="483"/>
      <c r="R554" s="482"/>
      <c r="S554" s="483"/>
      <c r="T554" s="483"/>
      <c r="U554" s="483"/>
      <c r="V554" s="484"/>
      <c r="W554" s="484"/>
      <c r="X554" s="484"/>
      <c r="Y554" s="793"/>
      <c r="Z554" s="484">
        <v>1</v>
      </c>
      <c r="AA554" s="141"/>
    </row>
    <row r="555" spans="1:27" ht="14.25">
      <c r="A555" s="514"/>
      <c r="B555" s="507"/>
      <c r="C555" s="330"/>
      <c r="D555" s="459"/>
      <c r="E555" s="341"/>
      <c r="F555" s="341"/>
      <c r="G555" s="341"/>
      <c r="H555" s="341"/>
      <c r="I555" s="341"/>
      <c r="J555" s="523"/>
      <c r="K555" s="590"/>
      <c r="L555" s="590"/>
      <c r="M555" s="589"/>
      <c r="N555" s="589"/>
      <c r="O555" s="590">
        <v>1</v>
      </c>
      <c r="P555" s="472" t="s">
        <v>5611</v>
      </c>
      <c r="Q555" s="473">
        <v>0</v>
      </c>
      <c r="R555" s="461"/>
      <c r="S555" s="461"/>
      <c r="T555" s="461"/>
      <c r="U555" s="461" t="s">
        <v>4125</v>
      </c>
      <c r="V555" s="461"/>
      <c r="W555" s="461"/>
      <c r="X555" s="461"/>
      <c r="Y555" s="796"/>
      <c r="Z555" s="462" t="s">
        <v>138</v>
      </c>
    </row>
    <row r="556" spans="1:27" ht="15">
      <c r="A556" s="457"/>
      <c r="B556" s="458"/>
      <c r="C556" s="524"/>
      <c r="D556" s="459"/>
      <c r="E556" s="341"/>
      <c r="F556" s="341"/>
      <c r="G556" s="341"/>
      <c r="H556" s="341"/>
      <c r="I556" s="341"/>
      <c r="J556" s="523"/>
      <c r="K556" s="342"/>
      <c r="L556" s="342"/>
      <c r="M556" s="460"/>
      <c r="N556" s="460"/>
      <c r="O556" s="342">
        <v>2</v>
      </c>
      <c r="P556" s="336" t="s">
        <v>5612</v>
      </c>
      <c r="Q556" s="461">
        <v>0</v>
      </c>
      <c r="R556" s="461"/>
      <c r="S556" s="461"/>
      <c r="T556" s="461"/>
      <c r="U556" s="461" t="s">
        <v>4125</v>
      </c>
      <c r="V556" s="461"/>
      <c r="W556" s="461"/>
      <c r="X556" s="860"/>
      <c r="Y556" s="643"/>
      <c r="Z556" s="861">
        <v>2</v>
      </c>
    </row>
    <row r="557" spans="1:27" ht="14.25">
      <c r="A557" s="514"/>
      <c r="B557" s="515"/>
      <c r="C557" s="336"/>
      <c r="D557" s="331"/>
      <c r="E557" s="332"/>
      <c r="F557" s="332"/>
      <c r="G557" s="332"/>
      <c r="H557" s="332"/>
      <c r="I557" s="332"/>
      <c r="J557" s="527"/>
      <c r="K557" s="333"/>
      <c r="L557" s="333"/>
      <c r="M557" s="509"/>
      <c r="N557" s="509"/>
      <c r="O557" s="342">
        <v>3</v>
      </c>
      <c r="P557" s="336" t="s">
        <v>5613</v>
      </c>
      <c r="Q557" s="461">
        <v>0</v>
      </c>
      <c r="R557" s="461"/>
      <c r="S557" s="461"/>
      <c r="T557" s="461"/>
      <c r="U557" s="461" t="s">
        <v>4125</v>
      </c>
      <c r="V557" s="461"/>
      <c r="W557" s="461"/>
      <c r="X557" s="860"/>
      <c r="Y557" s="643"/>
      <c r="Z557" s="861">
        <v>2</v>
      </c>
    </row>
    <row r="558" spans="1:27" ht="14.25">
      <c r="A558" s="516"/>
      <c r="B558" s="528"/>
      <c r="C558" s="465"/>
      <c r="D558" s="340"/>
      <c r="E558" s="466"/>
      <c r="F558" s="466"/>
      <c r="G558" s="466"/>
      <c r="H558" s="466"/>
      <c r="I558" s="466"/>
      <c r="J558" s="529"/>
      <c r="K558" s="467"/>
      <c r="L558" s="467"/>
      <c r="M558" s="506"/>
      <c r="N558" s="506"/>
      <c r="O558" s="341">
        <v>4</v>
      </c>
      <c r="P558" s="336" t="s">
        <v>5614</v>
      </c>
      <c r="Q558" s="461">
        <v>0</v>
      </c>
      <c r="R558" s="461"/>
      <c r="S558" s="461"/>
      <c r="T558" s="461"/>
      <c r="U558" s="461" t="s">
        <v>4125</v>
      </c>
      <c r="V558" s="461" t="s">
        <v>4125</v>
      </c>
      <c r="W558" s="461"/>
      <c r="X558" s="860"/>
      <c r="Y558" s="643"/>
      <c r="Z558" s="861">
        <v>2</v>
      </c>
    </row>
    <row r="559" spans="1:27" ht="14.25">
      <c r="A559" s="516"/>
      <c r="B559" s="528"/>
      <c r="C559" s="465"/>
      <c r="D559" s="340"/>
      <c r="E559" s="466"/>
      <c r="F559" s="466"/>
      <c r="G559" s="466"/>
      <c r="H559" s="466"/>
      <c r="I559" s="466"/>
      <c r="J559" s="529"/>
      <c r="K559" s="588"/>
      <c r="L559" s="588"/>
      <c r="M559" s="634"/>
      <c r="N559" s="634"/>
      <c r="O559" s="473">
        <v>5</v>
      </c>
      <c r="P559" s="463" t="s">
        <v>5615</v>
      </c>
      <c r="Q559" s="461">
        <v>0</v>
      </c>
      <c r="R559" s="461"/>
      <c r="S559" s="461"/>
      <c r="T559" s="461"/>
      <c r="U559" s="461" t="s">
        <v>4125</v>
      </c>
      <c r="V559" s="461"/>
      <c r="W559" s="461"/>
      <c r="X559" s="461"/>
      <c r="Y559" s="796"/>
      <c r="Z559" s="462" t="s">
        <v>138</v>
      </c>
    </row>
    <row r="560" spans="1:27" ht="14.25">
      <c r="A560" s="516"/>
      <c r="B560" s="528"/>
      <c r="C560" s="465"/>
      <c r="D560" s="340"/>
      <c r="E560" s="466"/>
      <c r="F560" s="466"/>
      <c r="G560" s="466"/>
      <c r="H560" s="466"/>
      <c r="I560" s="466"/>
      <c r="J560" s="529"/>
      <c r="K560" s="588"/>
      <c r="L560" s="588"/>
      <c r="M560" s="634"/>
      <c r="N560" s="634"/>
      <c r="O560" s="473">
        <v>6</v>
      </c>
      <c r="P560" s="463" t="s">
        <v>5616</v>
      </c>
      <c r="Q560" s="461">
        <v>0</v>
      </c>
      <c r="R560" s="461"/>
      <c r="S560" s="461"/>
      <c r="T560" s="461"/>
      <c r="U560" s="461" t="s">
        <v>4125</v>
      </c>
      <c r="V560" s="461"/>
      <c r="W560" s="461"/>
      <c r="X560" s="461"/>
      <c r="Y560" s="796"/>
      <c r="Z560" s="462" t="s">
        <v>138</v>
      </c>
    </row>
    <row r="561" spans="1:27" ht="14.25">
      <c r="A561" s="516"/>
      <c r="B561" s="528"/>
      <c r="C561" s="465"/>
      <c r="D561" s="340"/>
      <c r="E561" s="466"/>
      <c r="F561" s="466"/>
      <c r="G561" s="466"/>
      <c r="H561" s="466"/>
      <c r="I561" s="466"/>
      <c r="J561" s="529"/>
      <c r="K561" s="467"/>
      <c r="L561" s="467"/>
      <c r="M561" s="506"/>
      <c r="N561" s="506"/>
      <c r="O561" s="341">
        <v>7</v>
      </c>
      <c r="P561" s="336" t="s">
        <v>5617</v>
      </c>
      <c r="Q561" s="461">
        <v>0</v>
      </c>
      <c r="R561" s="585"/>
      <c r="S561" s="860"/>
      <c r="T561" s="586"/>
      <c r="U561" s="860" t="s">
        <v>4125</v>
      </c>
      <c r="V561" s="587"/>
      <c r="W561" s="586"/>
      <c r="X561" s="461"/>
      <c r="Y561" s="643"/>
      <c r="Z561" s="861">
        <v>2</v>
      </c>
    </row>
    <row r="562" spans="1:27" ht="14.25">
      <c r="A562" s="516"/>
      <c r="B562" s="528"/>
      <c r="C562" s="465"/>
      <c r="D562" s="340"/>
      <c r="E562" s="466"/>
      <c r="F562" s="466"/>
      <c r="G562" s="466"/>
      <c r="H562" s="466"/>
      <c r="I562" s="466"/>
      <c r="J562" s="529"/>
      <c r="K562" s="588"/>
      <c r="L562" s="588"/>
      <c r="M562" s="634"/>
      <c r="N562" s="634"/>
      <c r="O562" s="176">
        <v>8</v>
      </c>
      <c r="P562" s="479" t="s">
        <v>5618</v>
      </c>
      <c r="Q562" s="868">
        <v>3</v>
      </c>
      <c r="R562" s="176"/>
      <c r="S562" s="176"/>
      <c r="T562" s="176" t="s">
        <v>4125</v>
      </c>
      <c r="U562" s="176"/>
      <c r="V562" s="176"/>
      <c r="W562" s="176" t="s">
        <v>4125</v>
      </c>
      <c r="X562" s="480"/>
      <c r="Y562" s="526" t="s">
        <v>5619</v>
      </c>
      <c r="Z562" s="867">
        <v>2</v>
      </c>
      <c r="AA562" s="679"/>
    </row>
    <row r="563" spans="1:27" ht="60.75" customHeight="1">
      <c r="A563" s="516"/>
      <c r="B563" s="528"/>
      <c r="C563" s="465"/>
      <c r="D563" s="340"/>
      <c r="E563" s="466"/>
      <c r="F563" s="466"/>
      <c r="G563" s="466"/>
      <c r="H563" s="466"/>
      <c r="I563" s="466"/>
      <c r="J563" s="529"/>
      <c r="K563" s="588"/>
      <c r="L563" s="588"/>
      <c r="M563" s="634"/>
      <c r="N563" s="634"/>
      <c r="O563" s="176">
        <v>9</v>
      </c>
      <c r="P563" s="479" t="s">
        <v>5620</v>
      </c>
      <c r="Q563" s="176">
        <v>25</v>
      </c>
      <c r="R563" s="176"/>
      <c r="S563" s="176"/>
      <c r="T563" s="176" t="s">
        <v>4125</v>
      </c>
      <c r="U563" s="176"/>
      <c r="V563" s="176"/>
      <c r="W563" s="176" t="s">
        <v>4125</v>
      </c>
      <c r="X563" s="480"/>
      <c r="Y563" s="526" t="s">
        <v>5621</v>
      </c>
      <c r="Z563" s="480" t="s">
        <v>138</v>
      </c>
      <c r="AA563" s="679"/>
    </row>
    <row r="564" spans="1:27" s="154" customFormat="1" ht="60.75" customHeight="1">
      <c r="A564" s="499"/>
      <c r="B564" s="338"/>
      <c r="C564" s="336"/>
      <c r="D564" s="331"/>
      <c r="E564" s="332"/>
      <c r="F564" s="332"/>
      <c r="G564" s="332"/>
      <c r="H564" s="332"/>
      <c r="I564" s="332"/>
      <c r="J564" s="461"/>
      <c r="K564" s="624"/>
      <c r="L564" s="624"/>
      <c r="M564" s="785"/>
      <c r="N564" s="783"/>
      <c r="O564" s="461">
        <v>10</v>
      </c>
      <c r="P564" s="463" t="s">
        <v>4515</v>
      </c>
      <c r="Q564" s="461">
        <v>5</v>
      </c>
      <c r="R564" s="463"/>
      <c r="S564" s="461"/>
      <c r="T564" s="461" t="s">
        <v>4125</v>
      </c>
      <c r="U564" s="461"/>
      <c r="V564" s="462"/>
      <c r="W564" s="462" t="s">
        <v>4125</v>
      </c>
      <c r="X564" s="462"/>
      <c r="Y564" s="792" t="s">
        <v>5562</v>
      </c>
      <c r="Z564" s="462" t="s">
        <v>138</v>
      </c>
      <c r="AA564" s="679"/>
    </row>
    <row r="565" spans="1:27" s="154" customFormat="1" ht="60.75" customHeight="1">
      <c r="A565" s="499"/>
      <c r="B565" s="338"/>
      <c r="C565" s="336"/>
      <c r="D565" s="331"/>
      <c r="E565" s="332"/>
      <c r="F565" s="332"/>
      <c r="G565" s="332"/>
      <c r="H565" s="332"/>
      <c r="I565" s="332"/>
      <c r="J565" s="461"/>
      <c r="K565" s="624"/>
      <c r="L565" s="624"/>
      <c r="M565" s="785"/>
      <c r="N565" s="783"/>
      <c r="O565" s="461">
        <v>11</v>
      </c>
      <c r="P565" s="463" t="s">
        <v>4512</v>
      </c>
      <c r="Q565" s="461">
        <v>5</v>
      </c>
      <c r="R565" s="463"/>
      <c r="S565" s="461"/>
      <c r="T565" s="461" t="s">
        <v>4125</v>
      </c>
      <c r="U565" s="461"/>
      <c r="V565" s="462"/>
      <c r="W565" s="462" t="s">
        <v>4125</v>
      </c>
      <c r="X565" s="462"/>
      <c r="Y565" s="792" t="s">
        <v>5563</v>
      </c>
      <c r="Z565" s="462" t="s">
        <v>138</v>
      </c>
      <c r="AA565" s="679"/>
    </row>
    <row r="566" spans="1:27" s="154" customFormat="1" ht="14.25">
      <c r="A566" s="525"/>
      <c r="B566" s="490"/>
      <c r="C566" s="491"/>
      <c r="D566" s="345"/>
      <c r="E566" s="405"/>
      <c r="F566" s="405"/>
      <c r="G566" s="405"/>
      <c r="H566" s="405"/>
      <c r="I566" s="405"/>
      <c r="J566" s="405"/>
      <c r="K566" s="492"/>
      <c r="L566" s="492"/>
      <c r="M566" s="493"/>
      <c r="N566" s="494"/>
      <c r="O566" s="492"/>
      <c r="P566" s="491"/>
      <c r="Q566" s="405"/>
      <c r="R566" s="495"/>
      <c r="S566" s="496"/>
      <c r="T566" s="496"/>
      <c r="U566" s="496"/>
      <c r="V566" s="497"/>
      <c r="W566" s="497"/>
      <c r="X566" s="497"/>
      <c r="Y566" s="498"/>
      <c r="Z566" s="308"/>
      <c r="AA566" s="679"/>
    </row>
    <row r="567" spans="1:27" s="154" customFormat="1" ht="28.5">
      <c r="A567" s="500" t="s">
        <v>5622</v>
      </c>
      <c r="B567" s="310" t="s">
        <v>3650</v>
      </c>
      <c r="C567" s="327" t="s">
        <v>5623</v>
      </c>
      <c r="D567" s="456" t="s">
        <v>4978</v>
      </c>
      <c r="E567" s="322">
        <v>0</v>
      </c>
      <c r="F567" s="322">
        <v>100</v>
      </c>
      <c r="G567" s="322" t="s">
        <v>41</v>
      </c>
      <c r="H567" s="322">
        <v>40</v>
      </c>
      <c r="I567" s="322">
        <v>100</v>
      </c>
      <c r="J567" s="483">
        <v>9.83</v>
      </c>
      <c r="K567" s="323" t="s">
        <v>4125</v>
      </c>
      <c r="L567" s="323"/>
      <c r="M567" s="324" t="s">
        <v>4979</v>
      </c>
      <c r="N567" s="324" t="s">
        <v>4980</v>
      </c>
      <c r="O567" s="342"/>
      <c r="P567" s="330"/>
      <c r="Q567" s="341"/>
      <c r="R567" s="472"/>
      <c r="S567" s="473"/>
      <c r="T567" s="473"/>
      <c r="U567" s="473"/>
      <c r="V567" s="474"/>
      <c r="W567" s="474"/>
      <c r="X567" s="474"/>
      <c r="Y567" s="488"/>
      <c r="Z567" s="315"/>
      <c r="AA567" s="141"/>
    </row>
    <row r="568" spans="1:27" ht="15">
      <c r="A568" s="514"/>
      <c r="B568" s="507"/>
      <c r="C568" s="330"/>
      <c r="D568" s="459"/>
      <c r="E568" s="341"/>
      <c r="F568" s="341"/>
      <c r="G568" s="341"/>
      <c r="H568" s="341"/>
      <c r="I568" s="341"/>
      <c r="J568" s="523"/>
      <c r="K568" s="590"/>
      <c r="L568" s="590"/>
      <c r="M568" s="589"/>
      <c r="N568" s="589"/>
      <c r="O568" s="590">
        <v>1</v>
      </c>
      <c r="P568" s="472" t="s">
        <v>5624</v>
      </c>
      <c r="Q568" s="473">
        <v>0</v>
      </c>
      <c r="R568" s="461"/>
      <c r="S568" s="461"/>
      <c r="T568" s="461"/>
      <c r="U568" s="461" t="s">
        <v>4125</v>
      </c>
      <c r="V568" s="461"/>
      <c r="W568" s="461"/>
      <c r="X568" s="461"/>
      <c r="Y568" s="668"/>
      <c r="Z568" s="462" t="s">
        <v>138</v>
      </c>
    </row>
    <row r="569" spans="1:27" ht="15">
      <c r="A569" s="457"/>
      <c r="B569" s="458"/>
      <c r="C569" s="524"/>
      <c r="D569" s="459"/>
      <c r="E569" s="341"/>
      <c r="F569" s="341"/>
      <c r="G569" s="341"/>
      <c r="H569" s="341"/>
      <c r="I569" s="341"/>
      <c r="J569" s="523"/>
      <c r="K569" s="342"/>
      <c r="L569" s="342"/>
      <c r="M569" s="460"/>
      <c r="N569" s="460"/>
      <c r="O569" s="342">
        <v>2</v>
      </c>
      <c r="P569" s="336" t="s">
        <v>5625</v>
      </c>
      <c r="Q569" s="461">
        <v>0</v>
      </c>
      <c r="R569" s="461"/>
      <c r="S569" s="461"/>
      <c r="T569" s="461"/>
      <c r="U569" s="461" t="s">
        <v>4125</v>
      </c>
      <c r="V569" s="461"/>
      <c r="W569" s="461"/>
      <c r="X569" s="860"/>
      <c r="Y569" s="584"/>
      <c r="Z569" s="861">
        <v>2</v>
      </c>
    </row>
    <row r="570" spans="1:27" ht="15">
      <c r="A570" s="514"/>
      <c r="B570" s="515"/>
      <c r="C570" s="336"/>
      <c r="D570" s="331"/>
      <c r="E570" s="332"/>
      <c r="F570" s="332"/>
      <c r="G570" s="332"/>
      <c r="H570" s="332"/>
      <c r="I570" s="332"/>
      <c r="J570" s="527"/>
      <c r="K570" s="333"/>
      <c r="L570" s="333"/>
      <c r="M570" s="509"/>
      <c r="N570" s="509"/>
      <c r="O570" s="342">
        <v>3</v>
      </c>
      <c r="P570" s="336" t="s">
        <v>5626</v>
      </c>
      <c r="Q570" s="461">
        <v>0</v>
      </c>
      <c r="R570" s="461"/>
      <c r="S570" s="461"/>
      <c r="T570" s="461"/>
      <c r="U570" s="461" t="s">
        <v>4125</v>
      </c>
      <c r="V570" s="461"/>
      <c r="W570" s="461"/>
      <c r="X570" s="860"/>
      <c r="Y570" s="584"/>
      <c r="Z570" s="861">
        <v>2</v>
      </c>
    </row>
    <row r="571" spans="1:27" ht="15">
      <c r="A571" s="514"/>
      <c r="B571" s="515"/>
      <c r="C571" s="336"/>
      <c r="D571" s="331"/>
      <c r="E571" s="332"/>
      <c r="F571" s="332"/>
      <c r="G571" s="332"/>
      <c r="H571" s="332"/>
      <c r="I571" s="332"/>
      <c r="J571" s="527"/>
      <c r="K571" s="333"/>
      <c r="L571" s="333"/>
      <c r="M571" s="509"/>
      <c r="N571" s="509"/>
      <c r="O571" s="341">
        <v>4</v>
      </c>
      <c r="P571" s="336" t="s">
        <v>5627</v>
      </c>
      <c r="Q571" s="461">
        <v>0</v>
      </c>
      <c r="R571" s="461"/>
      <c r="S571" s="461"/>
      <c r="T571" s="461"/>
      <c r="U571" s="461" t="s">
        <v>4125</v>
      </c>
      <c r="V571" s="461" t="s">
        <v>4125</v>
      </c>
      <c r="W571" s="461"/>
      <c r="X571" s="860"/>
      <c r="Y571" s="584"/>
      <c r="Z571" s="861">
        <v>2</v>
      </c>
    </row>
    <row r="572" spans="1:27" ht="15">
      <c r="A572" s="514"/>
      <c r="B572" s="515"/>
      <c r="C572" s="336"/>
      <c r="D572" s="331"/>
      <c r="E572" s="332"/>
      <c r="F572" s="332"/>
      <c r="G572" s="332"/>
      <c r="H572" s="332"/>
      <c r="I572" s="332"/>
      <c r="J572" s="527"/>
      <c r="K572" s="624"/>
      <c r="L572" s="624"/>
      <c r="M572" s="667"/>
      <c r="N572" s="667"/>
      <c r="O572" s="473">
        <v>5</v>
      </c>
      <c r="P572" s="463" t="s">
        <v>5628</v>
      </c>
      <c r="Q572" s="461">
        <v>0</v>
      </c>
      <c r="R572" s="461"/>
      <c r="S572" s="461"/>
      <c r="T572" s="461"/>
      <c r="U572" s="461" t="s">
        <v>4125</v>
      </c>
      <c r="V572" s="461"/>
      <c r="W572" s="461"/>
      <c r="X572" s="461"/>
      <c r="Y572" s="668"/>
      <c r="Z572" s="462" t="s">
        <v>138</v>
      </c>
    </row>
    <row r="573" spans="1:27" ht="15">
      <c r="A573" s="514"/>
      <c r="B573" s="515"/>
      <c r="C573" s="336"/>
      <c r="D573" s="331"/>
      <c r="E573" s="332"/>
      <c r="F573" s="332"/>
      <c r="G573" s="332"/>
      <c r="H573" s="332"/>
      <c r="I573" s="332"/>
      <c r="J573" s="527"/>
      <c r="K573" s="624"/>
      <c r="L573" s="624"/>
      <c r="M573" s="667"/>
      <c r="N573" s="667"/>
      <c r="O573" s="473">
        <v>6</v>
      </c>
      <c r="P573" s="463" t="s">
        <v>5629</v>
      </c>
      <c r="Q573" s="461">
        <v>0</v>
      </c>
      <c r="R573" s="461"/>
      <c r="S573" s="461"/>
      <c r="T573" s="461"/>
      <c r="U573" s="461" t="s">
        <v>4125</v>
      </c>
      <c r="V573" s="461"/>
      <c r="W573" s="461"/>
      <c r="X573" s="461"/>
      <c r="Y573" s="668"/>
      <c r="Z573" s="462" t="s">
        <v>138</v>
      </c>
    </row>
    <row r="574" spans="1:27" ht="15">
      <c r="A574" s="514"/>
      <c r="B574" s="515"/>
      <c r="C574" s="336"/>
      <c r="D574" s="331"/>
      <c r="E574" s="332"/>
      <c r="F574" s="332"/>
      <c r="G574" s="332"/>
      <c r="H574" s="332"/>
      <c r="I574" s="332"/>
      <c r="J574" s="527"/>
      <c r="K574" s="333"/>
      <c r="L574" s="333"/>
      <c r="M574" s="509"/>
      <c r="N574" s="509"/>
      <c r="O574" s="341">
        <v>7</v>
      </c>
      <c r="P574" s="336" t="s">
        <v>5630</v>
      </c>
      <c r="Q574" s="461">
        <v>0</v>
      </c>
      <c r="R574" s="585"/>
      <c r="S574" s="860"/>
      <c r="T574" s="586"/>
      <c r="U574" s="860" t="s">
        <v>4125</v>
      </c>
      <c r="V574" s="587"/>
      <c r="W574" s="586"/>
      <c r="X574" s="461"/>
      <c r="Y574" s="584"/>
      <c r="Z574" s="861">
        <v>2</v>
      </c>
    </row>
    <row r="575" spans="1:27" ht="14.25">
      <c r="A575" s="514"/>
      <c r="B575" s="515"/>
      <c r="C575" s="336"/>
      <c r="D575" s="331"/>
      <c r="E575" s="332"/>
      <c r="F575" s="332"/>
      <c r="G575" s="332"/>
      <c r="H575" s="332"/>
      <c r="I575" s="332"/>
      <c r="J575" s="527"/>
      <c r="K575" s="624"/>
      <c r="L575" s="624"/>
      <c r="M575" s="667"/>
      <c r="N575" s="667"/>
      <c r="O575" s="461">
        <v>8</v>
      </c>
      <c r="P575" s="463" t="s">
        <v>5631</v>
      </c>
      <c r="Q575" s="868">
        <v>3</v>
      </c>
      <c r="R575" s="176"/>
      <c r="S575" s="176"/>
      <c r="T575" s="176" t="s">
        <v>4125</v>
      </c>
      <c r="U575" s="176"/>
      <c r="V575" s="176"/>
      <c r="W575" s="176" t="s">
        <v>4125</v>
      </c>
      <c r="X575" s="480"/>
      <c r="Y575" s="526" t="s">
        <v>5585</v>
      </c>
      <c r="Z575" s="867">
        <v>2</v>
      </c>
    </row>
    <row r="576" spans="1:27" s="154" customFormat="1" ht="14.25">
      <c r="A576" s="525"/>
      <c r="B576" s="490"/>
      <c r="C576" s="491"/>
      <c r="D576" s="345"/>
      <c r="E576" s="405"/>
      <c r="F576" s="405"/>
      <c r="G576" s="405"/>
      <c r="H576" s="405"/>
      <c r="I576" s="405"/>
      <c r="J576" s="405"/>
      <c r="K576" s="492"/>
      <c r="L576" s="492"/>
      <c r="M576" s="493"/>
      <c r="N576" s="494"/>
      <c r="O576" s="492"/>
      <c r="P576" s="491"/>
      <c r="Q576" s="405"/>
      <c r="R576" s="495"/>
      <c r="S576" s="496"/>
      <c r="T576" s="496"/>
      <c r="U576" s="496"/>
      <c r="V576" s="497"/>
      <c r="W576" s="497"/>
      <c r="X576" s="497"/>
      <c r="Y576" s="498"/>
      <c r="Z576" s="308"/>
      <c r="AA576" s="141"/>
    </row>
    <row r="577" spans="1:27" s="154" customFormat="1" ht="14.25">
      <c r="A577" s="500" t="s">
        <v>5632</v>
      </c>
      <c r="B577" s="310" t="s">
        <v>3650</v>
      </c>
      <c r="C577" s="327" t="s">
        <v>5633</v>
      </c>
      <c r="D577" s="456" t="s">
        <v>4978</v>
      </c>
      <c r="E577" s="322">
        <v>0</v>
      </c>
      <c r="F577" s="322">
        <v>100</v>
      </c>
      <c r="G577" s="322" t="s">
        <v>41</v>
      </c>
      <c r="H577" s="322">
        <v>40</v>
      </c>
      <c r="I577" s="322">
        <v>100</v>
      </c>
      <c r="J577" s="483">
        <v>9.83</v>
      </c>
      <c r="K577" s="323" t="s">
        <v>4125</v>
      </c>
      <c r="L577" s="323"/>
      <c r="M577" s="324" t="s">
        <v>4979</v>
      </c>
      <c r="N577" s="324" t="s">
        <v>4980</v>
      </c>
      <c r="O577" s="342"/>
      <c r="P577" s="330"/>
      <c r="Q577" s="341"/>
      <c r="R577" s="472"/>
      <c r="S577" s="473"/>
      <c r="T577" s="473"/>
      <c r="U577" s="473"/>
      <c r="V577" s="474"/>
      <c r="W577" s="474"/>
      <c r="X577" s="474"/>
      <c r="Y577" s="488"/>
      <c r="Z577" s="315"/>
      <c r="AA577" s="141"/>
    </row>
    <row r="578" spans="1:27" ht="15">
      <c r="A578" s="514"/>
      <c r="B578" s="507"/>
      <c r="C578" s="330"/>
      <c r="D578" s="459"/>
      <c r="E578" s="341"/>
      <c r="F578" s="341"/>
      <c r="G578" s="341"/>
      <c r="H578" s="341"/>
      <c r="I578" s="341"/>
      <c r="J578" s="523"/>
      <c r="K578" s="590"/>
      <c r="L578" s="590"/>
      <c r="M578" s="589"/>
      <c r="N578" s="589"/>
      <c r="O578" s="590">
        <v>1</v>
      </c>
      <c r="P578" s="472" t="s">
        <v>5634</v>
      </c>
      <c r="Q578" s="473">
        <v>0</v>
      </c>
      <c r="R578" s="461"/>
      <c r="S578" s="461"/>
      <c r="T578" s="461"/>
      <c r="U578" s="461" t="s">
        <v>4125</v>
      </c>
      <c r="V578" s="461"/>
      <c r="W578" s="461"/>
      <c r="X578" s="461"/>
      <c r="Y578" s="668"/>
      <c r="Z578" s="462" t="s">
        <v>138</v>
      </c>
    </row>
    <row r="579" spans="1:27" ht="15">
      <c r="A579" s="457"/>
      <c r="B579" s="458"/>
      <c r="C579" s="524"/>
      <c r="D579" s="459"/>
      <c r="E579" s="341"/>
      <c r="F579" s="341"/>
      <c r="G579" s="341"/>
      <c r="H579" s="341"/>
      <c r="I579" s="341"/>
      <c r="J579" s="523"/>
      <c r="K579" s="342"/>
      <c r="L579" s="342"/>
      <c r="M579" s="460"/>
      <c r="N579" s="460"/>
      <c r="O579" s="342">
        <v>2</v>
      </c>
      <c r="P579" s="336" t="s">
        <v>5635</v>
      </c>
      <c r="Q579" s="461">
        <v>0</v>
      </c>
      <c r="R579" s="461"/>
      <c r="S579" s="461"/>
      <c r="T579" s="461"/>
      <c r="U579" s="461" t="s">
        <v>4125</v>
      </c>
      <c r="V579" s="461"/>
      <c r="W579" s="461"/>
      <c r="X579" s="860"/>
      <c r="Y579" s="584"/>
      <c r="Z579" s="861">
        <v>2</v>
      </c>
    </row>
    <row r="580" spans="1:27" ht="15">
      <c r="A580" s="514"/>
      <c r="B580" s="515"/>
      <c r="C580" s="336"/>
      <c r="D580" s="331"/>
      <c r="E580" s="332"/>
      <c r="F580" s="332"/>
      <c r="G580" s="332"/>
      <c r="H580" s="332"/>
      <c r="I580" s="332"/>
      <c r="J580" s="527"/>
      <c r="K580" s="333"/>
      <c r="L580" s="333"/>
      <c r="M580" s="509"/>
      <c r="N580" s="509"/>
      <c r="O580" s="342">
        <v>3</v>
      </c>
      <c r="P580" s="336" t="s">
        <v>5636</v>
      </c>
      <c r="Q580" s="461">
        <v>0</v>
      </c>
      <c r="R580" s="461"/>
      <c r="S580" s="461"/>
      <c r="T580" s="461"/>
      <c r="U580" s="461" t="s">
        <v>4125</v>
      </c>
      <c r="V580" s="461"/>
      <c r="W580" s="461"/>
      <c r="X580" s="860"/>
      <c r="Y580" s="584"/>
      <c r="Z580" s="861">
        <v>2</v>
      </c>
    </row>
    <row r="581" spans="1:27" ht="15">
      <c r="A581" s="514"/>
      <c r="B581" s="515"/>
      <c r="C581" s="336"/>
      <c r="D581" s="331"/>
      <c r="E581" s="332"/>
      <c r="F581" s="332"/>
      <c r="G581" s="332"/>
      <c r="H581" s="332"/>
      <c r="I581" s="332"/>
      <c r="J581" s="527"/>
      <c r="K581" s="333"/>
      <c r="L581" s="333"/>
      <c r="M581" s="509"/>
      <c r="N581" s="509"/>
      <c r="O581" s="341">
        <v>4</v>
      </c>
      <c r="P581" s="336" t="s">
        <v>5637</v>
      </c>
      <c r="Q581" s="461">
        <v>0</v>
      </c>
      <c r="R581" s="461"/>
      <c r="S581" s="461"/>
      <c r="T581" s="461"/>
      <c r="U581" s="461" t="s">
        <v>4125</v>
      </c>
      <c r="V581" s="461" t="s">
        <v>4125</v>
      </c>
      <c r="W581" s="461"/>
      <c r="X581" s="860"/>
      <c r="Y581" s="584"/>
      <c r="Z581" s="861">
        <v>2</v>
      </c>
    </row>
    <row r="582" spans="1:27" ht="15">
      <c r="A582" s="514"/>
      <c r="B582" s="515"/>
      <c r="C582" s="336"/>
      <c r="D582" s="331"/>
      <c r="E582" s="332"/>
      <c r="F582" s="332"/>
      <c r="G582" s="332"/>
      <c r="H582" s="332"/>
      <c r="I582" s="332"/>
      <c r="J582" s="527"/>
      <c r="K582" s="624"/>
      <c r="L582" s="624"/>
      <c r="M582" s="667"/>
      <c r="N582" s="667"/>
      <c r="O582" s="473">
        <v>5</v>
      </c>
      <c r="P582" s="463" t="s">
        <v>5638</v>
      </c>
      <c r="Q582" s="461">
        <v>0</v>
      </c>
      <c r="R582" s="461"/>
      <c r="S582" s="461"/>
      <c r="T582" s="461"/>
      <c r="U582" s="461" t="s">
        <v>4125</v>
      </c>
      <c r="V582" s="461"/>
      <c r="W582" s="461"/>
      <c r="X582" s="461"/>
      <c r="Y582" s="668"/>
      <c r="Z582" s="462" t="s">
        <v>138</v>
      </c>
    </row>
    <row r="583" spans="1:27" ht="15">
      <c r="A583" s="514"/>
      <c r="B583" s="515"/>
      <c r="C583" s="336"/>
      <c r="D583" s="331"/>
      <c r="E583" s="332"/>
      <c r="F583" s="332"/>
      <c r="G583" s="332"/>
      <c r="H583" s="332"/>
      <c r="I583" s="332"/>
      <c r="J583" s="527"/>
      <c r="K583" s="624"/>
      <c r="L583" s="624"/>
      <c r="M583" s="667"/>
      <c r="N583" s="667"/>
      <c r="O583" s="473">
        <v>6</v>
      </c>
      <c r="P583" s="463" t="s">
        <v>5639</v>
      </c>
      <c r="Q583" s="461">
        <v>0</v>
      </c>
      <c r="R583" s="461"/>
      <c r="S583" s="461"/>
      <c r="T583" s="461"/>
      <c r="U583" s="461" t="s">
        <v>4125</v>
      </c>
      <c r="V583" s="461"/>
      <c r="W583" s="461"/>
      <c r="X583" s="461"/>
      <c r="Y583" s="668"/>
      <c r="Z583" s="462" t="s">
        <v>138</v>
      </c>
    </row>
    <row r="584" spans="1:27" ht="15">
      <c r="A584" s="514"/>
      <c r="B584" s="515"/>
      <c r="C584" s="336"/>
      <c r="D584" s="331"/>
      <c r="E584" s="332"/>
      <c r="F584" s="332"/>
      <c r="G584" s="332"/>
      <c r="H584" s="332"/>
      <c r="I584" s="332"/>
      <c r="J584" s="527"/>
      <c r="K584" s="333"/>
      <c r="L584" s="333"/>
      <c r="M584" s="509"/>
      <c r="N584" s="509"/>
      <c r="O584" s="341">
        <v>7</v>
      </c>
      <c r="P584" s="336" t="s">
        <v>5640</v>
      </c>
      <c r="Q584" s="461">
        <v>0</v>
      </c>
      <c r="R584" s="585"/>
      <c r="S584" s="860"/>
      <c r="T584" s="586"/>
      <c r="U584" s="860" t="s">
        <v>4125</v>
      </c>
      <c r="V584" s="587"/>
      <c r="W584" s="586"/>
      <c r="X584" s="461"/>
      <c r="Y584" s="584"/>
      <c r="Z584" s="861">
        <v>2</v>
      </c>
    </row>
    <row r="585" spans="1:27" ht="14.25">
      <c r="A585" s="514"/>
      <c r="B585" s="515"/>
      <c r="C585" s="336"/>
      <c r="D585" s="331"/>
      <c r="E585" s="332"/>
      <c r="F585" s="332"/>
      <c r="G585" s="332"/>
      <c r="H585" s="332"/>
      <c r="I585" s="332"/>
      <c r="J585" s="527"/>
      <c r="K585" s="624"/>
      <c r="L585" s="624"/>
      <c r="M585" s="667"/>
      <c r="N585" s="667"/>
      <c r="O585" s="461">
        <v>8</v>
      </c>
      <c r="P585" s="463" t="s">
        <v>5641</v>
      </c>
      <c r="Q585" s="868">
        <v>3</v>
      </c>
      <c r="R585" s="176"/>
      <c r="S585" s="176"/>
      <c r="T585" s="176" t="s">
        <v>4125</v>
      </c>
      <c r="U585" s="176"/>
      <c r="V585" s="176"/>
      <c r="W585" s="176" t="s">
        <v>4125</v>
      </c>
      <c r="X585" s="480"/>
      <c r="Y585" s="526" t="s">
        <v>5585</v>
      </c>
      <c r="Z585" s="867">
        <v>2</v>
      </c>
    </row>
    <row r="586" spans="1:27" s="154" customFormat="1" ht="14.25">
      <c r="A586" s="525"/>
      <c r="B586" s="490"/>
      <c r="C586" s="491"/>
      <c r="D586" s="345"/>
      <c r="E586" s="405"/>
      <c r="F586" s="405"/>
      <c r="G586" s="405"/>
      <c r="H586" s="405"/>
      <c r="I586" s="405"/>
      <c r="J586" s="405"/>
      <c r="K586" s="492"/>
      <c r="L586" s="492"/>
      <c r="M586" s="493"/>
      <c r="N586" s="494"/>
      <c r="O586" s="492"/>
      <c r="P586" s="491"/>
      <c r="Q586" s="405"/>
      <c r="R586" s="495"/>
      <c r="S586" s="496"/>
      <c r="T586" s="496"/>
      <c r="U586" s="496"/>
      <c r="V586" s="497"/>
      <c r="W586" s="497"/>
      <c r="X586" s="497"/>
      <c r="Y586" s="498"/>
      <c r="Z586" s="308"/>
      <c r="AA586" s="141"/>
    </row>
    <row r="587" spans="1:27" s="154" customFormat="1" ht="14.25">
      <c r="A587" s="500" t="s">
        <v>5642</v>
      </c>
      <c r="B587" s="310" t="s">
        <v>809</v>
      </c>
      <c r="C587" s="327" t="s">
        <v>5643</v>
      </c>
      <c r="D587" s="456" t="s">
        <v>4978</v>
      </c>
      <c r="E587" s="322">
        <v>0</v>
      </c>
      <c r="F587" s="322">
        <v>100</v>
      </c>
      <c r="G587" s="322" t="s">
        <v>41</v>
      </c>
      <c r="H587" s="322">
        <v>40</v>
      </c>
      <c r="I587" s="322">
        <v>100</v>
      </c>
      <c r="J587" s="483">
        <v>51.4</v>
      </c>
      <c r="K587" s="779" t="s">
        <v>4125</v>
      </c>
      <c r="L587" s="779" t="s">
        <v>4125</v>
      </c>
      <c r="M587" s="778" t="s">
        <v>4979</v>
      </c>
      <c r="N587" s="778" t="s">
        <v>4980</v>
      </c>
      <c r="O587" s="590"/>
      <c r="P587" s="472"/>
      <c r="Q587" s="473"/>
      <c r="R587" s="472"/>
      <c r="S587" s="473"/>
      <c r="T587" s="473"/>
      <c r="U587" s="473"/>
      <c r="V587" s="474"/>
      <c r="W587" s="474"/>
      <c r="X587" s="474"/>
      <c r="Y587" s="526"/>
      <c r="Z587" s="474">
        <v>1</v>
      </c>
      <c r="AA587" s="683"/>
    </row>
    <row r="588" spans="1:27" ht="15">
      <c r="A588" s="514"/>
      <c r="B588" s="507"/>
      <c r="C588" s="330"/>
      <c r="D588" s="459"/>
      <c r="E588" s="341"/>
      <c r="F588" s="341"/>
      <c r="G588" s="341"/>
      <c r="H588" s="341"/>
      <c r="I588" s="341"/>
      <c r="J588" s="523"/>
      <c r="K588" s="590"/>
      <c r="L588" s="590"/>
      <c r="M588" s="589"/>
      <c r="N588" s="589"/>
      <c r="O588" s="590">
        <v>1</v>
      </c>
      <c r="P588" s="472" t="s">
        <v>5644</v>
      </c>
      <c r="Q588" s="473">
        <v>0</v>
      </c>
      <c r="R588" s="461"/>
      <c r="S588" s="461"/>
      <c r="T588" s="461"/>
      <c r="U588" s="461" t="s">
        <v>4125</v>
      </c>
      <c r="V588" s="461"/>
      <c r="W588" s="461"/>
      <c r="X588" s="461"/>
      <c r="Y588" s="668"/>
      <c r="Z588" s="462" t="s">
        <v>138</v>
      </c>
    </row>
    <row r="589" spans="1:27" ht="15">
      <c r="A589" s="457"/>
      <c r="B589" s="458"/>
      <c r="C589" s="524"/>
      <c r="D589" s="459"/>
      <c r="E589" s="341"/>
      <c r="F589" s="341"/>
      <c r="G589" s="341"/>
      <c r="H589" s="341"/>
      <c r="I589" s="341"/>
      <c r="J589" s="523"/>
      <c r="K589" s="342"/>
      <c r="L589" s="342"/>
      <c r="M589" s="460"/>
      <c r="N589" s="460"/>
      <c r="O589" s="342">
        <v>2</v>
      </c>
      <c r="P589" s="336" t="s">
        <v>5645</v>
      </c>
      <c r="Q589" s="461">
        <v>0</v>
      </c>
      <c r="R589" s="461"/>
      <c r="S589" s="461"/>
      <c r="T589" s="461"/>
      <c r="U589" s="461" t="s">
        <v>4125</v>
      </c>
      <c r="V589" s="461"/>
      <c r="W589" s="461"/>
      <c r="X589" s="860"/>
      <c r="Y589" s="584"/>
      <c r="Z589" s="861">
        <v>2</v>
      </c>
    </row>
    <row r="590" spans="1:27" ht="15">
      <c r="A590" s="514"/>
      <c r="B590" s="515"/>
      <c r="C590" s="336"/>
      <c r="D590" s="331"/>
      <c r="E590" s="332"/>
      <c r="F590" s="332"/>
      <c r="G590" s="332"/>
      <c r="H590" s="332"/>
      <c r="I590" s="332"/>
      <c r="J590" s="527"/>
      <c r="K590" s="333"/>
      <c r="L590" s="333"/>
      <c r="M590" s="509"/>
      <c r="N590" s="509"/>
      <c r="O590" s="342">
        <v>3</v>
      </c>
      <c r="P590" s="336" t="s">
        <v>5646</v>
      </c>
      <c r="Q590" s="461">
        <v>0</v>
      </c>
      <c r="R590" s="461"/>
      <c r="S590" s="461"/>
      <c r="T590" s="461"/>
      <c r="U590" s="461" t="s">
        <v>4125</v>
      </c>
      <c r="V590" s="461"/>
      <c r="W590" s="461"/>
      <c r="X590" s="860"/>
      <c r="Y590" s="584"/>
      <c r="Z590" s="861">
        <v>2</v>
      </c>
    </row>
    <row r="591" spans="1:27" ht="15">
      <c r="A591" s="516"/>
      <c r="B591" s="528"/>
      <c r="C591" s="465"/>
      <c r="D591" s="340"/>
      <c r="E591" s="466"/>
      <c r="F591" s="466"/>
      <c r="G591" s="466"/>
      <c r="H591" s="466"/>
      <c r="I591" s="466"/>
      <c r="J591" s="529"/>
      <c r="K591" s="467"/>
      <c r="L591" s="467"/>
      <c r="M591" s="506"/>
      <c r="N591" s="506"/>
      <c r="O591" s="341">
        <v>4</v>
      </c>
      <c r="P591" s="336" t="s">
        <v>5647</v>
      </c>
      <c r="Q591" s="461">
        <v>0</v>
      </c>
      <c r="R591" s="461"/>
      <c r="S591" s="461"/>
      <c r="T591" s="461"/>
      <c r="U591" s="461" t="s">
        <v>4125</v>
      </c>
      <c r="V591" s="461" t="s">
        <v>4125</v>
      </c>
      <c r="W591" s="461"/>
      <c r="X591" s="860"/>
      <c r="Y591" s="584"/>
      <c r="Z591" s="861">
        <v>2</v>
      </c>
    </row>
    <row r="592" spans="1:27" ht="15">
      <c r="A592" s="516"/>
      <c r="B592" s="528"/>
      <c r="C592" s="465"/>
      <c r="D592" s="340"/>
      <c r="E592" s="466"/>
      <c r="F592" s="466"/>
      <c r="G592" s="466"/>
      <c r="H592" s="466"/>
      <c r="I592" s="466"/>
      <c r="J592" s="529"/>
      <c r="K592" s="588"/>
      <c r="L592" s="588"/>
      <c r="M592" s="634"/>
      <c r="N592" s="634"/>
      <c r="O592" s="473">
        <v>5</v>
      </c>
      <c r="P592" s="463" t="s">
        <v>5648</v>
      </c>
      <c r="Q592" s="461">
        <v>0</v>
      </c>
      <c r="R592" s="461"/>
      <c r="S592" s="461"/>
      <c r="T592" s="461"/>
      <c r="U592" s="461" t="s">
        <v>4125</v>
      </c>
      <c r="V592" s="461"/>
      <c r="W592" s="461"/>
      <c r="X592" s="461"/>
      <c r="Y592" s="668"/>
      <c r="Z592" s="462" t="s">
        <v>138</v>
      </c>
    </row>
    <row r="593" spans="1:27" ht="15">
      <c r="A593" s="516"/>
      <c r="B593" s="528"/>
      <c r="C593" s="465"/>
      <c r="D593" s="340"/>
      <c r="E593" s="466"/>
      <c r="F593" s="466"/>
      <c r="G593" s="466"/>
      <c r="H593" s="466"/>
      <c r="I593" s="466"/>
      <c r="J593" s="529"/>
      <c r="K593" s="588"/>
      <c r="L593" s="588"/>
      <c r="M593" s="634"/>
      <c r="N593" s="634"/>
      <c r="O593" s="473">
        <v>6</v>
      </c>
      <c r="P593" s="463" t="s">
        <v>5649</v>
      </c>
      <c r="Q593" s="461">
        <v>0</v>
      </c>
      <c r="R593" s="461"/>
      <c r="S593" s="461"/>
      <c r="T593" s="461"/>
      <c r="U593" s="461" t="s">
        <v>4125</v>
      </c>
      <c r="V593" s="461"/>
      <c r="W593" s="461"/>
      <c r="X593" s="461"/>
      <c r="Y593" s="668"/>
      <c r="Z593" s="462" t="s">
        <v>138</v>
      </c>
    </row>
    <row r="594" spans="1:27" ht="15">
      <c r="A594" s="516"/>
      <c r="B594" s="528"/>
      <c r="C594" s="465"/>
      <c r="D594" s="340"/>
      <c r="E594" s="466"/>
      <c r="F594" s="466"/>
      <c r="G594" s="466"/>
      <c r="H594" s="466"/>
      <c r="I594" s="466"/>
      <c r="J594" s="529"/>
      <c r="K594" s="467"/>
      <c r="L594" s="467"/>
      <c r="M594" s="506"/>
      <c r="N594" s="506"/>
      <c r="O594" s="341">
        <v>7</v>
      </c>
      <c r="P594" s="336" t="s">
        <v>5650</v>
      </c>
      <c r="Q594" s="461">
        <v>0</v>
      </c>
      <c r="R594" s="585"/>
      <c r="S594" s="860"/>
      <c r="T594" s="586"/>
      <c r="U594" s="860" t="s">
        <v>4125</v>
      </c>
      <c r="V594" s="587"/>
      <c r="W594" s="586"/>
      <c r="X594" s="461"/>
      <c r="Y594" s="584"/>
      <c r="Z594" s="861">
        <v>2</v>
      </c>
    </row>
    <row r="595" spans="1:27" ht="14.25">
      <c r="A595" s="516"/>
      <c r="B595" s="528"/>
      <c r="C595" s="465"/>
      <c r="D595" s="340"/>
      <c r="E595" s="466"/>
      <c r="F595" s="466"/>
      <c r="G595" s="466"/>
      <c r="H595" s="466"/>
      <c r="I595" s="466"/>
      <c r="J595" s="529"/>
      <c r="K595" s="588"/>
      <c r="L595" s="588"/>
      <c r="M595" s="634"/>
      <c r="N595" s="634"/>
      <c r="O595" s="176">
        <v>8</v>
      </c>
      <c r="P595" s="479" t="s">
        <v>5651</v>
      </c>
      <c r="Q595" s="868">
        <v>3</v>
      </c>
      <c r="R595" s="176"/>
      <c r="S595" s="176"/>
      <c r="T595" s="176" t="s">
        <v>4125</v>
      </c>
      <c r="U595" s="176"/>
      <c r="V595" s="176"/>
      <c r="W595" s="176" t="s">
        <v>4125</v>
      </c>
      <c r="X595" s="480"/>
      <c r="Y595" s="526" t="s">
        <v>5619</v>
      </c>
      <c r="Z595" s="867">
        <v>2</v>
      </c>
      <c r="AA595" s="679"/>
    </row>
    <row r="596" spans="1:27" ht="51">
      <c r="A596" s="516"/>
      <c r="B596" s="528"/>
      <c r="C596" s="465"/>
      <c r="D596" s="340"/>
      <c r="E596" s="466"/>
      <c r="F596" s="466"/>
      <c r="G596" s="466"/>
      <c r="H596" s="466"/>
      <c r="I596" s="466"/>
      <c r="J596" s="529"/>
      <c r="K596" s="588"/>
      <c r="L596" s="588"/>
      <c r="M596" s="634"/>
      <c r="N596" s="634"/>
      <c r="O596" s="176">
        <v>9</v>
      </c>
      <c r="P596" s="479" t="s">
        <v>5652</v>
      </c>
      <c r="Q596" s="176">
        <v>25</v>
      </c>
      <c r="R596" s="176"/>
      <c r="S596" s="176"/>
      <c r="T596" s="176" t="s">
        <v>4125</v>
      </c>
      <c r="U596" s="176"/>
      <c r="V596" s="176"/>
      <c r="W596" s="176" t="s">
        <v>4125</v>
      </c>
      <c r="X596" s="480"/>
      <c r="Y596" s="526" t="s">
        <v>5653</v>
      </c>
      <c r="Z596" s="480" t="s">
        <v>184</v>
      </c>
      <c r="AA596" s="679"/>
    </row>
    <row r="597" spans="1:27" ht="14.25">
      <c r="A597" s="516"/>
      <c r="B597" s="528"/>
      <c r="C597" s="465"/>
      <c r="D597" s="340"/>
      <c r="E597" s="466"/>
      <c r="F597" s="466"/>
      <c r="G597" s="466"/>
      <c r="H597" s="466"/>
      <c r="I597" s="466"/>
      <c r="J597" s="529"/>
      <c r="K597" s="467"/>
      <c r="L597" s="467"/>
      <c r="M597" s="506"/>
      <c r="N597" s="506"/>
      <c r="O597" s="176">
        <v>10</v>
      </c>
      <c r="P597" s="479" t="s">
        <v>5654</v>
      </c>
      <c r="Q597" s="868">
        <v>3</v>
      </c>
      <c r="R597" s="176"/>
      <c r="S597" s="176"/>
      <c r="T597" s="176" t="s">
        <v>4125</v>
      </c>
      <c r="U597" s="176"/>
      <c r="V597" s="176"/>
      <c r="W597" s="868" t="s">
        <v>4125</v>
      </c>
      <c r="X597" s="480"/>
      <c r="Y597" s="526" t="s">
        <v>5655</v>
      </c>
      <c r="Z597" s="867">
        <v>2</v>
      </c>
      <c r="AA597" s="683"/>
    </row>
    <row r="598" spans="1:27" ht="14.25">
      <c r="A598" s="516"/>
      <c r="B598" s="528"/>
      <c r="C598" s="465"/>
      <c r="D598" s="340"/>
      <c r="E598" s="466"/>
      <c r="F598" s="466"/>
      <c r="G598" s="466"/>
      <c r="H598" s="466"/>
      <c r="I598" s="466"/>
      <c r="J598" s="529"/>
      <c r="K598" s="467"/>
      <c r="L598" s="467"/>
      <c r="M598" s="506"/>
      <c r="N598" s="506"/>
      <c r="O598" s="176">
        <v>11</v>
      </c>
      <c r="P598" s="479" t="s">
        <v>5656</v>
      </c>
      <c r="Q598" s="868">
        <v>3</v>
      </c>
      <c r="R598" s="176"/>
      <c r="S598" s="176"/>
      <c r="T598" s="176" t="s">
        <v>4125</v>
      </c>
      <c r="U598" s="176"/>
      <c r="V598" s="176"/>
      <c r="W598" s="868" t="s">
        <v>4125</v>
      </c>
      <c r="X598" s="480"/>
      <c r="Y598" s="526" t="s">
        <v>5657</v>
      </c>
      <c r="Z598" s="867">
        <v>2</v>
      </c>
      <c r="AA598" s="683"/>
    </row>
    <row r="599" spans="1:27" ht="14.25">
      <c r="A599" s="516"/>
      <c r="B599" s="528"/>
      <c r="C599" s="465"/>
      <c r="D599" s="340"/>
      <c r="E599" s="466"/>
      <c r="F599" s="466"/>
      <c r="G599" s="466"/>
      <c r="H599" s="466"/>
      <c r="I599" s="466"/>
      <c r="J599" s="529"/>
      <c r="K599" s="467"/>
      <c r="L599" s="467"/>
      <c r="M599" s="506"/>
      <c r="N599" s="506"/>
      <c r="O599" s="176">
        <v>12</v>
      </c>
      <c r="P599" s="479" t="s">
        <v>5658</v>
      </c>
      <c r="Q599" s="176">
        <v>5</v>
      </c>
      <c r="R599" s="176"/>
      <c r="S599" s="176"/>
      <c r="T599" s="176" t="s">
        <v>4125</v>
      </c>
      <c r="U599" s="176"/>
      <c r="V599" s="176"/>
      <c r="W599" s="868" t="s">
        <v>4125</v>
      </c>
      <c r="X599" s="480"/>
      <c r="Y599" s="526" t="s">
        <v>5659</v>
      </c>
      <c r="Z599" s="867">
        <v>2</v>
      </c>
      <c r="AA599" s="683"/>
    </row>
    <row r="600" spans="1:27" s="154" customFormat="1" ht="14.25">
      <c r="A600" s="525"/>
      <c r="B600" s="490"/>
      <c r="C600" s="491"/>
      <c r="D600" s="345"/>
      <c r="E600" s="405"/>
      <c r="F600" s="405"/>
      <c r="G600" s="405"/>
      <c r="H600" s="405"/>
      <c r="I600" s="405"/>
      <c r="J600" s="405"/>
      <c r="K600" s="492"/>
      <c r="L600" s="492"/>
      <c r="M600" s="493"/>
      <c r="N600" s="494"/>
      <c r="O600" s="492"/>
      <c r="P600" s="491"/>
      <c r="Q600" s="405"/>
      <c r="R600" s="495"/>
      <c r="S600" s="496"/>
      <c r="T600" s="496"/>
      <c r="U600" s="496"/>
      <c r="V600" s="497"/>
      <c r="W600" s="497"/>
      <c r="X600" s="497"/>
      <c r="Y600" s="498"/>
      <c r="Z600" s="308"/>
      <c r="AA600" s="683"/>
    </row>
    <row r="601" spans="1:27" s="154" customFormat="1" ht="14.25">
      <c r="A601" s="500" t="s">
        <v>5660</v>
      </c>
      <c r="B601" s="310" t="s">
        <v>809</v>
      </c>
      <c r="C601" s="327" t="s">
        <v>5661</v>
      </c>
      <c r="D601" s="456" t="s">
        <v>4978</v>
      </c>
      <c r="E601" s="322">
        <v>0</v>
      </c>
      <c r="F601" s="322">
        <v>100</v>
      </c>
      <c r="G601" s="322" t="s">
        <v>41</v>
      </c>
      <c r="H601" s="322">
        <v>40</v>
      </c>
      <c r="I601" s="322">
        <v>100</v>
      </c>
      <c r="J601" s="483">
        <v>51.4</v>
      </c>
      <c r="K601" s="779" t="s">
        <v>4125</v>
      </c>
      <c r="L601" s="779" t="s">
        <v>4125</v>
      </c>
      <c r="M601" s="778" t="s">
        <v>4979</v>
      </c>
      <c r="N601" s="778" t="s">
        <v>4980</v>
      </c>
      <c r="O601" s="590"/>
      <c r="P601" s="472"/>
      <c r="Q601" s="473"/>
      <c r="R601" s="472"/>
      <c r="S601" s="473"/>
      <c r="T601" s="473"/>
      <c r="U601" s="473"/>
      <c r="V601" s="474"/>
      <c r="W601" s="474"/>
      <c r="X601" s="474"/>
      <c r="Y601" s="526"/>
      <c r="Z601" s="474">
        <v>1</v>
      </c>
      <c r="AA601" s="683"/>
    </row>
    <row r="602" spans="1:27" ht="15">
      <c r="A602" s="514"/>
      <c r="B602" s="507"/>
      <c r="C602" s="330"/>
      <c r="D602" s="459"/>
      <c r="E602" s="341"/>
      <c r="F602" s="341"/>
      <c r="G602" s="341"/>
      <c r="H602" s="341"/>
      <c r="I602" s="341"/>
      <c r="J602" s="523"/>
      <c r="K602" s="590"/>
      <c r="L602" s="590"/>
      <c r="M602" s="589"/>
      <c r="N602" s="589"/>
      <c r="O602" s="590">
        <v>1</v>
      </c>
      <c r="P602" s="472" t="s">
        <v>5662</v>
      </c>
      <c r="Q602" s="473">
        <v>0</v>
      </c>
      <c r="R602" s="461"/>
      <c r="S602" s="461"/>
      <c r="T602" s="461"/>
      <c r="U602" s="461" t="s">
        <v>4125</v>
      </c>
      <c r="V602" s="461"/>
      <c r="W602" s="461"/>
      <c r="X602" s="461"/>
      <c r="Y602" s="668"/>
      <c r="Z602" s="462" t="s">
        <v>138</v>
      </c>
    </row>
    <row r="603" spans="1:27" ht="15">
      <c r="A603" s="457"/>
      <c r="B603" s="458"/>
      <c r="C603" s="524"/>
      <c r="D603" s="459"/>
      <c r="E603" s="341"/>
      <c r="F603" s="341"/>
      <c r="G603" s="341"/>
      <c r="H603" s="341"/>
      <c r="I603" s="341"/>
      <c r="J603" s="523"/>
      <c r="K603" s="342"/>
      <c r="L603" s="342"/>
      <c r="M603" s="460"/>
      <c r="N603" s="460"/>
      <c r="O603" s="342">
        <v>2</v>
      </c>
      <c r="P603" s="336" t="s">
        <v>5663</v>
      </c>
      <c r="Q603" s="461">
        <v>0</v>
      </c>
      <c r="R603" s="461"/>
      <c r="S603" s="461"/>
      <c r="T603" s="461"/>
      <c r="U603" s="461" t="s">
        <v>4125</v>
      </c>
      <c r="V603" s="461"/>
      <c r="W603" s="461"/>
      <c r="X603" s="860"/>
      <c r="Y603" s="584"/>
      <c r="Z603" s="861">
        <v>2</v>
      </c>
    </row>
    <row r="604" spans="1:27" ht="15">
      <c r="A604" s="514"/>
      <c r="B604" s="515"/>
      <c r="C604" s="336"/>
      <c r="D604" s="331"/>
      <c r="E604" s="332"/>
      <c r="F604" s="332"/>
      <c r="G604" s="332"/>
      <c r="H604" s="332"/>
      <c r="I604" s="332"/>
      <c r="J604" s="527"/>
      <c r="K604" s="333"/>
      <c r="L604" s="333"/>
      <c r="M604" s="509"/>
      <c r="N604" s="509"/>
      <c r="O604" s="342">
        <v>3</v>
      </c>
      <c r="P604" s="336" t="s">
        <v>5664</v>
      </c>
      <c r="Q604" s="461">
        <v>0</v>
      </c>
      <c r="R604" s="461"/>
      <c r="S604" s="461"/>
      <c r="T604" s="461"/>
      <c r="U604" s="461" t="s">
        <v>4125</v>
      </c>
      <c r="V604" s="461"/>
      <c r="W604" s="461"/>
      <c r="X604" s="860"/>
      <c r="Y604" s="584"/>
      <c r="Z604" s="861">
        <v>2</v>
      </c>
    </row>
    <row r="605" spans="1:27" ht="15">
      <c r="A605" s="516"/>
      <c r="B605" s="528"/>
      <c r="C605" s="465"/>
      <c r="D605" s="340"/>
      <c r="E605" s="466"/>
      <c r="F605" s="466"/>
      <c r="G605" s="466"/>
      <c r="H605" s="466"/>
      <c r="I605" s="466"/>
      <c r="J605" s="529"/>
      <c r="K605" s="467"/>
      <c r="L605" s="467"/>
      <c r="M605" s="506"/>
      <c r="N605" s="506"/>
      <c r="O605" s="341">
        <v>4</v>
      </c>
      <c r="P605" s="336" t="s">
        <v>5665</v>
      </c>
      <c r="Q605" s="461">
        <v>0</v>
      </c>
      <c r="R605" s="461"/>
      <c r="S605" s="461"/>
      <c r="T605" s="461"/>
      <c r="U605" s="461" t="s">
        <v>4125</v>
      </c>
      <c r="V605" s="461" t="s">
        <v>4125</v>
      </c>
      <c r="W605" s="461"/>
      <c r="X605" s="860"/>
      <c r="Y605" s="584"/>
      <c r="Z605" s="861">
        <v>2</v>
      </c>
    </row>
    <row r="606" spans="1:27" ht="15">
      <c r="A606" s="516"/>
      <c r="B606" s="528"/>
      <c r="C606" s="465"/>
      <c r="D606" s="340"/>
      <c r="E606" s="466"/>
      <c r="F606" s="466"/>
      <c r="G606" s="466"/>
      <c r="H606" s="466"/>
      <c r="I606" s="466"/>
      <c r="J606" s="529"/>
      <c r="K606" s="588"/>
      <c r="L606" s="588"/>
      <c r="M606" s="634"/>
      <c r="N606" s="634"/>
      <c r="O606" s="473">
        <v>5</v>
      </c>
      <c r="P606" s="463" t="s">
        <v>5666</v>
      </c>
      <c r="Q606" s="461">
        <v>0</v>
      </c>
      <c r="R606" s="461"/>
      <c r="S606" s="461"/>
      <c r="T606" s="461"/>
      <c r="U606" s="461" t="s">
        <v>4125</v>
      </c>
      <c r="V606" s="461"/>
      <c r="W606" s="461"/>
      <c r="X606" s="461"/>
      <c r="Y606" s="668"/>
      <c r="Z606" s="462" t="s">
        <v>138</v>
      </c>
    </row>
    <row r="607" spans="1:27" ht="15">
      <c r="A607" s="516"/>
      <c r="B607" s="528"/>
      <c r="C607" s="465"/>
      <c r="D607" s="340"/>
      <c r="E607" s="466"/>
      <c r="F607" s="466"/>
      <c r="G607" s="466"/>
      <c r="H607" s="466"/>
      <c r="I607" s="466"/>
      <c r="J607" s="529"/>
      <c r="K607" s="588"/>
      <c r="L607" s="588"/>
      <c r="M607" s="634"/>
      <c r="N607" s="634"/>
      <c r="O607" s="473">
        <v>6</v>
      </c>
      <c r="P607" s="463" t="s">
        <v>5667</v>
      </c>
      <c r="Q607" s="461">
        <v>0</v>
      </c>
      <c r="R607" s="461"/>
      <c r="S607" s="461"/>
      <c r="T607" s="461"/>
      <c r="U607" s="461" t="s">
        <v>4125</v>
      </c>
      <c r="V607" s="461"/>
      <c r="W607" s="461"/>
      <c r="X607" s="461"/>
      <c r="Y607" s="668"/>
      <c r="Z607" s="462" t="s">
        <v>138</v>
      </c>
    </row>
    <row r="608" spans="1:27" ht="15">
      <c r="A608" s="516"/>
      <c r="B608" s="528"/>
      <c r="C608" s="465"/>
      <c r="D608" s="340"/>
      <c r="E608" s="466"/>
      <c r="F608" s="466"/>
      <c r="G608" s="466"/>
      <c r="H608" s="466"/>
      <c r="I608" s="466"/>
      <c r="J608" s="529"/>
      <c r="K608" s="467"/>
      <c r="L608" s="467"/>
      <c r="M608" s="506"/>
      <c r="N608" s="506"/>
      <c r="O608" s="341">
        <v>7</v>
      </c>
      <c r="P608" s="336" t="s">
        <v>5668</v>
      </c>
      <c r="Q608" s="461">
        <v>0</v>
      </c>
      <c r="R608" s="585"/>
      <c r="S608" s="860"/>
      <c r="T608" s="586"/>
      <c r="U608" s="860" t="s">
        <v>4125</v>
      </c>
      <c r="V608" s="587"/>
      <c r="W608" s="586"/>
      <c r="X608" s="461"/>
      <c r="Y608" s="584"/>
      <c r="Z608" s="861">
        <v>2</v>
      </c>
    </row>
    <row r="609" spans="1:27" ht="14.25">
      <c r="A609" s="516"/>
      <c r="B609" s="528"/>
      <c r="C609" s="465"/>
      <c r="D609" s="340"/>
      <c r="E609" s="466"/>
      <c r="F609" s="466"/>
      <c r="G609" s="466"/>
      <c r="H609" s="466"/>
      <c r="I609" s="466"/>
      <c r="J609" s="529"/>
      <c r="K609" s="588"/>
      <c r="L609" s="588"/>
      <c r="M609" s="634"/>
      <c r="N609" s="634"/>
      <c r="O609" s="176">
        <v>8</v>
      </c>
      <c r="P609" s="479" t="s">
        <v>5669</v>
      </c>
      <c r="Q609" s="868">
        <v>3</v>
      </c>
      <c r="R609" s="176"/>
      <c r="S609" s="176"/>
      <c r="T609" s="176" t="s">
        <v>4125</v>
      </c>
      <c r="U609" s="176"/>
      <c r="V609" s="176"/>
      <c r="W609" s="176" t="s">
        <v>4125</v>
      </c>
      <c r="X609" s="480"/>
      <c r="Y609" s="526" t="s">
        <v>5619</v>
      </c>
      <c r="Z609" s="867">
        <v>2</v>
      </c>
      <c r="AA609" s="684"/>
    </row>
    <row r="610" spans="1:27" ht="51">
      <c r="A610" s="516"/>
      <c r="B610" s="528"/>
      <c r="C610" s="465"/>
      <c r="D610" s="340"/>
      <c r="E610" s="466"/>
      <c r="F610" s="466"/>
      <c r="G610" s="466"/>
      <c r="H610" s="466"/>
      <c r="I610" s="466"/>
      <c r="J610" s="529"/>
      <c r="K610" s="588"/>
      <c r="L610" s="588"/>
      <c r="M610" s="634"/>
      <c r="N610" s="634"/>
      <c r="O610" s="176">
        <v>9</v>
      </c>
      <c r="P610" s="479" t="s">
        <v>5670</v>
      </c>
      <c r="Q610" s="176">
        <v>25</v>
      </c>
      <c r="R610" s="176"/>
      <c r="S610" s="176"/>
      <c r="T610" s="176" t="s">
        <v>4125</v>
      </c>
      <c r="U610" s="176"/>
      <c r="V610" s="176"/>
      <c r="W610" s="176" t="s">
        <v>4125</v>
      </c>
      <c r="X610" s="480"/>
      <c r="Y610" s="526" t="s">
        <v>5621</v>
      </c>
      <c r="Z610" s="480" t="s">
        <v>138</v>
      </c>
      <c r="AA610" s="679"/>
    </row>
    <row r="611" spans="1:27" ht="14.25">
      <c r="A611" s="516"/>
      <c r="B611" s="528"/>
      <c r="C611" s="465"/>
      <c r="D611" s="340"/>
      <c r="E611" s="466"/>
      <c r="F611" s="466"/>
      <c r="G611" s="466"/>
      <c r="H611" s="466"/>
      <c r="I611" s="466"/>
      <c r="J611" s="529"/>
      <c r="K611" s="467"/>
      <c r="L611" s="467"/>
      <c r="M611" s="506"/>
      <c r="N611" s="506"/>
      <c r="O611" s="176">
        <v>10</v>
      </c>
      <c r="P611" s="479" t="s">
        <v>5671</v>
      </c>
      <c r="Q611" s="868">
        <v>3</v>
      </c>
      <c r="R611" s="176"/>
      <c r="S611" s="176"/>
      <c r="T611" s="176" t="s">
        <v>4125</v>
      </c>
      <c r="U611" s="176"/>
      <c r="V611" s="176"/>
      <c r="W611" s="868" t="s">
        <v>4125</v>
      </c>
      <c r="X611" s="480"/>
      <c r="Y611" s="526" t="s">
        <v>5655</v>
      </c>
      <c r="Z611" s="867">
        <v>2</v>
      </c>
      <c r="AA611" s="684"/>
    </row>
    <row r="612" spans="1:27" ht="14.25">
      <c r="A612" s="516"/>
      <c r="B612" s="528"/>
      <c r="C612" s="465"/>
      <c r="D612" s="340"/>
      <c r="E612" s="466"/>
      <c r="F612" s="466"/>
      <c r="G612" s="466"/>
      <c r="H612" s="466"/>
      <c r="I612" s="466"/>
      <c r="J612" s="529"/>
      <c r="K612" s="467"/>
      <c r="L612" s="467"/>
      <c r="M612" s="506"/>
      <c r="N612" s="506"/>
      <c r="O612" s="176">
        <v>11</v>
      </c>
      <c r="P612" s="479" t="s">
        <v>5672</v>
      </c>
      <c r="Q612" s="868">
        <v>3</v>
      </c>
      <c r="R612" s="176"/>
      <c r="S612" s="176"/>
      <c r="T612" s="176" t="s">
        <v>4125</v>
      </c>
      <c r="U612" s="176"/>
      <c r="V612" s="176"/>
      <c r="W612" s="868" t="s">
        <v>4125</v>
      </c>
      <c r="X612" s="480"/>
      <c r="Y612" s="526" t="s">
        <v>5657</v>
      </c>
      <c r="Z612" s="867">
        <v>2</v>
      </c>
      <c r="AA612" s="684"/>
    </row>
    <row r="613" spans="1:27" ht="14.25">
      <c r="A613" s="516"/>
      <c r="B613" s="528"/>
      <c r="C613" s="465"/>
      <c r="D613" s="340"/>
      <c r="E613" s="466"/>
      <c r="F613" s="466"/>
      <c r="G613" s="466"/>
      <c r="H613" s="466"/>
      <c r="I613" s="466"/>
      <c r="J613" s="529"/>
      <c r="K613" s="467"/>
      <c r="L613" s="467"/>
      <c r="M613" s="506"/>
      <c r="N613" s="506"/>
      <c r="O613" s="176">
        <v>12</v>
      </c>
      <c r="P613" s="479" t="s">
        <v>5673</v>
      </c>
      <c r="Q613" s="176">
        <v>5</v>
      </c>
      <c r="R613" s="176"/>
      <c r="S613" s="176"/>
      <c r="T613" s="176" t="s">
        <v>4125</v>
      </c>
      <c r="U613" s="176"/>
      <c r="V613" s="176"/>
      <c r="W613" s="868" t="s">
        <v>4125</v>
      </c>
      <c r="X613" s="480"/>
      <c r="Y613" s="526" t="s">
        <v>5674</v>
      </c>
      <c r="Z613" s="867">
        <v>2</v>
      </c>
      <c r="AA613" s="684"/>
    </row>
    <row r="614" spans="1:27" s="154" customFormat="1" ht="14.25">
      <c r="A614" s="525"/>
      <c r="B614" s="490"/>
      <c r="C614" s="491"/>
      <c r="D614" s="345"/>
      <c r="E614" s="405"/>
      <c r="F614" s="405"/>
      <c r="G614" s="405"/>
      <c r="H614" s="405"/>
      <c r="I614" s="405"/>
      <c r="J614" s="405"/>
      <c r="K614" s="492"/>
      <c r="L614" s="492"/>
      <c r="M614" s="493"/>
      <c r="N614" s="494"/>
      <c r="O614" s="492"/>
      <c r="P614" s="491"/>
      <c r="Q614" s="405"/>
      <c r="R614" s="495"/>
      <c r="S614" s="496"/>
      <c r="T614" s="496"/>
      <c r="U614" s="496"/>
      <c r="V614" s="497"/>
      <c r="W614" s="497"/>
      <c r="X614" s="497"/>
      <c r="Y614" s="498"/>
      <c r="Z614" s="308"/>
      <c r="AA614" s="684"/>
    </row>
    <row r="615" spans="1:27" s="154" customFormat="1" ht="14.25">
      <c r="A615" s="906" t="s">
        <v>5675</v>
      </c>
      <c r="B615" s="877" t="s">
        <v>809</v>
      </c>
      <c r="C615" s="878" t="s">
        <v>5676</v>
      </c>
      <c r="D615" s="879" t="s">
        <v>5035</v>
      </c>
      <c r="E615" s="880"/>
      <c r="F615" s="880"/>
      <c r="G615" s="880"/>
      <c r="H615" s="880"/>
      <c r="I615" s="880"/>
      <c r="J615" s="881" t="s">
        <v>857</v>
      </c>
      <c r="K615" s="881"/>
      <c r="L615" s="881" t="s">
        <v>4125</v>
      </c>
      <c r="M615" s="907" t="s">
        <v>5677</v>
      </c>
      <c r="N615" s="881" t="s">
        <v>5677</v>
      </c>
      <c r="O615" s="881"/>
      <c r="P615" s="878"/>
      <c r="Q615" s="880"/>
      <c r="R615" s="878"/>
      <c r="S615" s="880"/>
      <c r="T615" s="880"/>
      <c r="U615" s="880"/>
      <c r="V615" s="876"/>
      <c r="W615" s="876"/>
      <c r="X615" s="876"/>
      <c r="Y615" s="882"/>
      <c r="Z615" s="876">
        <v>1</v>
      </c>
      <c r="AA615" s="679"/>
    </row>
    <row r="616" spans="1:27" ht="15">
      <c r="A616" s="908"/>
      <c r="B616" s="909"/>
      <c r="C616" s="885"/>
      <c r="D616" s="894"/>
      <c r="E616" s="895"/>
      <c r="F616" s="895"/>
      <c r="G616" s="895"/>
      <c r="H616" s="895"/>
      <c r="I616" s="895"/>
      <c r="J616" s="910"/>
      <c r="K616" s="889"/>
      <c r="L616" s="889"/>
      <c r="M616" s="911"/>
      <c r="N616" s="911"/>
      <c r="O616" s="889">
        <v>1</v>
      </c>
      <c r="P616" s="893" t="s">
        <v>5678</v>
      </c>
      <c r="Q616" s="895">
        <v>0</v>
      </c>
      <c r="R616" s="895"/>
      <c r="S616" s="895"/>
      <c r="T616" s="895"/>
      <c r="U616" s="895" t="s">
        <v>4125</v>
      </c>
      <c r="V616" s="895"/>
      <c r="W616" s="895"/>
      <c r="X616" s="895"/>
      <c r="Y616" s="912"/>
      <c r="Z616" s="891" t="s">
        <v>138</v>
      </c>
      <c r="AA616" s="683"/>
    </row>
    <row r="617" spans="1:27" ht="15">
      <c r="A617" s="913"/>
      <c r="B617" s="884"/>
      <c r="C617" s="914"/>
      <c r="D617" s="886"/>
      <c r="E617" s="887"/>
      <c r="F617" s="887"/>
      <c r="G617" s="887"/>
      <c r="H617" s="887"/>
      <c r="I617" s="887"/>
      <c r="J617" s="915"/>
      <c r="K617" s="888"/>
      <c r="L617" s="888"/>
      <c r="M617" s="916"/>
      <c r="N617" s="916"/>
      <c r="O617" s="888">
        <v>2</v>
      </c>
      <c r="P617" s="893" t="s">
        <v>5679</v>
      </c>
      <c r="Q617" s="895">
        <v>0</v>
      </c>
      <c r="R617" s="895"/>
      <c r="S617" s="895"/>
      <c r="T617" s="895"/>
      <c r="U617" s="895" t="s">
        <v>4125</v>
      </c>
      <c r="V617" s="895"/>
      <c r="W617" s="895"/>
      <c r="X617" s="895"/>
      <c r="Y617" s="912"/>
      <c r="Z617" s="891">
        <v>2</v>
      </c>
      <c r="AA617" s="683"/>
    </row>
    <row r="618" spans="1:27" ht="15">
      <c r="A618" s="908"/>
      <c r="B618" s="917"/>
      <c r="C618" s="893"/>
      <c r="D618" s="894"/>
      <c r="E618" s="895"/>
      <c r="F618" s="895"/>
      <c r="G618" s="895"/>
      <c r="H618" s="895"/>
      <c r="I618" s="895"/>
      <c r="J618" s="910"/>
      <c r="K618" s="889"/>
      <c r="L618" s="889"/>
      <c r="M618" s="911"/>
      <c r="N618" s="911"/>
      <c r="O618" s="888">
        <v>3</v>
      </c>
      <c r="P618" s="893" t="s">
        <v>5680</v>
      </c>
      <c r="Q618" s="895">
        <v>0</v>
      </c>
      <c r="R618" s="895"/>
      <c r="S618" s="895"/>
      <c r="T618" s="895"/>
      <c r="U618" s="895" t="s">
        <v>4125</v>
      </c>
      <c r="V618" s="895"/>
      <c r="W618" s="895"/>
      <c r="X618" s="895"/>
      <c r="Y618" s="912"/>
      <c r="Z618" s="891">
        <v>2</v>
      </c>
      <c r="AA618" s="683"/>
    </row>
    <row r="619" spans="1:27" ht="15">
      <c r="A619" s="918"/>
      <c r="B619" s="919"/>
      <c r="C619" s="920"/>
      <c r="D619" s="921"/>
      <c r="E619" s="922"/>
      <c r="F619" s="922"/>
      <c r="G619" s="922"/>
      <c r="H619" s="922"/>
      <c r="I619" s="922"/>
      <c r="J619" s="923"/>
      <c r="K619" s="924"/>
      <c r="L619" s="924"/>
      <c r="M619" s="925"/>
      <c r="N619" s="925"/>
      <c r="O619" s="887">
        <v>4</v>
      </c>
      <c r="P619" s="893" t="s">
        <v>5681</v>
      </c>
      <c r="Q619" s="895">
        <v>0</v>
      </c>
      <c r="R619" s="895"/>
      <c r="S619" s="895"/>
      <c r="T619" s="895"/>
      <c r="U619" s="895" t="s">
        <v>4125</v>
      </c>
      <c r="V619" s="895" t="s">
        <v>4125</v>
      </c>
      <c r="W619" s="895"/>
      <c r="X619" s="895"/>
      <c r="Y619" s="912"/>
      <c r="Z619" s="891">
        <v>2</v>
      </c>
      <c r="AA619" s="683"/>
    </row>
    <row r="620" spans="1:27" ht="15">
      <c r="A620" s="918"/>
      <c r="B620" s="919"/>
      <c r="C620" s="920"/>
      <c r="D620" s="921"/>
      <c r="E620" s="922"/>
      <c r="F620" s="922"/>
      <c r="G620" s="922"/>
      <c r="H620" s="922"/>
      <c r="I620" s="922"/>
      <c r="J620" s="923"/>
      <c r="K620" s="924"/>
      <c r="L620" s="924"/>
      <c r="M620" s="925"/>
      <c r="N620" s="925"/>
      <c r="O620" s="887">
        <v>5</v>
      </c>
      <c r="P620" s="893" t="s">
        <v>5682</v>
      </c>
      <c r="Q620" s="895">
        <v>0</v>
      </c>
      <c r="R620" s="895"/>
      <c r="S620" s="895"/>
      <c r="T620" s="895"/>
      <c r="U620" s="895" t="s">
        <v>4125</v>
      </c>
      <c r="V620" s="895"/>
      <c r="W620" s="895"/>
      <c r="X620" s="895"/>
      <c r="Y620" s="912"/>
      <c r="Z620" s="891" t="s">
        <v>138</v>
      </c>
      <c r="AA620" s="683"/>
    </row>
    <row r="621" spans="1:27" ht="15">
      <c r="A621" s="918"/>
      <c r="B621" s="919"/>
      <c r="C621" s="920"/>
      <c r="D621" s="921"/>
      <c r="E621" s="922"/>
      <c r="F621" s="922"/>
      <c r="G621" s="922"/>
      <c r="H621" s="922"/>
      <c r="I621" s="922"/>
      <c r="J621" s="923"/>
      <c r="K621" s="924"/>
      <c r="L621" s="924"/>
      <c r="M621" s="925"/>
      <c r="N621" s="925"/>
      <c r="O621" s="887">
        <v>6</v>
      </c>
      <c r="P621" s="893" t="s">
        <v>5683</v>
      </c>
      <c r="Q621" s="895">
        <v>0</v>
      </c>
      <c r="R621" s="895"/>
      <c r="S621" s="895"/>
      <c r="T621" s="895"/>
      <c r="U621" s="895" t="s">
        <v>4125</v>
      </c>
      <c r="V621" s="895"/>
      <c r="W621" s="895"/>
      <c r="X621" s="895"/>
      <c r="Y621" s="912"/>
      <c r="Z621" s="891" t="s">
        <v>138</v>
      </c>
      <c r="AA621" s="683"/>
    </row>
    <row r="622" spans="1:27" ht="15">
      <c r="A622" s="908"/>
      <c r="B622" s="917"/>
      <c r="C622" s="893"/>
      <c r="D622" s="894"/>
      <c r="E622" s="895"/>
      <c r="F622" s="895"/>
      <c r="G622" s="895"/>
      <c r="H622" s="895"/>
      <c r="I622" s="895"/>
      <c r="J622" s="910"/>
      <c r="K622" s="889"/>
      <c r="L622" s="889"/>
      <c r="M622" s="911"/>
      <c r="N622" s="911"/>
      <c r="O622" s="895">
        <v>7</v>
      </c>
      <c r="P622" s="893" t="s">
        <v>5684</v>
      </c>
      <c r="Q622" s="895">
        <v>0</v>
      </c>
      <c r="R622" s="926"/>
      <c r="S622" s="895"/>
      <c r="T622" s="927"/>
      <c r="U622" s="895" t="s">
        <v>4125</v>
      </c>
      <c r="V622" s="927"/>
      <c r="W622" s="927"/>
      <c r="X622" s="895"/>
      <c r="Y622" s="912"/>
      <c r="Z622" s="891">
        <v>2</v>
      </c>
      <c r="AA622" s="683"/>
    </row>
    <row r="623" spans="1:27" ht="15">
      <c r="A623" s="928"/>
      <c r="B623" s="929"/>
      <c r="C623" s="899"/>
      <c r="D623" s="900"/>
      <c r="E623" s="901"/>
      <c r="F623" s="901"/>
      <c r="G623" s="901"/>
      <c r="H623" s="901"/>
      <c r="I623" s="901"/>
      <c r="J623" s="930"/>
      <c r="K623" s="902"/>
      <c r="L623" s="902"/>
      <c r="M623" s="931"/>
      <c r="N623" s="931"/>
      <c r="O623" s="901"/>
      <c r="P623" s="899"/>
      <c r="Q623" s="901"/>
      <c r="R623" s="932"/>
      <c r="S623" s="901"/>
      <c r="T623" s="933"/>
      <c r="U623" s="901"/>
      <c r="V623" s="933"/>
      <c r="W623" s="933"/>
      <c r="X623" s="901"/>
      <c r="Y623" s="934"/>
      <c r="Z623" s="897"/>
      <c r="AA623" s="683"/>
    </row>
    <row r="624" spans="1:27" s="154" customFormat="1" ht="14.25">
      <c r="A624" s="994" t="s">
        <v>5685</v>
      </c>
      <c r="B624" s="579" t="s">
        <v>809</v>
      </c>
      <c r="C624" s="482" t="s">
        <v>5686</v>
      </c>
      <c r="D624" s="664" t="s">
        <v>5035</v>
      </c>
      <c r="E624" s="471"/>
      <c r="F624" s="471"/>
      <c r="G624" s="471"/>
      <c r="H624" s="471"/>
      <c r="I624" s="471"/>
      <c r="J624" s="779" t="s">
        <v>857</v>
      </c>
      <c r="K624" s="779"/>
      <c r="L624" s="779" t="s">
        <v>4125</v>
      </c>
      <c r="M624" s="778" t="s">
        <v>5677</v>
      </c>
      <c r="N624" s="779" t="s">
        <v>5677</v>
      </c>
      <c r="O624" s="779"/>
      <c r="P624" s="482"/>
      <c r="Q624" s="483"/>
      <c r="R624" s="482"/>
      <c r="S624" s="483"/>
      <c r="T624" s="483"/>
      <c r="U624" s="483"/>
      <c r="V624" s="484"/>
      <c r="W624" s="484"/>
      <c r="X624" s="484"/>
      <c r="Y624" s="793"/>
      <c r="Z624" s="484">
        <v>1</v>
      </c>
      <c r="AA624" s="679"/>
    </row>
    <row r="625" spans="1:27" ht="15">
      <c r="A625" s="580"/>
      <c r="B625" s="665"/>
      <c r="C625" s="472"/>
      <c r="D625" s="666"/>
      <c r="E625" s="461"/>
      <c r="F625" s="461"/>
      <c r="G625" s="461"/>
      <c r="H625" s="461"/>
      <c r="I625" s="461"/>
      <c r="J625" s="527"/>
      <c r="K625" s="624"/>
      <c r="L625" s="624"/>
      <c r="M625" s="667"/>
      <c r="N625" s="667"/>
      <c r="O625" s="624">
        <v>1</v>
      </c>
      <c r="P625" s="463" t="s">
        <v>5687</v>
      </c>
      <c r="Q625" s="461">
        <v>0</v>
      </c>
      <c r="R625" s="461"/>
      <c r="S625" s="461"/>
      <c r="T625" s="461"/>
      <c r="U625" s="461" t="s">
        <v>4125</v>
      </c>
      <c r="V625" s="461"/>
      <c r="W625" s="461"/>
      <c r="X625" s="461"/>
      <c r="Y625" s="668"/>
      <c r="Z625" s="462" t="s">
        <v>138</v>
      </c>
      <c r="AA625" s="683"/>
    </row>
    <row r="626" spans="1:27" ht="15">
      <c r="A626" s="581"/>
      <c r="B626" s="669"/>
      <c r="C626" s="524"/>
      <c r="D626" s="670"/>
      <c r="E626" s="473"/>
      <c r="F626" s="473"/>
      <c r="G626" s="473"/>
      <c r="H626" s="473"/>
      <c r="I626" s="473"/>
      <c r="J626" s="523"/>
      <c r="K626" s="590"/>
      <c r="L626" s="590"/>
      <c r="M626" s="589"/>
      <c r="N626" s="589"/>
      <c r="O626" s="590">
        <v>2</v>
      </c>
      <c r="P626" s="463" t="s">
        <v>5688</v>
      </c>
      <c r="Q626" s="461">
        <v>0</v>
      </c>
      <c r="R626" s="461"/>
      <c r="S626" s="461"/>
      <c r="T626" s="461"/>
      <c r="U626" s="461" t="s">
        <v>4125</v>
      </c>
      <c r="V626" s="461"/>
      <c r="W626" s="461"/>
      <c r="X626" s="860"/>
      <c r="Y626" s="668"/>
      <c r="Z626" s="861">
        <v>2</v>
      </c>
      <c r="AA626" s="683"/>
    </row>
    <row r="627" spans="1:27" ht="15">
      <c r="A627" s="580"/>
      <c r="B627" s="671"/>
      <c r="C627" s="463"/>
      <c r="D627" s="666"/>
      <c r="E627" s="461"/>
      <c r="F627" s="461"/>
      <c r="G627" s="461"/>
      <c r="H627" s="461"/>
      <c r="I627" s="461"/>
      <c r="J627" s="527"/>
      <c r="K627" s="624"/>
      <c r="L627" s="624"/>
      <c r="M627" s="667"/>
      <c r="N627" s="667"/>
      <c r="O627" s="590">
        <v>3</v>
      </c>
      <c r="P627" s="463" t="s">
        <v>5689</v>
      </c>
      <c r="Q627" s="461">
        <v>0</v>
      </c>
      <c r="R627" s="461"/>
      <c r="S627" s="461"/>
      <c r="T627" s="461"/>
      <c r="U627" s="461" t="s">
        <v>4125</v>
      </c>
      <c r="V627" s="461"/>
      <c r="W627" s="461"/>
      <c r="X627" s="860"/>
      <c r="Y627" s="668"/>
      <c r="Z627" s="861">
        <v>2</v>
      </c>
      <c r="AA627" s="683"/>
    </row>
    <row r="628" spans="1:27" ht="15">
      <c r="A628" s="672"/>
      <c r="B628" s="673"/>
      <c r="C628" s="479"/>
      <c r="D628" s="674"/>
      <c r="E628" s="176"/>
      <c r="F628" s="176"/>
      <c r="G628" s="176"/>
      <c r="H628" s="176"/>
      <c r="I628" s="176"/>
      <c r="J628" s="529"/>
      <c r="K628" s="588"/>
      <c r="L628" s="588"/>
      <c r="M628" s="634"/>
      <c r="N628" s="634"/>
      <c r="O628" s="473">
        <v>4</v>
      </c>
      <c r="P628" s="463" t="s">
        <v>5690</v>
      </c>
      <c r="Q628" s="461">
        <v>0</v>
      </c>
      <c r="R628" s="461"/>
      <c r="S628" s="461"/>
      <c r="T628" s="461"/>
      <c r="U628" s="461" t="s">
        <v>4125</v>
      </c>
      <c r="V628" s="461" t="s">
        <v>4125</v>
      </c>
      <c r="W628" s="461"/>
      <c r="X628" s="860"/>
      <c r="Y628" s="668"/>
      <c r="Z628" s="861">
        <v>2</v>
      </c>
      <c r="AA628" s="683"/>
    </row>
    <row r="629" spans="1:27" ht="15">
      <c r="A629" s="672"/>
      <c r="B629" s="673"/>
      <c r="C629" s="479"/>
      <c r="D629" s="674"/>
      <c r="E629" s="176"/>
      <c r="F629" s="176"/>
      <c r="G629" s="176"/>
      <c r="H629" s="176"/>
      <c r="I629" s="176"/>
      <c r="J629" s="529"/>
      <c r="K629" s="588"/>
      <c r="L629" s="588"/>
      <c r="M629" s="634"/>
      <c r="N629" s="634"/>
      <c r="O629" s="473">
        <v>5</v>
      </c>
      <c r="P629" s="463" t="s">
        <v>5691</v>
      </c>
      <c r="Q629" s="461">
        <v>0</v>
      </c>
      <c r="R629" s="461"/>
      <c r="S629" s="461"/>
      <c r="T629" s="461"/>
      <c r="U629" s="461" t="s">
        <v>4125</v>
      </c>
      <c r="V629" s="461"/>
      <c r="W629" s="461"/>
      <c r="X629" s="461"/>
      <c r="Y629" s="668"/>
      <c r="Z629" s="462" t="s">
        <v>138</v>
      </c>
      <c r="AA629" s="683"/>
    </row>
    <row r="630" spans="1:27" ht="15">
      <c r="A630" s="672"/>
      <c r="B630" s="673"/>
      <c r="C630" s="479"/>
      <c r="D630" s="674"/>
      <c r="E630" s="176"/>
      <c r="F630" s="176"/>
      <c r="G630" s="176"/>
      <c r="H630" s="176"/>
      <c r="I630" s="176"/>
      <c r="J630" s="529"/>
      <c r="K630" s="588"/>
      <c r="L630" s="588"/>
      <c r="M630" s="634"/>
      <c r="N630" s="634"/>
      <c r="O630" s="473">
        <v>6</v>
      </c>
      <c r="P630" s="463" t="s">
        <v>5692</v>
      </c>
      <c r="Q630" s="461">
        <v>0</v>
      </c>
      <c r="R630" s="461"/>
      <c r="S630" s="461"/>
      <c r="T630" s="461"/>
      <c r="U630" s="461" t="s">
        <v>4125</v>
      </c>
      <c r="V630" s="461"/>
      <c r="W630" s="461"/>
      <c r="X630" s="461"/>
      <c r="Y630" s="668"/>
      <c r="Z630" s="462" t="s">
        <v>138</v>
      </c>
      <c r="AA630" s="683"/>
    </row>
    <row r="631" spans="1:27" ht="15">
      <c r="A631" s="580"/>
      <c r="B631" s="671"/>
      <c r="C631" s="463"/>
      <c r="D631" s="666"/>
      <c r="E631" s="461"/>
      <c r="F631" s="461"/>
      <c r="G631" s="461"/>
      <c r="H631" s="461"/>
      <c r="I631" s="461"/>
      <c r="J631" s="527"/>
      <c r="K631" s="624"/>
      <c r="L631" s="624"/>
      <c r="M631" s="667"/>
      <c r="N631" s="667"/>
      <c r="O631" s="461">
        <v>7</v>
      </c>
      <c r="P631" s="463" t="s">
        <v>5693</v>
      </c>
      <c r="Q631" s="461">
        <v>0</v>
      </c>
      <c r="R631" s="585"/>
      <c r="S631" s="860"/>
      <c r="T631" s="586"/>
      <c r="U631" s="860" t="s">
        <v>4125</v>
      </c>
      <c r="V631" s="587"/>
      <c r="W631" s="586"/>
      <c r="X631" s="461"/>
      <c r="Y631" s="668"/>
      <c r="Z631" s="861">
        <v>2</v>
      </c>
      <c r="AA631" s="683"/>
    </row>
    <row r="632" spans="1:27" ht="15">
      <c r="A632" s="644"/>
      <c r="B632" s="645"/>
      <c r="C632" s="491"/>
      <c r="D632" s="345"/>
      <c r="E632" s="405"/>
      <c r="F632" s="405"/>
      <c r="G632" s="405"/>
      <c r="H632" s="405"/>
      <c r="I632" s="405"/>
      <c r="J632" s="646"/>
      <c r="K632" s="492"/>
      <c r="L632" s="492"/>
      <c r="M632" s="520"/>
      <c r="N632" s="520"/>
      <c r="O632" s="405"/>
      <c r="P632" s="491"/>
      <c r="Q632" s="496"/>
      <c r="R632" s="647"/>
      <c r="S632" s="496"/>
      <c r="T632" s="648"/>
      <c r="U632" s="496"/>
      <c r="V632" s="649"/>
      <c r="W632" s="648"/>
      <c r="X632" s="496"/>
      <c r="Y632" s="650"/>
      <c r="Z632" s="497"/>
      <c r="AA632" s="683"/>
    </row>
    <row r="633" spans="1:27" s="154" customFormat="1" ht="14.25">
      <c r="A633" s="663" t="s">
        <v>5694</v>
      </c>
      <c r="B633" s="579" t="s">
        <v>809</v>
      </c>
      <c r="C633" s="482" t="s">
        <v>5695</v>
      </c>
      <c r="D633" s="664" t="s">
        <v>5035</v>
      </c>
      <c r="E633" s="471"/>
      <c r="F633" s="471"/>
      <c r="G633" s="471"/>
      <c r="H633" s="471"/>
      <c r="I633" s="471"/>
      <c r="J633" s="779" t="s">
        <v>857</v>
      </c>
      <c r="K633" s="779"/>
      <c r="L633" s="779" t="s">
        <v>4125</v>
      </c>
      <c r="M633" s="778" t="s">
        <v>5677</v>
      </c>
      <c r="N633" s="779" t="s">
        <v>5677</v>
      </c>
      <c r="O633" s="779"/>
      <c r="P633" s="482"/>
      <c r="Q633" s="483"/>
      <c r="R633" s="482"/>
      <c r="S633" s="483"/>
      <c r="T633" s="483"/>
      <c r="U633" s="483"/>
      <c r="V633" s="484"/>
      <c r="W633" s="484"/>
      <c r="X633" s="484"/>
      <c r="Y633" s="793"/>
      <c r="Z633" s="484">
        <v>1</v>
      </c>
      <c r="AA633" s="679"/>
    </row>
    <row r="634" spans="1:27" ht="15">
      <c r="A634" s="580"/>
      <c r="B634" s="665"/>
      <c r="C634" s="472"/>
      <c r="D634" s="666"/>
      <c r="E634" s="461"/>
      <c r="F634" s="461"/>
      <c r="G634" s="461"/>
      <c r="H634" s="461"/>
      <c r="I634" s="461"/>
      <c r="J634" s="527"/>
      <c r="K634" s="624"/>
      <c r="L634" s="624"/>
      <c r="M634" s="667"/>
      <c r="N634" s="667"/>
      <c r="O634" s="624">
        <v>1</v>
      </c>
      <c r="P634" s="463" t="s">
        <v>5696</v>
      </c>
      <c r="Q634" s="461">
        <v>0</v>
      </c>
      <c r="R634" s="461"/>
      <c r="S634" s="461"/>
      <c r="T634" s="461"/>
      <c r="U634" s="461" t="s">
        <v>4125</v>
      </c>
      <c r="V634" s="461"/>
      <c r="W634" s="461"/>
      <c r="X634" s="461"/>
      <c r="Y634" s="668"/>
      <c r="Z634" s="462" t="s">
        <v>138</v>
      </c>
    </row>
    <row r="635" spans="1:27" ht="15">
      <c r="A635" s="581"/>
      <c r="B635" s="669"/>
      <c r="C635" s="524"/>
      <c r="D635" s="670"/>
      <c r="E635" s="473"/>
      <c r="F635" s="473"/>
      <c r="G635" s="473"/>
      <c r="H635" s="473"/>
      <c r="I635" s="473"/>
      <c r="J635" s="523"/>
      <c r="K635" s="590"/>
      <c r="L635" s="590"/>
      <c r="M635" s="589"/>
      <c r="N635" s="589"/>
      <c r="O635" s="590">
        <v>2</v>
      </c>
      <c r="P635" s="463" t="s">
        <v>5697</v>
      </c>
      <c r="Q635" s="461">
        <v>0</v>
      </c>
      <c r="R635" s="461"/>
      <c r="S635" s="461"/>
      <c r="T635" s="461"/>
      <c r="U635" s="461" t="s">
        <v>4125</v>
      </c>
      <c r="V635" s="461"/>
      <c r="W635" s="461"/>
      <c r="X635" s="860"/>
      <c r="Y635" s="668"/>
      <c r="Z635" s="861">
        <v>2</v>
      </c>
    </row>
    <row r="636" spans="1:27" ht="15">
      <c r="A636" s="580"/>
      <c r="B636" s="671"/>
      <c r="C636" s="463"/>
      <c r="D636" s="666"/>
      <c r="E636" s="461"/>
      <c r="F636" s="461"/>
      <c r="G636" s="461"/>
      <c r="H636" s="461"/>
      <c r="I636" s="461"/>
      <c r="J636" s="527"/>
      <c r="K636" s="624"/>
      <c r="L636" s="624"/>
      <c r="M636" s="667"/>
      <c r="N636" s="667"/>
      <c r="O636" s="590">
        <v>3</v>
      </c>
      <c r="P636" s="463" t="s">
        <v>5698</v>
      </c>
      <c r="Q636" s="461">
        <v>0</v>
      </c>
      <c r="R636" s="461"/>
      <c r="S636" s="461"/>
      <c r="T636" s="461"/>
      <c r="U636" s="461" t="s">
        <v>4125</v>
      </c>
      <c r="V636" s="461"/>
      <c r="W636" s="461"/>
      <c r="X636" s="860"/>
      <c r="Y636" s="668"/>
      <c r="Z636" s="861">
        <v>2</v>
      </c>
    </row>
    <row r="637" spans="1:27" ht="15">
      <c r="A637" s="672"/>
      <c r="B637" s="673"/>
      <c r="C637" s="479"/>
      <c r="D637" s="674"/>
      <c r="E637" s="176"/>
      <c r="F637" s="176"/>
      <c r="G637" s="176"/>
      <c r="H637" s="176"/>
      <c r="I637" s="176"/>
      <c r="J637" s="529"/>
      <c r="K637" s="588"/>
      <c r="L637" s="588"/>
      <c r="M637" s="634"/>
      <c r="N637" s="634"/>
      <c r="O637" s="473">
        <v>4</v>
      </c>
      <c r="P637" s="463" t="s">
        <v>5699</v>
      </c>
      <c r="Q637" s="461">
        <v>0</v>
      </c>
      <c r="R637" s="461"/>
      <c r="S637" s="461"/>
      <c r="T637" s="461"/>
      <c r="U637" s="461" t="s">
        <v>4125</v>
      </c>
      <c r="V637" s="461" t="s">
        <v>4125</v>
      </c>
      <c r="W637" s="461"/>
      <c r="X637" s="860"/>
      <c r="Y637" s="668"/>
      <c r="Z637" s="861">
        <v>2</v>
      </c>
    </row>
    <row r="638" spans="1:27" ht="15">
      <c r="A638" s="672"/>
      <c r="B638" s="673"/>
      <c r="C638" s="479"/>
      <c r="D638" s="674"/>
      <c r="E638" s="176"/>
      <c r="F638" s="176"/>
      <c r="G638" s="176"/>
      <c r="H638" s="176"/>
      <c r="I638" s="176"/>
      <c r="J638" s="529"/>
      <c r="K638" s="588"/>
      <c r="L638" s="588"/>
      <c r="M638" s="634"/>
      <c r="N638" s="634"/>
      <c r="O638" s="473">
        <v>5</v>
      </c>
      <c r="P638" s="463" t="s">
        <v>5700</v>
      </c>
      <c r="Q638" s="461">
        <v>0</v>
      </c>
      <c r="R638" s="461"/>
      <c r="S638" s="461"/>
      <c r="T638" s="461"/>
      <c r="U638" s="461" t="s">
        <v>4125</v>
      </c>
      <c r="V638" s="461"/>
      <c r="W638" s="461"/>
      <c r="X638" s="461"/>
      <c r="Y638" s="668"/>
      <c r="Z638" s="462" t="s">
        <v>138</v>
      </c>
    </row>
    <row r="639" spans="1:27" ht="15">
      <c r="A639" s="672"/>
      <c r="B639" s="673"/>
      <c r="C639" s="479"/>
      <c r="D639" s="674"/>
      <c r="E639" s="176"/>
      <c r="F639" s="176"/>
      <c r="G639" s="176"/>
      <c r="H639" s="176"/>
      <c r="I639" s="176"/>
      <c r="J639" s="529"/>
      <c r="K639" s="588"/>
      <c r="L639" s="588"/>
      <c r="M639" s="634"/>
      <c r="N639" s="634"/>
      <c r="O639" s="473">
        <v>6</v>
      </c>
      <c r="P639" s="463" t="s">
        <v>5701</v>
      </c>
      <c r="Q639" s="461">
        <v>0</v>
      </c>
      <c r="R639" s="461"/>
      <c r="S639" s="461"/>
      <c r="T639" s="461"/>
      <c r="U639" s="461" t="s">
        <v>4125</v>
      </c>
      <c r="V639" s="461"/>
      <c r="W639" s="461"/>
      <c r="X639" s="461"/>
      <c r="Y639" s="668"/>
      <c r="Z639" s="462" t="s">
        <v>138</v>
      </c>
    </row>
    <row r="640" spans="1:27" ht="15">
      <c r="A640" s="580"/>
      <c r="B640" s="671"/>
      <c r="C640" s="463"/>
      <c r="D640" s="666"/>
      <c r="E640" s="461"/>
      <c r="F640" s="461"/>
      <c r="G640" s="461"/>
      <c r="H640" s="461"/>
      <c r="I640" s="461"/>
      <c r="J640" s="527"/>
      <c r="K640" s="624"/>
      <c r="L640" s="624"/>
      <c r="M640" s="667"/>
      <c r="N640" s="667"/>
      <c r="O640" s="461">
        <v>7</v>
      </c>
      <c r="P640" s="463" t="s">
        <v>5702</v>
      </c>
      <c r="Q640" s="461">
        <v>0</v>
      </c>
      <c r="R640" s="585"/>
      <c r="S640" s="860"/>
      <c r="T640" s="586"/>
      <c r="U640" s="860" t="s">
        <v>4125</v>
      </c>
      <c r="V640" s="587"/>
      <c r="W640" s="586"/>
      <c r="X640" s="461"/>
      <c r="Y640" s="668"/>
      <c r="Z640" s="861">
        <v>2</v>
      </c>
    </row>
    <row r="641" spans="1:27" ht="15">
      <c r="A641" s="644"/>
      <c r="B641" s="645"/>
      <c r="C641" s="491"/>
      <c r="D641" s="345"/>
      <c r="E641" s="405"/>
      <c r="F641" s="405"/>
      <c r="G641" s="405"/>
      <c r="H641" s="405"/>
      <c r="I641" s="405"/>
      <c r="J641" s="646"/>
      <c r="K641" s="492"/>
      <c r="L641" s="492"/>
      <c r="M641" s="520"/>
      <c r="N641" s="520"/>
      <c r="O641" s="405"/>
      <c r="P641" s="491"/>
      <c r="Q641" s="496"/>
      <c r="R641" s="647"/>
      <c r="S641" s="496"/>
      <c r="T641" s="648"/>
      <c r="U641" s="496"/>
      <c r="V641" s="649"/>
      <c r="W641" s="648"/>
      <c r="X641" s="496"/>
      <c r="Y641" s="650"/>
      <c r="Z641" s="497"/>
    </row>
    <row r="642" spans="1:27" s="154" customFormat="1" ht="14.25">
      <c r="A642" s="315" t="s">
        <v>5703</v>
      </c>
      <c r="B642" s="394" t="s">
        <v>500</v>
      </c>
      <c r="C642" s="330" t="s">
        <v>5704</v>
      </c>
      <c r="D642" s="459" t="s">
        <v>4978</v>
      </c>
      <c r="E642" s="341">
        <v>0</v>
      </c>
      <c r="F642" s="341">
        <v>100</v>
      </c>
      <c r="G642" s="341" t="s">
        <v>41</v>
      </c>
      <c r="H642" s="341">
        <v>40</v>
      </c>
      <c r="I642" s="341">
        <v>100</v>
      </c>
      <c r="J642" s="483">
        <v>9.83</v>
      </c>
      <c r="K642" s="342" t="s">
        <v>4125</v>
      </c>
      <c r="L642" s="342"/>
      <c r="M642" s="460" t="s">
        <v>4979</v>
      </c>
      <c r="N642" s="460" t="s">
        <v>4980</v>
      </c>
      <c r="O642" s="342"/>
      <c r="P642" s="330"/>
      <c r="Q642" s="341"/>
      <c r="R642" s="472"/>
      <c r="S642" s="473"/>
      <c r="T642" s="473"/>
      <c r="U642" s="473"/>
      <c r="V642" s="474"/>
      <c r="W642" s="474"/>
      <c r="X642" s="474"/>
      <c r="Y642" s="481"/>
      <c r="Z642" s="315"/>
      <c r="AA642" s="141"/>
    </row>
    <row r="643" spans="1:27" ht="15">
      <c r="A643" s="514"/>
      <c r="B643" s="507"/>
      <c r="C643" s="330"/>
      <c r="D643" s="459"/>
      <c r="E643" s="341"/>
      <c r="F643" s="341"/>
      <c r="G643" s="341"/>
      <c r="H643" s="341"/>
      <c r="I643" s="341"/>
      <c r="J643" s="523"/>
      <c r="K643" s="590"/>
      <c r="L643" s="590"/>
      <c r="M643" s="589"/>
      <c r="N643" s="589"/>
      <c r="O643" s="590">
        <v>1</v>
      </c>
      <c r="P643" s="472" t="s">
        <v>5705</v>
      </c>
      <c r="Q643" s="473">
        <v>0</v>
      </c>
      <c r="R643" s="461"/>
      <c r="S643" s="461"/>
      <c r="T643" s="461"/>
      <c r="U643" s="461" t="s">
        <v>4125</v>
      </c>
      <c r="V643" s="461"/>
      <c r="W643" s="461"/>
      <c r="X643" s="461"/>
      <c r="Y643" s="668"/>
      <c r="Z643" s="462" t="s">
        <v>138</v>
      </c>
      <c r="AA643" s="684"/>
    </row>
    <row r="644" spans="1:27" ht="15">
      <c r="A644" s="457"/>
      <c r="B644" s="458"/>
      <c r="C644" s="524"/>
      <c r="D644" s="459"/>
      <c r="E644" s="341"/>
      <c r="F644" s="341"/>
      <c r="G644" s="341"/>
      <c r="H644" s="341"/>
      <c r="I644" s="341"/>
      <c r="J644" s="523"/>
      <c r="K644" s="342"/>
      <c r="L644" s="342"/>
      <c r="M644" s="460"/>
      <c r="N644" s="460"/>
      <c r="O644" s="342">
        <v>2</v>
      </c>
      <c r="P644" s="336" t="s">
        <v>5706</v>
      </c>
      <c r="Q644" s="461">
        <v>0</v>
      </c>
      <c r="R644" s="461"/>
      <c r="S644" s="461"/>
      <c r="T644" s="461"/>
      <c r="U644" s="461" t="s">
        <v>4125</v>
      </c>
      <c r="V644" s="461"/>
      <c r="W644" s="461"/>
      <c r="X644" s="860"/>
      <c r="Y644" s="584"/>
      <c r="Z644" s="861">
        <v>2</v>
      </c>
    </row>
    <row r="645" spans="1:27" ht="15">
      <c r="A645" s="514"/>
      <c r="B645" s="515"/>
      <c r="C645" s="336"/>
      <c r="D645" s="331"/>
      <c r="E645" s="332"/>
      <c r="F645" s="332"/>
      <c r="G645" s="332"/>
      <c r="H645" s="332"/>
      <c r="I645" s="332"/>
      <c r="J645" s="527"/>
      <c r="K645" s="333"/>
      <c r="L645" s="333"/>
      <c r="M645" s="509"/>
      <c r="N645" s="509"/>
      <c r="O645" s="342">
        <v>3</v>
      </c>
      <c r="P645" s="336" t="s">
        <v>5707</v>
      </c>
      <c r="Q645" s="461">
        <v>0</v>
      </c>
      <c r="R645" s="461"/>
      <c r="S645" s="461"/>
      <c r="T645" s="461"/>
      <c r="U645" s="461" t="s">
        <v>4125</v>
      </c>
      <c r="V645" s="461"/>
      <c r="W645" s="461"/>
      <c r="X645" s="860"/>
      <c r="Y645" s="584"/>
      <c r="Z645" s="861">
        <v>2</v>
      </c>
    </row>
    <row r="646" spans="1:27" ht="15">
      <c r="A646" s="514"/>
      <c r="B646" s="515"/>
      <c r="C646" s="336"/>
      <c r="D646" s="331"/>
      <c r="E646" s="332"/>
      <c r="F646" s="332"/>
      <c r="G646" s="332"/>
      <c r="H646" s="332"/>
      <c r="I646" s="332"/>
      <c r="J646" s="527"/>
      <c r="K646" s="333"/>
      <c r="L646" s="333"/>
      <c r="M646" s="509"/>
      <c r="N646" s="509"/>
      <c r="O646" s="341">
        <v>4</v>
      </c>
      <c r="P646" s="336" t="s">
        <v>5708</v>
      </c>
      <c r="Q646" s="461">
        <v>0</v>
      </c>
      <c r="R646" s="461"/>
      <c r="S646" s="461"/>
      <c r="T646" s="461"/>
      <c r="U646" s="461" t="s">
        <v>4125</v>
      </c>
      <c r="V646" s="461" t="s">
        <v>4125</v>
      </c>
      <c r="W646" s="461"/>
      <c r="X646" s="860"/>
      <c r="Y646" s="584"/>
      <c r="Z646" s="861">
        <v>2</v>
      </c>
    </row>
    <row r="647" spans="1:27" ht="15">
      <c r="A647" s="514"/>
      <c r="B647" s="515"/>
      <c r="C647" s="336"/>
      <c r="D647" s="331"/>
      <c r="E647" s="332"/>
      <c r="F647" s="332"/>
      <c r="G647" s="332"/>
      <c r="H647" s="332"/>
      <c r="I647" s="332"/>
      <c r="J647" s="527"/>
      <c r="K647" s="624"/>
      <c r="L647" s="624"/>
      <c r="M647" s="667"/>
      <c r="N647" s="667"/>
      <c r="O647" s="473">
        <v>5</v>
      </c>
      <c r="P647" s="463" t="s">
        <v>5709</v>
      </c>
      <c r="Q647" s="461">
        <v>0</v>
      </c>
      <c r="R647" s="461"/>
      <c r="S647" s="461"/>
      <c r="T647" s="461"/>
      <c r="U647" s="461" t="s">
        <v>4125</v>
      </c>
      <c r="V647" s="461"/>
      <c r="W647" s="461"/>
      <c r="X647" s="461"/>
      <c r="Y647" s="668"/>
      <c r="Z647" s="462" t="s">
        <v>138</v>
      </c>
    </row>
    <row r="648" spans="1:27" ht="15">
      <c r="A648" s="514"/>
      <c r="B648" s="515"/>
      <c r="C648" s="336"/>
      <c r="D648" s="331"/>
      <c r="E648" s="332"/>
      <c r="F648" s="332"/>
      <c r="G648" s="332"/>
      <c r="H648" s="332"/>
      <c r="I648" s="332"/>
      <c r="J648" s="527"/>
      <c r="K648" s="624"/>
      <c r="L648" s="624"/>
      <c r="M648" s="667"/>
      <c r="N648" s="667"/>
      <c r="O648" s="473">
        <v>6</v>
      </c>
      <c r="P648" s="463" t="s">
        <v>5710</v>
      </c>
      <c r="Q648" s="461">
        <v>0</v>
      </c>
      <c r="R648" s="461"/>
      <c r="S648" s="461"/>
      <c r="T648" s="461"/>
      <c r="U648" s="461" t="s">
        <v>4125</v>
      </c>
      <c r="V648" s="461"/>
      <c r="W648" s="461"/>
      <c r="X648" s="461"/>
      <c r="Y648" s="668"/>
      <c r="Z648" s="462" t="s">
        <v>138</v>
      </c>
    </row>
    <row r="649" spans="1:27" ht="15">
      <c r="A649" s="514"/>
      <c r="B649" s="515"/>
      <c r="C649" s="336"/>
      <c r="D649" s="331"/>
      <c r="E649" s="332"/>
      <c r="F649" s="332"/>
      <c r="G649" s="332"/>
      <c r="H649" s="332"/>
      <c r="I649" s="332"/>
      <c r="J649" s="527"/>
      <c r="K649" s="333"/>
      <c r="L649" s="333"/>
      <c r="M649" s="509"/>
      <c r="N649" s="509"/>
      <c r="O649" s="341">
        <v>7</v>
      </c>
      <c r="P649" s="336" t="s">
        <v>5711</v>
      </c>
      <c r="Q649" s="461">
        <v>0</v>
      </c>
      <c r="R649" s="585"/>
      <c r="S649" s="860"/>
      <c r="T649" s="586"/>
      <c r="U649" s="860" t="s">
        <v>4125</v>
      </c>
      <c r="V649" s="587"/>
      <c r="W649" s="586"/>
      <c r="X649" s="461"/>
      <c r="Y649" s="584"/>
      <c r="Z649" s="861">
        <v>2</v>
      </c>
    </row>
    <row r="650" spans="1:27" ht="14.25">
      <c r="A650" s="514"/>
      <c r="B650" s="515"/>
      <c r="C650" s="336"/>
      <c r="D650" s="331"/>
      <c r="E650" s="332"/>
      <c r="F650" s="332"/>
      <c r="G650" s="332"/>
      <c r="H650" s="332"/>
      <c r="I650" s="332"/>
      <c r="J650" s="527"/>
      <c r="K650" s="624"/>
      <c r="L650" s="624"/>
      <c r="M650" s="667"/>
      <c r="N650" s="667"/>
      <c r="O650" s="461">
        <v>8</v>
      </c>
      <c r="P650" s="463" t="s">
        <v>5712</v>
      </c>
      <c r="Q650" s="868">
        <v>3</v>
      </c>
      <c r="R650" s="176"/>
      <c r="S650" s="176"/>
      <c r="T650" s="176" t="s">
        <v>4125</v>
      </c>
      <c r="U650" s="176"/>
      <c r="V650" s="176"/>
      <c r="W650" s="176" t="s">
        <v>4125</v>
      </c>
      <c r="X650" s="480"/>
      <c r="Y650" s="526" t="s">
        <v>5585</v>
      </c>
      <c r="Z650" s="867">
        <v>2</v>
      </c>
    </row>
    <row r="651" spans="1:27" ht="14.25">
      <c r="A651" s="516"/>
      <c r="B651" s="528"/>
      <c r="C651" s="465"/>
      <c r="D651" s="340"/>
      <c r="E651" s="466"/>
      <c r="F651" s="466"/>
      <c r="G651" s="466"/>
      <c r="H651" s="466"/>
      <c r="I651" s="466"/>
      <c r="J651" s="529"/>
      <c r="K651" s="467"/>
      <c r="L651" s="467"/>
      <c r="M651" s="506"/>
      <c r="N651" s="506"/>
      <c r="O651" s="176">
        <v>9</v>
      </c>
      <c r="P651" s="479" t="s">
        <v>5713</v>
      </c>
      <c r="Q651" s="868">
        <v>3</v>
      </c>
      <c r="R651" s="176"/>
      <c r="S651" s="176"/>
      <c r="T651" s="176" t="s">
        <v>4125</v>
      </c>
      <c r="U651" s="176"/>
      <c r="V651" s="176"/>
      <c r="W651" s="868" t="s">
        <v>4125</v>
      </c>
      <c r="X651" s="480"/>
      <c r="Y651" s="526" t="s">
        <v>5714</v>
      </c>
      <c r="Z651" s="867">
        <v>2</v>
      </c>
    </row>
    <row r="652" spans="1:27" ht="14.25">
      <c r="A652" s="516"/>
      <c r="B652" s="528"/>
      <c r="C652" s="465"/>
      <c r="D652" s="340"/>
      <c r="E652" s="466"/>
      <c r="F652" s="466"/>
      <c r="G652" s="466"/>
      <c r="H652" s="466"/>
      <c r="I652" s="466"/>
      <c r="J652" s="529"/>
      <c r="K652" s="588"/>
      <c r="L652" s="588"/>
      <c r="M652" s="634"/>
      <c r="N652" s="634"/>
      <c r="O652" s="176">
        <v>10</v>
      </c>
      <c r="P652" s="479" t="s">
        <v>5715</v>
      </c>
      <c r="Q652" s="868">
        <v>3</v>
      </c>
      <c r="R652" s="176"/>
      <c r="S652" s="176"/>
      <c r="T652" s="176" t="s">
        <v>4125</v>
      </c>
      <c r="U652" s="176"/>
      <c r="V652" s="176"/>
      <c r="W652" s="176" t="s">
        <v>4125</v>
      </c>
      <c r="X652" s="480"/>
      <c r="Y652" s="526" t="s">
        <v>5716</v>
      </c>
      <c r="Z652" s="867">
        <v>2</v>
      </c>
    </row>
    <row r="653" spans="1:27" s="154" customFormat="1" ht="14.25">
      <c r="A653" s="339"/>
      <c r="B653" s="464"/>
      <c r="C653" s="465"/>
      <c r="D653" s="340"/>
      <c r="E653" s="466"/>
      <c r="F653" s="466"/>
      <c r="G653" s="466"/>
      <c r="H653" s="466"/>
      <c r="I653" s="466"/>
      <c r="J653" s="466"/>
      <c r="K653" s="467"/>
      <c r="L653" s="467"/>
      <c r="M653" s="493"/>
      <c r="N653" s="494"/>
      <c r="O653" s="467"/>
      <c r="P653" s="465"/>
      <c r="Q653" s="466"/>
      <c r="R653" s="479"/>
      <c r="S653" s="176"/>
      <c r="T653" s="176"/>
      <c r="U653" s="176"/>
      <c r="V653" s="480"/>
      <c r="W653" s="480"/>
      <c r="X653" s="480"/>
      <c r="Y653" s="488"/>
      <c r="Z653" s="470"/>
      <c r="AA653" s="141"/>
    </row>
    <row r="654" spans="1:27" s="154" customFormat="1" ht="42.75">
      <c r="A654" s="511" t="s">
        <v>5717</v>
      </c>
      <c r="B654" s="310" t="s">
        <v>538</v>
      </c>
      <c r="C654" s="327" t="s">
        <v>5718</v>
      </c>
      <c r="D654" s="456" t="s">
        <v>5023</v>
      </c>
      <c r="E654" s="471"/>
      <c r="F654" s="471"/>
      <c r="G654" s="471"/>
      <c r="H654" s="471"/>
      <c r="I654" s="471"/>
      <c r="J654" s="483">
        <v>4.2699999999999996</v>
      </c>
      <c r="K654" s="779" t="s">
        <v>4125</v>
      </c>
      <c r="L654" s="800"/>
      <c r="M654" s="589" t="s">
        <v>4979</v>
      </c>
      <c r="N654" s="589" t="s">
        <v>4980</v>
      </c>
      <c r="O654" s="779"/>
      <c r="P654" s="482"/>
      <c r="Q654" s="483"/>
      <c r="R654" s="482"/>
      <c r="S654" s="483"/>
      <c r="T654" s="483"/>
      <c r="U654" s="483"/>
      <c r="V654" s="484"/>
      <c r="W654" s="484"/>
      <c r="X654" s="484"/>
      <c r="Y654" s="793"/>
      <c r="Z654" s="484">
        <v>1</v>
      </c>
      <c r="AA654" s="141"/>
    </row>
    <row r="655" spans="1:27" ht="15">
      <c r="A655" s="514"/>
      <c r="B655" s="507"/>
      <c r="C655" s="330"/>
      <c r="D655" s="459"/>
      <c r="E655" s="341"/>
      <c r="F655" s="341"/>
      <c r="G655" s="341"/>
      <c r="H655" s="341"/>
      <c r="I655" s="341"/>
      <c r="J655" s="523"/>
      <c r="K655" s="590"/>
      <c r="L655" s="801"/>
      <c r="M655" s="667"/>
      <c r="N655" s="667"/>
      <c r="O655" s="461">
        <v>1</v>
      </c>
      <c r="P655" s="463" t="s">
        <v>5719</v>
      </c>
      <c r="Q655" s="461">
        <v>0</v>
      </c>
      <c r="R655" s="461"/>
      <c r="S655" s="461"/>
      <c r="T655" s="461"/>
      <c r="U655" s="461" t="s">
        <v>4125</v>
      </c>
      <c r="V655" s="461"/>
      <c r="W655" s="461"/>
      <c r="X655" s="461"/>
      <c r="Y655" s="668"/>
      <c r="Z655" s="462" t="s">
        <v>138</v>
      </c>
      <c r="AA655" s="684"/>
    </row>
    <row r="656" spans="1:27" ht="15">
      <c r="A656" s="457"/>
      <c r="B656" s="458"/>
      <c r="C656" s="524"/>
      <c r="D656" s="459"/>
      <c r="E656" s="341"/>
      <c r="F656" s="341"/>
      <c r="G656" s="341"/>
      <c r="H656" s="341"/>
      <c r="I656" s="341"/>
      <c r="J656" s="523"/>
      <c r="K656" s="342"/>
      <c r="L656" s="342"/>
      <c r="M656" s="460"/>
      <c r="N656" s="460"/>
      <c r="O656" s="341">
        <v>2</v>
      </c>
      <c r="P656" s="330" t="s">
        <v>5720</v>
      </c>
      <c r="Q656" s="473">
        <v>0</v>
      </c>
      <c r="R656" s="461"/>
      <c r="S656" s="461"/>
      <c r="T656" s="461"/>
      <c r="U656" s="461" t="s">
        <v>4125</v>
      </c>
      <c r="V656" s="461"/>
      <c r="W656" s="461"/>
      <c r="X656" s="860"/>
      <c r="Y656" s="651"/>
      <c r="Z656" s="861">
        <v>2</v>
      </c>
      <c r="AA656" s="684"/>
    </row>
    <row r="657" spans="1:27" ht="15">
      <c r="A657" s="514"/>
      <c r="B657" s="515"/>
      <c r="C657" s="336"/>
      <c r="D657" s="331"/>
      <c r="E657" s="332"/>
      <c r="F657" s="332"/>
      <c r="G657" s="332"/>
      <c r="H657" s="332"/>
      <c r="I657" s="332"/>
      <c r="J657" s="527"/>
      <c r="K657" s="333"/>
      <c r="L657" s="333"/>
      <c r="M657" s="509"/>
      <c r="N657" s="509"/>
      <c r="O657" s="341">
        <v>3</v>
      </c>
      <c r="P657" s="336" t="s">
        <v>5721</v>
      </c>
      <c r="Q657" s="461">
        <v>0</v>
      </c>
      <c r="R657" s="461"/>
      <c r="S657" s="461"/>
      <c r="T657" s="461"/>
      <c r="U657" s="461" t="s">
        <v>4125</v>
      </c>
      <c r="V657" s="461"/>
      <c r="W657" s="461"/>
      <c r="X657" s="860"/>
      <c r="Y657" s="584"/>
      <c r="Z657" s="861">
        <v>2</v>
      </c>
      <c r="AA657" s="684"/>
    </row>
    <row r="658" spans="1:27" ht="15">
      <c r="A658" s="516"/>
      <c r="B658" s="528"/>
      <c r="C658" s="465"/>
      <c r="D658" s="340"/>
      <c r="E658" s="466"/>
      <c r="F658" s="466"/>
      <c r="G658" s="466"/>
      <c r="H658" s="466"/>
      <c r="I658" s="466"/>
      <c r="J658" s="529"/>
      <c r="K658" s="467"/>
      <c r="L658" s="467"/>
      <c r="M658" s="506"/>
      <c r="N658" s="506"/>
      <c r="O658" s="341">
        <v>4</v>
      </c>
      <c r="P658" s="336" t="s">
        <v>5722</v>
      </c>
      <c r="Q658" s="461">
        <v>0</v>
      </c>
      <c r="R658" s="461"/>
      <c r="S658" s="461"/>
      <c r="T658" s="461"/>
      <c r="U658" s="461" t="s">
        <v>4125</v>
      </c>
      <c r="V658" s="461" t="s">
        <v>4125</v>
      </c>
      <c r="W658" s="461"/>
      <c r="X658" s="860"/>
      <c r="Y658" s="584"/>
      <c r="Z658" s="861">
        <v>2</v>
      </c>
      <c r="AA658" s="684"/>
    </row>
    <row r="659" spans="1:27" ht="15">
      <c r="A659" s="516"/>
      <c r="B659" s="528"/>
      <c r="C659" s="465"/>
      <c r="D659" s="340"/>
      <c r="E659" s="466"/>
      <c r="F659" s="466"/>
      <c r="G659" s="466"/>
      <c r="H659" s="466"/>
      <c r="I659" s="466"/>
      <c r="J659" s="529"/>
      <c r="K659" s="588"/>
      <c r="L659" s="588"/>
      <c r="M659" s="634"/>
      <c r="N659" s="634"/>
      <c r="O659" s="473">
        <v>5</v>
      </c>
      <c r="P659" s="463" t="s">
        <v>5723</v>
      </c>
      <c r="Q659" s="461">
        <v>0</v>
      </c>
      <c r="R659" s="461"/>
      <c r="S659" s="461"/>
      <c r="T659" s="461"/>
      <c r="U659" s="461" t="s">
        <v>4125</v>
      </c>
      <c r="V659" s="461"/>
      <c r="W659" s="461"/>
      <c r="X659" s="461"/>
      <c r="Y659" s="668"/>
      <c r="Z659" s="462" t="s">
        <v>138</v>
      </c>
      <c r="AA659" s="684"/>
    </row>
    <row r="660" spans="1:27" ht="15">
      <c r="A660" s="516"/>
      <c r="B660" s="528"/>
      <c r="C660" s="465"/>
      <c r="D660" s="340"/>
      <c r="E660" s="466"/>
      <c r="F660" s="466"/>
      <c r="G660" s="466"/>
      <c r="H660" s="466"/>
      <c r="I660" s="466"/>
      <c r="J660" s="529"/>
      <c r="K660" s="588"/>
      <c r="L660" s="588"/>
      <c r="M660" s="634"/>
      <c r="N660" s="634"/>
      <c r="O660" s="177">
        <v>6</v>
      </c>
      <c r="P660" s="479" t="s">
        <v>5724</v>
      </c>
      <c r="Q660" s="176">
        <v>0</v>
      </c>
      <c r="R660" s="461"/>
      <c r="S660" s="461"/>
      <c r="T660" s="461"/>
      <c r="U660" s="461" t="s">
        <v>4125</v>
      </c>
      <c r="V660" s="461"/>
      <c r="W660" s="461"/>
      <c r="X660" s="461"/>
      <c r="Y660" s="802"/>
      <c r="Z660" s="462" t="s">
        <v>138</v>
      </c>
      <c r="AA660" s="684"/>
    </row>
    <row r="661" spans="1:27" ht="15">
      <c r="A661" s="514"/>
      <c r="B661" s="515"/>
      <c r="C661" s="336"/>
      <c r="D661" s="331"/>
      <c r="E661" s="332"/>
      <c r="F661" s="332"/>
      <c r="G661" s="332"/>
      <c r="H661" s="332"/>
      <c r="I661" s="332"/>
      <c r="J661" s="527"/>
      <c r="K661" s="333"/>
      <c r="L661" s="333"/>
      <c r="M661" s="509"/>
      <c r="N661" s="509"/>
      <c r="O661" s="332">
        <v>7</v>
      </c>
      <c r="P661" s="336" t="s">
        <v>5725</v>
      </c>
      <c r="Q661" s="461">
        <v>0</v>
      </c>
      <c r="R661" s="585"/>
      <c r="S661" s="860"/>
      <c r="T661" s="586"/>
      <c r="U661" s="860" t="s">
        <v>4125</v>
      </c>
      <c r="V661" s="587"/>
      <c r="W661" s="586"/>
      <c r="X661" s="461"/>
      <c r="Y661" s="584"/>
      <c r="Z661" s="861">
        <v>2</v>
      </c>
      <c r="AA661" s="684"/>
    </row>
    <row r="662" spans="1:27" s="154" customFormat="1" ht="14.25">
      <c r="A662" s="525"/>
      <c r="B662" s="490"/>
      <c r="C662" s="491"/>
      <c r="D662" s="345"/>
      <c r="E662" s="405"/>
      <c r="F662" s="405"/>
      <c r="G662" s="405"/>
      <c r="H662" s="405"/>
      <c r="I662" s="405"/>
      <c r="J662" s="405"/>
      <c r="K662" s="492"/>
      <c r="L662" s="492"/>
      <c r="M662" s="493"/>
      <c r="N662" s="494"/>
      <c r="O662" s="492"/>
      <c r="P662" s="491"/>
      <c r="Q662" s="405"/>
      <c r="R662" s="495"/>
      <c r="S662" s="496"/>
      <c r="T662" s="496"/>
      <c r="U662" s="496"/>
      <c r="V662" s="497"/>
      <c r="W662" s="497"/>
      <c r="X662" s="497"/>
      <c r="Y662" s="498"/>
      <c r="Z662" s="308"/>
      <c r="AA662" s="141"/>
    </row>
    <row r="663" spans="1:27" s="154" customFormat="1" ht="28.5">
      <c r="A663" s="517" t="s">
        <v>5726</v>
      </c>
      <c r="B663" s="394" t="s">
        <v>538</v>
      </c>
      <c r="C663" s="330" t="s">
        <v>5727</v>
      </c>
      <c r="D663" s="459" t="s">
        <v>4978</v>
      </c>
      <c r="E663" s="341">
        <v>0</v>
      </c>
      <c r="F663" s="341">
        <v>100</v>
      </c>
      <c r="G663" s="341" t="s">
        <v>41</v>
      </c>
      <c r="H663" s="341">
        <v>40</v>
      </c>
      <c r="I663" s="341">
        <v>100</v>
      </c>
      <c r="J663" s="473">
        <v>165</v>
      </c>
      <c r="K663" s="590" t="s">
        <v>4125</v>
      </c>
      <c r="L663" s="590" t="s">
        <v>4125</v>
      </c>
      <c r="M663" s="589" t="s">
        <v>4979</v>
      </c>
      <c r="N663" s="589" t="s">
        <v>4980</v>
      </c>
      <c r="O663" s="590"/>
      <c r="P663" s="472"/>
      <c r="Q663" s="473"/>
      <c r="R663" s="472"/>
      <c r="S663" s="473"/>
      <c r="T663" s="473"/>
      <c r="U663" s="473"/>
      <c r="V663" s="474"/>
      <c r="W663" s="474"/>
      <c r="X663" s="474"/>
      <c r="Y663" s="691"/>
      <c r="Z663" s="474">
        <v>1</v>
      </c>
      <c r="AA663" s="684"/>
    </row>
    <row r="664" spans="1:27" ht="15">
      <c r="A664" s="514"/>
      <c r="B664" s="507"/>
      <c r="C664" s="330"/>
      <c r="D664" s="459"/>
      <c r="E664" s="341"/>
      <c r="F664" s="341"/>
      <c r="G664" s="341"/>
      <c r="H664" s="341"/>
      <c r="I664" s="341"/>
      <c r="J664" s="523"/>
      <c r="K664" s="590"/>
      <c r="L664" s="590"/>
      <c r="M664" s="589" t="s">
        <v>4281</v>
      </c>
      <c r="N664" s="589" t="s">
        <v>4282</v>
      </c>
      <c r="O664" s="590">
        <v>1</v>
      </c>
      <c r="P664" s="472" t="s">
        <v>5728</v>
      </c>
      <c r="Q664" s="473">
        <v>0</v>
      </c>
      <c r="R664" s="461"/>
      <c r="S664" s="461"/>
      <c r="T664" s="461"/>
      <c r="U664" s="461" t="s">
        <v>4125</v>
      </c>
      <c r="V664" s="461"/>
      <c r="W664" s="461"/>
      <c r="X664" s="461"/>
      <c r="Y664" s="668"/>
      <c r="Z664" s="462" t="s">
        <v>138</v>
      </c>
      <c r="AA664" s="684"/>
    </row>
    <row r="665" spans="1:27" ht="15">
      <c r="A665" s="457"/>
      <c r="B665" s="458"/>
      <c r="C665" s="524"/>
      <c r="D665" s="459"/>
      <c r="E665" s="341"/>
      <c r="F665" s="341"/>
      <c r="G665" s="341"/>
      <c r="H665" s="341"/>
      <c r="I665" s="341"/>
      <c r="J665" s="523"/>
      <c r="K665" s="342"/>
      <c r="L665" s="342"/>
      <c r="M665" s="460"/>
      <c r="N665" s="460"/>
      <c r="O665" s="342">
        <v>2</v>
      </c>
      <c r="P665" s="336" t="s">
        <v>5729</v>
      </c>
      <c r="Q665" s="461">
        <v>0</v>
      </c>
      <c r="R665" s="461"/>
      <c r="S665" s="461"/>
      <c r="T665" s="461"/>
      <c r="U665" s="461" t="s">
        <v>4125</v>
      </c>
      <c r="V665" s="461"/>
      <c r="W665" s="461"/>
      <c r="X665" s="860"/>
      <c r="Y665" s="584"/>
      <c r="Z665" s="861">
        <v>2</v>
      </c>
      <c r="AA665" s="684"/>
    </row>
    <row r="666" spans="1:27" ht="15">
      <c r="A666" s="514"/>
      <c r="B666" s="515"/>
      <c r="C666" s="336"/>
      <c r="D666" s="331"/>
      <c r="E666" s="332"/>
      <c r="F666" s="332"/>
      <c r="G666" s="332"/>
      <c r="H666" s="332"/>
      <c r="I666" s="332"/>
      <c r="J666" s="527"/>
      <c r="K666" s="333"/>
      <c r="L666" s="333"/>
      <c r="M666" s="509"/>
      <c r="N666" s="509"/>
      <c r="O666" s="342">
        <v>3</v>
      </c>
      <c r="P666" s="336" t="s">
        <v>5730</v>
      </c>
      <c r="Q666" s="461">
        <v>0</v>
      </c>
      <c r="R666" s="461"/>
      <c r="S666" s="461"/>
      <c r="T666" s="461"/>
      <c r="U666" s="461" t="s">
        <v>4125</v>
      </c>
      <c r="V666" s="461"/>
      <c r="W666" s="461"/>
      <c r="X666" s="860"/>
      <c r="Y666" s="584"/>
      <c r="Z666" s="861">
        <v>2</v>
      </c>
      <c r="AA666" s="684"/>
    </row>
    <row r="667" spans="1:27" ht="15">
      <c r="A667" s="516"/>
      <c r="B667" s="528"/>
      <c r="C667" s="465"/>
      <c r="D667" s="340"/>
      <c r="E667" s="466"/>
      <c r="F667" s="466"/>
      <c r="G667" s="466"/>
      <c r="H667" s="466"/>
      <c r="I667" s="466"/>
      <c r="J667" s="529"/>
      <c r="K667" s="467"/>
      <c r="L667" s="467"/>
      <c r="M667" s="506"/>
      <c r="N667" s="506"/>
      <c r="O667" s="341">
        <v>4</v>
      </c>
      <c r="P667" s="336" t="s">
        <v>5731</v>
      </c>
      <c r="Q667" s="461">
        <v>0</v>
      </c>
      <c r="R667" s="461"/>
      <c r="S667" s="461"/>
      <c r="T667" s="461"/>
      <c r="U667" s="461" t="s">
        <v>4125</v>
      </c>
      <c r="V667" s="461" t="s">
        <v>4125</v>
      </c>
      <c r="W667" s="461"/>
      <c r="X667" s="860"/>
      <c r="Y667" s="584"/>
      <c r="Z667" s="861">
        <v>2</v>
      </c>
      <c r="AA667" s="684"/>
    </row>
    <row r="668" spans="1:27" ht="15">
      <c r="A668" s="516"/>
      <c r="B668" s="528"/>
      <c r="C668" s="465"/>
      <c r="D668" s="340"/>
      <c r="E668" s="466"/>
      <c r="F668" s="466"/>
      <c r="G668" s="466"/>
      <c r="H668" s="466"/>
      <c r="I668" s="466"/>
      <c r="J668" s="529"/>
      <c r="K668" s="588"/>
      <c r="L668" s="588"/>
      <c r="M668" s="634"/>
      <c r="N668" s="634"/>
      <c r="O668" s="473">
        <v>5</v>
      </c>
      <c r="P668" s="463" t="s">
        <v>5732</v>
      </c>
      <c r="Q668" s="461">
        <v>0</v>
      </c>
      <c r="R668" s="461"/>
      <c r="S668" s="461"/>
      <c r="T668" s="461"/>
      <c r="U668" s="461" t="s">
        <v>4125</v>
      </c>
      <c r="V668" s="461"/>
      <c r="W668" s="461"/>
      <c r="X668" s="461"/>
      <c r="Y668" s="668"/>
      <c r="Z668" s="462" t="s">
        <v>138</v>
      </c>
      <c r="AA668" s="684"/>
    </row>
    <row r="669" spans="1:27" ht="15">
      <c r="A669" s="516"/>
      <c r="B669" s="528"/>
      <c r="C669" s="465"/>
      <c r="D669" s="340"/>
      <c r="E669" s="466"/>
      <c r="F669" s="466"/>
      <c r="G669" s="466"/>
      <c r="H669" s="466"/>
      <c r="I669" s="466"/>
      <c r="J669" s="529"/>
      <c r="K669" s="588"/>
      <c r="L669" s="588"/>
      <c r="M669" s="634"/>
      <c r="N669" s="634"/>
      <c r="O669" s="473">
        <v>6</v>
      </c>
      <c r="P669" s="463" t="s">
        <v>5733</v>
      </c>
      <c r="Q669" s="461">
        <v>0</v>
      </c>
      <c r="R669" s="461"/>
      <c r="S669" s="461"/>
      <c r="T669" s="461"/>
      <c r="U669" s="461" t="s">
        <v>4125</v>
      </c>
      <c r="V669" s="461"/>
      <c r="W669" s="461"/>
      <c r="X669" s="461"/>
      <c r="Y669" s="668"/>
      <c r="Z669" s="462" t="s">
        <v>138</v>
      </c>
      <c r="AA669" s="684"/>
    </row>
    <row r="670" spans="1:27" ht="15">
      <c r="A670" s="516"/>
      <c r="B670" s="528"/>
      <c r="C670" s="465"/>
      <c r="D670" s="340"/>
      <c r="E670" s="466"/>
      <c r="F670" s="466"/>
      <c r="G670" s="466"/>
      <c r="H670" s="466"/>
      <c r="I670" s="466"/>
      <c r="J670" s="529"/>
      <c r="K670" s="467"/>
      <c r="L670" s="467"/>
      <c r="M670" s="506"/>
      <c r="N670" s="506"/>
      <c r="O670" s="341">
        <v>7</v>
      </c>
      <c r="P670" s="336" t="s">
        <v>5734</v>
      </c>
      <c r="Q670" s="461">
        <v>0</v>
      </c>
      <c r="R670" s="585"/>
      <c r="S670" s="860"/>
      <c r="T670" s="586"/>
      <c r="U670" s="860" t="s">
        <v>4125</v>
      </c>
      <c r="V670" s="587"/>
      <c r="W670" s="586"/>
      <c r="X670" s="461"/>
      <c r="Y670" s="584"/>
      <c r="Z670" s="861">
        <v>2</v>
      </c>
      <c r="AA670" s="684"/>
    </row>
    <row r="671" spans="1:27" ht="14.25">
      <c r="A671" s="516"/>
      <c r="B671" s="528"/>
      <c r="C671" s="465"/>
      <c r="D671" s="340"/>
      <c r="E671" s="466"/>
      <c r="F671" s="466"/>
      <c r="G671" s="466"/>
      <c r="H671" s="466"/>
      <c r="I671" s="466"/>
      <c r="J671" s="529"/>
      <c r="K671" s="588"/>
      <c r="L671" s="588"/>
      <c r="M671" s="634"/>
      <c r="N671" s="634"/>
      <c r="O671" s="176">
        <v>8</v>
      </c>
      <c r="P671" s="479" t="s">
        <v>5735</v>
      </c>
      <c r="Q671" s="868">
        <v>3</v>
      </c>
      <c r="R671" s="176"/>
      <c r="S671" s="176"/>
      <c r="T671" s="176"/>
      <c r="U671" s="176" t="s">
        <v>4125</v>
      </c>
      <c r="V671" s="176"/>
      <c r="W671" s="176"/>
      <c r="X671" s="480"/>
      <c r="Y671" s="526" t="s">
        <v>5619</v>
      </c>
      <c r="Z671" s="867">
        <v>2</v>
      </c>
      <c r="AA671" s="684"/>
    </row>
    <row r="672" spans="1:27" ht="72.75" customHeight="1">
      <c r="A672" s="516"/>
      <c r="B672" s="528"/>
      <c r="C672" s="465"/>
      <c r="D672" s="340"/>
      <c r="E672" s="466"/>
      <c r="F672" s="466"/>
      <c r="G672" s="466"/>
      <c r="H672" s="466"/>
      <c r="I672" s="466"/>
      <c r="J672" s="529"/>
      <c r="K672" s="588"/>
      <c r="L672" s="588"/>
      <c r="M672" s="634"/>
      <c r="N672" s="634"/>
      <c r="O672" s="176">
        <v>9</v>
      </c>
      <c r="P672" s="479" t="s">
        <v>5736</v>
      </c>
      <c r="Q672" s="176">
        <v>25</v>
      </c>
      <c r="R672" s="176"/>
      <c r="S672" s="176"/>
      <c r="T672" s="176"/>
      <c r="U672" s="176" t="s">
        <v>4125</v>
      </c>
      <c r="V672" s="176"/>
      <c r="W672" s="176" t="s">
        <v>4125</v>
      </c>
      <c r="X672" s="480"/>
      <c r="Y672" s="526" t="s">
        <v>5737</v>
      </c>
      <c r="Z672" s="480" t="s">
        <v>138</v>
      </c>
      <c r="AA672" s="684"/>
    </row>
    <row r="673" spans="1:27" ht="14.25">
      <c r="A673" s="516"/>
      <c r="B673" s="528"/>
      <c r="C673" s="465"/>
      <c r="D673" s="340"/>
      <c r="E673" s="466"/>
      <c r="F673" s="466"/>
      <c r="G673" s="466"/>
      <c r="H673" s="466"/>
      <c r="I673" s="466"/>
      <c r="J673" s="529"/>
      <c r="K673" s="588"/>
      <c r="L673" s="588"/>
      <c r="M673" s="634"/>
      <c r="N673" s="634"/>
      <c r="O673" s="176">
        <v>10</v>
      </c>
      <c r="P673" s="479" t="s">
        <v>5738</v>
      </c>
      <c r="Q673" s="868">
        <v>3</v>
      </c>
      <c r="R673" s="176"/>
      <c r="S673" s="176"/>
      <c r="T673" s="176" t="s">
        <v>4125</v>
      </c>
      <c r="U673" s="176"/>
      <c r="V673" s="176"/>
      <c r="W673" s="176"/>
      <c r="X673" s="480"/>
      <c r="Y673" s="526" t="s">
        <v>5655</v>
      </c>
      <c r="Z673" s="867">
        <v>2</v>
      </c>
    </row>
    <row r="674" spans="1:27" ht="14.25">
      <c r="A674" s="516"/>
      <c r="B674" s="528"/>
      <c r="C674" s="465"/>
      <c r="D674" s="340"/>
      <c r="E674" s="466"/>
      <c r="F674" s="466"/>
      <c r="G674" s="466"/>
      <c r="H674" s="466"/>
      <c r="I674" s="466"/>
      <c r="J674" s="529"/>
      <c r="K674" s="588"/>
      <c r="L674" s="588"/>
      <c r="M674" s="634"/>
      <c r="N674" s="634"/>
      <c r="O674" s="176">
        <v>11</v>
      </c>
      <c r="P674" s="479" t="s">
        <v>5739</v>
      </c>
      <c r="Q674" s="868">
        <v>3</v>
      </c>
      <c r="R674" s="176"/>
      <c r="S674" s="176"/>
      <c r="T674" s="176" t="s">
        <v>4125</v>
      </c>
      <c r="U674" s="176"/>
      <c r="V674" s="176"/>
      <c r="W674" s="176"/>
      <c r="X674" s="480"/>
      <c r="Y674" s="526" t="s">
        <v>5657</v>
      </c>
      <c r="Z674" s="867">
        <v>2</v>
      </c>
    </row>
    <row r="675" spans="1:27" ht="14.25">
      <c r="A675" s="516"/>
      <c r="B675" s="528"/>
      <c r="C675" s="465"/>
      <c r="D675" s="340"/>
      <c r="E675" s="466"/>
      <c r="F675" s="466"/>
      <c r="G675" s="466"/>
      <c r="H675" s="466"/>
      <c r="I675" s="466"/>
      <c r="J675" s="529"/>
      <c r="K675" s="588"/>
      <c r="L675" s="588"/>
      <c r="M675" s="634"/>
      <c r="N675" s="634"/>
      <c r="O675" s="176">
        <v>12</v>
      </c>
      <c r="P675" s="479" t="s">
        <v>5740</v>
      </c>
      <c r="Q675" s="868">
        <v>3</v>
      </c>
      <c r="R675" s="176"/>
      <c r="S675" s="176"/>
      <c r="T675" s="176" t="s">
        <v>4125</v>
      </c>
      <c r="U675" s="176"/>
      <c r="V675" s="176"/>
      <c r="W675" s="176"/>
      <c r="X675" s="480"/>
      <c r="Y675" s="526" t="s">
        <v>5741</v>
      </c>
      <c r="Z675" s="867">
        <v>2</v>
      </c>
    </row>
    <row r="676" spans="1:27" ht="14.25">
      <c r="A676" s="516"/>
      <c r="B676" s="528"/>
      <c r="C676" s="465"/>
      <c r="D676" s="340"/>
      <c r="E676" s="466"/>
      <c r="F676" s="466"/>
      <c r="G676" s="466"/>
      <c r="H676" s="466"/>
      <c r="I676" s="466"/>
      <c r="J676" s="529"/>
      <c r="K676" s="588"/>
      <c r="L676" s="588"/>
      <c r="M676" s="634"/>
      <c r="N676" s="634"/>
      <c r="O676" s="176">
        <v>13</v>
      </c>
      <c r="P676" s="479" t="s">
        <v>5742</v>
      </c>
      <c r="Q676" s="868">
        <v>3</v>
      </c>
      <c r="R676" s="176"/>
      <c r="S676" s="176"/>
      <c r="T676" s="176" t="s">
        <v>4125</v>
      </c>
      <c r="U676" s="176"/>
      <c r="V676" s="176"/>
      <c r="W676" s="176"/>
      <c r="X676" s="480"/>
      <c r="Y676" s="526" t="s">
        <v>5743</v>
      </c>
      <c r="Z676" s="867">
        <v>2</v>
      </c>
    </row>
    <row r="677" spans="1:27" ht="84.75" customHeight="1">
      <c r="A677" s="516"/>
      <c r="B677" s="528"/>
      <c r="C677" s="465"/>
      <c r="D677" s="340"/>
      <c r="E677" s="466"/>
      <c r="F677" s="466"/>
      <c r="G677" s="466"/>
      <c r="H677" s="466"/>
      <c r="I677" s="466"/>
      <c r="J677" s="529"/>
      <c r="K677" s="588"/>
      <c r="L677" s="588"/>
      <c r="M677" s="634"/>
      <c r="N677" s="634"/>
      <c r="O677" s="176">
        <v>14</v>
      </c>
      <c r="P677" s="479" t="s">
        <v>5744</v>
      </c>
      <c r="Q677" s="868">
        <v>3</v>
      </c>
      <c r="R677" s="176"/>
      <c r="S677" s="176"/>
      <c r="T677" s="176" t="s">
        <v>4125</v>
      </c>
      <c r="U677" s="176"/>
      <c r="V677" s="176"/>
      <c r="W677" s="176" t="s">
        <v>4125</v>
      </c>
      <c r="X677" s="480"/>
      <c r="Y677" s="526" t="s">
        <v>5745</v>
      </c>
      <c r="Z677" s="867">
        <v>2</v>
      </c>
      <c r="AA677" s="684"/>
    </row>
    <row r="678" spans="1:27" ht="14.25">
      <c r="A678" s="516"/>
      <c r="B678" s="528"/>
      <c r="C678" s="465"/>
      <c r="D678" s="340"/>
      <c r="E678" s="466"/>
      <c r="F678" s="466"/>
      <c r="G678" s="466"/>
      <c r="H678" s="466"/>
      <c r="I678" s="466"/>
      <c r="J678" s="529"/>
      <c r="K678" s="467"/>
      <c r="L678" s="467"/>
      <c r="M678" s="506"/>
      <c r="N678" s="634"/>
      <c r="O678" s="176">
        <v>15</v>
      </c>
      <c r="P678" s="479" t="s">
        <v>5746</v>
      </c>
      <c r="Q678" s="176">
        <v>5</v>
      </c>
      <c r="R678" s="176"/>
      <c r="S678" s="176"/>
      <c r="T678" s="176" t="s">
        <v>4125</v>
      </c>
      <c r="U678" s="176"/>
      <c r="V678" s="176"/>
      <c r="W678" s="868" t="s">
        <v>4125</v>
      </c>
      <c r="X678" s="480"/>
      <c r="Y678" s="526" t="s">
        <v>5747</v>
      </c>
      <c r="Z678" s="867">
        <v>2</v>
      </c>
      <c r="AA678" s="684"/>
    </row>
    <row r="679" spans="1:27" ht="77.25" customHeight="1">
      <c r="A679" s="516"/>
      <c r="B679" s="528"/>
      <c r="C679" s="465"/>
      <c r="D679" s="340"/>
      <c r="E679" s="466"/>
      <c r="F679" s="466"/>
      <c r="G679" s="466"/>
      <c r="H679" s="466"/>
      <c r="I679" s="466"/>
      <c r="J679" s="529"/>
      <c r="K679" s="467"/>
      <c r="L679" s="467"/>
      <c r="M679" s="506"/>
      <c r="N679" s="634"/>
      <c r="O679" s="176">
        <v>16</v>
      </c>
      <c r="P679" s="479" t="s">
        <v>5748</v>
      </c>
      <c r="Q679" s="176">
        <v>5</v>
      </c>
      <c r="R679" s="176"/>
      <c r="S679" s="176"/>
      <c r="T679" s="176" t="s">
        <v>4125</v>
      </c>
      <c r="U679" s="176"/>
      <c r="V679" s="176"/>
      <c r="W679" s="868" t="s">
        <v>4125</v>
      </c>
      <c r="X679" s="480"/>
      <c r="Y679" s="526" t="s">
        <v>5749</v>
      </c>
      <c r="Z679" s="867">
        <v>2</v>
      </c>
      <c r="AA679" s="684"/>
    </row>
    <row r="680" spans="1:27" ht="14.25">
      <c r="A680" s="516"/>
      <c r="B680" s="528"/>
      <c r="C680" s="465"/>
      <c r="D680" s="340"/>
      <c r="E680" s="466"/>
      <c r="F680" s="466"/>
      <c r="G680" s="466"/>
      <c r="H680" s="466"/>
      <c r="I680" s="466"/>
      <c r="J680" s="529"/>
      <c r="K680" s="588"/>
      <c r="L680" s="588"/>
      <c r="M680" s="634"/>
      <c r="N680" s="634"/>
      <c r="O680" s="176">
        <v>17</v>
      </c>
      <c r="P680" s="479" t="s">
        <v>5750</v>
      </c>
      <c r="Q680" s="176">
        <v>5</v>
      </c>
      <c r="R680" s="176"/>
      <c r="S680" s="176"/>
      <c r="T680" s="176" t="s">
        <v>4125</v>
      </c>
      <c r="U680" s="176"/>
      <c r="V680" s="176"/>
      <c r="W680" s="176" t="s">
        <v>4125</v>
      </c>
      <c r="X680" s="480"/>
      <c r="Y680" s="526" t="s">
        <v>5751</v>
      </c>
      <c r="Z680" s="480" t="s">
        <v>138</v>
      </c>
    </row>
    <row r="681" spans="1:27" ht="14.25">
      <c r="A681" s="516"/>
      <c r="B681" s="528"/>
      <c r="C681" s="465"/>
      <c r="D681" s="340"/>
      <c r="E681" s="466"/>
      <c r="F681" s="466"/>
      <c r="G681" s="466"/>
      <c r="H681" s="466"/>
      <c r="I681" s="466"/>
      <c r="J681" s="529"/>
      <c r="K681" s="467"/>
      <c r="L681" s="467"/>
      <c r="M681" s="506"/>
      <c r="N681" s="634"/>
      <c r="O681" s="176">
        <v>18</v>
      </c>
      <c r="P681" s="479" t="s">
        <v>5752</v>
      </c>
      <c r="Q681" s="868">
        <v>3</v>
      </c>
      <c r="R681" s="176"/>
      <c r="S681" s="176"/>
      <c r="T681" s="176" t="s">
        <v>4125</v>
      </c>
      <c r="U681" s="176"/>
      <c r="V681" s="176"/>
      <c r="W681" s="868" t="s">
        <v>4125</v>
      </c>
      <c r="X681" s="480"/>
      <c r="Y681" s="526" t="s">
        <v>5753</v>
      </c>
      <c r="Z681" s="867">
        <v>2</v>
      </c>
    </row>
    <row r="682" spans="1:27" s="154" customFormat="1" ht="14.25">
      <c r="A682" s="525"/>
      <c r="B682" s="490"/>
      <c r="C682" s="491"/>
      <c r="D682" s="345"/>
      <c r="E682" s="405"/>
      <c r="F682" s="405"/>
      <c r="G682" s="405"/>
      <c r="H682" s="405"/>
      <c r="I682" s="405"/>
      <c r="J682" s="405"/>
      <c r="K682" s="492"/>
      <c r="L682" s="492"/>
      <c r="M682" s="493"/>
      <c r="N682" s="494"/>
      <c r="O682" s="492"/>
      <c r="P682" s="491"/>
      <c r="Q682" s="405"/>
      <c r="R682" s="495"/>
      <c r="S682" s="496"/>
      <c r="T682" s="496"/>
      <c r="U682" s="496"/>
      <c r="V682" s="497"/>
      <c r="W682" s="497"/>
      <c r="X682" s="497"/>
      <c r="Y682" s="498"/>
      <c r="Z682" s="308"/>
      <c r="AA682" s="141"/>
    </row>
    <row r="683" spans="1:27" s="154" customFormat="1" ht="28.5">
      <c r="A683" s="500" t="s">
        <v>5754</v>
      </c>
      <c r="B683" s="310" t="s">
        <v>538</v>
      </c>
      <c r="C683" s="327" t="s">
        <v>5755</v>
      </c>
      <c r="D683" s="456" t="s">
        <v>4978</v>
      </c>
      <c r="E683" s="322">
        <v>0</v>
      </c>
      <c r="F683" s="322">
        <v>100</v>
      </c>
      <c r="G683" s="322" t="s">
        <v>41</v>
      </c>
      <c r="H683" s="322">
        <v>40</v>
      </c>
      <c r="I683" s="322">
        <v>100</v>
      </c>
      <c r="J683" s="483">
        <v>165</v>
      </c>
      <c r="K683" s="779" t="s">
        <v>4125</v>
      </c>
      <c r="L683" s="779" t="s">
        <v>4125</v>
      </c>
      <c r="M683" s="778" t="s">
        <v>4979</v>
      </c>
      <c r="N683" s="778" t="s">
        <v>4980</v>
      </c>
      <c r="O683" s="590"/>
      <c r="P683" s="472"/>
      <c r="Q683" s="473"/>
      <c r="R683" s="472"/>
      <c r="S683" s="473"/>
      <c r="T683" s="473"/>
      <c r="U683" s="473"/>
      <c r="V683" s="474"/>
      <c r="W683" s="474"/>
      <c r="X683" s="474"/>
      <c r="Y683" s="526"/>
      <c r="Z683" s="474">
        <v>1</v>
      </c>
      <c r="AA683" s="684"/>
    </row>
    <row r="684" spans="1:27" ht="15">
      <c r="A684" s="514"/>
      <c r="B684" s="507"/>
      <c r="C684" s="330"/>
      <c r="D684" s="459"/>
      <c r="E684" s="341"/>
      <c r="F684" s="341"/>
      <c r="G684" s="341"/>
      <c r="H684" s="341"/>
      <c r="I684" s="341"/>
      <c r="J684" s="523"/>
      <c r="K684" s="590"/>
      <c r="L684" s="590"/>
      <c r="M684" s="589" t="s">
        <v>4281</v>
      </c>
      <c r="N684" s="589" t="s">
        <v>4282</v>
      </c>
      <c r="O684" s="590">
        <v>1</v>
      </c>
      <c r="P684" s="472" t="s">
        <v>5756</v>
      </c>
      <c r="Q684" s="473">
        <v>0</v>
      </c>
      <c r="R684" s="461"/>
      <c r="S684" s="461"/>
      <c r="T684" s="461"/>
      <c r="U684" s="461" t="s">
        <v>4125</v>
      </c>
      <c r="V684" s="461"/>
      <c r="W684" s="461"/>
      <c r="X684" s="461"/>
      <c r="Y684" s="668"/>
      <c r="Z684" s="462" t="s">
        <v>138</v>
      </c>
    </row>
    <row r="685" spans="1:27" ht="15">
      <c r="A685" s="457"/>
      <c r="B685" s="458"/>
      <c r="C685" s="524"/>
      <c r="D685" s="459"/>
      <c r="E685" s="341"/>
      <c r="F685" s="341"/>
      <c r="G685" s="341"/>
      <c r="H685" s="341"/>
      <c r="I685" s="341"/>
      <c r="J685" s="523"/>
      <c r="K685" s="342"/>
      <c r="L685" s="342"/>
      <c r="M685" s="460"/>
      <c r="N685" s="460"/>
      <c r="O685" s="342">
        <v>2</v>
      </c>
      <c r="P685" s="336" t="s">
        <v>5757</v>
      </c>
      <c r="Q685" s="461">
        <v>0</v>
      </c>
      <c r="R685" s="461"/>
      <c r="S685" s="461"/>
      <c r="T685" s="461"/>
      <c r="U685" s="461" t="s">
        <v>4125</v>
      </c>
      <c r="V685" s="461"/>
      <c r="W685" s="461"/>
      <c r="X685" s="860"/>
      <c r="Y685" s="584"/>
      <c r="Z685" s="861">
        <v>2</v>
      </c>
    </row>
    <row r="686" spans="1:27" ht="15">
      <c r="A686" s="514"/>
      <c r="B686" s="515"/>
      <c r="C686" s="336"/>
      <c r="D686" s="331"/>
      <c r="E686" s="332"/>
      <c r="F686" s="332"/>
      <c r="G686" s="332"/>
      <c r="H686" s="332"/>
      <c r="I686" s="332"/>
      <c r="J686" s="527"/>
      <c r="K686" s="333"/>
      <c r="L686" s="333"/>
      <c r="M686" s="509"/>
      <c r="N686" s="509"/>
      <c r="O686" s="342">
        <v>3</v>
      </c>
      <c r="P686" s="336" t="s">
        <v>5758</v>
      </c>
      <c r="Q686" s="461">
        <v>0</v>
      </c>
      <c r="R686" s="461"/>
      <c r="S686" s="461"/>
      <c r="T686" s="461"/>
      <c r="U686" s="461" t="s">
        <v>4125</v>
      </c>
      <c r="V686" s="461"/>
      <c r="W686" s="461"/>
      <c r="X686" s="860"/>
      <c r="Y686" s="584"/>
      <c r="Z686" s="861">
        <v>2</v>
      </c>
    </row>
    <row r="687" spans="1:27" ht="15">
      <c r="A687" s="516"/>
      <c r="B687" s="528"/>
      <c r="C687" s="465"/>
      <c r="D687" s="340"/>
      <c r="E687" s="466"/>
      <c r="F687" s="466"/>
      <c r="G687" s="466"/>
      <c r="H687" s="466"/>
      <c r="I687" s="466"/>
      <c r="J687" s="529"/>
      <c r="K687" s="467"/>
      <c r="L687" s="467"/>
      <c r="M687" s="506"/>
      <c r="N687" s="506"/>
      <c r="O687" s="341">
        <v>4</v>
      </c>
      <c r="P687" s="336" t="s">
        <v>5759</v>
      </c>
      <c r="Q687" s="461">
        <v>0</v>
      </c>
      <c r="R687" s="461"/>
      <c r="S687" s="461"/>
      <c r="T687" s="461"/>
      <c r="U687" s="461" t="s">
        <v>4125</v>
      </c>
      <c r="V687" s="461" t="s">
        <v>4125</v>
      </c>
      <c r="W687" s="461"/>
      <c r="X687" s="860"/>
      <c r="Y687" s="584"/>
      <c r="Z687" s="861">
        <v>2</v>
      </c>
    </row>
    <row r="688" spans="1:27" ht="15">
      <c r="A688" s="516"/>
      <c r="B688" s="528"/>
      <c r="C688" s="465"/>
      <c r="D688" s="340"/>
      <c r="E688" s="466"/>
      <c r="F688" s="466"/>
      <c r="G688" s="466"/>
      <c r="H688" s="466"/>
      <c r="I688" s="466"/>
      <c r="J688" s="529"/>
      <c r="K688" s="588"/>
      <c r="L688" s="588"/>
      <c r="M688" s="634"/>
      <c r="N688" s="634"/>
      <c r="O688" s="473">
        <v>5</v>
      </c>
      <c r="P688" s="463" t="s">
        <v>5760</v>
      </c>
      <c r="Q688" s="461">
        <v>0</v>
      </c>
      <c r="R688" s="461"/>
      <c r="S688" s="461"/>
      <c r="T688" s="461"/>
      <c r="U688" s="461" t="s">
        <v>4125</v>
      </c>
      <c r="V688" s="461"/>
      <c r="W688" s="461"/>
      <c r="X688" s="461"/>
      <c r="Y688" s="668"/>
      <c r="Z688" s="462" t="s">
        <v>138</v>
      </c>
    </row>
    <row r="689" spans="1:27" ht="15">
      <c r="A689" s="516"/>
      <c r="B689" s="528"/>
      <c r="C689" s="465"/>
      <c r="D689" s="340"/>
      <c r="E689" s="466"/>
      <c r="F689" s="466"/>
      <c r="G689" s="466"/>
      <c r="H689" s="466"/>
      <c r="I689" s="466"/>
      <c r="J689" s="529"/>
      <c r="K689" s="588"/>
      <c r="L689" s="588"/>
      <c r="M689" s="634"/>
      <c r="N689" s="634"/>
      <c r="O689" s="473">
        <v>6</v>
      </c>
      <c r="P689" s="463" t="s">
        <v>5761</v>
      </c>
      <c r="Q689" s="461">
        <v>0</v>
      </c>
      <c r="R689" s="461"/>
      <c r="S689" s="461"/>
      <c r="T689" s="461"/>
      <c r="U689" s="461" t="s">
        <v>4125</v>
      </c>
      <c r="V689" s="461"/>
      <c r="W689" s="461"/>
      <c r="X689" s="461"/>
      <c r="Y689" s="668"/>
      <c r="Z689" s="462" t="s">
        <v>138</v>
      </c>
    </row>
    <row r="690" spans="1:27" ht="15">
      <c r="A690" s="516"/>
      <c r="B690" s="528"/>
      <c r="C690" s="465"/>
      <c r="D690" s="340"/>
      <c r="E690" s="466"/>
      <c r="F690" s="466"/>
      <c r="G690" s="466"/>
      <c r="H690" s="466"/>
      <c r="I690" s="466"/>
      <c r="J690" s="529"/>
      <c r="K690" s="467"/>
      <c r="L690" s="467"/>
      <c r="M690" s="506"/>
      <c r="N690" s="506"/>
      <c r="O690" s="341">
        <v>7</v>
      </c>
      <c r="P690" s="336" t="s">
        <v>5762</v>
      </c>
      <c r="Q690" s="461">
        <v>0</v>
      </c>
      <c r="R690" s="585"/>
      <c r="S690" s="860"/>
      <c r="T690" s="586"/>
      <c r="U690" s="860" t="s">
        <v>4125</v>
      </c>
      <c r="V690" s="587"/>
      <c r="W690" s="586"/>
      <c r="X690" s="461"/>
      <c r="Y690" s="584"/>
      <c r="Z690" s="861">
        <v>2</v>
      </c>
    </row>
    <row r="691" spans="1:27" ht="14.25">
      <c r="A691" s="516"/>
      <c r="B691" s="528"/>
      <c r="C691" s="465"/>
      <c r="D691" s="340"/>
      <c r="E691" s="466"/>
      <c r="F691" s="466"/>
      <c r="G691" s="466"/>
      <c r="H691" s="466"/>
      <c r="I691" s="466"/>
      <c r="J691" s="529"/>
      <c r="K691" s="588"/>
      <c r="L691" s="588"/>
      <c r="M691" s="634"/>
      <c r="N691" s="634"/>
      <c r="O691" s="176">
        <v>8</v>
      </c>
      <c r="P691" s="479" t="s">
        <v>5763</v>
      </c>
      <c r="Q691" s="868">
        <v>3</v>
      </c>
      <c r="R691" s="176"/>
      <c r="S691" s="176"/>
      <c r="T691" s="176"/>
      <c r="U691" s="176" t="s">
        <v>4125</v>
      </c>
      <c r="V691" s="176"/>
      <c r="W691" s="176"/>
      <c r="X691" s="480"/>
      <c r="Y691" s="526" t="s">
        <v>5619</v>
      </c>
      <c r="Z691" s="867">
        <v>2</v>
      </c>
    </row>
    <row r="692" spans="1:27" ht="14.25">
      <c r="A692" s="516"/>
      <c r="B692" s="528"/>
      <c r="C692" s="465"/>
      <c r="D692" s="340"/>
      <c r="E692" s="466"/>
      <c r="F692" s="466"/>
      <c r="G692" s="466"/>
      <c r="H692" s="466"/>
      <c r="I692" s="466"/>
      <c r="J692" s="529"/>
      <c r="K692" s="588"/>
      <c r="L692" s="588"/>
      <c r="M692" s="634"/>
      <c r="N692" s="634"/>
      <c r="O692" s="176">
        <v>9</v>
      </c>
      <c r="P692" s="479" t="s">
        <v>5764</v>
      </c>
      <c r="Q692" s="176">
        <v>25</v>
      </c>
      <c r="R692" s="176"/>
      <c r="S692" s="176"/>
      <c r="T692" s="176"/>
      <c r="U692" s="176" t="s">
        <v>4125</v>
      </c>
      <c r="V692" s="176"/>
      <c r="W692" s="176" t="s">
        <v>4125</v>
      </c>
      <c r="X692" s="480"/>
      <c r="Y692" s="526" t="s">
        <v>5765</v>
      </c>
      <c r="Z692" s="480" t="s">
        <v>138</v>
      </c>
      <c r="AA692" s="684"/>
    </row>
    <row r="693" spans="1:27" ht="14.25">
      <c r="A693" s="516"/>
      <c r="B693" s="528"/>
      <c r="C693" s="465"/>
      <c r="D693" s="340"/>
      <c r="E693" s="466"/>
      <c r="F693" s="466"/>
      <c r="G693" s="466"/>
      <c r="H693" s="466"/>
      <c r="I693" s="466"/>
      <c r="J693" s="529"/>
      <c r="K693" s="467"/>
      <c r="L693" s="467"/>
      <c r="M693" s="506"/>
      <c r="N693" s="506"/>
      <c r="O693" s="176">
        <v>10</v>
      </c>
      <c r="P693" s="479" t="s">
        <v>5766</v>
      </c>
      <c r="Q693" s="868">
        <v>3</v>
      </c>
      <c r="R693" s="176"/>
      <c r="S693" s="176"/>
      <c r="T693" s="176" t="s">
        <v>4125</v>
      </c>
      <c r="U693" s="176"/>
      <c r="V693" s="176"/>
      <c r="W693" s="868" t="s">
        <v>4125</v>
      </c>
      <c r="X693" s="480"/>
      <c r="Y693" s="526" t="s">
        <v>5655</v>
      </c>
      <c r="Z693" s="867">
        <v>2</v>
      </c>
    </row>
    <row r="694" spans="1:27" ht="14.25">
      <c r="A694" s="514"/>
      <c r="B694" s="515"/>
      <c r="C694" s="336"/>
      <c r="D694" s="331"/>
      <c r="E694" s="332"/>
      <c r="F694" s="332"/>
      <c r="G694" s="332"/>
      <c r="H694" s="332"/>
      <c r="I694" s="332"/>
      <c r="J694" s="527"/>
      <c r="K694" s="333"/>
      <c r="L694" s="333"/>
      <c r="M694" s="509"/>
      <c r="N694" s="509"/>
      <c r="O694" s="461">
        <v>11</v>
      </c>
      <c r="P694" s="463" t="s">
        <v>5767</v>
      </c>
      <c r="Q694" s="860">
        <v>3</v>
      </c>
      <c r="R694" s="461"/>
      <c r="S694" s="461"/>
      <c r="T694" s="461" t="s">
        <v>4125</v>
      </c>
      <c r="U694" s="461"/>
      <c r="V694" s="461"/>
      <c r="W694" s="860" t="s">
        <v>4125</v>
      </c>
      <c r="X694" s="462"/>
      <c r="Y694" s="792" t="s">
        <v>5657</v>
      </c>
      <c r="Z694" s="861">
        <v>2</v>
      </c>
    </row>
    <row r="695" spans="1:27" ht="14.25">
      <c r="A695" s="514"/>
      <c r="B695" s="515"/>
      <c r="C695" s="336"/>
      <c r="D695" s="331"/>
      <c r="E695" s="332"/>
      <c r="F695" s="332"/>
      <c r="G695" s="332"/>
      <c r="H695" s="332"/>
      <c r="I695" s="332"/>
      <c r="J695" s="527"/>
      <c r="K695" s="333"/>
      <c r="L695" s="333"/>
      <c r="M695" s="509"/>
      <c r="N695" s="509"/>
      <c r="O695" s="461">
        <v>12</v>
      </c>
      <c r="P695" s="463" t="s">
        <v>5768</v>
      </c>
      <c r="Q695" s="860">
        <v>3</v>
      </c>
      <c r="R695" s="461"/>
      <c r="S695" s="461"/>
      <c r="T695" s="461" t="s">
        <v>4125</v>
      </c>
      <c r="U695" s="461"/>
      <c r="V695" s="461"/>
      <c r="W695" s="860" t="s">
        <v>4125</v>
      </c>
      <c r="X695" s="462"/>
      <c r="Y695" s="792" t="s">
        <v>5741</v>
      </c>
      <c r="Z695" s="861">
        <v>2</v>
      </c>
    </row>
    <row r="696" spans="1:27" ht="59.25" customHeight="1">
      <c r="A696" s="516"/>
      <c r="B696" s="528"/>
      <c r="C696" s="465"/>
      <c r="D696" s="340"/>
      <c r="E696" s="466"/>
      <c r="F696" s="466"/>
      <c r="G696" s="466"/>
      <c r="H696" s="466"/>
      <c r="I696" s="466"/>
      <c r="J696" s="529"/>
      <c r="K696" s="467"/>
      <c r="L696" s="467"/>
      <c r="M696" s="506"/>
      <c r="N696" s="506"/>
      <c r="O696" s="176">
        <v>13</v>
      </c>
      <c r="P696" s="479" t="s">
        <v>5742</v>
      </c>
      <c r="Q696" s="868">
        <v>3</v>
      </c>
      <c r="R696" s="176"/>
      <c r="S696" s="176"/>
      <c r="T696" s="176" t="s">
        <v>4125</v>
      </c>
      <c r="U696" s="176"/>
      <c r="V696" s="176"/>
      <c r="W696" s="868" t="s">
        <v>4125</v>
      </c>
      <c r="X696" s="480"/>
      <c r="Y696" s="526" t="s">
        <v>5769</v>
      </c>
      <c r="Z696" s="867">
        <v>2</v>
      </c>
    </row>
    <row r="697" spans="1:27" ht="84" customHeight="1">
      <c r="A697" s="516"/>
      <c r="B697" s="528"/>
      <c r="C697" s="465"/>
      <c r="D697" s="340"/>
      <c r="E697" s="466"/>
      <c r="F697" s="466"/>
      <c r="G697" s="466"/>
      <c r="H697" s="466"/>
      <c r="I697" s="466"/>
      <c r="J697" s="529"/>
      <c r="K697" s="467"/>
      <c r="L697" s="467"/>
      <c r="M697" s="506"/>
      <c r="N697" s="506"/>
      <c r="O697" s="176">
        <v>14</v>
      </c>
      <c r="P697" s="479" t="s">
        <v>5744</v>
      </c>
      <c r="Q697" s="868">
        <v>3</v>
      </c>
      <c r="R697" s="176"/>
      <c r="S697" s="176"/>
      <c r="T697" s="176" t="s">
        <v>4125</v>
      </c>
      <c r="U697" s="176"/>
      <c r="V697" s="176"/>
      <c r="W697" s="868" t="s">
        <v>4125</v>
      </c>
      <c r="X697" s="480"/>
      <c r="Y697" s="526" t="s">
        <v>5745</v>
      </c>
      <c r="Z697" s="867">
        <v>2</v>
      </c>
      <c r="AA697" s="684"/>
    </row>
    <row r="698" spans="1:27" ht="14.25">
      <c r="A698" s="516"/>
      <c r="B698" s="528"/>
      <c r="C698" s="465"/>
      <c r="D698" s="340"/>
      <c r="E698" s="466"/>
      <c r="F698" s="466"/>
      <c r="G698" s="466"/>
      <c r="H698" s="466"/>
      <c r="I698" s="466"/>
      <c r="J698" s="529"/>
      <c r="K698" s="467"/>
      <c r="L698" s="467"/>
      <c r="M698" s="506"/>
      <c r="N698" s="506"/>
      <c r="O698" s="176">
        <v>15</v>
      </c>
      <c r="P698" s="479" t="s">
        <v>5746</v>
      </c>
      <c r="Q698" s="176">
        <v>5</v>
      </c>
      <c r="R698" s="176"/>
      <c r="S698" s="176"/>
      <c r="T698" s="176" t="s">
        <v>4125</v>
      </c>
      <c r="U698" s="176"/>
      <c r="V698" s="176"/>
      <c r="W698" s="868" t="s">
        <v>4125</v>
      </c>
      <c r="X698" s="480"/>
      <c r="Y698" s="526" t="s">
        <v>5747</v>
      </c>
      <c r="Z698" s="867">
        <v>2</v>
      </c>
      <c r="AA698" s="684"/>
    </row>
    <row r="699" spans="1:27" ht="78.75" customHeight="1">
      <c r="A699" s="516"/>
      <c r="B699" s="528"/>
      <c r="C699" s="465"/>
      <c r="D699" s="340"/>
      <c r="E699" s="466"/>
      <c r="F699" s="466"/>
      <c r="G699" s="466"/>
      <c r="H699" s="466"/>
      <c r="I699" s="466"/>
      <c r="J699" s="529"/>
      <c r="K699" s="467"/>
      <c r="L699" s="467"/>
      <c r="M699" s="506"/>
      <c r="N699" s="506"/>
      <c r="O699" s="176">
        <v>16</v>
      </c>
      <c r="P699" s="479" t="s">
        <v>5748</v>
      </c>
      <c r="Q699" s="176">
        <v>5</v>
      </c>
      <c r="R699" s="176"/>
      <c r="S699" s="176"/>
      <c r="T699" s="176" t="s">
        <v>4125</v>
      </c>
      <c r="U699" s="176"/>
      <c r="V699" s="176"/>
      <c r="W699" s="868" t="s">
        <v>4125</v>
      </c>
      <c r="X699" s="480"/>
      <c r="Y699" s="526" t="s">
        <v>5749</v>
      </c>
      <c r="Z699" s="867">
        <v>2</v>
      </c>
      <c r="AA699" s="684"/>
    </row>
    <row r="700" spans="1:27" ht="14.25">
      <c r="A700" s="516"/>
      <c r="B700" s="528"/>
      <c r="C700" s="465"/>
      <c r="D700" s="340"/>
      <c r="E700" s="466"/>
      <c r="F700" s="466"/>
      <c r="G700" s="466"/>
      <c r="H700" s="466"/>
      <c r="I700" s="466"/>
      <c r="J700" s="529"/>
      <c r="K700" s="588"/>
      <c r="L700" s="588"/>
      <c r="M700" s="634"/>
      <c r="N700" s="634"/>
      <c r="O700" s="176">
        <v>17</v>
      </c>
      <c r="P700" s="479" t="s">
        <v>5770</v>
      </c>
      <c r="Q700" s="868">
        <v>3</v>
      </c>
      <c r="R700" s="176"/>
      <c r="S700" s="176"/>
      <c r="T700" s="176" t="s">
        <v>4125</v>
      </c>
      <c r="U700" s="176"/>
      <c r="V700" s="176"/>
      <c r="W700" s="176" t="s">
        <v>4125</v>
      </c>
      <c r="X700" s="480"/>
      <c r="Y700" s="526" t="s">
        <v>5751</v>
      </c>
      <c r="Z700" s="867">
        <v>2</v>
      </c>
      <c r="AA700" s="684"/>
    </row>
    <row r="701" spans="1:27" ht="14.25">
      <c r="A701" s="516"/>
      <c r="B701" s="528"/>
      <c r="C701" s="465"/>
      <c r="D701" s="340"/>
      <c r="E701" s="466"/>
      <c r="F701" s="466"/>
      <c r="G701" s="466"/>
      <c r="H701" s="466"/>
      <c r="I701" s="466"/>
      <c r="J701" s="529"/>
      <c r="K701" s="467"/>
      <c r="L701" s="467"/>
      <c r="M701" s="506"/>
      <c r="N701" s="634"/>
      <c r="O701" s="176">
        <v>18</v>
      </c>
      <c r="P701" s="479" t="s">
        <v>5771</v>
      </c>
      <c r="Q701" s="868">
        <v>3</v>
      </c>
      <c r="R701" s="176"/>
      <c r="S701" s="176"/>
      <c r="T701" s="176" t="s">
        <v>4125</v>
      </c>
      <c r="U701" s="176"/>
      <c r="V701" s="176"/>
      <c r="W701" s="868" t="s">
        <v>4125</v>
      </c>
      <c r="X701" s="480"/>
      <c r="Y701" s="526" t="s">
        <v>5753</v>
      </c>
      <c r="Z701" s="867">
        <v>2</v>
      </c>
      <c r="AA701" s="684"/>
    </row>
    <row r="702" spans="1:27" s="154" customFormat="1" ht="14.25">
      <c r="A702" s="525"/>
      <c r="B702" s="490"/>
      <c r="C702" s="491"/>
      <c r="D702" s="345"/>
      <c r="E702" s="405"/>
      <c r="F702" s="405"/>
      <c r="G702" s="405"/>
      <c r="H702" s="405"/>
      <c r="I702" s="405"/>
      <c r="J702" s="405"/>
      <c r="K702" s="492"/>
      <c r="L702" s="492"/>
      <c r="M702" s="493"/>
      <c r="N702" s="494"/>
      <c r="O702" s="492"/>
      <c r="P702" s="491"/>
      <c r="Q702" s="405"/>
      <c r="R702" s="495"/>
      <c r="S702" s="496"/>
      <c r="T702" s="496"/>
      <c r="U702" s="496"/>
      <c r="V702" s="497"/>
      <c r="W702" s="497"/>
      <c r="X702" s="497"/>
      <c r="Y702" s="498"/>
      <c r="Z702" s="308"/>
      <c r="AA702" s="141"/>
    </row>
    <row r="703" spans="1:27" s="154" customFormat="1" ht="14.25">
      <c r="A703" s="500" t="s">
        <v>5772</v>
      </c>
      <c r="B703" s="310" t="s">
        <v>566</v>
      </c>
      <c r="C703" s="327" t="s">
        <v>5773</v>
      </c>
      <c r="D703" s="456" t="s">
        <v>4978</v>
      </c>
      <c r="E703" s="322">
        <v>0</v>
      </c>
      <c r="F703" s="322">
        <v>100</v>
      </c>
      <c r="G703" s="322" t="s">
        <v>41</v>
      </c>
      <c r="H703" s="322">
        <v>40</v>
      </c>
      <c r="I703" s="322">
        <v>100</v>
      </c>
      <c r="J703" s="483">
        <v>216</v>
      </c>
      <c r="K703" s="779" t="s">
        <v>4125</v>
      </c>
      <c r="L703" s="779" t="s">
        <v>4125</v>
      </c>
      <c r="M703" s="778" t="s">
        <v>4979</v>
      </c>
      <c r="N703" s="778" t="s">
        <v>4980</v>
      </c>
      <c r="O703" s="590"/>
      <c r="P703" s="472"/>
      <c r="Q703" s="473"/>
      <c r="R703" s="472"/>
      <c r="S703" s="473"/>
      <c r="T703" s="473"/>
      <c r="U703" s="473"/>
      <c r="V703" s="474"/>
      <c r="W703" s="474"/>
      <c r="X703" s="474"/>
      <c r="Y703" s="526"/>
      <c r="Z703" s="474">
        <v>1</v>
      </c>
      <c r="AA703" s="141"/>
    </row>
    <row r="704" spans="1:27" ht="15">
      <c r="A704" s="514"/>
      <c r="B704" s="507"/>
      <c r="C704" s="330"/>
      <c r="D704" s="459"/>
      <c r="E704" s="341"/>
      <c r="F704" s="341"/>
      <c r="G704" s="341"/>
      <c r="H704" s="341"/>
      <c r="I704" s="341"/>
      <c r="J704" s="523"/>
      <c r="K704" s="590"/>
      <c r="L704" s="590"/>
      <c r="M704" s="589" t="s">
        <v>4368</v>
      </c>
      <c r="N704" s="589" t="s">
        <v>4369</v>
      </c>
      <c r="O704" s="590">
        <v>1</v>
      </c>
      <c r="P704" s="472" t="s">
        <v>5774</v>
      </c>
      <c r="Q704" s="473">
        <v>0</v>
      </c>
      <c r="R704" s="461"/>
      <c r="S704" s="461"/>
      <c r="T704" s="461"/>
      <c r="U704" s="461" t="s">
        <v>4125</v>
      </c>
      <c r="V704" s="461"/>
      <c r="W704" s="461"/>
      <c r="X704" s="461"/>
      <c r="Y704" s="668"/>
      <c r="Z704" s="462" t="s">
        <v>138</v>
      </c>
    </row>
    <row r="705" spans="1:27" ht="15">
      <c r="A705" s="457"/>
      <c r="B705" s="458"/>
      <c r="C705" s="524"/>
      <c r="D705" s="459"/>
      <c r="E705" s="341"/>
      <c r="F705" s="341"/>
      <c r="G705" s="341"/>
      <c r="H705" s="341"/>
      <c r="I705" s="341"/>
      <c r="J705" s="523"/>
      <c r="K705" s="342"/>
      <c r="L705" s="342"/>
      <c r="M705" s="460"/>
      <c r="N705" s="460"/>
      <c r="O705" s="342">
        <v>2</v>
      </c>
      <c r="P705" s="336" t="s">
        <v>5775</v>
      </c>
      <c r="Q705" s="461">
        <v>0</v>
      </c>
      <c r="R705" s="461"/>
      <c r="S705" s="461"/>
      <c r="T705" s="461"/>
      <c r="U705" s="461" t="s">
        <v>4125</v>
      </c>
      <c r="V705" s="461"/>
      <c r="W705" s="461"/>
      <c r="X705" s="860"/>
      <c r="Y705" s="584"/>
      <c r="Z705" s="861">
        <v>2</v>
      </c>
    </row>
    <row r="706" spans="1:27" ht="15">
      <c r="A706" s="514"/>
      <c r="B706" s="515"/>
      <c r="C706" s="336"/>
      <c r="D706" s="331"/>
      <c r="E706" s="332"/>
      <c r="F706" s="332"/>
      <c r="G706" s="332"/>
      <c r="H706" s="332"/>
      <c r="I706" s="332"/>
      <c r="J706" s="527"/>
      <c r="K706" s="333"/>
      <c r="L706" s="333"/>
      <c r="M706" s="509"/>
      <c r="N706" s="509"/>
      <c r="O706" s="342">
        <v>3</v>
      </c>
      <c r="P706" s="336" t="s">
        <v>5776</v>
      </c>
      <c r="Q706" s="461">
        <v>0</v>
      </c>
      <c r="R706" s="461"/>
      <c r="S706" s="461"/>
      <c r="T706" s="461"/>
      <c r="U706" s="461" t="s">
        <v>4125</v>
      </c>
      <c r="V706" s="461"/>
      <c r="W706" s="461"/>
      <c r="X706" s="860"/>
      <c r="Y706" s="584"/>
      <c r="Z706" s="861">
        <v>2</v>
      </c>
    </row>
    <row r="707" spans="1:27" ht="15">
      <c r="A707" s="516"/>
      <c r="B707" s="528"/>
      <c r="C707" s="465"/>
      <c r="D707" s="340"/>
      <c r="E707" s="466"/>
      <c r="F707" s="466"/>
      <c r="G707" s="466"/>
      <c r="H707" s="466"/>
      <c r="I707" s="466"/>
      <c r="J707" s="529"/>
      <c r="K707" s="467"/>
      <c r="L707" s="467"/>
      <c r="M707" s="506"/>
      <c r="N707" s="506"/>
      <c r="O707" s="341">
        <v>4</v>
      </c>
      <c r="P707" s="336" t="s">
        <v>5777</v>
      </c>
      <c r="Q707" s="461">
        <v>0</v>
      </c>
      <c r="R707" s="461"/>
      <c r="S707" s="461"/>
      <c r="T707" s="461"/>
      <c r="U707" s="461" t="s">
        <v>4125</v>
      </c>
      <c r="V707" s="461" t="s">
        <v>4125</v>
      </c>
      <c r="W707" s="461"/>
      <c r="X707" s="860"/>
      <c r="Y707" s="584"/>
      <c r="Z707" s="861">
        <v>2</v>
      </c>
    </row>
    <row r="708" spans="1:27" ht="15">
      <c r="A708" s="516"/>
      <c r="B708" s="528"/>
      <c r="C708" s="465"/>
      <c r="D708" s="340"/>
      <c r="E708" s="466"/>
      <c r="F708" s="466"/>
      <c r="G708" s="466"/>
      <c r="H708" s="466"/>
      <c r="I708" s="466"/>
      <c r="J708" s="529"/>
      <c r="K708" s="588"/>
      <c r="L708" s="588"/>
      <c r="M708" s="634"/>
      <c r="N708" s="634"/>
      <c r="O708" s="473">
        <v>5</v>
      </c>
      <c r="P708" s="463" t="s">
        <v>5778</v>
      </c>
      <c r="Q708" s="461">
        <v>0</v>
      </c>
      <c r="R708" s="461"/>
      <c r="S708" s="461"/>
      <c r="T708" s="461"/>
      <c r="U708" s="461" t="s">
        <v>4125</v>
      </c>
      <c r="V708" s="461"/>
      <c r="W708" s="461"/>
      <c r="X708" s="461"/>
      <c r="Y708" s="668"/>
      <c r="Z708" s="462" t="s">
        <v>138</v>
      </c>
    </row>
    <row r="709" spans="1:27" ht="15">
      <c r="A709" s="516"/>
      <c r="B709" s="528"/>
      <c r="C709" s="465"/>
      <c r="D709" s="340"/>
      <c r="E709" s="466"/>
      <c r="F709" s="466"/>
      <c r="G709" s="466"/>
      <c r="H709" s="466"/>
      <c r="I709" s="466"/>
      <c r="J709" s="529"/>
      <c r="K709" s="588"/>
      <c r="L709" s="588"/>
      <c r="M709" s="634"/>
      <c r="N709" s="634"/>
      <c r="O709" s="473">
        <v>6</v>
      </c>
      <c r="P709" s="463" t="s">
        <v>5779</v>
      </c>
      <c r="Q709" s="461">
        <v>0</v>
      </c>
      <c r="R709" s="461"/>
      <c r="S709" s="461"/>
      <c r="T709" s="461"/>
      <c r="U709" s="461" t="s">
        <v>4125</v>
      </c>
      <c r="V709" s="461"/>
      <c r="W709" s="461"/>
      <c r="X709" s="461"/>
      <c r="Y709" s="668"/>
      <c r="Z709" s="462" t="s">
        <v>138</v>
      </c>
    </row>
    <row r="710" spans="1:27" ht="15">
      <c r="A710" s="516"/>
      <c r="B710" s="528"/>
      <c r="C710" s="465"/>
      <c r="D710" s="340"/>
      <c r="E710" s="466"/>
      <c r="F710" s="466"/>
      <c r="G710" s="466"/>
      <c r="H710" s="466"/>
      <c r="I710" s="466"/>
      <c r="J710" s="529"/>
      <c r="K710" s="467"/>
      <c r="L710" s="467"/>
      <c r="M710" s="506"/>
      <c r="N710" s="506"/>
      <c r="O710" s="341">
        <v>7</v>
      </c>
      <c r="P710" s="336" t="s">
        <v>5780</v>
      </c>
      <c r="Q710" s="461">
        <v>0</v>
      </c>
      <c r="R710" s="585"/>
      <c r="S710" s="860"/>
      <c r="T710" s="586"/>
      <c r="U710" s="860" t="s">
        <v>4125</v>
      </c>
      <c r="V710" s="587"/>
      <c r="W710" s="586"/>
      <c r="X710" s="461"/>
      <c r="Y710" s="584"/>
      <c r="Z710" s="861">
        <v>2</v>
      </c>
    </row>
    <row r="711" spans="1:27" ht="14.25">
      <c r="A711" s="516"/>
      <c r="B711" s="528"/>
      <c r="C711" s="465"/>
      <c r="D711" s="340"/>
      <c r="E711" s="466"/>
      <c r="F711" s="466"/>
      <c r="G711" s="466"/>
      <c r="H711" s="466"/>
      <c r="I711" s="466"/>
      <c r="J711" s="529"/>
      <c r="K711" s="588"/>
      <c r="L711" s="588"/>
      <c r="M711" s="634"/>
      <c r="N711" s="634"/>
      <c r="O711" s="176">
        <v>8</v>
      </c>
      <c r="P711" s="479" t="s">
        <v>5781</v>
      </c>
      <c r="Q711" s="868">
        <v>3</v>
      </c>
      <c r="R711" s="176"/>
      <c r="S711" s="176"/>
      <c r="T711" s="176"/>
      <c r="U711" s="176" t="s">
        <v>4125</v>
      </c>
      <c r="V711" s="176"/>
      <c r="W711" s="176"/>
      <c r="X711" s="480"/>
      <c r="Y711" s="526" t="s">
        <v>5619</v>
      </c>
      <c r="Z711" s="867">
        <v>2</v>
      </c>
      <c r="AA711" s="683"/>
    </row>
    <row r="712" spans="1:27" ht="81" customHeight="1">
      <c r="A712" s="516"/>
      <c r="B712" s="528"/>
      <c r="C712" s="465"/>
      <c r="D712" s="340"/>
      <c r="E712" s="466"/>
      <c r="F712" s="466"/>
      <c r="G712" s="466"/>
      <c r="H712" s="466"/>
      <c r="I712" s="466"/>
      <c r="J712" s="529"/>
      <c r="K712" s="588"/>
      <c r="L712" s="588"/>
      <c r="M712" s="634"/>
      <c r="N712" s="634"/>
      <c r="O712" s="176">
        <v>9</v>
      </c>
      <c r="P712" s="479" t="s">
        <v>5782</v>
      </c>
      <c r="Q712" s="176">
        <v>25</v>
      </c>
      <c r="R712" s="176"/>
      <c r="S712" s="176"/>
      <c r="T712" s="176"/>
      <c r="U712" s="176" t="s">
        <v>4125</v>
      </c>
      <c r="V712" s="176"/>
      <c r="W712" s="176" t="s">
        <v>4125</v>
      </c>
      <c r="X712" s="480"/>
      <c r="Y712" s="526" t="s">
        <v>5621</v>
      </c>
      <c r="Z712" s="480" t="s">
        <v>184</v>
      </c>
      <c r="AA712" s="683"/>
    </row>
    <row r="713" spans="1:27" ht="14.25">
      <c r="A713" s="516"/>
      <c r="B713" s="528"/>
      <c r="C713" s="465"/>
      <c r="D713" s="340"/>
      <c r="E713" s="466"/>
      <c r="F713" s="466"/>
      <c r="G713" s="466"/>
      <c r="H713" s="466"/>
      <c r="I713" s="466"/>
      <c r="J713" s="529"/>
      <c r="K713" s="467"/>
      <c r="L713" s="467"/>
      <c r="M713" s="506"/>
      <c r="N713" s="506"/>
      <c r="O713" s="176">
        <v>10</v>
      </c>
      <c r="P713" s="479" t="s">
        <v>5783</v>
      </c>
      <c r="Q713" s="868">
        <v>3</v>
      </c>
      <c r="R713" s="176"/>
      <c r="S713" s="176"/>
      <c r="T713" s="176" t="s">
        <v>4125</v>
      </c>
      <c r="U713" s="176"/>
      <c r="V713" s="176"/>
      <c r="W713" s="868" t="s">
        <v>4125</v>
      </c>
      <c r="X713" s="480"/>
      <c r="Y713" s="526" t="s">
        <v>5655</v>
      </c>
      <c r="Z713" s="867">
        <v>2</v>
      </c>
      <c r="AA713" s="683"/>
    </row>
    <row r="714" spans="1:27" ht="14.25">
      <c r="A714" s="516"/>
      <c r="B714" s="528"/>
      <c r="C714" s="465"/>
      <c r="D714" s="340"/>
      <c r="E714" s="466"/>
      <c r="F714" s="466"/>
      <c r="G714" s="466"/>
      <c r="H714" s="466"/>
      <c r="I714" s="466"/>
      <c r="J714" s="529"/>
      <c r="K714" s="467"/>
      <c r="L714" s="467"/>
      <c r="M714" s="506"/>
      <c r="N714" s="506"/>
      <c r="O714" s="176">
        <v>11</v>
      </c>
      <c r="P714" s="479" t="s">
        <v>5784</v>
      </c>
      <c r="Q714" s="868">
        <v>3</v>
      </c>
      <c r="R714" s="176"/>
      <c r="S714" s="176"/>
      <c r="T714" s="176" t="s">
        <v>4125</v>
      </c>
      <c r="U714" s="176"/>
      <c r="V714" s="176"/>
      <c r="W714" s="868" t="s">
        <v>4125</v>
      </c>
      <c r="X714" s="480"/>
      <c r="Y714" s="526" t="s">
        <v>5657</v>
      </c>
      <c r="Z714" s="867">
        <v>2</v>
      </c>
      <c r="AA714" s="683"/>
    </row>
    <row r="715" spans="1:27" ht="14.25">
      <c r="A715" s="516"/>
      <c r="B715" s="528"/>
      <c r="C715" s="465"/>
      <c r="D715" s="340"/>
      <c r="E715" s="466"/>
      <c r="F715" s="466"/>
      <c r="G715" s="466"/>
      <c r="H715" s="466"/>
      <c r="I715" s="466"/>
      <c r="J715" s="529"/>
      <c r="K715" s="467"/>
      <c r="L715" s="467"/>
      <c r="M715" s="506"/>
      <c r="N715" s="506"/>
      <c r="O715" s="176">
        <v>12</v>
      </c>
      <c r="P715" s="479" t="s">
        <v>5785</v>
      </c>
      <c r="Q715" s="868">
        <v>3</v>
      </c>
      <c r="R715" s="176"/>
      <c r="S715" s="176"/>
      <c r="T715" s="176" t="s">
        <v>4125</v>
      </c>
      <c r="U715" s="176"/>
      <c r="V715" s="176"/>
      <c r="W715" s="868" t="s">
        <v>4125</v>
      </c>
      <c r="X715" s="480"/>
      <c r="Y715" s="526" t="s">
        <v>5741</v>
      </c>
      <c r="Z715" s="867">
        <v>2</v>
      </c>
      <c r="AA715" s="683"/>
    </row>
    <row r="716" spans="1:27" ht="14.25">
      <c r="A716" s="516"/>
      <c r="B716" s="528"/>
      <c r="C716" s="465"/>
      <c r="D716" s="340"/>
      <c r="E716" s="466"/>
      <c r="F716" s="466"/>
      <c r="G716" s="466"/>
      <c r="H716" s="466"/>
      <c r="I716" s="466"/>
      <c r="J716" s="529"/>
      <c r="K716" s="467"/>
      <c r="L716" s="467"/>
      <c r="M716" s="506"/>
      <c r="N716" s="506"/>
      <c r="O716" s="176">
        <v>13</v>
      </c>
      <c r="P716" s="479" t="s">
        <v>5786</v>
      </c>
      <c r="Q716" s="176">
        <v>5</v>
      </c>
      <c r="R716" s="176"/>
      <c r="S716" s="176"/>
      <c r="T716" s="176" t="s">
        <v>4125</v>
      </c>
      <c r="U716" s="176"/>
      <c r="V716" s="176"/>
      <c r="W716" s="868" t="s">
        <v>4125</v>
      </c>
      <c r="X716" s="480"/>
      <c r="Y716" s="526" t="s">
        <v>5787</v>
      </c>
      <c r="Z716" s="867">
        <v>2</v>
      </c>
      <c r="AA716" s="683"/>
    </row>
    <row r="717" spans="1:27" ht="81.75" customHeight="1">
      <c r="A717" s="516"/>
      <c r="B717" s="528"/>
      <c r="C717" s="465"/>
      <c r="D717" s="340"/>
      <c r="E717" s="466"/>
      <c r="F717" s="466"/>
      <c r="G717" s="466"/>
      <c r="H717" s="466"/>
      <c r="I717" s="466"/>
      <c r="J717" s="529"/>
      <c r="K717" s="588"/>
      <c r="L717" s="588"/>
      <c r="M717" s="634"/>
      <c r="N717" s="634"/>
      <c r="O717" s="176">
        <v>14</v>
      </c>
      <c r="P717" s="479" t="s">
        <v>5788</v>
      </c>
      <c r="Q717" s="176">
        <v>300</v>
      </c>
      <c r="R717" s="176"/>
      <c r="S717" s="176"/>
      <c r="T717" s="176" t="s">
        <v>4125</v>
      </c>
      <c r="U717" s="176"/>
      <c r="V717" s="176"/>
      <c r="W717" s="176" t="s">
        <v>4125</v>
      </c>
      <c r="X717" s="480"/>
      <c r="Y717" s="526" t="s">
        <v>5789</v>
      </c>
      <c r="Z717" s="480" t="s">
        <v>138</v>
      </c>
    </row>
    <row r="718" spans="1:27" ht="81.75" customHeight="1">
      <c r="A718" s="516"/>
      <c r="B718" s="528"/>
      <c r="C718" s="465"/>
      <c r="D718" s="340"/>
      <c r="E718" s="466"/>
      <c r="F718" s="466"/>
      <c r="G718" s="466"/>
      <c r="H718" s="466"/>
      <c r="I718" s="466"/>
      <c r="J718" s="529"/>
      <c r="K718" s="588"/>
      <c r="L718" s="588"/>
      <c r="M718" s="634"/>
      <c r="N718" s="634"/>
      <c r="O718" s="176">
        <v>15</v>
      </c>
      <c r="P718" s="479" t="s">
        <v>5790</v>
      </c>
      <c r="Q718" s="176">
        <v>120</v>
      </c>
      <c r="R718" s="176"/>
      <c r="S718" s="176"/>
      <c r="T718" s="176" t="s">
        <v>4125</v>
      </c>
      <c r="U718" s="176"/>
      <c r="V718" s="176"/>
      <c r="W718" s="176" t="s">
        <v>4125</v>
      </c>
      <c r="X718" s="480"/>
      <c r="Y718" s="526" t="s">
        <v>5791</v>
      </c>
      <c r="Z718" s="480" t="s">
        <v>138</v>
      </c>
      <c r="AA718" s="683"/>
    </row>
    <row r="719" spans="1:27" ht="14.25">
      <c r="A719" s="516"/>
      <c r="B719" s="528"/>
      <c r="C719" s="465"/>
      <c r="D719" s="340"/>
      <c r="E719" s="466"/>
      <c r="F719" s="466"/>
      <c r="G719" s="466"/>
      <c r="H719" s="466"/>
      <c r="I719" s="466"/>
      <c r="J719" s="529"/>
      <c r="K719" s="588"/>
      <c r="L719" s="588"/>
      <c r="M719" s="634"/>
      <c r="N719" s="634"/>
      <c r="O719" s="176">
        <v>16</v>
      </c>
      <c r="P719" s="479" t="s">
        <v>5792</v>
      </c>
      <c r="Q719" s="176">
        <v>5</v>
      </c>
      <c r="R719" s="176"/>
      <c r="S719" s="176"/>
      <c r="T719" s="176" t="s">
        <v>4125</v>
      </c>
      <c r="U719" s="176"/>
      <c r="V719" s="176"/>
      <c r="W719" s="176" t="s">
        <v>4125</v>
      </c>
      <c r="X719" s="480"/>
      <c r="Y719" s="526" t="s">
        <v>5793</v>
      </c>
      <c r="Z719" s="480" t="s">
        <v>138</v>
      </c>
      <c r="AA719" s="683"/>
    </row>
    <row r="720" spans="1:27" s="154" customFormat="1" ht="14.25">
      <c r="A720" s="525"/>
      <c r="B720" s="490"/>
      <c r="C720" s="491"/>
      <c r="D720" s="345"/>
      <c r="E720" s="405"/>
      <c r="F720" s="405"/>
      <c r="G720" s="405"/>
      <c r="H720" s="405"/>
      <c r="I720" s="405"/>
      <c r="J720" s="405"/>
      <c r="K720" s="492"/>
      <c r="L720" s="492"/>
      <c r="M720" s="493"/>
      <c r="N720" s="494"/>
      <c r="O720" s="492"/>
      <c r="P720" s="491"/>
      <c r="Q720" s="405"/>
      <c r="R720" s="495"/>
      <c r="S720" s="496"/>
      <c r="T720" s="496"/>
      <c r="U720" s="496"/>
      <c r="V720" s="497"/>
      <c r="W720" s="497"/>
      <c r="X720" s="497"/>
      <c r="Y720" s="498"/>
      <c r="Z720" s="308"/>
      <c r="AA720" s="683"/>
    </row>
    <row r="721" spans="1:27" s="154" customFormat="1" ht="14.25">
      <c r="A721" s="500" t="s">
        <v>5794</v>
      </c>
      <c r="B721" s="310" t="s">
        <v>566</v>
      </c>
      <c r="C721" s="327" t="s">
        <v>5795</v>
      </c>
      <c r="D721" s="456" t="s">
        <v>4978</v>
      </c>
      <c r="E721" s="322">
        <v>0</v>
      </c>
      <c r="F721" s="322">
        <v>100</v>
      </c>
      <c r="G721" s="322" t="s">
        <v>41</v>
      </c>
      <c r="H721" s="322">
        <v>40</v>
      </c>
      <c r="I721" s="322">
        <v>100</v>
      </c>
      <c r="J721" s="483">
        <v>216</v>
      </c>
      <c r="K721" s="779" t="s">
        <v>4125</v>
      </c>
      <c r="L721" s="779" t="s">
        <v>4125</v>
      </c>
      <c r="M721" s="778" t="s">
        <v>4979</v>
      </c>
      <c r="N721" s="778" t="s">
        <v>4980</v>
      </c>
      <c r="O721" s="590"/>
      <c r="P721" s="472"/>
      <c r="Q721" s="473"/>
      <c r="R721" s="472"/>
      <c r="S721" s="473"/>
      <c r="T721" s="473"/>
      <c r="U721" s="473"/>
      <c r="V721" s="474"/>
      <c r="W721" s="474"/>
      <c r="X721" s="474"/>
      <c r="Y721" s="526"/>
      <c r="Z721" s="474">
        <v>1</v>
      </c>
      <c r="AA721" s="141"/>
    </row>
    <row r="722" spans="1:27" ht="15">
      <c r="A722" s="514"/>
      <c r="B722" s="507"/>
      <c r="C722" s="330"/>
      <c r="D722" s="459"/>
      <c r="E722" s="341"/>
      <c r="F722" s="341"/>
      <c r="G722" s="341"/>
      <c r="H722" s="341"/>
      <c r="I722" s="341"/>
      <c r="J722" s="523"/>
      <c r="K722" s="590"/>
      <c r="L722" s="590"/>
      <c r="M722" s="589" t="s">
        <v>4368</v>
      </c>
      <c r="N722" s="589" t="s">
        <v>4369</v>
      </c>
      <c r="O722" s="590">
        <v>1</v>
      </c>
      <c r="P722" s="472" t="s">
        <v>5796</v>
      </c>
      <c r="Q722" s="473">
        <v>0</v>
      </c>
      <c r="R722" s="461"/>
      <c r="S722" s="461"/>
      <c r="T722" s="461"/>
      <c r="U722" s="461" t="s">
        <v>4125</v>
      </c>
      <c r="V722" s="461"/>
      <c r="W722" s="461"/>
      <c r="X722" s="461"/>
      <c r="Y722" s="668"/>
      <c r="Z722" s="462" t="s">
        <v>138</v>
      </c>
    </row>
    <row r="723" spans="1:27" ht="15">
      <c r="A723" s="457"/>
      <c r="B723" s="458"/>
      <c r="C723" s="524"/>
      <c r="D723" s="459"/>
      <c r="E723" s="341"/>
      <c r="F723" s="341"/>
      <c r="G723" s="341"/>
      <c r="H723" s="341"/>
      <c r="I723" s="341"/>
      <c r="J723" s="523"/>
      <c r="K723" s="342"/>
      <c r="L723" s="342"/>
      <c r="M723" s="460"/>
      <c r="N723" s="460"/>
      <c r="O723" s="342">
        <v>2</v>
      </c>
      <c r="P723" s="336" t="s">
        <v>5797</v>
      </c>
      <c r="Q723" s="461">
        <v>0</v>
      </c>
      <c r="R723" s="461"/>
      <c r="S723" s="461"/>
      <c r="T723" s="461"/>
      <c r="U723" s="461" t="s">
        <v>4125</v>
      </c>
      <c r="V723" s="461"/>
      <c r="W723" s="461"/>
      <c r="X723" s="860"/>
      <c r="Y723" s="584"/>
      <c r="Z723" s="861">
        <v>2</v>
      </c>
    </row>
    <row r="724" spans="1:27" ht="15">
      <c r="A724" s="514"/>
      <c r="B724" s="515"/>
      <c r="C724" s="336"/>
      <c r="D724" s="331"/>
      <c r="E724" s="332"/>
      <c r="F724" s="332"/>
      <c r="G724" s="332"/>
      <c r="H724" s="332"/>
      <c r="I724" s="332"/>
      <c r="J724" s="527"/>
      <c r="K724" s="333"/>
      <c r="L724" s="333"/>
      <c r="M724" s="509"/>
      <c r="N724" s="509"/>
      <c r="O724" s="342">
        <v>3</v>
      </c>
      <c r="P724" s="336" t="s">
        <v>5798</v>
      </c>
      <c r="Q724" s="461">
        <v>0</v>
      </c>
      <c r="R724" s="461"/>
      <c r="S724" s="461"/>
      <c r="T724" s="461"/>
      <c r="U724" s="461" t="s">
        <v>4125</v>
      </c>
      <c r="V724" s="461"/>
      <c r="W724" s="461"/>
      <c r="X724" s="860"/>
      <c r="Y724" s="584"/>
      <c r="Z724" s="861">
        <v>2</v>
      </c>
    </row>
    <row r="725" spans="1:27" ht="15">
      <c r="A725" s="516"/>
      <c r="B725" s="528"/>
      <c r="C725" s="465"/>
      <c r="D725" s="340"/>
      <c r="E725" s="466"/>
      <c r="F725" s="466"/>
      <c r="G725" s="466"/>
      <c r="H725" s="466"/>
      <c r="I725" s="466"/>
      <c r="J725" s="529"/>
      <c r="K725" s="467"/>
      <c r="L725" s="467"/>
      <c r="M725" s="506"/>
      <c r="N725" s="506"/>
      <c r="O725" s="341">
        <v>4</v>
      </c>
      <c r="P725" s="336" t="s">
        <v>5799</v>
      </c>
      <c r="Q725" s="461">
        <v>0</v>
      </c>
      <c r="R725" s="461"/>
      <c r="S725" s="461"/>
      <c r="T725" s="461"/>
      <c r="U725" s="461" t="s">
        <v>4125</v>
      </c>
      <c r="V725" s="461" t="s">
        <v>4125</v>
      </c>
      <c r="W725" s="461"/>
      <c r="X725" s="860"/>
      <c r="Y725" s="584"/>
      <c r="Z725" s="861">
        <v>2</v>
      </c>
    </row>
    <row r="726" spans="1:27" ht="15">
      <c r="A726" s="516"/>
      <c r="B726" s="528"/>
      <c r="C726" s="465"/>
      <c r="D726" s="340"/>
      <c r="E726" s="466"/>
      <c r="F726" s="466"/>
      <c r="G726" s="466"/>
      <c r="H726" s="466"/>
      <c r="I726" s="466"/>
      <c r="J726" s="529"/>
      <c r="K726" s="588"/>
      <c r="L726" s="588"/>
      <c r="M726" s="634"/>
      <c r="N726" s="634"/>
      <c r="O726" s="473">
        <v>5</v>
      </c>
      <c r="P726" s="463" t="s">
        <v>5800</v>
      </c>
      <c r="Q726" s="461">
        <v>0</v>
      </c>
      <c r="R726" s="461"/>
      <c r="S726" s="461"/>
      <c r="T726" s="461"/>
      <c r="U726" s="461" t="s">
        <v>4125</v>
      </c>
      <c r="V726" s="461"/>
      <c r="W726" s="461"/>
      <c r="X726" s="461"/>
      <c r="Y726" s="668"/>
      <c r="Z726" s="462" t="s">
        <v>138</v>
      </c>
    </row>
    <row r="727" spans="1:27" ht="15">
      <c r="A727" s="516"/>
      <c r="B727" s="528"/>
      <c r="C727" s="465"/>
      <c r="D727" s="340"/>
      <c r="E727" s="466"/>
      <c r="F727" s="466"/>
      <c r="G727" s="466"/>
      <c r="H727" s="466"/>
      <c r="I727" s="466"/>
      <c r="J727" s="529"/>
      <c r="K727" s="588"/>
      <c r="L727" s="588"/>
      <c r="M727" s="634"/>
      <c r="N727" s="634"/>
      <c r="O727" s="473">
        <v>6</v>
      </c>
      <c r="P727" s="463" t="s">
        <v>5801</v>
      </c>
      <c r="Q727" s="461">
        <v>0</v>
      </c>
      <c r="R727" s="461"/>
      <c r="S727" s="461"/>
      <c r="T727" s="461"/>
      <c r="U727" s="461" t="s">
        <v>4125</v>
      </c>
      <c r="V727" s="461"/>
      <c r="W727" s="461"/>
      <c r="X727" s="461"/>
      <c r="Y727" s="668"/>
      <c r="Z727" s="462" t="s">
        <v>138</v>
      </c>
    </row>
    <row r="728" spans="1:27" ht="15">
      <c r="A728" s="516"/>
      <c r="B728" s="528"/>
      <c r="C728" s="465"/>
      <c r="D728" s="340"/>
      <c r="E728" s="466"/>
      <c r="F728" s="466"/>
      <c r="G728" s="466"/>
      <c r="H728" s="466"/>
      <c r="I728" s="466"/>
      <c r="J728" s="529"/>
      <c r="K728" s="467"/>
      <c r="L728" s="467"/>
      <c r="M728" s="506"/>
      <c r="N728" s="506"/>
      <c r="O728" s="341">
        <v>7</v>
      </c>
      <c r="P728" s="336" t="s">
        <v>5802</v>
      </c>
      <c r="Q728" s="461">
        <v>0</v>
      </c>
      <c r="R728" s="585"/>
      <c r="S728" s="860"/>
      <c r="T728" s="586"/>
      <c r="U728" s="860" t="s">
        <v>4125</v>
      </c>
      <c r="V728" s="587"/>
      <c r="W728" s="586"/>
      <c r="X728" s="461"/>
      <c r="Y728" s="584"/>
      <c r="Z728" s="861">
        <v>2</v>
      </c>
    </row>
    <row r="729" spans="1:27" ht="14.25">
      <c r="A729" s="516"/>
      <c r="B729" s="528"/>
      <c r="C729" s="465"/>
      <c r="D729" s="340"/>
      <c r="E729" s="466"/>
      <c r="F729" s="466"/>
      <c r="G729" s="466"/>
      <c r="H729" s="466"/>
      <c r="I729" s="466"/>
      <c r="J729" s="529"/>
      <c r="K729" s="588"/>
      <c r="L729" s="588"/>
      <c r="M729" s="634"/>
      <c r="N729" s="634"/>
      <c r="O729" s="176">
        <v>8</v>
      </c>
      <c r="P729" s="479" t="s">
        <v>5803</v>
      </c>
      <c r="Q729" s="868">
        <v>3</v>
      </c>
      <c r="R729" s="176"/>
      <c r="S729" s="176"/>
      <c r="T729" s="176"/>
      <c r="U729" s="176" t="s">
        <v>4125</v>
      </c>
      <c r="V729" s="176"/>
      <c r="W729" s="176"/>
      <c r="X729" s="480"/>
      <c r="Y729" s="526" t="s">
        <v>5619</v>
      </c>
      <c r="Z729" s="867">
        <v>2</v>
      </c>
      <c r="AA729" s="683"/>
    </row>
    <row r="730" spans="1:27" ht="76.5" customHeight="1">
      <c r="A730" s="516"/>
      <c r="B730" s="528"/>
      <c r="C730" s="465"/>
      <c r="D730" s="340"/>
      <c r="E730" s="466"/>
      <c r="F730" s="466"/>
      <c r="G730" s="466"/>
      <c r="H730" s="466"/>
      <c r="I730" s="466"/>
      <c r="J730" s="529"/>
      <c r="K730" s="588"/>
      <c r="L730" s="588"/>
      <c r="M730" s="634"/>
      <c r="N730" s="634"/>
      <c r="O730" s="176">
        <v>9</v>
      </c>
      <c r="P730" s="479" t="s">
        <v>5804</v>
      </c>
      <c r="Q730" s="176">
        <v>25</v>
      </c>
      <c r="R730" s="176"/>
      <c r="S730" s="176"/>
      <c r="T730" s="176"/>
      <c r="U730" s="176" t="s">
        <v>4125</v>
      </c>
      <c r="V730" s="176"/>
      <c r="W730" s="176" t="s">
        <v>4125</v>
      </c>
      <c r="X730" s="480"/>
      <c r="Y730" s="526" t="s">
        <v>5621</v>
      </c>
      <c r="Z730" s="480" t="s">
        <v>184</v>
      </c>
      <c r="AA730" s="683"/>
    </row>
    <row r="731" spans="1:27" ht="14.25">
      <c r="A731" s="516"/>
      <c r="B731" s="528"/>
      <c r="C731" s="465"/>
      <c r="D731" s="340"/>
      <c r="E731" s="466"/>
      <c r="F731" s="466"/>
      <c r="G731" s="466"/>
      <c r="H731" s="466"/>
      <c r="I731" s="466"/>
      <c r="J731" s="529"/>
      <c r="K731" s="467"/>
      <c r="L731" s="467"/>
      <c r="M731" s="506"/>
      <c r="N731" s="506"/>
      <c r="O731" s="176">
        <v>10</v>
      </c>
      <c r="P731" s="479" t="s">
        <v>5805</v>
      </c>
      <c r="Q731" s="868">
        <v>3</v>
      </c>
      <c r="R731" s="176"/>
      <c r="S731" s="176"/>
      <c r="T731" s="176" t="s">
        <v>4125</v>
      </c>
      <c r="U731" s="176"/>
      <c r="V731" s="176"/>
      <c r="W731" s="868" t="s">
        <v>4125</v>
      </c>
      <c r="X731" s="480"/>
      <c r="Y731" s="526" t="s">
        <v>5655</v>
      </c>
      <c r="Z731" s="867">
        <v>2</v>
      </c>
      <c r="AA731" s="683"/>
    </row>
    <row r="732" spans="1:27" ht="14.25">
      <c r="A732" s="516"/>
      <c r="B732" s="528"/>
      <c r="C732" s="465"/>
      <c r="D732" s="340"/>
      <c r="E732" s="466"/>
      <c r="F732" s="466"/>
      <c r="G732" s="466"/>
      <c r="H732" s="466"/>
      <c r="I732" s="466"/>
      <c r="J732" s="529"/>
      <c r="K732" s="467"/>
      <c r="L732" s="467"/>
      <c r="M732" s="506"/>
      <c r="N732" s="506"/>
      <c r="O732" s="176">
        <v>11</v>
      </c>
      <c r="P732" s="479" t="s">
        <v>5806</v>
      </c>
      <c r="Q732" s="868">
        <v>3</v>
      </c>
      <c r="R732" s="176"/>
      <c r="S732" s="176"/>
      <c r="T732" s="176" t="s">
        <v>4125</v>
      </c>
      <c r="U732" s="176"/>
      <c r="V732" s="176"/>
      <c r="W732" s="868" t="s">
        <v>4125</v>
      </c>
      <c r="X732" s="480"/>
      <c r="Y732" s="526" t="s">
        <v>5657</v>
      </c>
      <c r="Z732" s="867">
        <v>2</v>
      </c>
      <c r="AA732" s="683"/>
    </row>
    <row r="733" spans="1:27" ht="14.25">
      <c r="A733" s="516"/>
      <c r="B733" s="528"/>
      <c r="C733" s="465"/>
      <c r="D733" s="340"/>
      <c r="E733" s="466"/>
      <c r="F733" s="466"/>
      <c r="G733" s="466"/>
      <c r="H733" s="466"/>
      <c r="I733" s="466"/>
      <c r="J733" s="529"/>
      <c r="K733" s="467"/>
      <c r="L733" s="467"/>
      <c r="M733" s="506"/>
      <c r="N733" s="506"/>
      <c r="O733" s="176">
        <v>12</v>
      </c>
      <c r="P733" s="479" t="s">
        <v>5807</v>
      </c>
      <c r="Q733" s="868">
        <v>3</v>
      </c>
      <c r="R733" s="176"/>
      <c r="S733" s="176"/>
      <c r="T733" s="176" t="s">
        <v>4125</v>
      </c>
      <c r="U733" s="176"/>
      <c r="V733" s="176"/>
      <c r="W733" s="868" t="s">
        <v>4125</v>
      </c>
      <c r="X733" s="480"/>
      <c r="Y733" s="526" t="s">
        <v>5741</v>
      </c>
      <c r="Z733" s="867">
        <v>2</v>
      </c>
      <c r="AA733" s="683"/>
    </row>
    <row r="734" spans="1:27" ht="14.25">
      <c r="A734" s="516"/>
      <c r="B734" s="528"/>
      <c r="C734" s="465"/>
      <c r="D734" s="340"/>
      <c r="E734" s="466"/>
      <c r="F734" s="466"/>
      <c r="G734" s="466"/>
      <c r="H734" s="466"/>
      <c r="I734" s="466"/>
      <c r="J734" s="529"/>
      <c r="K734" s="467"/>
      <c r="L734" s="467"/>
      <c r="M734" s="506"/>
      <c r="N734" s="506"/>
      <c r="O734" s="176">
        <v>13</v>
      </c>
      <c r="P734" s="479" t="s">
        <v>5786</v>
      </c>
      <c r="Q734" s="176">
        <v>5</v>
      </c>
      <c r="R734" s="176"/>
      <c r="S734" s="176"/>
      <c r="T734" s="176" t="s">
        <v>4125</v>
      </c>
      <c r="U734" s="176"/>
      <c r="V734" s="176"/>
      <c r="W734" s="868" t="s">
        <v>4125</v>
      </c>
      <c r="X734" s="480"/>
      <c r="Y734" s="526" t="s">
        <v>5787</v>
      </c>
      <c r="Z734" s="867">
        <v>2</v>
      </c>
      <c r="AA734" s="683"/>
    </row>
    <row r="735" spans="1:27" ht="78.75" customHeight="1">
      <c r="A735" s="516"/>
      <c r="B735" s="528"/>
      <c r="C735" s="465"/>
      <c r="D735" s="340"/>
      <c r="E735" s="466"/>
      <c r="F735" s="466"/>
      <c r="G735" s="466"/>
      <c r="H735" s="466"/>
      <c r="I735" s="466"/>
      <c r="J735" s="529"/>
      <c r="K735" s="588"/>
      <c r="L735" s="588"/>
      <c r="M735" s="634"/>
      <c r="N735" s="634"/>
      <c r="O735" s="176">
        <v>14</v>
      </c>
      <c r="P735" s="479" t="s">
        <v>5788</v>
      </c>
      <c r="Q735" s="176">
        <v>300</v>
      </c>
      <c r="R735" s="176"/>
      <c r="S735" s="176"/>
      <c r="T735" s="176" t="s">
        <v>4125</v>
      </c>
      <c r="U735" s="176"/>
      <c r="V735" s="176"/>
      <c r="W735" s="176" t="s">
        <v>4125</v>
      </c>
      <c r="X735" s="480"/>
      <c r="Y735" s="526" t="s">
        <v>5789</v>
      </c>
      <c r="Z735" s="480" t="s">
        <v>138</v>
      </c>
      <c r="AA735" s="683"/>
    </row>
    <row r="736" spans="1:27" ht="78.75" customHeight="1">
      <c r="A736" s="516"/>
      <c r="B736" s="528"/>
      <c r="C736" s="465"/>
      <c r="D736" s="340"/>
      <c r="E736" s="466"/>
      <c r="F736" s="466"/>
      <c r="G736" s="466"/>
      <c r="H736" s="466"/>
      <c r="I736" s="466"/>
      <c r="J736" s="529"/>
      <c r="K736" s="588"/>
      <c r="L736" s="588"/>
      <c r="M736" s="634"/>
      <c r="N736" s="634"/>
      <c r="O736" s="176">
        <v>15</v>
      </c>
      <c r="P736" s="479" t="s">
        <v>5790</v>
      </c>
      <c r="Q736" s="176">
        <v>120</v>
      </c>
      <c r="R736" s="176"/>
      <c r="S736" s="176"/>
      <c r="T736" s="176" t="s">
        <v>4125</v>
      </c>
      <c r="U736" s="176"/>
      <c r="V736" s="176"/>
      <c r="W736" s="176" t="s">
        <v>4125</v>
      </c>
      <c r="X736" s="480"/>
      <c r="Y736" s="526" t="s">
        <v>5791</v>
      </c>
      <c r="Z736" s="480" t="s">
        <v>138</v>
      </c>
      <c r="AA736" s="683"/>
    </row>
    <row r="737" spans="1:27" ht="14.25">
      <c r="A737" s="516"/>
      <c r="B737" s="528"/>
      <c r="C737" s="465"/>
      <c r="D737" s="340"/>
      <c r="E737" s="466"/>
      <c r="F737" s="466"/>
      <c r="G737" s="466"/>
      <c r="H737" s="466"/>
      <c r="I737" s="466"/>
      <c r="J737" s="529"/>
      <c r="K737" s="588"/>
      <c r="L737" s="588"/>
      <c r="M737" s="634"/>
      <c r="N737" s="634"/>
      <c r="O737" s="176">
        <v>16</v>
      </c>
      <c r="P737" s="479" t="s">
        <v>5792</v>
      </c>
      <c r="Q737" s="176">
        <v>5</v>
      </c>
      <c r="R737" s="176"/>
      <c r="S737" s="176"/>
      <c r="T737" s="176" t="s">
        <v>4125</v>
      </c>
      <c r="U737" s="176"/>
      <c r="V737" s="176"/>
      <c r="W737" s="176" t="s">
        <v>4125</v>
      </c>
      <c r="X737" s="480"/>
      <c r="Y737" s="526" t="s">
        <v>5793</v>
      </c>
      <c r="Z737" s="480" t="s">
        <v>138</v>
      </c>
      <c r="AA737" s="683"/>
    </row>
    <row r="738" spans="1:27" s="154" customFormat="1" ht="14.25">
      <c r="A738" s="525"/>
      <c r="B738" s="490"/>
      <c r="C738" s="491"/>
      <c r="D738" s="345"/>
      <c r="E738" s="405"/>
      <c r="F738" s="405"/>
      <c r="G738" s="405"/>
      <c r="H738" s="405"/>
      <c r="I738" s="405"/>
      <c r="J738" s="405"/>
      <c r="K738" s="492"/>
      <c r="L738" s="492"/>
      <c r="M738" s="493"/>
      <c r="N738" s="494"/>
      <c r="O738" s="492"/>
      <c r="P738" s="491"/>
      <c r="Q738" s="405"/>
      <c r="R738" s="495"/>
      <c r="S738" s="496"/>
      <c r="T738" s="496"/>
      <c r="U738" s="496"/>
      <c r="V738" s="497"/>
      <c r="W738" s="497"/>
      <c r="X738" s="497"/>
      <c r="Y738" s="498"/>
      <c r="Z738" s="308"/>
      <c r="AA738" s="683"/>
    </row>
    <row r="739" spans="1:27" s="154" customFormat="1" ht="28.5">
      <c r="A739" s="501" t="s">
        <v>5808</v>
      </c>
      <c r="B739" s="310" t="s">
        <v>566</v>
      </c>
      <c r="C739" s="327" t="s">
        <v>5809</v>
      </c>
      <c r="D739" s="456" t="s">
        <v>4978</v>
      </c>
      <c r="E739" s="322">
        <v>0</v>
      </c>
      <c r="F739" s="322">
        <v>100</v>
      </c>
      <c r="G739" s="322" t="s">
        <v>41</v>
      </c>
      <c r="H739" s="322">
        <v>40</v>
      </c>
      <c r="I739" s="322">
        <v>100</v>
      </c>
      <c r="J739" s="483">
        <v>776</v>
      </c>
      <c r="K739" s="779" t="s">
        <v>4125</v>
      </c>
      <c r="L739" s="779" t="s">
        <v>4125</v>
      </c>
      <c r="M739" s="778" t="s">
        <v>4979</v>
      </c>
      <c r="N739" s="778" t="s">
        <v>4980</v>
      </c>
      <c r="O739" s="779"/>
      <c r="P739" s="482"/>
      <c r="Q739" s="483"/>
      <c r="R739" s="482"/>
      <c r="S739" s="483"/>
      <c r="T739" s="483"/>
      <c r="U739" s="483"/>
      <c r="V739" s="484"/>
      <c r="W739" s="484"/>
      <c r="X739" s="484"/>
      <c r="Y739" s="793"/>
      <c r="Z739" s="484">
        <v>1</v>
      </c>
      <c r="AA739" s="141"/>
    </row>
    <row r="740" spans="1:27" ht="15">
      <c r="A740" s="514"/>
      <c r="B740" s="507"/>
      <c r="C740" s="330"/>
      <c r="D740" s="459"/>
      <c r="E740" s="341"/>
      <c r="F740" s="341"/>
      <c r="G740" s="341"/>
      <c r="H740" s="341"/>
      <c r="I740" s="341"/>
      <c r="J740" s="523"/>
      <c r="K740" s="590"/>
      <c r="L740" s="590"/>
      <c r="M740" s="589" t="s">
        <v>4217</v>
      </c>
      <c r="N740" s="589" t="s">
        <v>4376</v>
      </c>
      <c r="O740" s="590">
        <v>1</v>
      </c>
      <c r="P740" s="472" t="s">
        <v>5810</v>
      </c>
      <c r="Q740" s="473">
        <v>0</v>
      </c>
      <c r="R740" s="461"/>
      <c r="S740" s="461"/>
      <c r="T740" s="461"/>
      <c r="U740" s="461" t="s">
        <v>4125</v>
      </c>
      <c r="V740" s="461"/>
      <c r="W740" s="461"/>
      <c r="X740" s="461"/>
      <c r="Y740" s="668"/>
      <c r="Z740" s="462" t="s">
        <v>138</v>
      </c>
    </row>
    <row r="741" spans="1:27" ht="15">
      <c r="A741" s="457"/>
      <c r="B741" s="458"/>
      <c r="C741" s="524"/>
      <c r="D741" s="459"/>
      <c r="E741" s="341"/>
      <c r="F741" s="341"/>
      <c r="G741" s="341"/>
      <c r="H741" s="341"/>
      <c r="I741" s="341"/>
      <c r="J741" s="523"/>
      <c r="K741" s="342"/>
      <c r="L741" s="342"/>
      <c r="M741" s="460"/>
      <c r="N741" s="460"/>
      <c r="O741" s="342">
        <v>2</v>
      </c>
      <c r="P741" s="336" t="s">
        <v>5811</v>
      </c>
      <c r="Q741" s="461">
        <v>0</v>
      </c>
      <c r="R741" s="461"/>
      <c r="S741" s="461"/>
      <c r="T741" s="461"/>
      <c r="U741" s="461" t="s">
        <v>4125</v>
      </c>
      <c r="V741" s="461"/>
      <c r="W741" s="461"/>
      <c r="X741" s="860"/>
      <c r="Y741" s="584"/>
      <c r="Z741" s="861">
        <v>2</v>
      </c>
    </row>
    <row r="742" spans="1:27" ht="15">
      <c r="A742" s="514"/>
      <c r="B742" s="515"/>
      <c r="C742" s="336"/>
      <c r="D742" s="331"/>
      <c r="E742" s="332"/>
      <c r="F742" s="332"/>
      <c r="G742" s="332"/>
      <c r="H742" s="332"/>
      <c r="I742" s="332"/>
      <c r="J742" s="527"/>
      <c r="K742" s="333"/>
      <c r="L742" s="333"/>
      <c r="M742" s="509"/>
      <c r="N742" s="509"/>
      <c r="O742" s="342">
        <v>3</v>
      </c>
      <c r="P742" s="336" t="s">
        <v>5812</v>
      </c>
      <c r="Q742" s="461">
        <v>0</v>
      </c>
      <c r="R742" s="461"/>
      <c r="S742" s="461"/>
      <c r="T742" s="461"/>
      <c r="U742" s="461" t="s">
        <v>4125</v>
      </c>
      <c r="V742" s="461"/>
      <c r="W742" s="461"/>
      <c r="X742" s="860"/>
      <c r="Y742" s="584"/>
      <c r="Z742" s="861">
        <v>2</v>
      </c>
    </row>
    <row r="743" spans="1:27" ht="15">
      <c r="A743" s="516"/>
      <c r="B743" s="528"/>
      <c r="C743" s="465"/>
      <c r="D743" s="340"/>
      <c r="E743" s="466"/>
      <c r="F743" s="466"/>
      <c r="G743" s="466"/>
      <c r="H743" s="466"/>
      <c r="I743" s="466"/>
      <c r="J743" s="529"/>
      <c r="K743" s="467"/>
      <c r="L743" s="467"/>
      <c r="M743" s="506"/>
      <c r="N743" s="506"/>
      <c r="O743" s="341">
        <v>4</v>
      </c>
      <c r="P743" s="336" t="s">
        <v>5813</v>
      </c>
      <c r="Q743" s="461">
        <v>0</v>
      </c>
      <c r="R743" s="461"/>
      <c r="S743" s="461"/>
      <c r="T743" s="461"/>
      <c r="U743" s="461" t="s">
        <v>4125</v>
      </c>
      <c r="V743" s="461" t="s">
        <v>4125</v>
      </c>
      <c r="W743" s="461"/>
      <c r="X743" s="860"/>
      <c r="Y743" s="584"/>
      <c r="Z743" s="861">
        <v>2</v>
      </c>
    </row>
    <row r="744" spans="1:27" ht="15">
      <c r="A744" s="516"/>
      <c r="B744" s="528"/>
      <c r="C744" s="465"/>
      <c r="D744" s="340"/>
      <c r="E744" s="466"/>
      <c r="F744" s="466"/>
      <c r="G744" s="466"/>
      <c r="H744" s="466"/>
      <c r="I744" s="466"/>
      <c r="J744" s="529"/>
      <c r="K744" s="588"/>
      <c r="L744" s="588"/>
      <c r="M744" s="634"/>
      <c r="N744" s="634"/>
      <c r="O744" s="473">
        <v>5</v>
      </c>
      <c r="P744" s="463" t="s">
        <v>5814</v>
      </c>
      <c r="Q744" s="461">
        <v>0</v>
      </c>
      <c r="R744" s="461"/>
      <c r="S744" s="461"/>
      <c r="T744" s="461"/>
      <c r="U744" s="461" t="s">
        <v>4125</v>
      </c>
      <c r="V744" s="461"/>
      <c r="W744" s="461"/>
      <c r="X744" s="461"/>
      <c r="Y744" s="668"/>
      <c r="Z744" s="462" t="s">
        <v>138</v>
      </c>
    </row>
    <row r="745" spans="1:27" ht="15">
      <c r="A745" s="516"/>
      <c r="B745" s="528"/>
      <c r="C745" s="465"/>
      <c r="D745" s="340"/>
      <c r="E745" s="466"/>
      <c r="F745" s="466"/>
      <c r="G745" s="466"/>
      <c r="H745" s="466"/>
      <c r="I745" s="466"/>
      <c r="J745" s="529"/>
      <c r="K745" s="588"/>
      <c r="L745" s="588"/>
      <c r="M745" s="634"/>
      <c r="N745" s="634"/>
      <c r="O745" s="473">
        <v>6</v>
      </c>
      <c r="P745" s="463" t="s">
        <v>5815</v>
      </c>
      <c r="Q745" s="461">
        <v>0</v>
      </c>
      <c r="R745" s="461"/>
      <c r="S745" s="461"/>
      <c r="T745" s="461"/>
      <c r="U745" s="461" t="s">
        <v>4125</v>
      </c>
      <c r="V745" s="461"/>
      <c r="W745" s="461"/>
      <c r="X745" s="461"/>
      <c r="Y745" s="668"/>
      <c r="Z745" s="462" t="s">
        <v>138</v>
      </c>
    </row>
    <row r="746" spans="1:27" ht="15">
      <c r="A746" s="516"/>
      <c r="B746" s="528"/>
      <c r="C746" s="465"/>
      <c r="D746" s="340"/>
      <c r="E746" s="466"/>
      <c r="F746" s="466"/>
      <c r="G746" s="466"/>
      <c r="H746" s="466"/>
      <c r="I746" s="466"/>
      <c r="J746" s="529"/>
      <c r="K746" s="467"/>
      <c r="L746" s="467"/>
      <c r="M746" s="506"/>
      <c r="N746" s="506"/>
      <c r="O746" s="341">
        <v>7</v>
      </c>
      <c r="P746" s="336" t="s">
        <v>5816</v>
      </c>
      <c r="Q746" s="461">
        <v>0</v>
      </c>
      <c r="R746" s="585"/>
      <c r="S746" s="860"/>
      <c r="T746" s="586"/>
      <c r="U746" s="860" t="s">
        <v>4125</v>
      </c>
      <c r="V746" s="587"/>
      <c r="W746" s="586"/>
      <c r="X746" s="461"/>
      <c r="Y746" s="584"/>
      <c r="Z746" s="861">
        <v>2</v>
      </c>
    </row>
    <row r="747" spans="1:27" ht="14.25">
      <c r="A747" s="516"/>
      <c r="B747" s="528"/>
      <c r="C747" s="465"/>
      <c r="D747" s="340"/>
      <c r="E747" s="466"/>
      <c r="F747" s="466"/>
      <c r="G747" s="466"/>
      <c r="H747" s="466"/>
      <c r="I747" s="466"/>
      <c r="J747" s="529"/>
      <c r="K747" s="588"/>
      <c r="L747" s="588"/>
      <c r="M747" s="634"/>
      <c r="N747" s="634"/>
      <c r="O747" s="176">
        <v>8</v>
      </c>
      <c r="P747" s="479" t="s">
        <v>5817</v>
      </c>
      <c r="Q747" s="868">
        <v>3</v>
      </c>
      <c r="R747" s="176"/>
      <c r="S747" s="176"/>
      <c r="T747" s="176"/>
      <c r="U747" s="176" t="s">
        <v>4125</v>
      </c>
      <c r="V747" s="176"/>
      <c r="W747" s="176"/>
      <c r="X747" s="480"/>
      <c r="Y747" s="526" t="s">
        <v>5619</v>
      </c>
      <c r="Z747" s="867">
        <v>2</v>
      </c>
      <c r="AA747" s="683"/>
    </row>
    <row r="748" spans="1:27" ht="71.25" customHeight="1">
      <c r="A748" s="516"/>
      <c r="B748" s="528"/>
      <c r="C748" s="465"/>
      <c r="D748" s="340"/>
      <c r="E748" s="466"/>
      <c r="F748" s="466"/>
      <c r="G748" s="466"/>
      <c r="H748" s="466"/>
      <c r="I748" s="466"/>
      <c r="J748" s="529"/>
      <c r="K748" s="588"/>
      <c r="L748" s="588"/>
      <c r="M748" s="634"/>
      <c r="N748" s="634"/>
      <c r="O748" s="176">
        <v>9</v>
      </c>
      <c r="P748" s="479" t="s">
        <v>5818</v>
      </c>
      <c r="Q748" s="176">
        <v>25</v>
      </c>
      <c r="R748" s="176"/>
      <c r="S748" s="176"/>
      <c r="T748" s="176"/>
      <c r="U748" s="176" t="s">
        <v>4125</v>
      </c>
      <c r="V748" s="176"/>
      <c r="W748" s="176" t="s">
        <v>4125</v>
      </c>
      <c r="X748" s="480"/>
      <c r="Y748" s="526" t="s">
        <v>5621</v>
      </c>
      <c r="Z748" s="480" t="s">
        <v>184</v>
      </c>
      <c r="AA748" s="683"/>
    </row>
    <row r="749" spans="1:27" ht="14.25">
      <c r="A749" s="516"/>
      <c r="B749" s="528"/>
      <c r="C749" s="465"/>
      <c r="D749" s="340"/>
      <c r="E749" s="466"/>
      <c r="F749" s="466"/>
      <c r="G749" s="466"/>
      <c r="H749" s="466"/>
      <c r="I749" s="466"/>
      <c r="J749" s="529"/>
      <c r="K749" s="467"/>
      <c r="L749" s="467"/>
      <c r="M749" s="506"/>
      <c r="N749" s="506"/>
      <c r="O749" s="176">
        <v>10</v>
      </c>
      <c r="P749" s="479" t="s">
        <v>5819</v>
      </c>
      <c r="Q749" s="868">
        <v>3</v>
      </c>
      <c r="R749" s="176"/>
      <c r="S749" s="176"/>
      <c r="T749" s="176" t="s">
        <v>4125</v>
      </c>
      <c r="U749" s="176"/>
      <c r="V749" s="176"/>
      <c r="W749" s="868" t="s">
        <v>4125</v>
      </c>
      <c r="X749" s="480"/>
      <c r="Y749" s="526" t="s">
        <v>5655</v>
      </c>
      <c r="Z749" s="867">
        <v>2</v>
      </c>
      <c r="AA749" s="683"/>
    </row>
    <row r="750" spans="1:27" ht="14.25">
      <c r="A750" s="516"/>
      <c r="B750" s="528"/>
      <c r="C750" s="465"/>
      <c r="D750" s="340"/>
      <c r="E750" s="466"/>
      <c r="F750" s="466"/>
      <c r="G750" s="466"/>
      <c r="H750" s="466"/>
      <c r="I750" s="466"/>
      <c r="J750" s="529"/>
      <c r="K750" s="467"/>
      <c r="L750" s="467"/>
      <c r="M750" s="506"/>
      <c r="N750" s="506"/>
      <c r="O750" s="176">
        <v>11</v>
      </c>
      <c r="P750" s="479" t="s">
        <v>5820</v>
      </c>
      <c r="Q750" s="868">
        <v>3</v>
      </c>
      <c r="R750" s="176"/>
      <c r="S750" s="176"/>
      <c r="T750" s="176" t="s">
        <v>4125</v>
      </c>
      <c r="U750" s="176"/>
      <c r="V750" s="176"/>
      <c r="W750" s="868" t="s">
        <v>4125</v>
      </c>
      <c r="X750" s="480"/>
      <c r="Y750" s="526" t="s">
        <v>5657</v>
      </c>
      <c r="Z750" s="867">
        <v>2</v>
      </c>
      <c r="AA750" s="683"/>
    </row>
    <row r="751" spans="1:27" ht="14.25">
      <c r="A751" s="516"/>
      <c r="B751" s="528"/>
      <c r="C751" s="465"/>
      <c r="D751" s="340"/>
      <c r="E751" s="466"/>
      <c r="F751" s="466"/>
      <c r="G751" s="466"/>
      <c r="H751" s="466"/>
      <c r="I751" s="466"/>
      <c r="J751" s="529"/>
      <c r="K751" s="467"/>
      <c r="L751" s="467"/>
      <c r="M751" s="506"/>
      <c r="N751" s="506"/>
      <c r="O751" s="176">
        <v>12</v>
      </c>
      <c r="P751" s="479" t="s">
        <v>5821</v>
      </c>
      <c r="Q751" s="868">
        <v>3</v>
      </c>
      <c r="R751" s="176"/>
      <c r="S751" s="176"/>
      <c r="T751" s="176" t="s">
        <v>4125</v>
      </c>
      <c r="U751" s="176"/>
      <c r="V751" s="176"/>
      <c r="W751" s="868" t="s">
        <v>4125</v>
      </c>
      <c r="X751" s="480"/>
      <c r="Y751" s="526" t="s">
        <v>5741</v>
      </c>
      <c r="Z751" s="867">
        <v>2</v>
      </c>
      <c r="AA751" s="683"/>
    </row>
    <row r="752" spans="1:27" ht="14.25">
      <c r="A752" s="516"/>
      <c r="B752" s="528"/>
      <c r="C752" s="465"/>
      <c r="D752" s="340"/>
      <c r="E752" s="466"/>
      <c r="F752" s="466"/>
      <c r="G752" s="466"/>
      <c r="H752" s="466"/>
      <c r="I752" s="466"/>
      <c r="J752" s="529"/>
      <c r="K752" s="467"/>
      <c r="L752" s="467"/>
      <c r="M752" s="506"/>
      <c r="N752" s="506"/>
      <c r="O752" s="176">
        <v>13</v>
      </c>
      <c r="P752" s="479" t="s">
        <v>5822</v>
      </c>
      <c r="Q752" s="176">
        <v>5</v>
      </c>
      <c r="R752" s="176"/>
      <c r="S752" s="176"/>
      <c r="T752" s="176" t="s">
        <v>4125</v>
      </c>
      <c r="U752" s="176"/>
      <c r="V752" s="176"/>
      <c r="W752" s="868" t="s">
        <v>4125</v>
      </c>
      <c r="X752" s="480"/>
      <c r="Y752" s="526" t="s">
        <v>5787</v>
      </c>
      <c r="Z752" s="867">
        <v>2</v>
      </c>
      <c r="AA752" s="683"/>
    </row>
    <row r="753" spans="1:27" ht="37.5" customHeight="1">
      <c r="A753" s="516"/>
      <c r="B753" s="528"/>
      <c r="C753" s="465"/>
      <c r="D753" s="340"/>
      <c r="E753" s="466"/>
      <c r="F753" s="466"/>
      <c r="G753" s="466"/>
      <c r="H753" s="466"/>
      <c r="I753" s="466"/>
      <c r="J753" s="529"/>
      <c r="K753" s="588"/>
      <c r="L753" s="588"/>
      <c r="M753" s="634"/>
      <c r="N753" s="634"/>
      <c r="O753" s="176">
        <v>14</v>
      </c>
      <c r="P753" s="479" t="s">
        <v>5823</v>
      </c>
      <c r="Q753" s="176">
        <v>5</v>
      </c>
      <c r="R753" s="176"/>
      <c r="S753" s="176"/>
      <c r="T753" s="176" t="s">
        <v>4125</v>
      </c>
      <c r="U753" s="176"/>
      <c r="V753" s="176"/>
      <c r="W753" s="176" t="s">
        <v>4125</v>
      </c>
      <c r="X753" s="480"/>
      <c r="Y753" s="526" t="s">
        <v>5824</v>
      </c>
      <c r="Z753" s="480" t="s">
        <v>138</v>
      </c>
      <c r="AA753" s="683"/>
    </row>
    <row r="754" spans="1:27" ht="37.5" customHeight="1">
      <c r="A754" s="516"/>
      <c r="B754" s="528"/>
      <c r="C754" s="465"/>
      <c r="D754" s="340"/>
      <c r="E754" s="466"/>
      <c r="F754" s="466"/>
      <c r="G754" s="466"/>
      <c r="H754" s="466"/>
      <c r="I754" s="466"/>
      <c r="J754" s="529"/>
      <c r="K754" s="588"/>
      <c r="L754" s="588"/>
      <c r="M754" s="634"/>
      <c r="N754" s="634"/>
      <c r="O754" s="176">
        <v>15</v>
      </c>
      <c r="P754" s="479" t="s">
        <v>5825</v>
      </c>
      <c r="Q754" s="176">
        <v>5</v>
      </c>
      <c r="R754" s="176"/>
      <c r="S754" s="176"/>
      <c r="T754" s="176" t="s">
        <v>4125</v>
      </c>
      <c r="U754" s="176"/>
      <c r="V754" s="176"/>
      <c r="W754" s="176" t="s">
        <v>4125</v>
      </c>
      <c r="X754" s="480"/>
      <c r="Y754" s="526" t="s">
        <v>5826</v>
      </c>
      <c r="Z754" s="480" t="s">
        <v>138</v>
      </c>
      <c r="AA754" s="683"/>
    </row>
    <row r="755" spans="1:27" ht="14.25">
      <c r="A755" s="516"/>
      <c r="B755" s="528"/>
      <c r="C755" s="465"/>
      <c r="D755" s="340"/>
      <c r="E755" s="466"/>
      <c r="F755" s="466"/>
      <c r="G755" s="466"/>
      <c r="H755" s="466"/>
      <c r="I755" s="466"/>
      <c r="J755" s="529"/>
      <c r="K755" s="588"/>
      <c r="L755" s="588"/>
      <c r="M755" s="634"/>
      <c r="N755" s="634"/>
      <c r="O755" s="176">
        <v>16</v>
      </c>
      <c r="P755" s="479" t="s">
        <v>5827</v>
      </c>
      <c r="Q755" s="868">
        <v>3</v>
      </c>
      <c r="R755" s="176"/>
      <c r="S755" s="176"/>
      <c r="T755" s="176" t="s">
        <v>4125</v>
      </c>
      <c r="U755" s="176"/>
      <c r="V755" s="176"/>
      <c r="W755" s="176" t="s">
        <v>4125</v>
      </c>
      <c r="X755" s="480"/>
      <c r="Y755" s="526" t="s">
        <v>5828</v>
      </c>
      <c r="Z755" s="867">
        <v>2</v>
      </c>
    </row>
    <row r="756" spans="1:27" ht="14.25">
      <c r="A756" s="516"/>
      <c r="B756" s="528"/>
      <c r="C756" s="465"/>
      <c r="D756" s="340"/>
      <c r="E756" s="466"/>
      <c r="F756" s="466"/>
      <c r="G756" s="466"/>
      <c r="H756" s="466"/>
      <c r="I756" s="466"/>
      <c r="J756" s="529"/>
      <c r="K756" s="588"/>
      <c r="L756" s="588"/>
      <c r="M756" s="634"/>
      <c r="N756" s="634"/>
      <c r="O756" s="176">
        <v>17</v>
      </c>
      <c r="P756" s="479" t="s">
        <v>5829</v>
      </c>
      <c r="Q756" s="176">
        <v>10</v>
      </c>
      <c r="R756" s="176"/>
      <c r="S756" s="176"/>
      <c r="T756" s="176" t="s">
        <v>4125</v>
      </c>
      <c r="U756" s="176"/>
      <c r="V756" s="176"/>
      <c r="W756" s="176" t="s">
        <v>4125</v>
      </c>
      <c r="X756" s="480"/>
      <c r="Y756" s="526" t="s">
        <v>5830</v>
      </c>
      <c r="Z756" s="480" t="s">
        <v>138</v>
      </c>
    </row>
    <row r="757" spans="1:27" ht="14.25">
      <c r="A757" s="516"/>
      <c r="B757" s="528"/>
      <c r="C757" s="465"/>
      <c r="D757" s="340"/>
      <c r="E757" s="466"/>
      <c r="F757" s="466"/>
      <c r="G757" s="466"/>
      <c r="H757" s="466"/>
      <c r="I757" s="466"/>
      <c r="J757" s="529"/>
      <c r="K757" s="588"/>
      <c r="L757" s="588"/>
      <c r="M757" s="634"/>
      <c r="N757" s="634"/>
      <c r="O757" s="176">
        <v>18</v>
      </c>
      <c r="P757" s="479" t="s">
        <v>5831</v>
      </c>
      <c r="Q757" s="176">
        <v>30</v>
      </c>
      <c r="R757" s="176"/>
      <c r="S757" s="176"/>
      <c r="T757" s="176" t="s">
        <v>4125</v>
      </c>
      <c r="U757" s="176"/>
      <c r="V757" s="176"/>
      <c r="W757" s="176" t="s">
        <v>4125</v>
      </c>
      <c r="X757" s="480"/>
      <c r="Y757" s="526" t="s">
        <v>5832</v>
      </c>
      <c r="Z757" s="480" t="s">
        <v>138</v>
      </c>
    </row>
    <row r="758" spans="1:27" s="154" customFormat="1" ht="43.5" customHeight="1">
      <c r="A758" s="500"/>
      <c r="B758" s="507"/>
      <c r="C758" s="336"/>
      <c r="D758" s="331"/>
      <c r="E758" s="466"/>
      <c r="F758" s="466"/>
      <c r="G758" s="466"/>
      <c r="H758" s="466"/>
      <c r="I758" s="466"/>
      <c r="J758" s="176"/>
      <c r="K758" s="588"/>
      <c r="L758" s="588"/>
      <c r="M758" s="780"/>
      <c r="N758" s="781"/>
      <c r="O758" s="176">
        <v>19</v>
      </c>
      <c r="P758" s="479" t="s">
        <v>5833</v>
      </c>
      <c r="Q758" s="176">
        <v>5</v>
      </c>
      <c r="R758" s="479"/>
      <c r="S758" s="176"/>
      <c r="T758" s="176"/>
      <c r="U758" s="176" t="s">
        <v>4125</v>
      </c>
      <c r="V758" s="480"/>
      <c r="W758" s="480"/>
      <c r="X758" s="480"/>
      <c r="Y758" s="792" t="s">
        <v>5260</v>
      </c>
      <c r="Z758" s="480" t="s">
        <v>138</v>
      </c>
      <c r="AA758" s="683"/>
    </row>
    <row r="759" spans="1:27" s="154" customFormat="1" ht="43.5" customHeight="1">
      <c r="A759" s="500"/>
      <c r="B759" s="507"/>
      <c r="C759" s="336"/>
      <c r="D759" s="331"/>
      <c r="E759" s="466"/>
      <c r="F759" s="466"/>
      <c r="G759" s="466"/>
      <c r="H759" s="466"/>
      <c r="I759" s="466"/>
      <c r="J759" s="176"/>
      <c r="K759" s="588"/>
      <c r="L759" s="588"/>
      <c r="M759" s="780"/>
      <c r="N759" s="781"/>
      <c r="O759" s="176">
        <v>20</v>
      </c>
      <c r="P759" s="479" t="s">
        <v>5834</v>
      </c>
      <c r="Q759" s="176">
        <v>5</v>
      </c>
      <c r="R759" s="479"/>
      <c r="S759" s="176"/>
      <c r="T759" s="176"/>
      <c r="U759" s="176" t="s">
        <v>4125</v>
      </c>
      <c r="V759" s="480"/>
      <c r="W759" s="480"/>
      <c r="X759" s="480"/>
      <c r="Y759" s="792" t="s">
        <v>5262</v>
      </c>
      <c r="Z759" s="480" t="s">
        <v>138</v>
      </c>
      <c r="AA759" s="683"/>
    </row>
    <row r="760" spans="1:27" s="154" customFormat="1" ht="43.5" customHeight="1">
      <c r="A760" s="500"/>
      <c r="B760" s="507"/>
      <c r="C760" s="336"/>
      <c r="D760" s="331"/>
      <c r="E760" s="466"/>
      <c r="F760" s="466"/>
      <c r="G760" s="466"/>
      <c r="H760" s="466"/>
      <c r="I760" s="466"/>
      <c r="J760" s="176"/>
      <c r="K760" s="588"/>
      <c r="L760" s="588"/>
      <c r="M760" s="780"/>
      <c r="N760" s="781"/>
      <c r="O760" s="176">
        <v>21</v>
      </c>
      <c r="P760" s="479" t="s">
        <v>5835</v>
      </c>
      <c r="Q760" s="176">
        <v>5</v>
      </c>
      <c r="R760" s="479"/>
      <c r="S760" s="176"/>
      <c r="T760" s="176"/>
      <c r="U760" s="176" t="s">
        <v>4125</v>
      </c>
      <c r="V760" s="480"/>
      <c r="W760" s="480"/>
      <c r="X760" s="480"/>
      <c r="Y760" s="792" t="s">
        <v>5264</v>
      </c>
      <c r="Z760" s="480" t="s">
        <v>138</v>
      </c>
      <c r="AA760" s="683"/>
    </row>
    <row r="761" spans="1:27" s="154" customFormat="1" ht="14.25">
      <c r="A761" s="500"/>
      <c r="B761" s="507"/>
      <c r="C761" s="336"/>
      <c r="D761" s="331"/>
      <c r="E761" s="466"/>
      <c r="F761" s="466"/>
      <c r="G761" s="466"/>
      <c r="H761" s="466"/>
      <c r="I761" s="466"/>
      <c r="J761" s="176"/>
      <c r="K761" s="588"/>
      <c r="L761" s="588"/>
      <c r="M761" s="780"/>
      <c r="N761" s="781"/>
      <c r="O761" s="176">
        <v>22</v>
      </c>
      <c r="P761" s="479" t="s">
        <v>5836</v>
      </c>
      <c r="Q761" s="176">
        <v>5</v>
      </c>
      <c r="R761" s="479"/>
      <c r="S761" s="176"/>
      <c r="T761" s="176"/>
      <c r="U761" s="176" t="s">
        <v>4125</v>
      </c>
      <c r="V761" s="480"/>
      <c r="W761" s="480"/>
      <c r="X761" s="480"/>
      <c r="Y761" s="792" t="s">
        <v>5266</v>
      </c>
      <c r="Z761" s="480" t="s">
        <v>138</v>
      </c>
      <c r="AA761" s="683"/>
    </row>
    <row r="762" spans="1:27" s="154" customFormat="1" ht="14.25">
      <c r="A762" s="500"/>
      <c r="B762" s="507"/>
      <c r="C762" s="336"/>
      <c r="D762" s="331"/>
      <c r="E762" s="466"/>
      <c r="F762" s="466"/>
      <c r="G762" s="466"/>
      <c r="H762" s="466"/>
      <c r="I762" s="466"/>
      <c r="J762" s="176"/>
      <c r="K762" s="588"/>
      <c r="L762" s="588"/>
      <c r="M762" s="780"/>
      <c r="N762" s="781"/>
      <c r="O762" s="176">
        <v>23</v>
      </c>
      <c r="P762" s="463" t="s">
        <v>5837</v>
      </c>
      <c r="Q762" s="461">
        <v>5</v>
      </c>
      <c r="R762" s="463"/>
      <c r="S762" s="461"/>
      <c r="T762" s="461"/>
      <c r="U762" s="461" t="s">
        <v>4125</v>
      </c>
      <c r="V762" s="462"/>
      <c r="W762" s="462"/>
      <c r="X762" s="462"/>
      <c r="Y762" s="792" t="s">
        <v>5268</v>
      </c>
      <c r="Z762" s="480" t="s">
        <v>138</v>
      </c>
      <c r="AA762" s="683"/>
    </row>
    <row r="763" spans="1:27" ht="14.25">
      <c r="A763" s="516"/>
      <c r="B763" s="528"/>
      <c r="C763" s="465"/>
      <c r="D763" s="340"/>
      <c r="E763" s="466"/>
      <c r="F763" s="466"/>
      <c r="G763" s="466"/>
      <c r="H763" s="466"/>
      <c r="I763" s="466"/>
      <c r="J763" s="529"/>
      <c r="K763" s="467"/>
      <c r="L763" s="467"/>
      <c r="M763" s="506"/>
      <c r="N763" s="506"/>
      <c r="O763" s="176"/>
      <c r="P763" s="479"/>
      <c r="Q763" s="176"/>
      <c r="R763" s="176"/>
      <c r="S763" s="176"/>
      <c r="T763" s="176"/>
      <c r="U763" s="176"/>
      <c r="V763" s="176"/>
      <c r="W763" s="176"/>
      <c r="X763" s="480"/>
      <c r="Y763" s="526"/>
      <c r="Z763" s="480"/>
    </row>
    <row r="764" spans="1:27" s="154" customFormat="1" ht="14.25">
      <c r="A764" s="525"/>
      <c r="B764" s="490"/>
      <c r="C764" s="491"/>
      <c r="D764" s="345"/>
      <c r="E764" s="405"/>
      <c r="F764" s="405"/>
      <c r="G764" s="405"/>
      <c r="H764" s="405"/>
      <c r="I764" s="405"/>
      <c r="J764" s="405"/>
      <c r="K764" s="492"/>
      <c r="L764" s="492"/>
      <c r="M764" s="493"/>
      <c r="N764" s="494"/>
      <c r="O764" s="492"/>
      <c r="P764" s="491"/>
      <c r="Q764" s="405"/>
      <c r="R764" s="495"/>
      <c r="S764" s="496"/>
      <c r="T764" s="496"/>
      <c r="U764" s="496"/>
      <c r="V764" s="497"/>
      <c r="W764" s="497"/>
      <c r="X764" s="497"/>
      <c r="Y764" s="498"/>
      <c r="Z764" s="308"/>
      <c r="AA764" s="683"/>
    </row>
    <row r="765" spans="1:27" s="154" customFormat="1" ht="28.5">
      <c r="A765" s="500" t="s">
        <v>5838</v>
      </c>
      <c r="B765" s="310" t="s">
        <v>566</v>
      </c>
      <c r="C765" s="327" t="s">
        <v>5839</v>
      </c>
      <c r="D765" s="456" t="s">
        <v>4978</v>
      </c>
      <c r="E765" s="322">
        <v>0</v>
      </c>
      <c r="F765" s="322">
        <v>100</v>
      </c>
      <c r="G765" s="322" t="s">
        <v>41</v>
      </c>
      <c r="H765" s="322">
        <v>40</v>
      </c>
      <c r="I765" s="322">
        <v>100</v>
      </c>
      <c r="J765" s="483">
        <v>776</v>
      </c>
      <c r="K765" s="779" t="s">
        <v>4125</v>
      </c>
      <c r="L765" s="779" t="s">
        <v>4125</v>
      </c>
      <c r="M765" s="778" t="s">
        <v>4979</v>
      </c>
      <c r="N765" s="778" t="s">
        <v>4980</v>
      </c>
      <c r="O765" s="590"/>
      <c r="P765" s="472"/>
      <c r="Q765" s="473"/>
      <c r="R765" s="472"/>
      <c r="S765" s="473"/>
      <c r="T765" s="473"/>
      <c r="U765" s="473"/>
      <c r="V765" s="474"/>
      <c r="W765" s="474"/>
      <c r="X765" s="474"/>
      <c r="Y765" s="526"/>
      <c r="Z765" s="474">
        <v>1</v>
      </c>
      <c r="AA765" s="141"/>
    </row>
    <row r="766" spans="1:27" ht="15">
      <c r="A766" s="514"/>
      <c r="B766" s="507"/>
      <c r="C766" s="330"/>
      <c r="D766" s="459"/>
      <c r="E766" s="341"/>
      <c r="F766" s="341"/>
      <c r="G766" s="341"/>
      <c r="H766" s="341"/>
      <c r="I766" s="341"/>
      <c r="J766" s="523"/>
      <c r="K766" s="590"/>
      <c r="L766" s="590"/>
      <c r="M766" s="589" t="s">
        <v>4217</v>
      </c>
      <c r="N766" s="589" t="s">
        <v>4376</v>
      </c>
      <c r="O766" s="590">
        <v>1</v>
      </c>
      <c r="P766" s="472" t="s">
        <v>5840</v>
      </c>
      <c r="Q766" s="473">
        <v>0</v>
      </c>
      <c r="R766" s="461"/>
      <c r="S766" s="461"/>
      <c r="T766" s="461"/>
      <c r="U766" s="461" t="s">
        <v>4125</v>
      </c>
      <c r="V766" s="461"/>
      <c r="W766" s="461"/>
      <c r="X766" s="461"/>
      <c r="Y766" s="668"/>
      <c r="Z766" s="462" t="s">
        <v>138</v>
      </c>
    </row>
    <row r="767" spans="1:27" ht="15">
      <c r="A767" s="457"/>
      <c r="B767" s="458"/>
      <c r="C767" s="524"/>
      <c r="D767" s="459"/>
      <c r="E767" s="341"/>
      <c r="F767" s="341"/>
      <c r="G767" s="341"/>
      <c r="H767" s="341"/>
      <c r="I767" s="341"/>
      <c r="J767" s="523"/>
      <c r="K767" s="342"/>
      <c r="L767" s="342"/>
      <c r="M767" s="460"/>
      <c r="N767" s="460"/>
      <c r="O767" s="342">
        <v>2</v>
      </c>
      <c r="P767" s="336" t="s">
        <v>5841</v>
      </c>
      <c r="Q767" s="461">
        <v>0</v>
      </c>
      <c r="R767" s="461"/>
      <c r="S767" s="461"/>
      <c r="T767" s="461"/>
      <c r="U767" s="461" t="s">
        <v>4125</v>
      </c>
      <c r="V767" s="461"/>
      <c r="W767" s="461"/>
      <c r="X767" s="860"/>
      <c r="Y767" s="584"/>
      <c r="Z767" s="861">
        <v>2</v>
      </c>
    </row>
    <row r="768" spans="1:27" ht="15">
      <c r="A768" s="514"/>
      <c r="B768" s="515"/>
      <c r="C768" s="336"/>
      <c r="D768" s="331"/>
      <c r="E768" s="332"/>
      <c r="F768" s="332"/>
      <c r="G768" s="332"/>
      <c r="H768" s="332"/>
      <c r="I768" s="332"/>
      <c r="J768" s="527"/>
      <c r="K768" s="333"/>
      <c r="L768" s="333"/>
      <c r="M768" s="509"/>
      <c r="N768" s="509"/>
      <c r="O768" s="342">
        <v>3</v>
      </c>
      <c r="P768" s="336" t="s">
        <v>5842</v>
      </c>
      <c r="Q768" s="461">
        <v>0</v>
      </c>
      <c r="R768" s="461"/>
      <c r="S768" s="461"/>
      <c r="T768" s="461"/>
      <c r="U768" s="461" t="s">
        <v>4125</v>
      </c>
      <c r="V768" s="461"/>
      <c r="W768" s="461"/>
      <c r="X768" s="860"/>
      <c r="Y768" s="584"/>
      <c r="Z768" s="861">
        <v>2</v>
      </c>
    </row>
    <row r="769" spans="1:27" ht="15">
      <c r="A769" s="516"/>
      <c r="B769" s="528"/>
      <c r="C769" s="465"/>
      <c r="D769" s="340"/>
      <c r="E769" s="466"/>
      <c r="F769" s="466"/>
      <c r="G769" s="466"/>
      <c r="H769" s="466"/>
      <c r="I769" s="466"/>
      <c r="J769" s="529"/>
      <c r="K769" s="467"/>
      <c r="L769" s="467"/>
      <c r="M769" s="506"/>
      <c r="N769" s="506"/>
      <c r="O769" s="341">
        <v>4</v>
      </c>
      <c r="P769" s="336" t="s">
        <v>5843</v>
      </c>
      <c r="Q769" s="461">
        <v>0</v>
      </c>
      <c r="R769" s="461"/>
      <c r="S769" s="461"/>
      <c r="T769" s="461"/>
      <c r="U769" s="461" t="s">
        <v>4125</v>
      </c>
      <c r="V769" s="461" t="s">
        <v>4125</v>
      </c>
      <c r="W769" s="461"/>
      <c r="X769" s="860"/>
      <c r="Y769" s="584"/>
      <c r="Z769" s="861">
        <v>2</v>
      </c>
    </row>
    <row r="770" spans="1:27" ht="15">
      <c r="A770" s="516"/>
      <c r="B770" s="528"/>
      <c r="C770" s="465"/>
      <c r="D770" s="340"/>
      <c r="E770" s="466"/>
      <c r="F770" s="466"/>
      <c r="G770" s="466"/>
      <c r="H770" s="466"/>
      <c r="I770" s="466"/>
      <c r="J770" s="529"/>
      <c r="K770" s="588"/>
      <c r="L770" s="588"/>
      <c r="M770" s="634"/>
      <c r="N770" s="634"/>
      <c r="O770" s="473">
        <v>5</v>
      </c>
      <c r="P770" s="463" t="s">
        <v>5844</v>
      </c>
      <c r="Q770" s="461">
        <v>0</v>
      </c>
      <c r="R770" s="461"/>
      <c r="S770" s="461"/>
      <c r="T770" s="461"/>
      <c r="U770" s="461" t="s">
        <v>4125</v>
      </c>
      <c r="V770" s="461"/>
      <c r="W770" s="461"/>
      <c r="X770" s="461"/>
      <c r="Y770" s="668"/>
      <c r="Z770" s="462" t="s">
        <v>138</v>
      </c>
    </row>
    <row r="771" spans="1:27" ht="15">
      <c r="A771" s="516"/>
      <c r="B771" s="528"/>
      <c r="C771" s="465"/>
      <c r="D771" s="340"/>
      <c r="E771" s="466"/>
      <c r="F771" s="466"/>
      <c r="G771" s="466"/>
      <c r="H771" s="466"/>
      <c r="I771" s="466"/>
      <c r="J771" s="529"/>
      <c r="K771" s="588"/>
      <c r="L771" s="588"/>
      <c r="M771" s="634"/>
      <c r="N771" s="634"/>
      <c r="O771" s="473">
        <v>6</v>
      </c>
      <c r="P771" s="463" t="s">
        <v>5845</v>
      </c>
      <c r="Q771" s="461">
        <v>0</v>
      </c>
      <c r="R771" s="461"/>
      <c r="S771" s="461"/>
      <c r="T771" s="461"/>
      <c r="U771" s="461" t="s">
        <v>4125</v>
      </c>
      <c r="V771" s="461"/>
      <c r="W771" s="461"/>
      <c r="X771" s="461"/>
      <c r="Y771" s="668"/>
      <c r="Z771" s="462" t="s">
        <v>138</v>
      </c>
    </row>
    <row r="772" spans="1:27" ht="15">
      <c r="A772" s="516"/>
      <c r="B772" s="528"/>
      <c r="C772" s="465"/>
      <c r="D772" s="340"/>
      <c r="E772" s="466"/>
      <c r="F772" s="466"/>
      <c r="G772" s="466"/>
      <c r="H772" s="466"/>
      <c r="I772" s="466"/>
      <c r="J772" s="529"/>
      <c r="K772" s="467"/>
      <c r="L772" s="467"/>
      <c r="M772" s="506"/>
      <c r="N772" s="506"/>
      <c r="O772" s="341">
        <v>7</v>
      </c>
      <c r="P772" s="336" t="s">
        <v>5846</v>
      </c>
      <c r="Q772" s="461">
        <v>0</v>
      </c>
      <c r="R772" s="585"/>
      <c r="S772" s="860"/>
      <c r="T772" s="586"/>
      <c r="U772" s="860" t="s">
        <v>4125</v>
      </c>
      <c r="V772" s="587"/>
      <c r="W772" s="586"/>
      <c r="X772" s="461"/>
      <c r="Y772" s="584"/>
      <c r="Z772" s="861">
        <v>2</v>
      </c>
    </row>
    <row r="773" spans="1:27" ht="14.25">
      <c r="A773" s="516"/>
      <c r="B773" s="528"/>
      <c r="C773" s="465"/>
      <c r="D773" s="340"/>
      <c r="E773" s="466"/>
      <c r="F773" s="466"/>
      <c r="G773" s="466"/>
      <c r="H773" s="466"/>
      <c r="I773" s="466"/>
      <c r="J773" s="529"/>
      <c r="K773" s="588"/>
      <c r="L773" s="588"/>
      <c r="M773" s="634"/>
      <c r="N773" s="634"/>
      <c r="O773" s="176">
        <v>8</v>
      </c>
      <c r="P773" s="479" t="s">
        <v>5847</v>
      </c>
      <c r="Q773" s="868">
        <v>3</v>
      </c>
      <c r="R773" s="176"/>
      <c r="S773" s="176"/>
      <c r="T773" s="176"/>
      <c r="U773" s="176" t="s">
        <v>4125</v>
      </c>
      <c r="V773" s="176"/>
      <c r="W773" s="176"/>
      <c r="X773" s="480"/>
      <c r="Y773" s="526" t="s">
        <v>5619</v>
      </c>
      <c r="Z773" s="867">
        <v>2</v>
      </c>
      <c r="AA773" s="683"/>
    </row>
    <row r="774" spans="1:27" ht="85.5" customHeight="1">
      <c r="A774" s="516"/>
      <c r="B774" s="528"/>
      <c r="C774" s="465"/>
      <c r="D774" s="340"/>
      <c r="E774" s="466"/>
      <c r="F774" s="466"/>
      <c r="G774" s="466"/>
      <c r="H774" s="466"/>
      <c r="I774" s="466"/>
      <c r="J774" s="529"/>
      <c r="K774" s="588"/>
      <c r="L774" s="588"/>
      <c r="M774" s="634"/>
      <c r="N774" s="634"/>
      <c r="O774" s="176">
        <v>9</v>
      </c>
      <c r="P774" s="479" t="s">
        <v>5848</v>
      </c>
      <c r="Q774" s="176">
        <v>25</v>
      </c>
      <c r="R774" s="176"/>
      <c r="S774" s="176"/>
      <c r="T774" s="176"/>
      <c r="U774" s="176" t="s">
        <v>4125</v>
      </c>
      <c r="V774" s="176"/>
      <c r="W774" s="176" t="s">
        <v>4125</v>
      </c>
      <c r="X774" s="480"/>
      <c r="Y774" s="526" t="s">
        <v>5621</v>
      </c>
      <c r="Z774" s="480" t="s">
        <v>184</v>
      </c>
      <c r="AA774" s="683"/>
    </row>
    <row r="775" spans="1:27" ht="14.25">
      <c r="A775" s="516"/>
      <c r="B775" s="528"/>
      <c r="C775" s="465"/>
      <c r="D775" s="340"/>
      <c r="E775" s="466"/>
      <c r="F775" s="466"/>
      <c r="G775" s="466"/>
      <c r="H775" s="466"/>
      <c r="I775" s="466"/>
      <c r="J775" s="529"/>
      <c r="K775" s="467"/>
      <c r="L775" s="467"/>
      <c r="M775" s="506"/>
      <c r="N775" s="506"/>
      <c r="O775" s="176">
        <v>10</v>
      </c>
      <c r="P775" s="479" t="s">
        <v>5849</v>
      </c>
      <c r="Q775" s="868">
        <v>3</v>
      </c>
      <c r="R775" s="176"/>
      <c r="S775" s="176"/>
      <c r="T775" s="176" t="s">
        <v>4125</v>
      </c>
      <c r="U775" s="176"/>
      <c r="V775" s="176"/>
      <c r="W775" s="868" t="s">
        <v>4125</v>
      </c>
      <c r="X775" s="480"/>
      <c r="Y775" s="526" t="s">
        <v>5655</v>
      </c>
      <c r="Z775" s="867">
        <v>2</v>
      </c>
      <c r="AA775" s="683"/>
    </row>
    <row r="776" spans="1:27" ht="14.25">
      <c r="A776" s="516"/>
      <c r="B776" s="528"/>
      <c r="C776" s="465"/>
      <c r="D776" s="340"/>
      <c r="E776" s="466"/>
      <c r="F776" s="466"/>
      <c r="G776" s="466"/>
      <c r="H776" s="466"/>
      <c r="I776" s="466"/>
      <c r="J776" s="529"/>
      <c r="K776" s="467"/>
      <c r="L776" s="467"/>
      <c r="M776" s="506"/>
      <c r="N776" s="506"/>
      <c r="O776" s="176">
        <v>11</v>
      </c>
      <c r="P776" s="479" t="s">
        <v>5850</v>
      </c>
      <c r="Q776" s="868">
        <v>3</v>
      </c>
      <c r="R776" s="176"/>
      <c r="S776" s="176"/>
      <c r="T776" s="176" t="s">
        <v>4125</v>
      </c>
      <c r="U776" s="176"/>
      <c r="V776" s="176"/>
      <c r="W776" s="868" t="s">
        <v>4125</v>
      </c>
      <c r="X776" s="480"/>
      <c r="Y776" s="526" t="s">
        <v>5657</v>
      </c>
      <c r="Z776" s="867">
        <v>2</v>
      </c>
      <c r="AA776" s="683"/>
    </row>
    <row r="777" spans="1:27" ht="14.25">
      <c r="A777" s="516"/>
      <c r="B777" s="528"/>
      <c r="C777" s="465"/>
      <c r="D777" s="340"/>
      <c r="E777" s="466"/>
      <c r="F777" s="466"/>
      <c r="G777" s="466"/>
      <c r="H777" s="466"/>
      <c r="I777" s="466"/>
      <c r="J777" s="529"/>
      <c r="K777" s="467"/>
      <c r="L777" s="467"/>
      <c r="M777" s="506"/>
      <c r="N777" s="506"/>
      <c r="O777" s="176">
        <v>12</v>
      </c>
      <c r="P777" s="479" t="s">
        <v>5851</v>
      </c>
      <c r="Q777" s="868">
        <v>3</v>
      </c>
      <c r="R777" s="176"/>
      <c r="S777" s="176"/>
      <c r="T777" s="176" t="s">
        <v>4125</v>
      </c>
      <c r="U777" s="176"/>
      <c r="V777" s="176"/>
      <c r="W777" s="868" t="s">
        <v>4125</v>
      </c>
      <c r="X777" s="480"/>
      <c r="Y777" s="526" t="s">
        <v>5741</v>
      </c>
      <c r="Z777" s="867">
        <v>2</v>
      </c>
      <c r="AA777" s="683"/>
    </row>
    <row r="778" spans="1:27" ht="14.25">
      <c r="A778" s="516"/>
      <c r="B778" s="528"/>
      <c r="C778" s="465"/>
      <c r="D778" s="340"/>
      <c r="E778" s="466"/>
      <c r="F778" s="466"/>
      <c r="G778" s="466"/>
      <c r="H778" s="466"/>
      <c r="I778" s="466"/>
      <c r="J778" s="529"/>
      <c r="K778" s="467"/>
      <c r="L778" s="467"/>
      <c r="M778" s="506"/>
      <c r="N778" s="506"/>
      <c r="O778" s="176">
        <v>13</v>
      </c>
      <c r="P778" s="479" t="s">
        <v>5822</v>
      </c>
      <c r="Q778" s="176">
        <v>5</v>
      </c>
      <c r="R778" s="176"/>
      <c r="S778" s="176"/>
      <c r="T778" s="176" t="s">
        <v>4125</v>
      </c>
      <c r="U778" s="176"/>
      <c r="V778" s="176"/>
      <c r="W778" s="868" t="s">
        <v>4125</v>
      </c>
      <c r="X778" s="480"/>
      <c r="Y778" s="526" t="s">
        <v>5787</v>
      </c>
      <c r="Z778" s="867">
        <v>2</v>
      </c>
      <c r="AA778" s="683"/>
    </row>
    <row r="779" spans="1:27" ht="47.25" customHeight="1">
      <c r="A779" s="516"/>
      <c r="B779" s="528"/>
      <c r="C779" s="465"/>
      <c r="D779" s="340"/>
      <c r="E779" s="466"/>
      <c r="F779" s="466"/>
      <c r="G779" s="466"/>
      <c r="H779" s="466"/>
      <c r="I779" s="466"/>
      <c r="J779" s="529"/>
      <c r="K779" s="588"/>
      <c r="L779" s="588"/>
      <c r="M779" s="634"/>
      <c r="N779" s="634"/>
      <c r="O779" s="176">
        <v>14</v>
      </c>
      <c r="P779" s="479" t="s">
        <v>5823</v>
      </c>
      <c r="Q779" s="176">
        <v>5</v>
      </c>
      <c r="R779" s="176"/>
      <c r="S779" s="176"/>
      <c r="T779" s="176" t="s">
        <v>4125</v>
      </c>
      <c r="U779" s="176"/>
      <c r="V779" s="176"/>
      <c r="W779" s="176" t="s">
        <v>4125</v>
      </c>
      <c r="X779" s="480"/>
      <c r="Y779" s="526" t="s">
        <v>5824</v>
      </c>
      <c r="Z779" s="480" t="s">
        <v>138</v>
      </c>
      <c r="AA779" s="683"/>
    </row>
    <row r="780" spans="1:27" ht="47.25" customHeight="1">
      <c r="A780" s="516"/>
      <c r="B780" s="528"/>
      <c r="C780" s="465"/>
      <c r="D780" s="340"/>
      <c r="E780" s="466"/>
      <c r="F780" s="466"/>
      <c r="G780" s="466"/>
      <c r="H780" s="466"/>
      <c r="I780" s="466"/>
      <c r="J780" s="529"/>
      <c r="K780" s="588"/>
      <c r="L780" s="588"/>
      <c r="M780" s="634"/>
      <c r="N780" s="634"/>
      <c r="O780" s="176">
        <v>15</v>
      </c>
      <c r="P780" s="479" t="s">
        <v>5825</v>
      </c>
      <c r="Q780" s="176">
        <v>5</v>
      </c>
      <c r="R780" s="176"/>
      <c r="S780" s="176"/>
      <c r="T780" s="176" t="s">
        <v>4125</v>
      </c>
      <c r="U780" s="176"/>
      <c r="V780" s="176"/>
      <c r="W780" s="176" t="s">
        <v>4125</v>
      </c>
      <c r="X780" s="480"/>
      <c r="Y780" s="526" t="s">
        <v>5826</v>
      </c>
      <c r="Z780" s="480" t="s">
        <v>138</v>
      </c>
    </row>
    <row r="781" spans="1:27" ht="14.25">
      <c r="A781" s="516"/>
      <c r="B781" s="528"/>
      <c r="C781" s="465"/>
      <c r="D781" s="340"/>
      <c r="E781" s="466"/>
      <c r="F781" s="466"/>
      <c r="G781" s="466"/>
      <c r="H781" s="466"/>
      <c r="I781" s="466"/>
      <c r="J781" s="529"/>
      <c r="K781" s="588"/>
      <c r="L781" s="588"/>
      <c r="M781" s="634"/>
      <c r="N781" s="634"/>
      <c r="O781" s="176">
        <v>16</v>
      </c>
      <c r="P781" s="479" t="s">
        <v>5827</v>
      </c>
      <c r="Q781" s="868">
        <v>3</v>
      </c>
      <c r="R781" s="176"/>
      <c r="S781" s="176"/>
      <c r="T781" s="176" t="s">
        <v>4125</v>
      </c>
      <c r="U781" s="176"/>
      <c r="V781" s="176"/>
      <c r="W781" s="176" t="s">
        <v>4125</v>
      </c>
      <c r="X781" s="480"/>
      <c r="Y781" s="526" t="s">
        <v>5828</v>
      </c>
      <c r="Z781" s="867">
        <v>2</v>
      </c>
    </row>
    <row r="782" spans="1:27" ht="14.25">
      <c r="A782" s="516"/>
      <c r="B782" s="528"/>
      <c r="C782" s="465"/>
      <c r="D782" s="340"/>
      <c r="E782" s="466"/>
      <c r="F782" s="466"/>
      <c r="G782" s="466"/>
      <c r="H782" s="466"/>
      <c r="I782" s="466"/>
      <c r="J782" s="529"/>
      <c r="K782" s="588"/>
      <c r="L782" s="588"/>
      <c r="M782" s="634"/>
      <c r="N782" s="634"/>
      <c r="O782" s="176">
        <v>17</v>
      </c>
      <c r="P782" s="479" t="s">
        <v>5829</v>
      </c>
      <c r="Q782" s="176">
        <v>10</v>
      </c>
      <c r="R782" s="176"/>
      <c r="S782" s="176"/>
      <c r="T782" s="176" t="s">
        <v>4125</v>
      </c>
      <c r="U782" s="176"/>
      <c r="V782" s="176"/>
      <c r="W782" s="176" t="s">
        <v>4125</v>
      </c>
      <c r="X782" s="480"/>
      <c r="Y782" s="526" t="s">
        <v>5830</v>
      </c>
      <c r="Z782" s="480" t="s">
        <v>138</v>
      </c>
    </row>
    <row r="783" spans="1:27" ht="14.25">
      <c r="A783" s="516"/>
      <c r="B783" s="528"/>
      <c r="C783" s="465"/>
      <c r="D783" s="340"/>
      <c r="E783" s="466"/>
      <c r="F783" s="466"/>
      <c r="G783" s="466"/>
      <c r="H783" s="466"/>
      <c r="I783" s="466"/>
      <c r="J783" s="529"/>
      <c r="K783" s="588"/>
      <c r="L783" s="588"/>
      <c r="M783" s="634"/>
      <c r="N783" s="634"/>
      <c r="O783" s="176">
        <v>18</v>
      </c>
      <c r="P783" s="479" t="s">
        <v>5831</v>
      </c>
      <c r="Q783" s="176">
        <v>30</v>
      </c>
      <c r="R783" s="176"/>
      <c r="S783" s="176"/>
      <c r="T783" s="176" t="s">
        <v>4125</v>
      </c>
      <c r="U783" s="176"/>
      <c r="V783" s="176"/>
      <c r="W783" s="176" t="s">
        <v>4125</v>
      </c>
      <c r="X783" s="480"/>
      <c r="Y783" s="526" t="s">
        <v>5832</v>
      </c>
      <c r="Z783" s="480" t="s">
        <v>138</v>
      </c>
    </row>
    <row r="784" spans="1:27" s="154" customFormat="1" ht="45.75" customHeight="1">
      <c r="A784" s="500"/>
      <c r="B784" s="507"/>
      <c r="C784" s="336"/>
      <c r="D784" s="331"/>
      <c r="E784" s="466"/>
      <c r="F784" s="466"/>
      <c r="G784" s="466"/>
      <c r="H784" s="466"/>
      <c r="I784" s="466"/>
      <c r="J784" s="176"/>
      <c r="K784" s="588"/>
      <c r="L784" s="588"/>
      <c r="M784" s="780"/>
      <c r="N784" s="781"/>
      <c r="O784" s="176">
        <v>19</v>
      </c>
      <c r="P784" s="479" t="s">
        <v>5852</v>
      </c>
      <c r="Q784" s="176">
        <v>5</v>
      </c>
      <c r="R784" s="479"/>
      <c r="S784" s="176"/>
      <c r="T784" s="176"/>
      <c r="U784" s="176" t="s">
        <v>4125</v>
      </c>
      <c r="V784" s="480"/>
      <c r="W784" s="480"/>
      <c r="X784" s="480"/>
      <c r="Y784" s="792" t="s">
        <v>5260</v>
      </c>
      <c r="Z784" s="480" t="s">
        <v>138</v>
      </c>
      <c r="AA784" s="683"/>
    </row>
    <row r="785" spans="1:27" s="154" customFormat="1" ht="45.75" customHeight="1">
      <c r="A785" s="500"/>
      <c r="B785" s="507"/>
      <c r="C785" s="336"/>
      <c r="D785" s="331"/>
      <c r="E785" s="466"/>
      <c r="F785" s="466"/>
      <c r="G785" s="466"/>
      <c r="H785" s="466"/>
      <c r="I785" s="466"/>
      <c r="J785" s="176"/>
      <c r="K785" s="588"/>
      <c r="L785" s="588"/>
      <c r="M785" s="780"/>
      <c r="N785" s="781"/>
      <c r="O785" s="176">
        <v>20</v>
      </c>
      <c r="P785" s="479" t="s">
        <v>5853</v>
      </c>
      <c r="Q785" s="176">
        <v>5</v>
      </c>
      <c r="R785" s="479"/>
      <c r="S785" s="176"/>
      <c r="T785" s="176"/>
      <c r="U785" s="176" t="s">
        <v>4125</v>
      </c>
      <c r="V785" s="480"/>
      <c r="W785" s="480"/>
      <c r="X785" s="480"/>
      <c r="Y785" s="792" t="s">
        <v>5262</v>
      </c>
      <c r="Z785" s="480" t="s">
        <v>138</v>
      </c>
      <c r="AA785" s="683"/>
    </row>
    <row r="786" spans="1:27" s="154" customFormat="1" ht="45.75" customHeight="1">
      <c r="A786" s="500"/>
      <c r="B786" s="507"/>
      <c r="C786" s="336"/>
      <c r="D786" s="331"/>
      <c r="E786" s="466"/>
      <c r="F786" s="466"/>
      <c r="G786" s="466"/>
      <c r="H786" s="466"/>
      <c r="I786" s="466"/>
      <c r="J786" s="176"/>
      <c r="K786" s="588"/>
      <c r="L786" s="588"/>
      <c r="M786" s="780"/>
      <c r="N786" s="781"/>
      <c r="O786" s="176">
        <v>21</v>
      </c>
      <c r="P786" s="479" t="s">
        <v>5854</v>
      </c>
      <c r="Q786" s="176">
        <v>5</v>
      </c>
      <c r="R786" s="479"/>
      <c r="S786" s="176"/>
      <c r="T786" s="176"/>
      <c r="U786" s="176" t="s">
        <v>4125</v>
      </c>
      <c r="V786" s="480"/>
      <c r="W786" s="480"/>
      <c r="X786" s="480"/>
      <c r="Y786" s="792" t="s">
        <v>5264</v>
      </c>
      <c r="Z786" s="480" t="s">
        <v>138</v>
      </c>
      <c r="AA786" s="683"/>
    </row>
    <row r="787" spans="1:27" s="154" customFormat="1" ht="14.25">
      <c r="A787" s="500"/>
      <c r="B787" s="507"/>
      <c r="C787" s="336"/>
      <c r="D787" s="331"/>
      <c r="E787" s="466"/>
      <c r="F787" s="466"/>
      <c r="G787" s="466"/>
      <c r="H787" s="466"/>
      <c r="I787" s="466"/>
      <c r="J787" s="176"/>
      <c r="K787" s="588"/>
      <c r="L787" s="588"/>
      <c r="M787" s="780"/>
      <c r="N787" s="781"/>
      <c r="O787" s="176">
        <v>22</v>
      </c>
      <c r="P787" s="479" t="s">
        <v>5855</v>
      </c>
      <c r="Q787" s="176">
        <v>5</v>
      </c>
      <c r="R787" s="479"/>
      <c r="S787" s="176"/>
      <c r="T787" s="176"/>
      <c r="U787" s="176" t="s">
        <v>4125</v>
      </c>
      <c r="V787" s="480"/>
      <c r="W787" s="480"/>
      <c r="X787" s="480"/>
      <c r="Y787" s="792" t="s">
        <v>5266</v>
      </c>
      <c r="Z787" s="480" t="s">
        <v>138</v>
      </c>
      <c r="AA787" s="683"/>
    </row>
    <row r="788" spans="1:27" s="154" customFormat="1" ht="14.25">
      <c r="A788" s="500"/>
      <c r="B788" s="507"/>
      <c r="C788" s="336"/>
      <c r="D788" s="331"/>
      <c r="E788" s="466"/>
      <c r="F788" s="466"/>
      <c r="G788" s="466"/>
      <c r="H788" s="466"/>
      <c r="I788" s="466"/>
      <c r="J788" s="176"/>
      <c r="K788" s="588"/>
      <c r="L788" s="588"/>
      <c r="M788" s="780"/>
      <c r="N788" s="781"/>
      <c r="O788" s="176">
        <v>23</v>
      </c>
      <c r="P788" s="463" t="s">
        <v>5856</v>
      </c>
      <c r="Q788" s="461">
        <v>5</v>
      </c>
      <c r="R788" s="463"/>
      <c r="S788" s="461"/>
      <c r="T788" s="461"/>
      <c r="U788" s="461" t="s">
        <v>4125</v>
      </c>
      <c r="V788" s="462"/>
      <c r="W788" s="462"/>
      <c r="X788" s="462"/>
      <c r="Y788" s="792" t="s">
        <v>5268</v>
      </c>
      <c r="Z788" s="480" t="s">
        <v>138</v>
      </c>
      <c r="AA788" s="683"/>
    </row>
    <row r="789" spans="1:27" s="154" customFormat="1" ht="14.25">
      <c r="A789" s="525"/>
      <c r="B789" s="490"/>
      <c r="C789" s="491"/>
      <c r="D789" s="345"/>
      <c r="E789" s="405"/>
      <c r="F789" s="405"/>
      <c r="G789" s="405"/>
      <c r="H789" s="405"/>
      <c r="I789" s="405"/>
      <c r="J789" s="405"/>
      <c r="K789" s="492"/>
      <c r="L789" s="492"/>
      <c r="M789" s="493"/>
      <c r="N789" s="494"/>
      <c r="O789" s="492"/>
      <c r="P789" s="491"/>
      <c r="Q789" s="405"/>
      <c r="R789" s="495"/>
      <c r="S789" s="496"/>
      <c r="T789" s="496"/>
      <c r="U789" s="496"/>
      <c r="V789" s="497"/>
      <c r="W789" s="497"/>
      <c r="X789" s="497"/>
      <c r="Y789" s="498"/>
      <c r="Z789" s="308"/>
      <c r="AA789" s="683"/>
    </row>
    <row r="790" spans="1:27" s="154" customFormat="1" ht="28.5">
      <c r="A790" s="501" t="s">
        <v>5857</v>
      </c>
      <c r="B790" s="310" t="s">
        <v>596</v>
      </c>
      <c r="C790" s="327" t="s">
        <v>5858</v>
      </c>
      <c r="D790" s="456" t="s">
        <v>4978</v>
      </c>
      <c r="E790" s="322">
        <v>0</v>
      </c>
      <c r="F790" s="322">
        <v>100</v>
      </c>
      <c r="G790" s="322" t="s">
        <v>41</v>
      </c>
      <c r="H790" s="322">
        <v>40</v>
      </c>
      <c r="I790" s="322">
        <v>100</v>
      </c>
      <c r="J790" s="483">
        <v>776</v>
      </c>
      <c r="K790" s="779" t="s">
        <v>4125</v>
      </c>
      <c r="L790" s="779" t="s">
        <v>4125</v>
      </c>
      <c r="M790" s="778" t="s">
        <v>4979</v>
      </c>
      <c r="N790" s="778" t="s">
        <v>4980</v>
      </c>
      <c r="O790" s="779"/>
      <c r="P790" s="482"/>
      <c r="Q790" s="483"/>
      <c r="R790" s="482"/>
      <c r="S790" s="483"/>
      <c r="T790" s="483"/>
      <c r="U790" s="483"/>
      <c r="V790" s="484"/>
      <c r="W790" s="484"/>
      <c r="X790" s="484"/>
      <c r="Y790" s="793"/>
      <c r="Z790" s="484">
        <v>1</v>
      </c>
      <c r="AA790" s="141"/>
    </row>
    <row r="791" spans="1:27" ht="15">
      <c r="A791" s="514"/>
      <c r="B791" s="507"/>
      <c r="C791" s="330"/>
      <c r="D791" s="459"/>
      <c r="E791" s="341"/>
      <c r="F791" s="341"/>
      <c r="G791" s="341"/>
      <c r="H791" s="341"/>
      <c r="I791" s="341"/>
      <c r="J791" s="523"/>
      <c r="K791" s="590"/>
      <c r="L791" s="590"/>
      <c r="M791" s="589" t="s">
        <v>4442</v>
      </c>
      <c r="N791" s="589" t="s">
        <v>4443</v>
      </c>
      <c r="O791" s="590">
        <v>1</v>
      </c>
      <c r="P791" s="472" t="s">
        <v>5859</v>
      </c>
      <c r="Q791" s="473">
        <v>0</v>
      </c>
      <c r="R791" s="461"/>
      <c r="S791" s="461"/>
      <c r="T791" s="461"/>
      <c r="U791" s="461" t="s">
        <v>4125</v>
      </c>
      <c r="V791" s="461"/>
      <c r="W791" s="461"/>
      <c r="X791" s="461"/>
      <c r="Y791" s="668"/>
      <c r="Z791" s="462" t="s">
        <v>138</v>
      </c>
    </row>
    <row r="792" spans="1:27" ht="15">
      <c r="A792" s="457"/>
      <c r="B792" s="458"/>
      <c r="C792" s="524"/>
      <c r="D792" s="459"/>
      <c r="E792" s="341"/>
      <c r="F792" s="341"/>
      <c r="G792" s="341"/>
      <c r="H792" s="341"/>
      <c r="I792" s="341"/>
      <c r="J792" s="523"/>
      <c r="K792" s="342"/>
      <c r="L792" s="342"/>
      <c r="M792" s="460"/>
      <c r="N792" s="460"/>
      <c r="O792" s="342">
        <v>2</v>
      </c>
      <c r="P792" s="336" t="s">
        <v>5860</v>
      </c>
      <c r="Q792" s="461">
        <v>0</v>
      </c>
      <c r="R792" s="461"/>
      <c r="S792" s="461"/>
      <c r="T792" s="461"/>
      <c r="U792" s="461" t="s">
        <v>4125</v>
      </c>
      <c r="V792" s="461"/>
      <c r="W792" s="461"/>
      <c r="X792" s="860"/>
      <c r="Y792" s="584"/>
      <c r="Z792" s="861">
        <v>2</v>
      </c>
    </row>
    <row r="793" spans="1:27" ht="15">
      <c r="A793" s="514"/>
      <c r="B793" s="515"/>
      <c r="C793" s="336"/>
      <c r="D793" s="331"/>
      <c r="E793" s="332"/>
      <c r="F793" s="332"/>
      <c r="G793" s="332"/>
      <c r="H793" s="332"/>
      <c r="I793" s="332"/>
      <c r="J793" s="527"/>
      <c r="K793" s="333"/>
      <c r="L793" s="333"/>
      <c r="M793" s="509"/>
      <c r="N793" s="509"/>
      <c r="O793" s="342">
        <v>3</v>
      </c>
      <c r="P793" s="336" t="s">
        <v>5861</v>
      </c>
      <c r="Q793" s="461">
        <v>0</v>
      </c>
      <c r="R793" s="461"/>
      <c r="S793" s="461"/>
      <c r="T793" s="461"/>
      <c r="U793" s="461" t="s">
        <v>4125</v>
      </c>
      <c r="V793" s="461"/>
      <c r="W793" s="461"/>
      <c r="X793" s="860"/>
      <c r="Y793" s="584"/>
      <c r="Z793" s="861">
        <v>2</v>
      </c>
    </row>
    <row r="794" spans="1:27" ht="15">
      <c r="A794" s="516"/>
      <c r="B794" s="528"/>
      <c r="C794" s="465"/>
      <c r="D794" s="340"/>
      <c r="E794" s="466"/>
      <c r="F794" s="466"/>
      <c r="G794" s="466"/>
      <c r="H794" s="466"/>
      <c r="I794" s="466"/>
      <c r="J794" s="529"/>
      <c r="K794" s="467"/>
      <c r="L794" s="467"/>
      <c r="M794" s="506"/>
      <c r="N794" s="506"/>
      <c r="O794" s="341">
        <v>4</v>
      </c>
      <c r="P794" s="336" t="s">
        <v>5862</v>
      </c>
      <c r="Q794" s="461">
        <v>0</v>
      </c>
      <c r="R794" s="461"/>
      <c r="S794" s="461"/>
      <c r="T794" s="461"/>
      <c r="U794" s="461" t="s">
        <v>4125</v>
      </c>
      <c r="V794" s="461" t="s">
        <v>4125</v>
      </c>
      <c r="W794" s="461"/>
      <c r="X794" s="860"/>
      <c r="Y794" s="584"/>
      <c r="Z794" s="861">
        <v>2</v>
      </c>
    </row>
    <row r="795" spans="1:27" ht="15">
      <c r="A795" s="516"/>
      <c r="B795" s="528"/>
      <c r="C795" s="465"/>
      <c r="D795" s="340"/>
      <c r="E795" s="466"/>
      <c r="F795" s="466"/>
      <c r="G795" s="466"/>
      <c r="H795" s="466"/>
      <c r="I795" s="466"/>
      <c r="J795" s="529"/>
      <c r="K795" s="588"/>
      <c r="L795" s="588"/>
      <c r="M795" s="634"/>
      <c r="N795" s="634"/>
      <c r="O795" s="473">
        <v>5</v>
      </c>
      <c r="P795" s="463" t="s">
        <v>5863</v>
      </c>
      <c r="Q795" s="461">
        <v>0</v>
      </c>
      <c r="R795" s="461"/>
      <c r="S795" s="461"/>
      <c r="T795" s="461"/>
      <c r="U795" s="461" t="s">
        <v>4125</v>
      </c>
      <c r="V795" s="461"/>
      <c r="W795" s="461"/>
      <c r="X795" s="461"/>
      <c r="Y795" s="668"/>
      <c r="Z795" s="462" t="s">
        <v>138</v>
      </c>
    </row>
    <row r="796" spans="1:27" ht="15">
      <c r="A796" s="516"/>
      <c r="B796" s="528"/>
      <c r="C796" s="465"/>
      <c r="D796" s="340"/>
      <c r="E796" s="466"/>
      <c r="F796" s="466"/>
      <c r="G796" s="466"/>
      <c r="H796" s="466"/>
      <c r="I796" s="466"/>
      <c r="J796" s="529"/>
      <c r="K796" s="588"/>
      <c r="L796" s="588"/>
      <c r="M796" s="634"/>
      <c r="N796" s="634"/>
      <c r="O796" s="473">
        <v>6</v>
      </c>
      <c r="P796" s="463" t="s">
        <v>5864</v>
      </c>
      <c r="Q796" s="461">
        <v>0</v>
      </c>
      <c r="R796" s="461"/>
      <c r="S796" s="461"/>
      <c r="T796" s="461"/>
      <c r="U796" s="461" t="s">
        <v>4125</v>
      </c>
      <c r="V796" s="461"/>
      <c r="W796" s="461"/>
      <c r="X796" s="461"/>
      <c r="Y796" s="668"/>
      <c r="Z796" s="462" t="s">
        <v>138</v>
      </c>
    </row>
    <row r="797" spans="1:27" ht="15">
      <c r="A797" s="516"/>
      <c r="B797" s="528"/>
      <c r="C797" s="465"/>
      <c r="D797" s="340"/>
      <c r="E797" s="466"/>
      <c r="F797" s="466"/>
      <c r="G797" s="466"/>
      <c r="H797" s="466"/>
      <c r="I797" s="466"/>
      <c r="J797" s="529"/>
      <c r="K797" s="467"/>
      <c r="L797" s="467"/>
      <c r="M797" s="506"/>
      <c r="N797" s="506"/>
      <c r="O797" s="341">
        <v>7</v>
      </c>
      <c r="P797" s="336" t="s">
        <v>5865</v>
      </c>
      <c r="Q797" s="461">
        <v>0</v>
      </c>
      <c r="R797" s="585"/>
      <c r="S797" s="860"/>
      <c r="T797" s="586"/>
      <c r="U797" s="860" t="s">
        <v>4125</v>
      </c>
      <c r="V797" s="587"/>
      <c r="W797" s="586"/>
      <c r="X797" s="461"/>
      <c r="Y797" s="584"/>
      <c r="Z797" s="861">
        <v>2</v>
      </c>
    </row>
    <row r="798" spans="1:27" ht="14.25">
      <c r="A798" s="516"/>
      <c r="B798" s="528"/>
      <c r="C798" s="465"/>
      <c r="D798" s="340"/>
      <c r="E798" s="466"/>
      <c r="F798" s="466"/>
      <c r="G798" s="466"/>
      <c r="H798" s="466"/>
      <c r="I798" s="466"/>
      <c r="J798" s="529"/>
      <c r="K798" s="588"/>
      <c r="L798" s="588"/>
      <c r="M798" s="634"/>
      <c r="N798" s="634"/>
      <c r="O798" s="176">
        <v>8</v>
      </c>
      <c r="P798" s="479" t="s">
        <v>5866</v>
      </c>
      <c r="Q798" s="868">
        <v>3</v>
      </c>
      <c r="R798" s="176"/>
      <c r="S798" s="176"/>
      <c r="T798" s="176"/>
      <c r="U798" s="176" t="s">
        <v>4125</v>
      </c>
      <c r="V798" s="176"/>
      <c r="W798" s="176"/>
      <c r="X798" s="480"/>
      <c r="Y798" s="526" t="s">
        <v>5619</v>
      </c>
      <c r="Z798" s="867">
        <v>2</v>
      </c>
      <c r="AA798" s="683"/>
    </row>
    <row r="799" spans="1:27" ht="85.5" customHeight="1">
      <c r="A799" s="514"/>
      <c r="B799" s="515"/>
      <c r="C799" s="336"/>
      <c r="D799" s="331"/>
      <c r="E799" s="332"/>
      <c r="F799" s="332"/>
      <c r="G799" s="332"/>
      <c r="H799" s="332"/>
      <c r="I799" s="332"/>
      <c r="J799" s="527"/>
      <c r="K799" s="624"/>
      <c r="L799" s="624"/>
      <c r="M799" s="667"/>
      <c r="N799" s="667"/>
      <c r="O799" s="461">
        <v>9</v>
      </c>
      <c r="P799" s="463" t="s">
        <v>5867</v>
      </c>
      <c r="Q799" s="461">
        <v>25</v>
      </c>
      <c r="R799" s="461"/>
      <c r="S799" s="461"/>
      <c r="T799" s="461"/>
      <c r="U799" s="461" t="s">
        <v>4125</v>
      </c>
      <c r="V799" s="461"/>
      <c r="W799" s="461" t="s">
        <v>4125</v>
      </c>
      <c r="X799" s="462"/>
      <c r="Y799" s="792" t="s">
        <v>5621</v>
      </c>
      <c r="Z799" s="462" t="s">
        <v>184</v>
      </c>
      <c r="AA799" s="683"/>
    </row>
    <row r="800" spans="1:27" ht="14.25">
      <c r="A800" s="514"/>
      <c r="B800" s="515"/>
      <c r="C800" s="336"/>
      <c r="D800" s="331"/>
      <c r="E800" s="332"/>
      <c r="F800" s="332"/>
      <c r="G800" s="332"/>
      <c r="H800" s="332"/>
      <c r="I800" s="332"/>
      <c r="J800" s="527"/>
      <c r="K800" s="333"/>
      <c r="L800" s="333"/>
      <c r="M800" s="509"/>
      <c r="N800" s="509"/>
      <c r="O800" s="461">
        <v>10</v>
      </c>
      <c r="P800" s="463" t="s">
        <v>5868</v>
      </c>
      <c r="Q800" s="860">
        <v>3</v>
      </c>
      <c r="R800" s="461"/>
      <c r="S800" s="461"/>
      <c r="T800" s="461" t="s">
        <v>4125</v>
      </c>
      <c r="U800" s="461"/>
      <c r="V800" s="461"/>
      <c r="W800" s="860" t="s">
        <v>4125</v>
      </c>
      <c r="X800" s="462"/>
      <c r="Y800" s="792" t="s">
        <v>5655</v>
      </c>
      <c r="Z800" s="861">
        <v>2</v>
      </c>
      <c r="AA800" s="683"/>
    </row>
    <row r="801" spans="1:27" ht="14.25">
      <c r="A801" s="516"/>
      <c r="B801" s="528"/>
      <c r="C801" s="465"/>
      <c r="D801" s="340"/>
      <c r="E801" s="466"/>
      <c r="F801" s="466"/>
      <c r="G801" s="466"/>
      <c r="H801" s="466"/>
      <c r="I801" s="466"/>
      <c r="J801" s="529"/>
      <c r="K801" s="467"/>
      <c r="L801" s="467"/>
      <c r="M801" s="506"/>
      <c r="N801" s="506"/>
      <c r="O801" s="176">
        <v>11</v>
      </c>
      <c r="P801" s="479" t="s">
        <v>5869</v>
      </c>
      <c r="Q801" s="868">
        <v>3</v>
      </c>
      <c r="R801" s="176"/>
      <c r="S801" s="176"/>
      <c r="T801" s="176" t="s">
        <v>4125</v>
      </c>
      <c r="U801" s="176"/>
      <c r="V801" s="176"/>
      <c r="W801" s="868" t="s">
        <v>4125</v>
      </c>
      <c r="X801" s="480"/>
      <c r="Y801" s="526" t="s">
        <v>5657</v>
      </c>
      <c r="Z801" s="867">
        <v>2</v>
      </c>
      <c r="AA801" s="683"/>
    </row>
    <row r="802" spans="1:27" ht="14.25">
      <c r="A802" s="516"/>
      <c r="B802" s="528"/>
      <c r="C802" s="465"/>
      <c r="D802" s="340"/>
      <c r="E802" s="466"/>
      <c r="F802" s="466"/>
      <c r="G802" s="466"/>
      <c r="H802" s="466"/>
      <c r="I802" s="466"/>
      <c r="J802" s="529"/>
      <c r="K802" s="467"/>
      <c r="L802" s="467"/>
      <c r="M802" s="506"/>
      <c r="N802" s="506"/>
      <c r="O802" s="176">
        <v>12</v>
      </c>
      <c r="P802" s="479" t="s">
        <v>5870</v>
      </c>
      <c r="Q802" s="868">
        <v>3</v>
      </c>
      <c r="R802" s="176"/>
      <c r="S802" s="176"/>
      <c r="T802" s="176" t="s">
        <v>4125</v>
      </c>
      <c r="U802" s="176"/>
      <c r="V802" s="176"/>
      <c r="W802" s="868" t="s">
        <v>4125</v>
      </c>
      <c r="X802" s="480"/>
      <c r="Y802" s="526" t="s">
        <v>5741</v>
      </c>
      <c r="Z802" s="867">
        <v>2</v>
      </c>
      <c r="AA802" s="683"/>
    </row>
    <row r="803" spans="1:27" ht="14.25">
      <c r="A803" s="516"/>
      <c r="B803" s="528"/>
      <c r="C803" s="465"/>
      <c r="D803" s="340"/>
      <c r="E803" s="466"/>
      <c r="F803" s="466"/>
      <c r="G803" s="466"/>
      <c r="H803" s="466"/>
      <c r="I803" s="466"/>
      <c r="J803" s="529"/>
      <c r="K803" s="467"/>
      <c r="L803" s="467"/>
      <c r="M803" s="506"/>
      <c r="N803" s="506"/>
      <c r="O803" s="176">
        <v>13</v>
      </c>
      <c r="P803" s="479" t="s">
        <v>5871</v>
      </c>
      <c r="Q803" s="176">
        <v>5</v>
      </c>
      <c r="R803" s="176"/>
      <c r="S803" s="176"/>
      <c r="T803" s="176" t="s">
        <v>4125</v>
      </c>
      <c r="U803" s="176"/>
      <c r="V803" s="176"/>
      <c r="W803" s="868" t="s">
        <v>4125</v>
      </c>
      <c r="X803" s="480"/>
      <c r="Y803" s="526" t="s">
        <v>5787</v>
      </c>
      <c r="Z803" s="867">
        <v>2</v>
      </c>
      <c r="AA803" s="683"/>
    </row>
    <row r="804" spans="1:27" ht="14.25">
      <c r="A804" s="516"/>
      <c r="B804" s="528"/>
      <c r="C804" s="465"/>
      <c r="D804" s="340"/>
      <c r="E804" s="466"/>
      <c r="F804" s="466"/>
      <c r="G804" s="466"/>
      <c r="H804" s="466"/>
      <c r="I804" s="466"/>
      <c r="J804" s="529"/>
      <c r="K804" s="467"/>
      <c r="L804" s="467"/>
      <c r="M804" s="506"/>
      <c r="N804" s="506"/>
      <c r="O804" s="176">
        <v>14</v>
      </c>
      <c r="P804" s="479" t="s">
        <v>5872</v>
      </c>
      <c r="Q804" s="176">
        <v>5</v>
      </c>
      <c r="R804" s="176"/>
      <c r="S804" s="176"/>
      <c r="T804" s="176" t="s">
        <v>4125</v>
      </c>
      <c r="U804" s="176"/>
      <c r="V804" s="176"/>
      <c r="W804" s="868" t="s">
        <v>4125</v>
      </c>
      <c r="X804" s="480"/>
      <c r="Y804" s="526" t="s">
        <v>5873</v>
      </c>
      <c r="Z804" s="867">
        <v>2</v>
      </c>
    </row>
    <row r="805" spans="1:27" ht="59.25" customHeight="1">
      <c r="A805" s="516"/>
      <c r="B805" s="528"/>
      <c r="C805" s="465"/>
      <c r="D805" s="340"/>
      <c r="E805" s="466"/>
      <c r="F805" s="466"/>
      <c r="G805" s="466"/>
      <c r="H805" s="466"/>
      <c r="I805" s="466"/>
      <c r="J805" s="529"/>
      <c r="K805" s="588"/>
      <c r="L805" s="588"/>
      <c r="M805" s="634"/>
      <c r="N805" s="634"/>
      <c r="O805" s="176">
        <v>15</v>
      </c>
      <c r="P805" s="479" t="s">
        <v>5874</v>
      </c>
      <c r="Q805" s="176">
        <v>5</v>
      </c>
      <c r="R805" s="176"/>
      <c r="S805" s="176"/>
      <c r="T805" s="176" t="s">
        <v>4125</v>
      </c>
      <c r="U805" s="176"/>
      <c r="V805" s="176"/>
      <c r="W805" s="176" t="s">
        <v>4125</v>
      </c>
      <c r="X805" s="480"/>
      <c r="Y805" s="526" t="s">
        <v>5875</v>
      </c>
      <c r="Z805" s="480" t="s">
        <v>138</v>
      </c>
    </row>
    <row r="806" spans="1:27" ht="59.25" customHeight="1">
      <c r="A806" s="516"/>
      <c r="B806" s="528"/>
      <c r="C806" s="465"/>
      <c r="D806" s="340"/>
      <c r="E806" s="466"/>
      <c r="F806" s="466"/>
      <c r="G806" s="466"/>
      <c r="H806" s="466"/>
      <c r="I806" s="466"/>
      <c r="J806" s="529"/>
      <c r="K806" s="588"/>
      <c r="L806" s="588"/>
      <c r="M806" s="634"/>
      <c r="N806" s="634"/>
      <c r="O806" s="176">
        <v>16</v>
      </c>
      <c r="P806" s="479" t="s">
        <v>5876</v>
      </c>
      <c r="Q806" s="176">
        <v>5</v>
      </c>
      <c r="R806" s="176"/>
      <c r="S806" s="176"/>
      <c r="T806" s="176" t="s">
        <v>4125</v>
      </c>
      <c r="U806" s="176"/>
      <c r="V806" s="176"/>
      <c r="W806" s="176" t="s">
        <v>4125</v>
      </c>
      <c r="X806" s="480"/>
      <c r="Y806" s="526" t="s">
        <v>5877</v>
      </c>
      <c r="Z806" s="480" t="s">
        <v>138</v>
      </c>
    </row>
    <row r="807" spans="1:27" s="154" customFormat="1" ht="59.25" customHeight="1">
      <c r="A807" s="500"/>
      <c r="B807" s="507"/>
      <c r="C807" s="336"/>
      <c r="D807" s="331"/>
      <c r="E807" s="466"/>
      <c r="F807" s="466"/>
      <c r="G807" s="466"/>
      <c r="H807" s="466"/>
      <c r="I807" s="466"/>
      <c r="J807" s="176"/>
      <c r="K807" s="588"/>
      <c r="L807" s="588"/>
      <c r="M807" s="780"/>
      <c r="N807" s="781"/>
      <c r="O807" s="176">
        <v>17</v>
      </c>
      <c r="P807" s="479" t="s">
        <v>5878</v>
      </c>
      <c r="Q807" s="176">
        <v>5</v>
      </c>
      <c r="R807" s="479"/>
      <c r="S807" s="176"/>
      <c r="T807" s="176"/>
      <c r="U807" s="176" t="s">
        <v>4125</v>
      </c>
      <c r="V807" s="480"/>
      <c r="W807" s="480"/>
      <c r="X807" s="480"/>
      <c r="Y807" s="792" t="s">
        <v>5260</v>
      </c>
      <c r="Z807" s="480" t="s">
        <v>138</v>
      </c>
      <c r="AA807" s="683"/>
    </row>
    <row r="808" spans="1:27" s="154" customFormat="1" ht="59.25" customHeight="1">
      <c r="A808" s="500"/>
      <c r="B808" s="507"/>
      <c r="C808" s="336"/>
      <c r="D808" s="331"/>
      <c r="E808" s="466"/>
      <c r="F808" s="466"/>
      <c r="G808" s="466"/>
      <c r="H808" s="466"/>
      <c r="I808" s="466"/>
      <c r="J808" s="176"/>
      <c r="K808" s="588"/>
      <c r="L808" s="588"/>
      <c r="M808" s="780"/>
      <c r="N808" s="781"/>
      <c r="O808" s="176">
        <v>18</v>
      </c>
      <c r="P808" s="479" t="s">
        <v>5879</v>
      </c>
      <c r="Q808" s="176">
        <v>5</v>
      </c>
      <c r="R808" s="479"/>
      <c r="S808" s="176"/>
      <c r="T808" s="176"/>
      <c r="U808" s="176" t="s">
        <v>4125</v>
      </c>
      <c r="V808" s="480"/>
      <c r="W808" s="480"/>
      <c r="X808" s="480"/>
      <c r="Y808" s="792" t="s">
        <v>5262</v>
      </c>
      <c r="Z808" s="480" t="s">
        <v>138</v>
      </c>
      <c r="AA808" s="683"/>
    </row>
    <row r="809" spans="1:27" s="154" customFormat="1" ht="59.25" customHeight="1">
      <c r="A809" s="500"/>
      <c r="B809" s="507"/>
      <c r="C809" s="336"/>
      <c r="D809" s="331"/>
      <c r="E809" s="466"/>
      <c r="F809" s="466"/>
      <c r="G809" s="466"/>
      <c r="H809" s="466"/>
      <c r="I809" s="466"/>
      <c r="J809" s="176"/>
      <c r="K809" s="588"/>
      <c r="L809" s="588"/>
      <c r="M809" s="780"/>
      <c r="N809" s="781"/>
      <c r="O809" s="176">
        <v>19</v>
      </c>
      <c r="P809" s="479" t="s">
        <v>5880</v>
      </c>
      <c r="Q809" s="176">
        <v>5</v>
      </c>
      <c r="R809" s="479"/>
      <c r="S809" s="176"/>
      <c r="T809" s="176"/>
      <c r="U809" s="176" t="s">
        <v>4125</v>
      </c>
      <c r="V809" s="480"/>
      <c r="W809" s="480"/>
      <c r="X809" s="480"/>
      <c r="Y809" s="792" t="s">
        <v>5264</v>
      </c>
      <c r="Z809" s="480" t="s">
        <v>138</v>
      </c>
      <c r="AA809" s="683"/>
    </row>
    <row r="810" spans="1:27" s="154" customFormat="1" ht="14.25">
      <c r="A810" s="500"/>
      <c r="B810" s="507"/>
      <c r="C810" s="336"/>
      <c r="D810" s="331"/>
      <c r="E810" s="466"/>
      <c r="F810" s="466"/>
      <c r="G810" s="466"/>
      <c r="H810" s="466"/>
      <c r="I810" s="466"/>
      <c r="J810" s="176"/>
      <c r="K810" s="588"/>
      <c r="L810" s="588"/>
      <c r="M810" s="780"/>
      <c r="N810" s="781"/>
      <c r="O810" s="176">
        <v>20</v>
      </c>
      <c r="P810" s="479" t="s">
        <v>5881</v>
      </c>
      <c r="Q810" s="176">
        <v>5</v>
      </c>
      <c r="R810" s="479"/>
      <c r="S810" s="176"/>
      <c r="T810" s="176"/>
      <c r="U810" s="176" t="s">
        <v>4125</v>
      </c>
      <c r="V810" s="480"/>
      <c r="W810" s="480"/>
      <c r="X810" s="480"/>
      <c r="Y810" s="792" t="s">
        <v>5266</v>
      </c>
      <c r="Z810" s="480" t="s">
        <v>138</v>
      </c>
      <c r="AA810" s="683"/>
    </row>
    <row r="811" spans="1:27" s="154" customFormat="1" ht="14.25">
      <c r="A811" s="500"/>
      <c r="B811" s="507"/>
      <c r="C811" s="336"/>
      <c r="D811" s="331"/>
      <c r="E811" s="466"/>
      <c r="F811" s="466"/>
      <c r="G811" s="466"/>
      <c r="H811" s="466"/>
      <c r="I811" s="466"/>
      <c r="J811" s="176"/>
      <c r="K811" s="588"/>
      <c r="L811" s="588"/>
      <c r="M811" s="780"/>
      <c r="N811" s="781"/>
      <c r="O811" s="176">
        <v>21</v>
      </c>
      <c r="P811" s="463" t="s">
        <v>5882</v>
      </c>
      <c r="Q811" s="461">
        <v>5</v>
      </c>
      <c r="R811" s="463"/>
      <c r="S811" s="461"/>
      <c r="T811" s="461"/>
      <c r="U811" s="461" t="s">
        <v>4125</v>
      </c>
      <c r="V811" s="462"/>
      <c r="W811" s="462"/>
      <c r="X811" s="462"/>
      <c r="Y811" s="792" t="s">
        <v>5268</v>
      </c>
      <c r="Z811" s="480" t="s">
        <v>138</v>
      </c>
      <c r="AA811" s="683"/>
    </row>
    <row r="812" spans="1:27" s="154" customFormat="1" ht="14.25">
      <c r="A812" s="525"/>
      <c r="B812" s="490"/>
      <c r="C812" s="491"/>
      <c r="D812" s="345"/>
      <c r="E812" s="405"/>
      <c r="F812" s="405"/>
      <c r="G812" s="405"/>
      <c r="H812" s="405"/>
      <c r="I812" s="405"/>
      <c r="J812" s="405"/>
      <c r="K812" s="492"/>
      <c r="L812" s="492"/>
      <c r="M812" s="493"/>
      <c r="N812" s="494"/>
      <c r="O812" s="492"/>
      <c r="P812" s="491"/>
      <c r="Q812" s="405"/>
      <c r="R812" s="495"/>
      <c r="S812" s="496"/>
      <c r="T812" s="496"/>
      <c r="U812" s="496"/>
      <c r="V812" s="497"/>
      <c r="W812" s="497"/>
      <c r="X812" s="497"/>
      <c r="Y812" s="498"/>
      <c r="Z812" s="308"/>
      <c r="AA812" s="141"/>
    </row>
    <row r="813" spans="1:27" s="154" customFormat="1" ht="28.5">
      <c r="A813" s="500" t="s">
        <v>5883</v>
      </c>
      <c r="B813" s="310" t="s">
        <v>596</v>
      </c>
      <c r="C813" s="327" t="s">
        <v>5884</v>
      </c>
      <c r="D813" s="456" t="s">
        <v>4978</v>
      </c>
      <c r="E813" s="322">
        <v>0</v>
      </c>
      <c r="F813" s="322">
        <v>100</v>
      </c>
      <c r="G813" s="322" t="s">
        <v>41</v>
      </c>
      <c r="H813" s="322">
        <v>40</v>
      </c>
      <c r="I813" s="322">
        <v>100</v>
      </c>
      <c r="J813" s="483">
        <v>776</v>
      </c>
      <c r="K813" s="779" t="s">
        <v>4125</v>
      </c>
      <c r="L813" s="779" t="s">
        <v>4125</v>
      </c>
      <c r="M813" s="778" t="s">
        <v>4979</v>
      </c>
      <c r="N813" s="778" t="s">
        <v>4980</v>
      </c>
      <c r="O813" s="590"/>
      <c r="P813" s="472"/>
      <c r="Q813" s="473"/>
      <c r="R813" s="472"/>
      <c r="S813" s="473"/>
      <c r="T813" s="473"/>
      <c r="U813" s="473"/>
      <c r="V813" s="474"/>
      <c r="W813" s="474"/>
      <c r="X813" s="474"/>
      <c r="Y813" s="526"/>
      <c r="Z813" s="474">
        <v>1</v>
      </c>
      <c r="AA813" s="141"/>
    </row>
    <row r="814" spans="1:27" ht="15">
      <c r="A814" s="514"/>
      <c r="B814" s="507"/>
      <c r="C814" s="330"/>
      <c r="D814" s="459"/>
      <c r="E814" s="341"/>
      <c r="F814" s="341"/>
      <c r="G814" s="341"/>
      <c r="H814" s="341"/>
      <c r="I814" s="341"/>
      <c r="J814" s="523"/>
      <c r="K814" s="590"/>
      <c r="L814" s="590"/>
      <c r="M814" s="589" t="s">
        <v>4442</v>
      </c>
      <c r="N814" s="589" t="s">
        <v>4443</v>
      </c>
      <c r="O814" s="590">
        <v>1</v>
      </c>
      <c r="P814" s="472" t="s">
        <v>5885</v>
      </c>
      <c r="Q814" s="473">
        <v>0</v>
      </c>
      <c r="R814" s="461"/>
      <c r="S814" s="461"/>
      <c r="T814" s="461"/>
      <c r="U814" s="461" t="s">
        <v>4125</v>
      </c>
      <c r="V814" s="461"/>
      <c r="W814" s="461"/>
      <c r="X814" s="461"/>
      <c r="Y814" s="668"/>
      <c r="Z814" s="462" t="s">
        <v>138</v>
      </c>
    </row>
    <row r="815" spans="1:27" ht="15">
      <c r="A815" s="457"/>
      <c r="B815" s="458"/>
      <c r="C815" s="524"/>
      <c r="D815" s="459"/>
      <c r="E815" s="341"/>
      <c r="F815" s="341"/>
      <c r="G815" s="341"/>
      <c r="H815" s="341"/>
      <c r="I815" s="341"/>
      <c r="J815" s="523"/>
      <c r="K815" s="342"/>
      <c r="L815" s="342"/>
      <c r="M815" s="460"/>
      <c r="N815" s="460"/>
      <c r="O815" s="342">
        <v>2</v>
      </c>
      <c r="P815" s="336" t="s">
        <v>5886</v>
      </c>
      <c r="Q815" s="461">
        <v>0</v>
      </c>
      <c r="R815" s="461"/>
      <c r="S815" s="461"/>
      <c r="T815" s="461"/>
      <c r="U815" s="461" t="s">
        <v>4125</v>
      </c>
      <c r="V815" s="461"/>
      <c r="W815" s="461"/>
      <c r="X815" s="860"/>
      <c r="Y815" s="584"/>
      <c r="Z815" s="861">
        <v>2</v>
      </c>
    </row>
    <row r="816" spans="1:27" ht="15">
      <c r="A816" s="514"/>
      <c r="B816" s="515"/>
      <c r="C816" s="336"/>
      <c r="D816" s="331"/>
      <c r="E816" s="332"/>
      <c r="F816" s="332"/>
      <c r="G816" s="332"/>
      <c r="H816" s="332"/>
      <c r="I816" s="332"/>
      <c r="J816" s="527"/>
      <c r="K816" s="333"/>
      <c r="L816" s="333"/>
      <c r="M816" s="509"/>
      <c r="N816" s="509"/>
      <c r="O816" s="342">
        <v>3</v>
      </c>
      <c r="P816" s="336" t="s">
        <v>5887</v>
      </c>
      <c r="Q816" s="461">
        <v>0</v>
      </c>
      <c r="R816" s="461"/>
      <c r="S816" s="461"/>
      <c r="T816" s="461"/>
      <c r="U816" s="461" t="s">
        <v>4125</v>
      </c>
      <c r="V816" s="461"/>
      <c r="W816" s="461"/>
      <c r="X816" s="860"/>
      <c r="Y816" s="584"/>
      <c r="Z816" s="861">
        <v>2</v>
      </c>
    </row>
    <row r="817" spans="1:27" ht="15">
      <c r="A817" s="516"/>
      <c r="B817" s="528"/>
      <c r="C817" s="465"/>
      <c r="D817" s="340"/>
      <c r="E817" s="466"/>
      <c r="F817" s="466"/>
      <c r="G817" s="466"/>
      <c r="H817" s="466"/>
      <c r="I817" s="466"/>
      <c r="J817" s="529"/>
      <c r="K817" s="467"/>
      <c r="L817" s="467"/>
      <c r="M817" s="506"/>
      <c r="N817" s="506"/>
      <c r="O817" s="341">
        <v>4</v>
      </c>
      <c r="P817" s="336" t="s">
        <v>5888</v>
      </c>
      <c r="Q817" s="461">
        <v>0</v>
      </c>
      <c r="R817" s="461"/>
      <c r="S817" s="461"/>
      <c r="T817" s="461"/>
      <c r="U817" s="461" t="s">
        <v>4125</v>
      </c>
      <c r="V817" s="461" t="s">
        <v>4125</v>
      </c>
      <c r="W817" s="461"/>
      <c r="X817" s="860"/>
      <c r="Y817" s="584"/>
      <c r="Z817" s="861">
        <v>2</v>
      </c>
    </row>
    <row r="818" spans="1:27" ht="15">
      <c r="A818" s="516"/>
      <c r="B818" s="528"/>
      <c r="C818" s="465"/>
      <c r="D818" s="340"/>
      <c r="E818" s="466"/>
      <c r="F818" s="466"/>
      <c r="G818" s="466"/>
      <c r="H818" s="466"/>
      <c r="I818" s="466"/>
      <c r="J818" s="529"/>
      <c r="K818" s="588"/>
      <c r="L818" s="588"/>
      <c r="M818" s="634"/>
      <c r="N818" s="634"/>
      <c r="O818" s="473">
        <v>5</v>
      </c>
      <c r="P818" s="463" t="s">
        <v>5889</v>
      </c>
      <c r="Q818" s="461">
        <v>0</v>
      </c>
      <c r="R818" s="461"/>
      <c r="S818" s="461"/>
      <c r="T818" s="461"/>
      <c r="U818" s="461" t="s">
        <v>4125</v>
      </c>
      <c r="V818" s="461"/>
      <c r="W818" s="461"/>
      <c r="X818" s="461"/>
      <c r="Y818" s="668"/>
      <c r="Z818" s="462" t="s">
        <v>138</v>
      </c>
    </row>
    <row r="819" spans="1:27" ht="15">
      <c r="A819" s="516"/>
      <c r="B819" s="528"/>
      <c r="C819" s="465"/>
      <c r="D819" s="340"/>
      <c r="E819" s="466"/>
      <c r="F819" s="466"/>
      <c r="G819" s="466"/>
      <c r="H819" s="466"/>
      <c r="I819" s="466"/>
      <c r="J819" s="529"/>
      <c r="K819" s="588"/>
      <c r="L819" s="588"/>
      <c r="M819" s="634"/>
      <c r="N819" s="634"/>
      <c r="O819" s="473">
        <v>6</v>
      </c>
      <c r="P819" s="463" t="s">
        <v>5890</v>
      </c>
      <c r="Q819" s="461">
        <v>0</v>
      </c>
      <c r="R819" s="461"/>
      <c r="S819" s="461"/>
      <c r="T819" s="461"/>
      <c r="U819" s="461" t="s">
        <v>4125</v>
      </c>
      <c r="V819" s="461"/>
      <c r="W819" s="461"/>
      <c r="X819" s="461"/>
      <c r="Y819" s="668"/>
      <c r="Z819" s="462" t="s">
        <v>138</v>
      </c>
    </row>
    <row r="820" spans="1:27" ht="15">
      <c r="A820" s="516"/>
      <c r="B820" s="528"/>
      <c r="C820" s="465"/>
      <c r="D820" s="340"/>
      <c r="E820" s="466"/>
      <c r="F820" s="466"/>
      <c r="G820" s="466"/>
      <c r="H820" s="466"/>
      <c r="I820" s="466"/>
      <c r="J820" s="529"/>
      <c r="K820" s="467"/>
      <c r="L820" s="467"/>
      <c r="M820" s="506"/>
      <c r="N820" s="506"/>
      <c r="O820" s="341">
        <v>7</v>
      </c>
      <c r="P820" s="336" t="s">
        <v>5891</v>
      </c>
      <c r="Q820" s="461">
        <v>0</v>
      </c>
      <c r="R820" s="585"/>
      <c r="S820" s="860"/>
      <c r="T820" s="586"/>
      <c r="U820" s="860" t="s">
        <v>4125</v>
      </c>
      <c r="V820" s="587"/>
      <c r="W820" s="586"/>
      <c r="X820" s="461"/>
      <c r="Y820" s="584"/>
      <c r="Z820" s="861">
        <v>2</v>
      </c>
    </row>
    <row r="821" spans="1:27" ht="14.25">
      <c r="A821" s="516"/>
      <c r="B821" s="528"/>
      <c r="C821" s="465"/>
      <c r="D821" s="340"/>
      <c r="E821" s="466"/>
      <c r="F821" s="466"/>
      <c r="G821" s="466"/>
      <c r="H821" s="466"/>
      <c r="I821" s="466"/>
      <c r="J821" s="529"/>
      <c r="K821" s="588"/>
      <c r="L821" s="588"/>
      <c r="M821" s="634"/>
      <c r="N821" s="634"/>
      <c r="O821" s="176">
        <v>8</v>
      </c>
      <c r="P821" s="479" t="s">
        <v>5892</v>
      </c>
      <c r="Q821" s="868">
        <v>3</v>
      </c>
      <c r="R821" s="176"/>
      <c r="S821" s="176"/>
      <c r="T821" s="176"/>
      <c r="U821" s="176" t="s">
        <v>4125</v>
      </c>
      <c r="V821" s="176"/>
      <c r="W821" s="176"/>
      <c r="X821" s="480"/>
      <c r="Y821" s="526" t="s">
        <v>5619</v>
      </c>
      <c r="Z821" s="867">
        <v>2</v>
      </c>
      <c r="AA821" s="683"/>
    </row>
    <row r="822" spans="1:27" ht="84.75" customHeight="1">
      <c r="A822" s="516"/>
      <c r="B822" s="528"/>
      <c r="C822" s="465"/>
      <c r="D822" s="340"/>
      <c r="E822" s="466"/>
      <c r="F822" s="466"/>
      <c r="G822" s="466"/>
      <c r="H822" s="466"/>
      <c r="I822" s="466"/>
      <c r="J822" s="529"/>
      <c r="K822" s="588"/>
      <c r="L822" s="588"/>
      <c r="M822" s="634"/>
      <c r="N822" s="634"/>
      <c r="O822" s="176">
        <v>9</v>
      </c>
      <c r="P822" s="479" t="s">
        <v>5893</v>
      </c>
      <c r="Q822" s="176">
        <v>25</v>
      </c>
      <c r="R822" s="176"/>
      <c r="S822" s="176"/>
      <c r="T822" s="176"/>
      <c r="U822" s="176" t="s">
        <v>4125</v>
      </c>
      <c r="V822" s="176"/>
      <c r="W822" s="176" t="s">
        <v>4125</v>
      </c>
      <c r="X822" s="480"/>
      <c r="Y822" s="526" t="s">
        <v>5621</v>
      </c>
      <c r="Z822" s="480" t="s">
        <v>184</v>
      </c>
      <c r="AA822" s="683"/>
    </row>
    <row r="823" spans="1:27" ht="14.25">
      <c r="A823" s="516"/>
      <c r="B823" s="528"/>
      <c r="C823" s="465"/>
      <c r="D823" s="340"/>
      <c r="E823" s="466"/>
      <c r="F823" s="466"/>
      <c r="G823" s="466"/>
      <c r="H823" s="466"/>
      <c r="I823" s="466"/>
      <c r="J823" s="529"/>
      <c r="K823" s="467"/>
      <c r="L823" s="467"/>
      <c r="M823" s="506"/>
      <c r="N823" s="506"/>
      <c r="O823" s="176">
        <v>10</v>
      </c>
      <c r="P823" s="479" t="s">
        <v>5894</v>
      </c>
      <c r="Q823" s="868">
        <v>3</v>
      </c>
      <c r="R823" s="176"/>
      <c r="S823" s="176"/>
      <c r="T823" s="176" t="s">
        <v>4125</v>
      </c>
      <c r="U823" s="176"/>
      <c r="V823" s="176"/>
      <c r="W823" s="868" t="s">
        <v>4125</v>
      </c>
      <c r="X823" s="480"/>
      <c r="Y823" s="526" t="s">
        <v>5655</v>
      </c>
      <c r="Z823" s="867">
        <v>2</v>
      </c>
      <c r="AA823" s="683"/>
    </row>
    <row r="824" spans="1:27" ht="14.25">
      <c r="A824" s="516"/>
      <c r="B824" s="528"/>
      <c r="C824" s="465"/>
      <c r="D824" s="340"/>
      <c r="E824" s="466"/>
      <c r="F824" s="466"/>
      <c r="G824" s="466"/>
      <c r="H824" s="466"/>
      <c r="I824" s="466"/>
      <c r="J824" s="529"/>
      <c r="K824" s="467"/>
      <c r="L824" s="467"/>
      <c r="M824" s="506"/>
      <c r="N824" s="506"/>
      <c r="O824" s="176">
        <v>11</v>
      </c>
      <c r="P824" s="479" t="s">
        <v>5895</v>
      </c>
      <c r="Q824" s="868">
        <v>3</v>
      </c>
      <c r="R824" s="176"/>
      <c r="S824" s="176"/>
      <c r="T824" s="176" t="s">
        <v>4125</v>
      </c>
      <c r="U824" s="176"/>
      <c r="V824" s="176"/>
      <c r="W824" s="868" t="s">
        <v>4125</v>
      </c>
      <c r="X824" s="480"/>
      <c r="Y824" s="526" t="s">
        <v>5657</v>
      </c>
      <c r="Z824" s="867">
        <v>2</v>
      </c>
      <c r="AA824" s="683"/>
    </row>
    <row r="825" spans="1:27" ht="14.25">
      <c r="A825" s="516"/>
      <c r="B825" s="528"/>
      <c r="C825" s="465"/>
      <c r="D825" s="340"/>
      <c r="E825" s="466"/>
      <c r="F825" s="466"/>
      <c r="G825" s="466"/>
      <c r="H825" s="466"/>
      <c r="I825" s="466"/>
      <c r="J825" s="529"/>
      <c r="K825" s="467"/>
      <c r="L825" s="467"/>
      <c r="M825" s="506"/>
      <c r="N825" s="506"/>
      <c r="O825" s="176">
        <v>12</v>
      </c>
      <c r="P825" s="479" t="s">
        <v>5896</v>
      </c>
      <c r="Q825" s="868">
        <v>3</v>
      </c>
      <c r="R825" s="176"/>
      <c r="S825" s="176"/>
      <c r="T825" s="176" t="s">
        <v>4125</v>
      </c>
      <c r="U825" s="176"/>
      <c r="V825" s="176"/>
      <c r="W825" s="868" t="s">
        <v>4125</v>
      </c>
      <c r="X825" s="480"/>
      <c r="Y825" s="526" t="s">
        <v>5741</v>
      </c>
      <c r="Z825" s="867">
        <v>2</v>
      </c>
      <c r="AA825" s="683"/>
    </row>
    <row r="826" spans="1:27" ht="14.25">
      <c r="A826" s="516"/>
      <c r="B826" s="528"/>
      <c r="C826" s="465"/>
      <c r="D826" s="340"/>
      <c r="E826" s="466"/>
      <c r="F826" s="466"/>
      <c r="G826" s="466"/>
      <c r="H826" s="466"/>
      <c r="I826" s="466"/>
      <c r="J826" s="529"/>
      <c r="K826" s="467"/>
      <c r="L826" s="467"/>
      <c r="M826" s="506"/>
      <c r="N826" s="506"/>
      <c r="O826" s="176">
        <v>13</v>
      </c>
      <c r="P826" s="479" t="s">
        <v>5871</v>
      </c>
      <c r="Q826" s="176">
        <v>5</v>
      </c>
      <c r="R826" s="176"/>
      <c r="S826" s="176"/>
      <c r="T826" s="176" t="s">
        <v>4125</v>
      </c>
      <c r="U826" s="176"/>
      <c r="V826" s="176"/>
      <c r="W826" s="868" t="s">
        <v>4125</v>
      </c>
      <c r="X826" s="480"/>
      <c r="Y826" s="526" t="s">
        <v>5787</v>
      </c>
      <c r="Z826" s="867">
        <v>2</v>
      </c>
      <c r="AA826" s="683"/>
    </row>
    <row r="827" spans="1:27" ht="14.25">
      <c r="A827" s="516"/>
      <c r="B827" s="528"/>
      <c r="C827" s="465"/>
      <c r="D827" s="340"/>
      <c r="E827" s="466"/>
      <c r="F827" s="466"/>
      <c r="G827" s="466"/>
      <c r="H827" s="466"/>
      <c r="I827" s="466"/>
      <c r="J827" s="529"/>
      <c r="K827" s="467"/>
      <c r="L827" s="467"/>
      <c r="M827" s="506"/>
      <c r="N827" s="506"/>
      <c r="O827" s="176">
        <v>14</v>
      </c>
      <c r="P827" s="479" t="s">
        <v>5872</v>
      </c>
      <c r="Q827" s="176">
        <v>5</v>
      </c>
      <c r="R827" s="176"/>
      <c r="S827" s="176"/>
      <c r="T827" s="176" t="s">
        <v>4125</v>
      </c>
      <c r="U827" s="176"/>
      <c r="V827" s="176"/>
      <c r="W827" s="868" t="s">
        <v>4125</v>
      </c>
      <c r="X827" s="480"/>
      <c r="Y827" s="526" t="s">
        <v>5873</v>
      </c>
      <c r="Z827" s="867">
        <v>2</v>
      </c>
    </row>
    <row r="828" spans="1:27" ht="53.25" customHeight="1">
      <c r="A828" s="516"/>
      <c r="B828" s="528"/>
      <c r="C828" s="465"/>
      <c r="D828" s="340"/>
      <c r="E828" s="466"/>
      <c r="F828" s="466"/>
      <c r="G828" s="466"/>
      <c r="H828" s="466"/>
      <c r="I828" s="466"/>
      <c r="J828" s="529"/>
      <c r="K828" s="588"/>
      <c r="L828" s="588"/>
      <c r="M828" s="634"/>
      <c r="N828" s="634"/>
      <c r="O828" s="176">
        <v>15</v>
      </c>
      <c r="P828" s="479" t="s">
        <v>5874</v>
      </c>
      <c r="Q828" s="176">
        <v>5</v>
      </c>
      <c r="R828" s="176"/>
      <c r="S828" s="176"/>
      <c r="T828" s="176" t="s">
        <v>4125</v>
      </c>
      <c r="U828" s="176"/>
      <c r="V828" s="176"/>
      <c r="W828" s="176" t="s">
        <v>4125</v>
      </c>
      <c r="X828" s="480"/>
      <c r="Y828" s="526" t="s">
        <v>5875</v>
      </c>
      <c r="Z828" s="480" t="s">
        <v>138</v>
      </c>
    </row>
    <row r="829" spans="1:27" ht="53.25" customHeight="1">
      <c r="A829" s="516"/>
      <c r="B829" s="528"/>
      <c r="C829" s="465"/>
      <c r="D829" s="340"/>
      <c r="E829" s="466"/>
      <c r="F829" s="466"/>
      <c r="G829" s="466"/>
      <c r="H829" s="466"/>
      <c r="I829" s="466"/>
      <c r="J829" s="529"/>
      <c r="K829" s="588"/>
      <c r="L829" s="588"/>
      <c r="M829" s="634"/>
      <c r="N829" s="634"/>
      <c r="O829" s="176">
        <v>16</v>
      </c>
      <c r="P829" s="479" t="s">
        <v>5876</v>
      </c>
      <c r="Q829" s="176">
        <v>5</v>
      </c>
      <c r="R829" s="176"/>
      <c r="S829" s="176"/>
      <c r="T829" s="176" t="s">
        <v>4125</v>
      </c>
      <c r="U829" s="176"/>
      <c r="V829" s="176"/>
      <c r="W829" s="176" t="s">
        <v>4125</v>
      </c>
      <c r="X829" s="480"/>
      <c r="Y829" s="526" t="s">
        <v>5877</v>
      </c>
      <c r="Z829" s="480" t="s">
        <v>138</v>
      </c>
    </row>
    <row r="830" spans="1:27" s="154" customFormat="1" ht="53.25" customHeight="1">
      <c r="A830" s="500"/>
      <c r="B830" s="507"/>
      <c r="C830" s="336"/>
      <c r="D830" s="331"/>
      <c r="E830" s="466"/>
      <c r="F830" s="466"/>
      <c r="G830" s="466"/>
      <c r="H830" s="466"/>
      <c r="I830" s="466"/>
      <c r="J830" s="176"/>
      <c r="K830" s="588"/>
      <c r="L830" s="588"/>
      <c r="M830" s="780"/>
      <c r="N830" s="781"/>
      <c r="O830" s="176">
        <v>17</v>
      </c>
      <c r="P830" s="479" t="s">
        <v>5897</v>
      </c>
      <c r="Q830" s="176">
        <v>5</v>
      </c>
      <c r="R830" s="479"/>
      <c r="S830" s="176"/>
      <c r="T830" s="176"/>
      <c r="U830" s="176" t="s">
        <v>4125</v>
      </c>
      <c r="V830" s="480"/>
      <c r="W830" s="480"/>
      <c r="X830" s="480"/>
      <c r="Y830" s="792" t="s">
        <v>5260</v>
      </c>
      <c r="Z830" s="480" t="s">
        <v>138</v>
      </c>
      <c r="AA830" s="683"/>
    </row>
    <row r="831" spans="1:27" s="154" customFormat="1" ht="53.25" customHeight="1">
      <c r="A831" s="500"/>
      <c r="B831" s="507"/>
      <c r="C831" s="336"/>
      <c r="D831" s="331"/>
      <c r="E831" s="466"/>
      <c r="F831" s="466"/>
      <c r="G831" s="466"/>
      <c r="H831" s="466"/>
      <c r="I831" s="466"/>
      <c r="J831" s="176"/>
      <c r="K831" s="588"/>
      <c r="L831" s="588"/>
      <c r="M831" s="780"/>
      <c r="N831" s="781"/>
      <c r="O831" s="176">
        <v>18</v>
      </c>
      <c r="P831" s="479" t="s">
        <v>5898</v>
      </c>
      <c r="Q831" s="176">
        <v>5</v>
      </c>
      <c r="R831" s="479"/>
      <c r="S831" s="176"/>
      <c r="T831" s="176"/>
      <c r="U831" s="176" t="s">
        <v>4125</v>
      </c>
      <c r="V831" s="480"/>
      <c r="W831" s="480"/>
      <c r="X831" s="480"/>
      <c r="Y831" s="792" t="s">
        <v>5262</v>
      </c>
      <c r="Z831" s="480" t="s">
        <v>138</v>
      </c>
      <c r="AA831" s="683"/>
    </row>
    <row r="832" spans="1:27" s="154" customFormat="1" ht="53.25" customHeight="1">
      <c r="A832" s="500"/>
      <c r="B832" s="507"/>
      <c r="C832" s="336"/>
      <c r="D832" s="331"/>
      <c r="E832" s="466"/>
      <c r="F832" s="466"/>
      <c r="G832" s="466"/>
      <c r="H832" s="466"/>
      <c r="I832" s="466"/>
      <c r="J832" s="176"/>
      <c r="K832" s="588"/>
      <c r="L832" s="588"/>
      <c r="M832" s="780"/>
      <c r="N832" s="781"/>
      <c r="O832" s="176">
        <v>19</v>
      </c>
      <c r="P832" s="479" t="s">
        <v>5899</v>
      </c>
      <c r="Q832" s="176">
        <v>5</v>
      </c>
      <c r="R832" s="479"/>
      <c r="S832" s="176"/>
      <c r="T832" s="176"/>
      <c r="U832" s="176" t="s">
        <v>4125</v>
      </c>
      <c r="V832" s="480"/>
      <c r="W832" s="480"/>
      <c r="X832" s="480"/>
      <c r="Y832" s="792" t="s">
        <v>5264</v>
      </c>
      <c r="Z832" s="480" t="s">
        <v>138</v>
      </c>
      <c r="AA832" s="683"/>
    </row>
    <row r="833" spans="1:27" s="154" customFormat="1" ht="14.25">
      <c r="A833" s="500"/>
      <c r="B833" s="507"/>
      <c r="C833" s="336"/>
      <c r="D833" s="331"/>
      <c r="E833" s="466"/>
      <c r="F833" s="466"/>
      <c r="G833" s="466"/>
      <c r="H833" s="466"/>
      <c r="I833" s="466"/>
      <c r="J833" s="176"/>
      <c r="K833" s="588"/>
      <c r="L833" s="588"/>
      <c r="M833" s="780"/>
      <c r="N833" s="781"/>
      <c r="O833" s="176">
        <v>20</v>
      </c>
      <c r="P833" s="479" t="s">
        <v>5900</v>
      </c>
      <c r="Q833" s="176">
        <v>5</v>
      </c>
      <c r="R833" s="479"/>
      <c r="S833" s="176"/>
      <c r="T833" s="176"/>
      <c r="U833" s="176" t="s">
        <v>4125</v>
      </c>
      <c r="V833" s="480"/>
      <c r="W833" s="480"/>
      <c r="X833" s="480"/>
      <c r="Y833" s="792" t="s">
        <v>5266</v>
      </c>
      <c r="Z833" s="480" t="s">
        <v>138</v>
      </c>
      <c r="AA833" s="683"/>
    </row>
    <row r="834" spans="1:27" s="154" customFormat="1" ht="14.25">
      <c r="A834" s="500"/>
      <c r="B834" s="507"/>
      <c r="C834" s="336"/>
      <c r="D834" s="331"/>
      <c r="E834" s="466"/>
      <c r="F834" s="466"/>
      <c r="G834" s="466"/>
      <c r="H834" s="466"/>
      <c r="I834" s="466"/>
      <c r="J834" s="176"/>
      <c r="K834" s="588"/>
      <c r="L834" s="588"/>
      <c r="M834" s="780"/>
      <c r="N834" s="781"/>
      <c r="O834" s="176">
        <v>21</v>
      </c>
      <c r="P834" s="463" t="s">
        <v>5901</v>
      </c>
      <c r="Q834" s="461">
        <v>5</v>
      </c>
      <c r="R834" s="463"/>
      <c r="S834" s="461"/>
      <c r="T834" s="461"/>
      <c r="U834" s="461" t="s">
        <v>4125</v>
      </c>
      <c r="V834" s="462"/>
      <c r="W834" s="462"/>
      <c r="X834" s="462"/>
      <c r="Y834" s="792" t="s">
        <v>5268</v>
      </c>
      <c r="Z834" s="480" t="s">
        <v>138</v>
      </c>
      <c r="AA834" s="683"/>
    </row>
    <row r="835" spans="1:27" s="154" customFormat="1" ht="14.25">
      <c r="A835" s="525"/>
      <c r="B835" s="490"/>
      <c r="C835" s="491"/>
      <c r="D835" s="345"/>
      <c r="E835" s="405"/>
      <c r="F835" s="405"/>
      <c r="G835" s="405"/>
      <c r="H835" s="405"/>
      <c r="I835" s="405"/>
      <c r="J835" s="405"/>
      <c r="K835" s="492"/>
      <c r="L835" s="492"/>
      <c r="M835" s="493"/>
      <c r="N835" s="494"/>
      <c r="O835" s="492"/>
      <c r="P835" s="491"/>
      <c r="Q835" s="405"/>
      <c r="R835" s="495"/>
      <c r="S835" s="496"/>
      <c r="T835" s="496"/>
      <c r="U835" s="496"/>
      <c r="V835" s="497"/>
      <c r="W835" s="497"/>
      <c r="X835" s="497"/>
      <c r="Y835" s="498"/>
      <c r="Z835" s="308"/>
      <c r="AA835" s="141"/>
    </row>
    <row r="836" spans="1:27" s="154" customFormat="1" ht="28.5">
      <c r="A836" s="501" t="s">
        <v>5902</v>
      </c>
      <c r="B836" s="310" t="s">
        <v>596</v>
      </c>
      <c r="C836" s="327" t="s">
        <v>5903</v>
      </c>
      <c r="D836" s="456" t="s">
        <v>4978</v>
      </c>
      <c r="E836" s="322">
        <v>0</v>
      </c>
      <c r="F836" s="322">
        <v>100</v>
      </c>
      <c r="G836" s="322" t="s">
        <v>41</v>
      </c>
      <c r="H836" s="322">
        <v>40</v>
      </c>
      <c r="I836" s="322">
        <v>100</v>
      </c>
      <c r="J836" s="483">
        <v>523</v>
      </c>
      <c r="K836" s="779" t="s">
        <v>4125</v>
      </c>
      <c r="L836" s="779" t="s">
        <v>4125</v>
      </c>
      <c r="M836" s="778" t="s">
        <v>4979</v>
      </c>
      <c r="N836" s="778" t="s">
        <v>4980</v>
      </c>
      <c r="O836" s="779"/>
      <c r="P836" s="482"/>
      <c r="Q836" s="483"/>
      <c r="R836" s="482"/>
      <c r="S836" s="483"/>
      <c r="T836" s="483"/>
      <c r="U836" s="483"/>
      <c r="V836" s="484"/>
      <c r="W836" s="484"/>
      <c r="X836" s="484"/>
      <c r="Y836" s="793"/>
      <c r="Z836" s="484">
        <v>1</v>
      </c>
      <c r="AA836" s="141"/>
    </row>
    <row r="837" spans="1:27" ht="15">
      <c r="A837" s="514"/>
      <c r="B837" s="507"/>
      <c r="C837" s="330"/>
      <c r="D837" s="459"/>
      <c r="E837" s="341"/>
      <c r="F837" s="341"/>
      <c r="G837" s="341"/>
      <c r="H837" s="341"/>
      <c r="I837" s="341"/>
      <c r="J837" s="523"/>
      <c r="K837" s="590"/>
      <c r="L837" s="590"/>
      <c r="M837" s="589" t="s">
        <v>4449</v>
      </c>
      <c r="N837" s="589" t="s">
        <v>4450</v>
      </c>
      <c r="O837" s="590">
        <v>1</v>
      </c>
      <c r="P837" s="472" t="s">
        <v>5904</v>
      </c>
      <c r="Q837" s="473">
        <v>0</v>
      </c>
      <c r="R837" s="461"/>
      <c r="S837" s="461"/>
      <c r="T837" s="461"/>
      <c r="U837" s="461" t="s">
        <v>4125</v>
      </c>
      <c r="V837" s="461"/>
      <c r="W837" s="461"/>
      <c r="X837" s="461"/>
      <c r="Y837" s="668"/>
      <c r="Z837" s="462" t="s">
        <v>138</v>
      </c>
    </row>
    <row r="838" spans="1:27" ht="15">
      <c r="A838" s="457"/>
      <c r="B838" s="458"/>
      <c r="C838" s="524"/>
      <c r="D838" s="459"/>
      <c r="E838" s="341"/>
      <c r="F838" s="341"/>
      <c r="G838" s="341"/>
      <c r="H838" s="341"/>
      <c r="I838" s="341"/>
      <c r="J838" s="523"/>
      <c r="K838" s="342"/>
      <c r="L838" s="342"/>
      <c r="M838" s="460"/>
      <c r="N838" s="460"/>
      <c r="O838" s="342">
        <v>2</v>
      </c>
      <c r="P838" s="336" t="s">
        <v>5905</v>
      </c>
      <c r="Q838" s="461">
        <v>0</v>
      </c>
      <c r="R838" s="461"/>
      <c r="S838" s="461"/>
      <c r="T838" s="461"/>
      <c r="U838" s="461" t="s">
        <v>4125</v>
      </c>
      <c r="V838" s="461"/>
      <c r="W838" s="461"/>
      <c r="X838" s="860"/>
      <c r="Y838" s="584"/>
      <c r="Z838" s="861">
        <v>2</v>
      </c>
    </row>
    <row r="839" spans="1:27" ht="15">
      <c r="A839" s="514"/>
      <c r="B839" s="515"/>
      <c r="C839" s="336"/>
      <c r="D839" s="331"/>
      <c r="E839" s="332"/>
      <c r="F839" s="332"/>
      <c r="G839" s="332"/>
      <c r="H839" s="332"/>
      <c r="I839" s="332"/>
      <c r="J839" s="527"/>
      <c r="K839" s="333"/>
      <c r="L839" s="333"/>
      <c r="M839" s="509"/>
      <c r="N839" s="509"/>
      <c r="O839" s="342">
        <v>3</v>
      </c>
      <c r="P839" s="336" t="s">
        <v>5906</v>
      </c>
      <c r="Q839" s="461">
        <v>0</v>
      </c>
      <c r="R839" s="461"/>
      <c r="S839" s="461"/>
      <c r="T839" s="461"/>
      <c r="U839" s="461" t="s">
        <v>4125</v>
      </c>
      <c r="V839" s="461"/>
      <c r="W839" s="461"/>
      <c r="X839" s="860"/>
      <c r="Y839" s="584"/>
      <c r="Z839" s="861">
        <v>2</v>
      </c>
    </row>
    <row r="840" spans="1:27" ht="15">
      <c r="A840" s="516"/>
      <c r="B840" s="528"/>
      <c r="C840" s="465"/>
      <c r="D840" s="340"/>
      <c r="E840" s="466"/>
      <c r="F840" s="466"/>
      <c r="G840" s="466"/>
      <c r="H840" s="466"/>
      <c r="I840" s="466"/>
      <c r="J840" s="529"/>
      <c r="K840" s="467"/>
      <c r="L840" s="467"/>
      <c r="M840" s="506"/>
      <c r="N840" s="506"/>
      <c r="O840" s="341">
        <v>4</v>
      </c>
      <c r="P840" s="336" t="s">
        <v>5907</v>
      </c>
      <c r="Q840" s="461">
        <v>0</v>
      </c>
      <c r="R840" s="461"/>
      <c r="S840" s="461"/>
      <c r="T840" s="461"/>
      <c r="U840" s="461" t="s">
        <v>4125</v>
      </c>
      <c r="V840" s="461" t="s">
        <v>4125</v>
      </c>
      <c r="W840" s="461"/>
      <c r="X840" s="860"/>
      <c r="Y840" s="584"/>
      <c r="Z840" s="861">
        <v>2</v>
      </c>
    </row>
    <row r="841" spans="1:27" ht="15">
      <c r="A841" s="516"/>
      <c r="B841" s="528"/>
      <c r="C841" s="465"/>
      <c r="D841" s="340"/>
      <c r="E841" s="466"/>
      <c r="F841" s="466"/>
      <c r="G841" s="466"/>
      <c r="H841" s="466"/>
      <c r="I841" s="466"/>
      <c r="J841" s="529"/>
      <c r="K841" s="588"/>
      <c r="L841" s="588"/>
      <c r="M841" s="634"/>
      <c r="N841" s="634"/>
      <c r="O841" s="473">
        <v>5</v>
      </c>
      <c r="P841" s="463" t="s">
        <v>5908</v>
      </c>
      <c r="Q841" s="461">
        <v>0</v>
      </c>
      <c r="R841" s="461"/>
      <c r="S841" s="461"/>
      <c r="T841" s="461"/>
      <c r="U841" s="461" t="s">
        <v>4125</v>
      </c>
      <c r="V841" s="461"/>
      <c r="W841" s="461"/>
      <c r="X841" s="461"/>
      <c r="Y841" s="668"/>
      <c r="Z841" s="462" t="s">
        <v>138</v>
      </c>
    </row>
    <row r="842" spans="1:27" ht="15">
      <c r="A842" s="516"/>
      <c r="B842" s="528"/>
      <c r="C842" s="465"/>
      <c r="D842" s="340"/>
      <c r="E842" s="466"/>
      <c r="F842" s="466"/>
      <c r="G842" s="466"/>
      <c r="H842" s="466"/>
      <c r="I842" s="466"/>
      <c r="J842" s="529"/>
      <c r="K842" s="588"/>
      <c r="L842" s="588"/>
      <c r="M842" s="634"/>
      <c r="N842" s="634"/>
      <c r="O842" s="473">
        <v>6</v>
      </c>
      <c r="P842" s="463" t="s">
        <v>5909</v>
      </c>
      <c r="Q842" s="461">
        <v>0</v>
      </c>
      <c r="R842" s="461"/>
      <c r="S842" s="461"/>
      <c r="T842" s="461"/>
      <c r="U842" s="461" t="s">
        <v>4125</v>
      </c>
      <c r="V842" s="461"/>
      <c r="W842" s="461"/>
      <c r="X842" s="461"/>
      <c r="Y842" s="668"/>
      <c r="Z842" s="462" t="s">
        <v>138</v>
      </c>
    </row>
    <row r="843" spans="1:27" ht="15">
      <c r="A843" s="516"/>
      <c r="B843" s="528"/>
      <c r="C843" s="465"/>
      <c r="D843" s="340"/>
      <c r="E843" s="466"/>
      <c r="F843" s="466"/>
      <c r="G843" s="466"/>
      <c r="H843" s="466"/>
      <c r="I843" s="466"/>
      <c r="J843" s="529"/>
      <c r="K843" s="467"/>
      <c r="L843" s="467"/>
      <c r="M843" s="506"/>
      <c r="N843" s="506"/>
      <c r="O843" s="341">
        <v>7</v>
      </c>
      <c r="P843" s="336" t="s">
        <v>5910</v>
      </c>
      <c r="Q843" s="461">
        <v>0</v>
      </c>
      <c r="R843" s="585"/>
      <c r="S843" s="860"/>
      <c r="T843" s="586"/>
      <c r="U843" s="860" t="s">
        <v>4125</v>
      </c>
      <c r="V843" s="587"/>
      <c r="W843" s="586"/>
      <c r="X843" s="461"/>
      <c r="Y843" s="584"/>
      <c r="Z843" s="861">
        <v>2</v>
      </c>
    </row>
    <row r="844" spans="1:27" ht="14.25">
      <c r="A844" s="516"/>
      <c r="B844" s="528"/>
      <c r="C844" s="465"/>
      <c r="D844" s="340"/>
      <c r="E844" s="466"/>
      <c r="F844" s="466"/>
      <c r="G844" s="466"/>
      <c r="H844" s="466"/>
      <c r="I844" s="466"/>
      <c r="J844" s="529"/>
      <c r="K844" s="588"/>
      <c r="L844" s="588"/>
      <c r="M844" s="634"/>
      <c r="N844" s="634"/>
      <c r="O844" s="176">
        <v>8</v>
      </c>
      <c r="P844" s="479" t="s">
        <v>5911</v>
      </c>
      <c r="Q844" s="868">
        <v>3</v>
      </c>
      <c r="R844" s="176"/>
      <c r="S844" s="176"/>
      <c r="T844" s="176"/>
      <c r="U844" s="176" t="s">
        <v>4125</v>
      </c>
      <c r="V844" s="176"/>
      <c r="W844" s="176"/>
      <c r="X844" s="480"/>
      <c r="Y844" s="526" t="s">
        <v>5619</v>
      </c>
      <c r="Z844" s="867">
        <v>2</v>
      </c>
      <c r="AA844" s="683"/>
    </row>
    <row r="845" spans="1:27" ht="73.5" customHeight="1">
      <c r="A845" s="516"/>
      <c r="B845" s="528"/>
      <c r="C845" s="465"/>
      <c r="D845" s="340"/>
      <c r="E845" s="466"/>
      <c r="F845" s="466"/>
      <c r="G845" s="466"/>
      <c r="H845" s="466"/>
      <c r="I845" s="466"/>
      <c r="J845" s="529"/>
      <c r="K845" s="588"/>
      <c r="L845" s="588"/>
      <c r="M845" s="634"/>
      <c r="N845" s="634"/>
      <c r="O845" s="176">
        <v>9</v>
      </c>
      <c r="P845" s="479" t="s">
        <v>5912</v>
      </c>
      <c r="Q845" s="176">
        <v>25</v>
      </c>
      <c r="R845" s="176"/>
      <c r="S845" s="176"/>
      <c r="T845" s="176"/>
      <c r="U845" s="176" t="s">
        <v>4125</v>
      </c>
      <c r="V845" s="176"/>
      <c r="W845" s="176" t="s">
        <v>4125</v>
      </c>
      <c r="X845" s="480"/>
      <c r="Y845" s="526" t="s">
        <v>5621</v>
      </c>
      <c r="Z845" s="480" t="s">
        <v>184</v>
      </c>
      <c r="AA845" s="683"/>
    </row>
    <row r="846" spans="1:27" ht="14.25">
      <c r="A846" s="516"/>
      <c r="B846" s="528"/>
      <c r="C846" s="465"/>
      <c r="D846" s="340"/>
      <c r="E846" s="466"/>
      <c r="F846" s="466"/>
      <c r="G846" s="466"/>
      <c r="H846" s="466"/>
      <c r="I846" s="466"/>
      <c r="J846" s="529"/>
      <c r="K846" s="467"/>
      <c r="L846" s="467"/>
      <c r="M846" s="506"/>
      <c r="N846" s="506"/>
      <c r="O846" s="176">
        <v>10</v>
      </c>
      <c r="P846" s="479" t="s">
        <v>5913</v>
      </c>
      <c r="Q846" s="868">
        <v>3</v>
      </c>
      <c r="R846" s="176"/>
      <c r="S846" s="176"/>
      <c r="T846" s="176" t="s">
        <v>4125</v>
      </c>
      <c r="U846" s="176"/>
      <c r="V846" s="176"/>
      <c r="W846" s="868" t="s">
        <v>4125</v>
      </c>
      <c r="X846" s="480"/>
      <c r="Y846" s="526" t="s">
        <v>5655</v>
      </c>
      <c r="Z846" s="867">
        <v>2</v>
      </c>
      <c r="AA846" s="683"/>
    </row>
    <row r="847" spans="1:27" ht="14.25">
      <c r="A847" s="516"/>
      <c r="B847" s="528"/>
      <c r="C847" s="465"/>
      <c r="D847" s="340"/>
      <c r="E847" s="466"/>
      <c r="F847" s="466"/>
      <c r="G847" s="466"/>
      <c r="H847" s="466"/>
      <c r="I847" s="466"/>
      <c r="J847" s="529"/>
      <c r="K847" s="467"/>
      <c r="L847" s="467"/>
      <c r="M847" s="506"/>
      <c r="N847" s="506"/>
      <c r="O847" s="176">
        <v>11</v>
      </c>
      <c r="P847" s="479" t="s">
        <v>5914</v>
      </c>
      <c r="Q847" s="868">
        <v>3</v>
      </c>
      <c r="R847" s="176"/>
      <c r="S847" s="176"/>
      <c r="T847" s="176" t="s">
        <v>4125</v>
      </c>
      <c r="U847" s="176"/>
      <c r="V847" s="176"/>
      <c r="W847" s="868" t="s">
        <v>4125</v>
      </c>
      <c r="X847" s="480"/>
      <c r="Y847" s="526" t="s">
        <v>5657</v>
      </c>
      <c r="Z847" s="867">
        <v>2</v>
      </c>
      <c r="AA847" s="683"/>
    </row>
    <row r="848" spans="1:27" ht="14.25">
      <c r="A848" s="516"/>
      <c r="B848" s="528"/>
      <c r="C848" s="465"/>
      <c r="D848" s="340"/>
      <c r="E848" s="466"/>
      <c r="F848" s="466"/>
      <c r="G848" s="466"/>
      <c r="H848" s="466"/>
      <c r="I848" s="466"/>
      <c r="J848" s="529"/>
      <c r="K848" s="467"/>
      <c r="L848" s="467"/>
      <c r="M848" s="506"/>
      <c r="N848" s="506"/>
      <c r="O848" s="176">
        <v>12</v>
      </c>
      <c r="P848" s="479" t="s">
        <v>5915</v>
      </c>
      <c r="Q848" s="868">
        <v>3</v>
      </c>
      <c r="R848" s="176"/>
      <c r="S848" s="176"/>
      <c r="T848" s="176" t="s">
        <v>4125</v>
      </c>
      <c r="U848" s="176"/>
      <c r="V848" s="176"/>
      <c r="W848" s="868" t="s">
        <v>4125</v>
      </c>
      <c r="X848" s="480"/>
      <c r="Y848" s="526" t="s">
        <v>5741</v>
      </c>
      <c r="Z848" s="867">
        <v>2</v>
      </c>
      <c r="AA848" s="683"/>
    </row>
    <row r="849" spans="1:27" ht="14.25">
      <c r="A849" s="516"/>
      <c r="B849" s="528"/>
      <c r="C849" s="465"/>
      <c r="D849" s="340"/>
      <c r="E849" s="466"/>
      <c r="F849" s="466"/>
      <c r="G849" s="466"/>
      <c r="H849" s="466"/>
      <c r="I849" s="466"/>
      <c r="J849" s="529"/>
      <c r="K849" s="467"/>
      <c r="L849" s="467"/>
      <c r="M849" s="506"/>
      <c r="N849" s="506"/>
      <c r="O849" s="176">
        <v>13</v>
      </c>
      <c r="P849" s="479" t="s">
        <v>5916</v>
      </c>
      <c r="Q849" s="176">
        <v>5</v>
      </c>
      <c r="R849" s="176"/>
      <c r="S849" s="176"/>
      <c r="T849" s="176" t="s">
        <v>4125</v>
      </c>
      <c r="U849" s="176"/>
      <c r="V849" s="176"/>
      <c r="W849" s="868" t="s">
        <v>4125</v>
      </c>
      <c r="X849" s="480"/>
      <c r="Y849" s="526" t="s">
        <v>5787</v>
      </c>
      <c r="Z849" s="867">
        <v>2</v>
      </c>
      <c r="AA849" s="683"/>
    </row>
    <row r="850" spans="1:27" ht="43.5" customHeight="1">
      <c r="A850" s="514"/>
      <c r="B850" s="515"/>
      <c r="C850" s="336"/>
      <c r="D850" s="331"/>
      <c r="E850" s="332"/>
      <c r="F850" s="332"/>
      <c r="G850" s="332"/>
      <c r="H850" s="332"/>
      <c r="I850" s="332"/>
      <c r="J850" s="527"/>
      <c r="K850" s="624"/>
      <c r="L850" s="624"/>
      <c r="M850" s="667"/>
      <c r="N850" s="667"/>
      <c r="O850" s="461">
        <v>14</v>
      </c>
      <c r="P850" s="463" t="s">
        <v>5874</v>
      </c>
      <c r="Q850" s="461">
        <v>5</v>
      </c>
      <c r="R850" s="461"/>
      <c r="S850" s="461"/>
      <c r="T850" s="461" t="s">
        <v>4125</v>
      </c>
      <c r="U850" s="461"/>
      <c r="V850" s="461"/>
      <c r="W850" s="461" t="s">
        <v>4125</v>
      </c>
      <c r="X850" s="462"/>
      <c r="Y850" s="792" t="s">
        <v>5875</v>
      </c>
      <c r="Z850" s="462" t="s">
        <v>138</v>
      </c>
      <c r="AA850" s="683"/>
    </row>
    <row r="851" spans="1:27" ht="43.5" customHeight="1">
      <c r="A851" s="514"/>
      <c r="B851" s="515"/>
      <c r="C851" s="336"/>
      <c r="D851" s="331"/>
      <c r="E851" s="332"/>
      <c r="F851" s="332"/>
      <c r="G851" s="332"/>
      <c r="H851" s="332"/>
      <c r="I851" s="332"/>
      <c r="J851" s="527"/>
      <c r="K851" s="624"/>
      <c r="L851" s="624"/>
      <c r="M851" s="667"/>
      <c r="N851" s="667"/>
      <c r="O851" s="461">
        <v>15</v>
      </c>
      <c r="P851" s="463" t="s">
        <v>5917</v>
      </c>
      <c r="Q851" s="461">
        <v>5</v>
      </c>
      <c r="R851" s="461"/>
      <c r="S851" s="461"/>
      <c r="T851" s="461" t="s">
        <v>4125</v>
      </c>
      <c r="U851" s="461"/>
      <c r="V851" s="461"/>
      <c r="W851" s="461" t="s">
        <v>4125</v>
      </c>
      <c r="X851" s="462"/>
      <c r="Y851" s="792" t="s">
        <v>5877</v>
      </c>
      <c r="Z851" s="462" t="s">
        <v>138</v>
      </c>
      <c r="AA851" s="683"/>
    </row>
    <row r="852" spans="1:27" ht="60" customHeight="1">
      <c r="A852" s="516"/>
      <c r="B852" s="528"/>
      <c r="C852" s="465"/>
      <c r="D852" s="340"/>
      <c r="E852" s="466"/>
      <c r="F852" s="466"/>
      <c r="G852" s="466"/>
      <c r="H852" s="466"/>
      <c r="I852" s="466"/>
      <c r="J852" s="529"/>
      <c r="K852" s="467"/>
      <c r="L852" s="467"/>
      <c r="M852" s="506"/>
      <c r="N852" s="506"/>
      <c r="O852" s="176">
        <v>16</v>
      </c>
      <c r="P852" s="479" t="s">
        <v>5918</v>
      </c>
      <c r="Q852" s="176">
        <v>5</v>
      </c>
      <c r="R852" s="176"/>
      <c r="S852" s="176"/>
      <c r="T852" s="176" t="s">
        <v>4125</v>
      </c>
      <c r="U852" s="176"/>
      <c r="V852" s="176"/>
      <c r="W852" s="868" t="s">
        <v>4125</v>
      </c>
      <c r="X852" s="480"/>
      <c r="Y852" s="526" t="s">
        <v>5919</v>
      </c>
      <c r="Z852" s="867">
        <v>2</v>
      </c>
      <c r="AA852" s="683"/>
    </row>
    <row r="853" spans="1:27" ht="14.25">
      <c r="A853" s="516"/>
      <c r="B853" s="528"/>
      <c r="C853" s="465"/>
      <c r="D853" s="340"/>
      <c r="E853" s="466"/>
      <c r="F853" s="466"/>
      <c r="G853" s="466"/>
      <c r="H853" s="466"/>
      <c r="I853" s="466"/>
      <c r="J853" s="529"/>
      <c r="K853" s="588"/>
      <c r="L853" s="588"/>
      <c r="M853" s="634"/>
      <c r="N853" s="634"/>
      <c r="O853" s="176">
        <v>17</v>
      </c>
      <c r="P853" s="479" t="s">
        <v>5920</v>
      </c>
      <c r="Q853" s="176">
        <v>5</v>
      </c>
      <c r="R853" s="176"/>
      <c r="S853" s="176"/>
      <c r="T853" s="176" t="s">
        <v>4125</v>
      </c>
      <c r="U853" s="176"/>
      <c r="V853" s="176"/>
      <c r="W853" s="176"/>
      <c r="X853" s="480"/>
      <c r="Y853" s="526" t="s">
        <v>5873</v>
      </c>
      <c r="Z853" s="480" t="s">
        <v>138</v>
      </c>
    </row>
    <row r="854" spans="1:27" ht="14.25">
      <c r="A854" s="516"/>
      <c r="B854" s="528"/>
      <c r="C854" s="465"/>
      <c r="D854" s="340"/>
      <c r="E854" s="466"/>
      <c r="F854" s="466"/>
      <c r="G854" s="466"/>
      <c r="H854" s="466"/>
      <c r="I854" s="466"/>
      <c r="J854" s="529"/>
      <c r="K854" s="588"/>
      <c r="L854" s="588"/>
      <c r="M854" s="634"/>
      <c r="N854" s="634"/>
      <c r="O854" s="176">
        <v>18</v>
      </c>
      <c r="P854" s="479" t="s">
        <v>5921</v>
      </c>
      <c r="Q854" s="176">
        <v>10</v>
      </c>
      <c r="R854" s="176"/>
      <c r="S854" s="176"/>
      <c r="T854" s="176" t="s">
        <v>4125</v>
      </c>
      <c r="U854" s="176"/>
      <c r="V854" s="176"/>
      <c r="W854" s="176" t="s">
        <v>4125</v>
      </c>
      <c r="X854" s="480"/>
      <c r="Y854" s="526" t="s">
        <v>5922</v>
      </c>
      <c r="Z854" s="480" t="s">
        <v>138</v>
      </c>
    </row>
    <row r="855" spans="1:27" ht="14.25">
      <c r="A855" s="516"/>
      <c r="B855" s="528"/>
      <c r="C855" s="465"/>
      <c r="D855" s="340"/>
      <c r="E855" s="466"/>
      <c r="F855" s="466"/>
      <c r="G855" s="466"/>
      <c r="H855" s="466"/>
      <c r="I855" s="466"/>
      <c r="J855" s="529"/>
      <c r="K855" s="588"/>
      <c r="L855" s="588"/>
      <c r="M855" s="634"/>
      <c r="N855" s="634"/>
      <c r="O855" s="176">
        <v>19</v>
      </c>
      <c r="P855" s="479" t="s">
        <v>5923</v>
      </c>
      <c r="Q855" s="176">
        <v>30</v>
      </c>
      <c r="R855" s="176"/>
      <c r="S855" s="176"/>
      <c r="T855" s="176" t="s">
        <v>4125</v>
      </c>
      <c r="U855" s="176"/>
      <c r="V855" s="176"/>
      <c r="W855" s="176" t="s">
        <v>4125</v>
      </c>
      <c r="X855" s="480"/>
      <c r="Y855" s="526" t="s">
        <v>5832</v>
      </c>
      <c r="Z855" s="480" t="s">
        <v>138</v>
      </c>
    </row>
    <row r="856" spans="1:27" s="154" customFormat="1" ht="42.75" customHeight="1">
      <c r="A856" s="500"/>
      <c r="B856" s="507"/>
      <c r="C856" s="336"/>
      <c r="D856" s="331"/>
      <c r="E856" s="466"/>
      <c r="F856" s="466"/>
      <c r="G856" s="466"/>
      <c r="H856" s="466"/>
      <c r="I856" s="466"/>
      <c r="J856" s="176"/>
      <c r="K856" s="588"/>
      <c r="L856" s="588"/>
      <c r="M856" s="780"/>
      <c r="N856" s="781"/>
      <c r="O856" s="176">
        <v>20</v>
      </c>
      <c r="P856" s="479" t="s">
        <v>5924</v>
      </c>
      <c r="Q856" s="176">
        <v>5</v>
      </c>
      <c r="R856" s="479"/>
      <c r="S856" s="176"/>
      <c r="T856" s="176"/>
      <c r="U856" s="176" t="s">
        <v>4125</v>
      </c>
      <c r="V856" s="480"/>
      <c r="W856" s="480"/>
      <c r="X856" s="480"/>
      <c r="Y856" s="792" t="s">
        <v>5260</v>
      </c>
      <c r="Z856" s="480" t="s">
        <v>138</v>
      </c>
      <c r="AA856" s="683"/>
    </row>
    <row r="857" spans="1:27" s="154" customFormat="1" ht="42.75" customHeight="1">
      <c r="A857" s="500"/>
      <c r="B857" s="507"/>
      <c r="C857" s="336"/>
      <c r="D857" s="331"/>
      <c r="E857" s="466"/>
      <c r="F857" s="466"/>
      <c r="G857" s="466"/>
      <c r="H857" s="466"/>
      <c r="I857" s="466"/>
      <c r="J857" s="176"/>
      <c r="K857" s="588"/>
      <c r="L857" s="588"/>
      <c r="M857" s="780"/>
      <c r="N857" s="781"/>
      <c r="O857" s="176">
        <v>21</v>
      </c>
      <c r="P857" s="479" t="s">
        <v>5925</v>
      </c>
      <c r="Q857" s="176">
        <v>5</v>
      </c>
      <c r="R857" s="479"/>
      <c r="S857" s="176"/>
      <c r="T857" s="176"/>
      <c r="U857" s="176" t="s">
        <v>4125</v>
      </c>
      <c r="V857" s="480"/>
      <c r="W857" s="480"/>
      <c r="X857" s="480"/>
      <c r="Y857" s="792" t="s">
        <v>5262</v>
      </c>
      <c r="Z857" s="480" t="s">
        <v>138</v>
      </c>
      <c r="AA857" s="683"/>
    </row>
    <row r="858" spans="1:27" s="154" customFormat="1" ht="42.75" customHeight="1">
      <c r="A858" s="500"/>
      <c r="B858" s="507"/>
      <c r="C858" s="336"/>
      <c r="D858" s="331"/>
      <c r="E858" s="466"/>
      <c r="F858" s="466"/>
      <c r="G858" s="466"/>
      <c r="H858" s="466"/>
      <c r="I858" s="466"/>
      <c r="J858" s="176"/>
      <c r="K858" s="588"/>
      <c r="L858" s="588"/>
      <c r="M858" s="780"/>
      <c r="N858" s="781"/>
      <c r="O858" s="176">
        <v>22</v>
      </c>
      <c r="P858" s="479" t="s">
        <v>5926</v>
      </c>
      <c r="Q858" s="176">
        <v>5</v>
      </c>
      <c r="R858" s="479"/>
      <c r="S858" s="176"/>
      <c r="T858" s="176"/>
      <c r="U858" s="176" t="s">
        <v>4125</v>
      </c>
      <c r="V858" s="480"/>
      <c r="W858" s="480"/>
      <c r="X858" s="480"/>
      <c r="Y858" s="792" t="s">
        <v>5264</v>
      </c>
      <c r="Z858" s="480" t="s">
        <v>138</v>
      </c>
      <c r="AA858" s="683"/>
    </row>
    <row r="859" spans="1:27" s="154" customFormat="1" ht="14.25">
      <c r="A859" s="500"/>
      <c r="B859" s="507"/>
      <c r="C859" s="336"/>
      <c r="D859" s="331"/>
      <c r="E859" s="466"/>
      <c r="F859" s="466"/>
      <c r="G859" s="466"/>
      <c r="H859" s="466"/>
      <c r="I859" s="466"/>
      <c r="J859" s="176"/>
      <c r="K859" s="588"/>
      <c r="L859" s="588"/>
      <c r="M859" s="780"/>
      <c r="N859" s="781"/>
      <c r="O859" s="176">
        <v>23</v>
      </c>
      <c r="P859" s="479" t="s">
        <v>5927</v>
      </c>
      <c r="Q859" s="176">
        <v>5</v>
      </c>
      <c r="R859" s="479"/>
      <c r="S859" s="176"/>
      <c r="T859" s="176"/>
      <c r="U859" s="176" t="s">
        <v>4125</v>
      </c>
      <c r="V859" s="480"/>
      <c r="W859" s="480"/>
      <c r="X859" s="480"/>
      <c r="Y859" s="792" t="s">
        <v>5266</v>
      </c>
      <c r="Z859" s="480" t="s">
        <v>138</v>
      </c>
      <c r="AA859" s="683"/>
    </row>
    <row r="860" spans="1:27" s="154" customFormat="1" ht="14.25">
      <c r="A860" s="500"/>
      <c r="B860" s="507"/>
      <c r="C860" s="336"/>
      <c r="D860" s="331"/>
      <c r="E860" s="466"/>
      <c r="F860" s="466"/>
      <c r="G860" s="466"/>
      <c r="H860" s="466"/>
      <c r="I860" s="466"/>
      <c r="J860" s="176"/>
      <c r="K860" s="588"/>
      <c r="L860" s="588"/>
      <c r="M860" s="780"/>
      <c r="N860" s="781"/>
      <c r="O860" s="176">
        <v>24</v>
      </c>
      <c r="P860" s="463" t="s">
        <v>5928</v>
      </c>
      <c r="Q860" s="461">
        <v>5</v>
      </c>
      <c r="R860" s="463"/>
      <c r="S860" s="461"/>
      <c r="T860" s="461"/>
      <c r="U860" s="461" t="s">
        <v>4125</v>
      </c>
      <c r="V860" s="462"/>
      <c r="W860" s="462"/>
      <c r="X860" s="462"/>
      <c r="Y860" s="792" t="s">
        <v>5268</v>
      </c>
      <c r="Z860" s="480" t="s">
        <v>138</v>
      </c>
      <c r="AA860" s="683"/>
    </row>
    <row r="861" spans="1:27" s="154" customFormat="1" ht="14.25">
      <c r="A861" s="525"/>
      <c r="B861" s="490"/>
      <c r="C861" s="491"/>
      <c r="D861" s="345"/>
      <c r="E861" s="405"/>
      <c r="F861" s="405"/>
      <c r="G861" s="405"/>
      <c r="H861" s="405"/>
      <c r="I861" s="405"/>
      <c r="J861" s="405"/>
      <c r="K861" s="492"/>
      <c r="L861" s="492"/>
      <c r="M861" s="493"/>
      <c r="N861" s="494"/>
      <c r="O861" s="492"/>
      <c r="P861" s="491"/>
      <c r="Q861" s="405"/>
      <c r="R861" s="495"/>
      <c r="S861" s="496"/>
      <c r="T861" s="496"/>
      <c r="U861" s="496"/>
      <c r="V861" s="497"/>
      <c r="W861" s="497"/>
      <c r="X861" s="497"/>
      <c r="Y861" s="498"/>
      <c r="Z861" s="308"/>
      <c r="AA861" s="141"/>
    </row>
    <row r="862" spans="1:27" s="154" customFormat="1" ht="28.5">
      <c r="A862" s="500" t="s">
        <v>5929</v>
      </c>
      <c r="B862" s="310" t="s">
        <v>596</v>
      </c>
      <c r="C862" s="327" t="s">
        <v>5930</v>
      </c>
      <c r="D862" s="456" t="s">
        <v>4978</v>
      </c>
      <c r="E862" s="322">
        <v>0</v>
      </c>
      <c r="F862" s="322">
        <v>100</v>
      </c>
      <c r="G862" s="322" t="s">
        <v>41</v>
      </c>
      <c r="H862" s="322">
        <v>40</v>
      </c>
      <c r="I862" s="322">
        <v>100</v>
      </c>
      <c r="J862" s="483">
        <v>523</v>
      </c>
      <c r="K862" s="779" t="s">
        <v>4125</v>
      </c>
      <c r="L862" s="779" t="s">
        <v>4125</v>
      </c>
      <c r="M862" s="778" t="s">
        <v>4979</v>
      </c>
      <c r="N862" s="778" t="s">
        <v>4980</v>
      </c>
      <c r="O862" s="590"/>
      <c r="P862" s="472"/>
      <c r="Q862" s="473"/>
      <c r="R862" s="472"/>
      <c r="S862" s="473"/>
      <c r="T862" s="473"/>
      <c r="U862" s="473"/>
      <c r="V862" s="474"/>
      <c r="W862" s="474"/>
      <c r="X862" s="474"/>
      <c r="Y862" s="526"/>
      <c r="Z862" s="474">
        <v>1</v>
      </c>
      <c r="AA862" s="141"/>
    </row>
    <row r="863" spans="1:27" ht="15">
      <c r="A863" s="514"/>
      <c r="B863" s="507"/>
      <c r="C863" s="330"/>
      <c r="D863" s="459"/>
      <c r="E863" s="341"/>
      <c r="F863" s="341"/>
      <c r="G863" s="341"/>
      <c r="H863" s="341"/>
      <c r="I863" s="341"/>
      <c r="J863" s="523"/>
      <c r="K863" s="590"/>
      <c r="L863" s="590"/>
      <c r="M863" s="589" t="s">
        <v>4449</v>
      </c>
      <c r="N863" s="589" t="s">
        <v>4450</v>
      </c>
      <c r="O863" s="590">
        <v>1</v>
      </c>
      <c r="P863" s="472" t="s">
        <v>5931</v>
      </c>
      <c r="Q863" s="473">
        <v>0</v>
      </c>
      <c r="R863" s="461"/>
      <c r="S863" s="461"/>
      <c r="T863" s="461"/>
      <c r="U863" s="461" t="s">
        <v>4125</v>
      </c>
      <c r="V863" s="461"/>
      <c r="W863" s="461"/>
      <c r="X863" s="461"/>
      <c r="Y863" s="668"/>
      <c r="Z863" s="462" t="s">
        <v>138</v>
      </c>
    </row>
    <row r="864" spans="1:27" ht="15">
      <c r="A864" s="457"/>
      <c r="B864" s="458"/>
      <c r="C864" s="524"/>
      <c r="D864" s="459"/>
      <c r="E864" s="341"/>
      <c r="F864" s="341"/>
      <c r="G864" s="341"/>
      <c r="H864" s="341"/>
      <c r="I864" s="341"/>
      <c r="J864" s="523"/>
      <c r="K864" s="342"/>
      <c r="L864" s="342"/>
      <c r="M864" s="460"/>
      <c r="N864" s="460"/>
      <c r="O864" s="342">
        <v>2</v>
      </c>
      <c r="P864" s="336" t="s">
        <v>5932</v>
      </c>
      <c r="Q864" s="461">
        <v>0</v>
      </c>
      <c r="R864" s="461"/>
      <c r="S864" s="461"/>
      <c r="T864" s="461"/>
      <c r="U864" s="461" t="s">
        <v>4125</v>
      </c>
      <c r="V864" s="461"/>
      <c r="W864" s="461"/>
      <c r="X864" s="860"/>
      <c r="Y864" s="584"/>
      <c r="Z864" s="861">
        <v>2</v>
      </c>
    </row>
    <row r="865" spans="1:27" ht="15">
      <c r="A865" s="514"/>
      <c r="B865" s="515"/>
      <c r="C865" s="336"/>
      <c r="D865" s="331"/>
      <c r="E865" s="332"/>
      <c r="F865" s="332"/>
      <c r="G865" s="332"/>
      <c r="H865" s="332"/>
      <c r="I865" s="332"/>
      <c r="J865" s="527"/>
      <c r="K865" s="333"/>
      <c r="L865" s="333"/>
      <c r="M865" s="509"/>
      <c r="N865" s="509"/>
      <c r="O865" s="342">
        <v>3</v>
      </c>
      <c r="P865" s="336" t="s">
        <v>5933</v>
      </c>
      <c r="Q865" s="461">
        <v>0</v>
      </c>
      <c r="R865" s="461"/>
      <c r="S865" s="461"/>
      <c r="T865" s="461"/>
      <c r="U865" s="461" t="s">
        <v>4125</v>
      </c>
      <c r="V865" s="461"/>
      <c r="W865" s="461"/>
      <c r="X865" s="860"/>
      <c r="Y865" s="584"/>
      <c r="Z865" s="861">
        <v>2</v>
      </c>
    </row>
    <row r="866" spans="1:27" ht="15">
      <c r="A866" s="516"/>
      <c r="B866" s="528"/>
      <c r="C866" s="465"/>
      <c r="D866" s="340"/>
      <c r="E866" s="466"/>
      <c r="F866" s="466"/>
      <c r="G866" s="466"/>
      <c r="H866" s="466"/>
      <c r="I866" s="466"/>
      <c r="J866" s="529"/>
      <c r="K866" s="467"/>
      <c r="L866" s="467"/>
      <c r="M866" s="506"/>
      <c r="N866" s="506"/>
      <c r="O866" s="341">
        <v>4</v>
      </c>
      <c r="P866" s="336" t="s">
        <v>5934</v>
      </c>
      <c r="Q866" s="461">
        <v>0</v>
      </c>
      <c r="R866" s="461"/>
      <c r="S866" s="461"/>
      <c r="T866" s="461"/>
      <c r="U866" s="461" t="s">
        <v>4125</v>
      </c>
      <c r="V866" s="461" t="s">
        <v>4125</v>
      </c>
      <c r="W866" s="461"/>
      <c r="X866" s="860"/>
      <c r="Y866" s="584"/>
      <c r="Z866" s="861">
        <v>2</v>
      </c>
    </row>
    <row r="867" spans="1:27" ht="15">
      <c r="A867" s="516"/>
      <c r="B867" s="528"/>
      <c r="C867" s="465"/>
      <c r="D867" s="340"/>
      <c r="E867" s="466"/>
      <c r="F867" s="466"/>
      <c r="G867" s="466"/>
      <c r="H867" s="466"/>
      <c r="I867" s="466"/>
      <c r="J867" s="529"/>
      <c r="K867" s="588"/>
      <c r="L867" s="588"/>
      <c r="M867" s="634"/>
      <c r="N867" s="634"/>
      <c r="O867" s="473">
        <v>5</v>
      </c>
      <c r="P867" s="463" t="s">
        <v>5935</v>
      </c>
      <c r="Q867" s="461">
        <v>0</v>
      </c>
      <c r="R867" s="461"/>
      <c r="S867" s="461"/>
      <c r="T867" s="461"/>
      <c r="U867" s="461" t="s">
        <v>4125</v>
      </c>
      <c r="V867" s="461"/>
      <c r="W867" s="461"/>
      <c r="X867" s="461"/>
      <c r="Y867" s="668"/>
      <c r="Z867" s="462" t="s">
        <v>138</v>
      </c>
    </row>
    <row r="868" spans="1:27" ht="15">
      <c r="A868" s="516"/>
      <c r="B868" s="528"/>
      <c r="C868" s="465"/>
      <c r="D868" s="340"/>
      <c r="E868" s="466"/>
      <c r="F868" s="466"/>
      <c r="G868" s="466"/>
      <c r="H868" s="466"/>
      <c r="I868" s="466"/>
      <c r="J868" s="529"/>
      <c r="K868" s="588"/>
      <c r="L868" s="588"/>
      <c r="M868" s="634"/>
      <c r="N868" s="634"/>
      <c r="O868" s="473">
        <v>6</v>
      </c>
      <c r="P868" s="463" t="s">
        <v>5936</v>
      </c>
      <c r="Q868" s="461">
        <v>0</v>
      </c>
      <c r="R868" s="461"/>
      <c r="S868" s="461"/>
      <c r="T868" s="461"/>
      <c r="U868" s="461" t="s">
        <v>4125</v>
      </c>
      <c r="V868" s="461"/>
      <c r="W868" s="461"/>
      <c r="X868" s="461"/>
      <c r="Y868" s="668"/>
      <c r="Z868" s="462" t="s">
        <v>138</v>
      </c>
    </row>
    <row r="869" spans="1:27" ht="15">
      <c r="A869" s="516"/>
      <c r="B869" s="528"/>
      <c r="C869" s="465"/>
      <c r="D869" s="340"/>
      <c r="E869" s="466"/>
      <c r="F869" s="466"/>
      <c r="G869" s="466"/>
      <c r="H869" s="466"/>
      <c r="I869" s="466"/>
      <c r="J869" s="529"/>
      <c r="K869" s="467"/>
      <c r="L869" s="467"/>
      <c r="M869" s="506"/>
      <c r="N869" s="506"/>
      <c r="O869" s="341">
        <v>7</v>
      </c>
      <c r="P869" s="336" t="s">
        <v>5937</v>
      </c>
      <c r="Q869" s="461">
        <v>0</v>
      </c>
      <c r="R869" s="585"/>
      <c r="S869" s="860"/>
      <c r="T869" s="586"/>
      <c r="U869" s="860" t="s">
        <v>4125</v>
      </c>
      <c r="V869" s="587"/>
      <c r="W869" s="586"/>
      <c r="X869" s="461"/>
      <c r="Y869" s="584"/>
      <c r="Z869" s="861">
        <v>2</v>
      </c>
    </row>
    <row r="870" spans="1:27" ht="14.25">
      <c r="A870" s="516"/>
      <c r="B870" s="528"/>
      <c r="C870" s="465"/>
      <c r="D870" s="340"/>
      <c r="E870" s="466"/>
      <c r="F870" s="466"/>
      <c r="G870" s="466"/>
      <c r="H870" s="466"/>
      <c r="I870" s="466"/>
      <c r="J870" s="529"/>
      <c r="K870" s="588"/>
      <c r="L870" s="588"/>
      <c r="M870" s="634"/>
      <c r="N870" s="634"/>
      <c r="O870" s="176">
        <v>8</v>
      </c>
      <c r="P870" s="479" t="s">
        <v>5938</v>
      </c>
      <c r="Q870" s="868">
        <v>3</v>
      </c>
      <c r="R870" s="176"/>
      <c r="S870" s="176"/>
      <c r="T870" s="176"/>
      <c r="U870" s="176" t="s">
        <v>4125</v>
      </c>
      <c r="V870" s="176"/>
      <c r="W870" s="176"/>
      <c r="X870" s="480"/>
      <c r="Y870" s="526" t="s">
        <v>5619</v>
      </c>
      <c r="Z870" s="867">
        <v>2</v>
      </c>
      <c r="AA870" s="683"/>
    </row>
    <row r="871" spans="1:27" ht="73.5" customHeight="1">
      <c r="A871" s="516"/>
      <c r="B871" s="528"/>
      <c r="C871" s="465"/>
      <c r="D871" s="340"/>
      <c r="E871" s="466"/>
      <c r="F871" s="466"/>
      <c r="G871" s="466"/>
      <c r="H871" s="466"/>
      <c r="I871" s="466"/>
      <c r="J871" s="529"/>
      <c r="K871" s="588"/>
      <c r="L871" s="588"/>
      <c r="M871" s="634"/>
      <c r="N871" s="634"/>
      <c r="O871" s="176">
        <v>9</v>
      </c>
      <c r="P871" s="479" t="s">
        <v>5939</v>
      </c>
      <c r="Q871" s="176">
        <v>25</v>
      </c>
      <c r="R871" s="176"/>
      <c r="S871" s="176"/>
      <c r="T871" s="176"/>
      <c r="U871" s="176" t="s">
        <v>4125</v>
      </c>
      <c r="V871" s="176"/>
      <c r="W871" s="176" t="s">
        <v>4125</v>
      </c>
      <c r="X871" s="480"/>
      <c r="Y871" s="526" t="s">
        <v>5621</v>
      </c>
      <c r="Z871" s="480" t="s">
        <v>138</v>
      </c>
      <c r="AA871" s="683"/>
    </row>
    <row r="872" spans="1:27" ht="14.25">
      <c r="A872" s="516"/>
      <c r="B872" s="528"/>
      <c r="C872" s="465"/>
      <c r="D872" s="340"/>
      <c r="E872" s="466"/>
      <c r="F872" s="466"/>
      <c r="G872" s="466"/>
      <c r="H872" s="466"/>
      <c r="I872" s="466"/>
      <c r="J872" s="529"/>
      <c r="K872" s="467"/>
      <c r="L872" s="467"/>
      <c r="M872" s="506"/>
      <c r="N872" s="506"/>
      <c r="O872" s="176">
        <v>10</v>
      </c>
      <c r="P872" s="479" t="s">
        <v>5940</v>
      </c>
      <c r="Q872" s="868">
        <v>3</v>
      </c>
      <c r="R872" s="176"/>
      <c r="S872" s="176"/>
      <c r="T872" s="176" t="s">
        <v>4125</v>
      </c>
      <c r="U872" s="176"/>
      <c r="V872" s="176"/>
      <c r="W872" s="868" t="s">
        <v>4125</v>
      </c>
      <c r="X872" s="480"/>
      <c r="Y872" s="526" t="s">
        <v>5655</v>
      </c>
      <c r="Z872" s="867">
        <v>2</v>
      </c>
      <c r="AA872" s="683"/>
    </row>
    <row r="873" spans="1:27" ht="14.25">
      <c r="A873" s="516"/>
      <c r="B873" s="528"/>
      <c r="C873" s="465"/>
      <c r="D873" s="340"/>
      <c r="E873" s="466"/>
      <c r="F873" s="466"/>
      <c r="G873" s="466"/>
      <c r="H873" s="466"/>
      <c r="I873" s="466"/>
      <c r="J873" s="529"/>
      <c r="K873" s="467"/>
      <c r="L873" s="467"/>
      <c r="M873" s="506"/>
      <c r="N873" s="506"/>
      <c r="O873" s="176">
        <v>11</v>
      </c>
      <c r="P873" s="479" t="s">
        <v>5941</v>
      </c>
      <c r="Q873" s="868">
        <v>3</v>
      </c>
      <c r="R873" s="176"/>
      <c r="S873" s="176"/>
      <c r="T873" s="176" t="s">
        <v>4125</v>
      </c>
      <c r="U873" s="176"/>
      <c r="V873" s="176"/>
      <c r="W873" s="868" t="s">
        <v>4125</v>
      </c>
      <c r="X873" s="480"/>
      <c r="Y873" s="526" t="s">
        <v>5657</v>
      </c>
      <c r="Z873" s="867">
        <v>2</v>
      </c>
      <c r="AA873" s="683"/>
    </row>
    <row r="874" spans="1:27" ht="14.25">
      <c r="A874" s="516"/>
      <c r="B874" s="528"/>
      <c r="C874" s="465"/>
      <c r="D874" s="340"/>
      <c r="E874" s="466"/>
      <c r="F874" s="466"/>
      <c r="G874" s="466"/>
      <c r="H874" s="466"/>
      <c r="I874" s="466"/>
      <c r="J874" s="529"/>
      <c r="K874" s="467"/>
      <c r="L874" s="467"/>
      <c r="M874" s="506"/>
      <c r="N874" s="506"/>
      <c r="O874" s="176">
        <v>12</v>
      </c>
      <c r="P874" s="479" t="s">
        <v>5942</v>
      </c>
      <c r="Q874" s="868">
        <v>3</v>
      </c>
      <c r="R874" s="176"/>
      <c r="S874" s="176"/>
      <c r="T874" s="176" t="s">
        <v>4125</v>
      </c>
      <c r="U874" s="176"/>
      <c r="V874" s="176"/>
      <c r="W874" s="868" t="s">
        <v>4125</v>
      </c>
      <c r="X874" s="480"/>
      <c r="Y874" s="526" t="s">
        <v>5741</v>
      </c>
      <c r="Z874" s="867">
        <v>2</v>
      </c>
      <c r="AA874" s="683"/>
    </row>
    <row r="875" spans="1:27" ht="14.25">
      <c r="A875" s="516"/>
      <c r="B875" s="528"/>
      <c r="C875" s="465"/>
      <c r="D875" s="340"/>
      <c r="E875" s="466"/>
      <c r="F875" s="466"/>
      <c r="G875" s="466"/>
      <c r="H875" s="466"/>
      <c r="I875" s="466"/>
      <c r="J875" s="529"/>
      <c r="K875" s="467"/>
      <c r="L875" s="467"/>
      <c r="M875" s="506"/>
      <c r="N875" s="506"/>
      <c r="O875" s="176">
        <v>13</v>
      </c>
      <c r="P875" s="479" t="s">
        <v>5916</v>
      </c>
      <c r="Q875" s="176">
        <v>5</v>
      </c>
      <c r="R875" s="176"/>
      <c r="S875" s="176"/>
      <c r="T875" s="176" t="s">
        <v>4125</v>
      </c>
      <c r="U875" s="176"/>
      <c r="V875" s="176"/>
      <c r="W875" s="868" t="s">
        <v>4125</v>
      </c>
      <c r="X875" s="480"/>
      <c r="Y875" s="526" t="s">
        <v>5787</v>
      </c>
      <c r="Z875" s="867">
        <v>2</v>
      </c>
      <c r="AA875" s="683"/>
    </row>
    <row r="876" spans="1:27" ht="45.75" customHeight="1">
      <c r="A876" s="516"/>
      <c r="B876" s="528"/>
      <c r="C876" s="465"/>
      <c r="D876" s="340"/>
      <c r="E876" s="466"/>
      <c r="F876" s="466"/>
      <c r="G876" s="466"/>
      <c r="H876" s="466"/>
      <c r="I876" s="466"/>
      <c r="J876" s="529"/>
      <c r="K876" s="588"/>
      <c r="L876" s="588"/>
      <c r="M876" s="634"/>
      <c r="N876" s="634"/>
      <c r="O876" s="176">
        <v>14</v>
      </c>
      <c r="P876" s="479" t="s">
        <v>5874</v>
      </c>
      <c r="Q876" s="176">
        <v>5</v>
      </c>
      <c r="R876" s="176"/>
      <c r="S876" s="176"/>
      <c r="T876" s="176" t="s">
        <v>4125</v>
      </c>
      <c r="U876" s="176"/>
      <c r="V876" s="176"/>
      <c r="W876" s="176" t="s">
        <v>4125</v>
      </c>
      <c r="X876" s="480"/>
      <c r="Y876" s="526" t="s">
        <v>5875</v>
      </c>
      <c r="Z876" s="480" t="s">
        <v>138</v>
      </c>
      <c r="AA876" s="683"/>
    </row>
    <row r="877" spans="1:27" ht="45.75" customHeight="1">
      <c r="A877" s="516"/>
      <c r="B877" s="528"/>
      <c r="C877" s="465"/>
      <c r="D877" s="340"/>
      <c r="E877" s="466"/>
      <c r="F877" s="466"/>
      <c r="G877" s="466"/>
      <c r="H877" s="466"/>
      <c r="I877" s="466"/>
      <c r="J877" s="529"/>
      <c r="K877" s="588"/>
      <c r="L877" s="588"/>
      <c r="M877" s="634"/>
      <c r="N877" s="634"/>
      <c r="O877" s="176">
        <v>15</v>
      </c>
      <c r="P877" s="479" t="s">
        <v>5917</v>
      </c>
      <c r="Q877" s="176">
        <v>5</v>
      </c>
      <c r="R877" s="176"/>
      <c r="S877" s="176"/>
      <c r="T877" s="176" t="s">
        <v>4125</v>
      </c>
      <c r="U877" s="176"/>
      <c r="V877" s="176"/>
      <c r="W877" s="176" t="s">
        <v>4125</v>
      </c>
      <c r="X877" s="480"/>
      <c r="Y877" s="526" t="s">
        <v>5877</v>
      </c>
      <c r="Z877" s="480" t="s">
        <v>138</v>
      </c>
      <c r="AA877" s="683"/>
    </row>
    <row r="878" spans="1:27" ht="38.25">
      <c r="A878" s="516"/>
      <c r="B878" s="528"/>
      <c r="C878" s="465"/>
      <c r="D878" s="340"/>
      <c r="E878" s="466"/>
      <c r="F878" s="466"/>
      <c r="G878" s="466"/>
      <c r="H878" s="466"/>
      <c r="I878" s="466"/>
      <c r="J878" s="529"/>
      <c r="K878" s="588"/>
      <c r="L878" s="588"/>
      <c r="M878" s="634"/>
      <c r="N878" s="634"/>
      <c r="O878" s="176">
        <v>16</v>
      </c>
      <c r="P878" s="479" t="s">
        <v>5918</v>
      </c>
      <c r="Q878" s="176">
        <v>5</v>
      </c>
      <c r="R878" s="176"/>
      <c r="S878" s="176"/>
      <c r="T878" s="176" t="s">
        <v>4125</v>
      </c>
      <c r="U878" s="176"/>
      <c r="V878" s="176"/>
      <c r="W878" s="176"/>
      <c r="X878" s="480"/>
      <c r="Y878" s="526" t="s">
        <v>5919</v>
      </c>
      <c r="Z878" s="480" t="s">
        <v>184</v>
      </c>
      <c r="AA878" s="683"/>
    </row>
    <row r="879" spans="1:27" ht="14.25">
      <c r="A879" s="516"/>
      <c r="B879" s="528"/>
      <c r="C879" s="465"/>
      <c r="D879" s="340"/>
      <c r="E879" s="466"/>
      <c r="F879" s="466"/>
      <c r="G879" s="466"/>
      <c r="H879" s="466"/>
      <c r="I879" s="466"/>
      <c r="J879" s="529"/>
      <c r="K879" s="588"/>
      <c r="L879" s="588"/>
      <c r="M879" s="634"/>
      <c r="N879" s="634"/>
      <c r="O879" s="176">
        <v>17</v>
      </c>
      <c r="P879" s="479" t="s">
        <v>5920</v>
      </c>
      <c r="Q879" s="176">
        <v>5</v>
      </c>
      <c r="R879" s="176"/>
      <c r="S879" s="176"/>
      <c r="T879" s="176" t="s">
        <v>4125</v>
      </c>
      <c r="U879" s="176"/>
      <c r="V879" s="176"/>
      <c r="W879" s="176"/>
      <c r="X879" s="480"/>
      <c r="Y879" s="526" t="s">
        <v>5873</v>
      </c>
      <c r="Z879" s="480" t="s">
        <v>184</v>
      </c>
    </row>
    <row r="880" spans="1:27" ht="14.25">
      <c r="A880" s="516"/>
      <c r="B880" s="528"/>
      <c r="C880" s="465"/>
      <c r="D880" s="340"/>
      <c r="E880" s="466"/>
      <c r="F880" s="466"/>
      <c r="G880" s="466"/>
      <c r="H880" s="466"/>
      <c r="I880" s="466"/>
      <c r="J880" s="529"/>
      <c r="K880" s="588"/>
      <c r="L880" s="588"/>
      <c r="M880" s="634"/>
      <c r="N880" s="634"/>
      <c r="O880" s="176">
        <v>18</v>
      </c>
      <c r="P880" s="479" t="s">
        <v>5921</v>
      </c>
      <c r="Q880" s="176">
        <v>10</v>
      </c>
      <c r="R880" s="176"/>
      <c r="S880" s="176"/>
      <c r="T880" s="176" t="s">
        <v>4125</v>
      </c>
      <c r="U880" s="176"/>
      <c r="V880" s="176"/>
      <c r="W880" s="176" t="s">
        <v>4125</v>
      </c>
      <c r="X880" s="480"/>
      <c r="Y880" s="526" t="s">
        <v>5922</v>
      </c>
      <c r="Z880" s="480" t="s">
        <v>138</v>
      </c>
    </row>
    <row r="881" spans="1:27" ht="14.25">
      <c r="A881" s="516"/>
      <c r="B881" s="528"/>
      <c r="C881" s="465"/>
      <c r="D881" s="340"/>
      <c r="E881" s="466"/>
      <c r="F881" s="466"/>
      <c r="G881" s="466"/>
      <c r="H881" s="466"/>
      <c r="I881" s="466"/>
      <c r="J881" s="529"/>
      <c r="K881" s="588"/>
      <c r="L881" s="588"/>
      <c r="M881" s="634"/>
      <c r="N881" s="634"/>
      <c r="O881" s="176">
        <v>19</v>
      </c>
      <c r="P881" s="479" t="s">
        <v>5923</v>
      </c>
      <c r="Q881" s="176">
        <v>30</v>
      </c>
      <c r="R881" s="176"/>
      <c r="S881" s="176"/>
      <c r="T881" s="176" t="s">
        <v>4125</v>
      </c>
      <c r="U881" s="176"/>
      <c r="V881" s="176"/>
      <c r="W881" s="176" t="s">
        <v>4125</v>
      </c>
      <c r="X881" s="480"/>
      <c r="Y881" s="526" t="s">
        <v>5832</v>
      </c>
      <c r="Z881" s="480" t="s">
        <v>138</v>
      </c>
    </row>
    <row r="882" spans="1:27" s="154" customFormat="1" ht="47.25" customHeight="1">
      <c r="A882" s="500"/>
      <c r="B882" s="507"/>
      <c r="C882" s="336"/>
      <c r="D882" s="331"/>
      <c r="E882" s="466"/>
      <c r="F882" s="466"/>
      <c r="G882" s="466"/>
      <c r="H882" s="466"/>
      <c r="I882" s="466"/>
      <c r="J882" s="176"/>
      <c r="K882" s="588"/>
      <c r="L882" s="588"/>
      <c r="M882" s="780"/>
      <c r="N882" s="781"/>
      <c r="O882" s="176">
        <v>20</v>
      </c>
      <c r="P882" s="479" t="s">
        <v>5943</v>
      </c>
      <c r="Q882" s="176">
        <v>5</v>
      </c>
      <c r="R882" s="479"/>
      <c r="S882" s="176"/>
      <c r="T882" s="176"/>
      <c r="U882" s="176" t="s">
        <v>4125</v>
      </c>
      <c r="V882" s="480"/>
      <c r="W882" s="480"/>
      <c r="X882" s="480"/>
      <c r="Y882" s="792" t="s">
        <v>5260</v>
      </c>
      <c r="Z882" s="480" t="s">
        <v>138</v>
      </c>
      <c r="AA882" s="683"/>
    </row>
    <row r="883" spans="1:27" s="154" customFormat="1" ht="47.25" customHeight="1">
      <c r="A883" s="500"/>
      <c r="B883" s="507"/>
      <c r="C883" s="336"/>
      <c r="D883" s="331"/>
      <c r="E883" s="466"/>
      <c r="F883" s="466"/>
      <c r="G883" s="466"/>
      <c r="H883" s="466"/>
      <c r="I883" s="466"/>
      <c r="J883" s="176"/>
      <c r="K883" s="588"/>
      <c r="L883" s="588"/>
      <c r="M883" s="780"/>
      <c r="N883" s="781"/>
      <c r="O883" s="176">
        <v>21</v>
      </c>
      <c r="P883" s="479" t="s">
        <v>5944</v>
      </c>
      <c r="Q883" s="176">
        <v>5</v>
      </c>
      <c r="R883" s="479"/>
      <c r="S883" s="176"/>
      <c r="T883" s="176"/>
      <c r="U883" s="176" t="s">
        <v>4125</v>
      </c>
      <c r="V883" s="480"/>
      <c r="W883" s="480"/>
      <c r="X883" s="480"/>
      <c r="Y883" s="792" t="s">
        <v>5262</v>
      </c>
      <c r="Z883" s="480" t="s">
        <v>138</v>
      </c>
      <c r="AA883" s="683"/>
    </row>
    <row r="884" spans="1:27" s="154" customFormat="1" ht="47.25" customHeight="1">
      <c r="A884" s="500"/>
      <c r="B884" s="507"/>
      <c r="C884" s="336"/>
      <c r="D884" s="331"/>
      <c r="E884" s="466"/>
      <c r="F884" s="466"/>
      <c r="G884" s="466"/>
      <c r="H884" s="466"/>
      <c r="I884" s="466"/>
      <c r="J884" s="176"/>
      <c r="K884" s="588"/>
      <c r="L884" s="588"/>
      <c r="M884" s="780"/>
      <c r="N884" s="781"/>
      <c r="O884" s="176">
        <v>22</v>
      </c>
      <c r="P884" s="479" t="s">
        <v>5945</v>
      </c>
      <c r="Q884" s="176">
        <v>5</v>
      </c>
      <c r="R884" s="479"/>
      <c r="S884" s="176"/>
      <c r="T884" s="176"/>
      <c r="U884" s="176" t="s">
        <v>4125</v>
      </c>
      <c r="V884" s="480"/>
      <c r="W884" s="480"/>
      <c r="X884" s="480"/>
      <c r="Y884" s="792" t="s">
        <v>5264</v>
      </c>
      <c r="Z884" s="480" t="s">
        <v>138</v>
      </c>
      <c r="AA884" s="683"/>
    </row>
    <row r="885" spans="1:27" s="154" customFormat="1" ht="14.25">
      <c r="A885" s="500"/>
      <c r="B885" s="507"/>
      <c r="C885" s="336"/>
      <c r="D885" s="331"/>
      <c r="E885" s="466"/>
      <c r="F885" s="466"/>
      <c r="G885" s="466"/>
      <c r="H885" s="466"/>
      <c r="I885" s="466"/>
      <c r="J885" s="176"/>
      <c r="K885" s="588"/>
      <c r="L885" s="588"/>
      <c r="M885" s="780"/>
      <c r="N885" s="781"/>
      <c r="O885" s="176">
        <v>23</v>
      </c>
      <c r="P885" s="479" t="s">
        <v>5946</v>
      </c>
      <c r="Q885" s="176">
        <v>5</v>
      </c>
      <c r="R885" s="479"/>
      <c r="S885" s="176"/>
      <c r="T885" s="176"/>
      <c r="U885" s="176" t="s">
        <v>4125</v>
      </c>
      <c r="V885" s="480"/>
      <c r="W885" s="480"/>
      <c r="X885" s="480"/>
      <c r="Y885" s="792" t="s">
        <v>5266</v>
      </c>
      <c r="Z885" s="480" t="s">
        <v>138</v>
      </c>
      <c r="AA885" s="683"/>
    </row>
    <row r="886" spans="1:27" s="154" customFormat="1" ht="14.25">
      <c r="A886" s="500"/>
      <c r="B886" s="507"/>
      <c r="C886" s="336"/>
      <c r="D886" s="331"/>
      <c r="E886" s="466"/>
      <c r="F886" s="466"/>
      <c r="G886" s="466"/>
      <c r="H886" s="466"/>
      <c r="I886" s="466"/>
      <c r="J886" s="176"/>
      <c r="K886" s="588"/>
      <c r="L886" s="588"/>
      <c r="M886" s="780"/>
      <c r="N886" s="781"/>
      <c r="O886" s="176">
        <v>24</v>
      </c>
      <c r="P886" s="463" t="s">
        <v>5947</v>
      </c>
      <c r="Q886" s="461">
        <v>5</v>
      </c>
      <c r="R886" s="463"/>
      <c r="S886" s="461"/>
      <c r="T886" s="461"/>
      <c r="U886" s="461" t="s">
        <v>4125</v>
      </c>
      <c r="V886" s="462"/>
      <c r="W886" s="462"/>
      <c r="X886" s="462"/>
      <c r="Y886" s="792" t="s">
        <v>5268</v>
      </c>
      <c r="Z886" s="480" t="s">
        <v>138</v>
      </c>
      <c r="AA886" s="683"/>
    </row>
    <row r="887" spans="1:27" s="154" customFormat="1" ht="14.25">
      <c r="A887" s="525"/>
      <c r="B887" s="490"/>
      <c r="C887" s="491"/>
      <c r="D887" s="345"/>
      <c r="E887" s="405"/>
      <c r="F887" s="405"/>
      <c r="G887" s="405"/>
      <c r="H887" s="405"/>
      <c r="I887" s="405"/>
      <c r="J887" s="405"/>
      <c r="K887" s="492"/>
      <c r="L887" s="492"/>
      <c r="M887" s="493"/>
      <c r="N887" s="494"/>
      <c r="O887" s="492"/>
      <c r="P887" s="491"/>
      <c r="Q887" s="405"/>
      <c r="R887" s="495"/>
      <c r="S887" s="496"/>
      <c r="T887" s="496"/>
      <c r="U887" s="496"/>
      <c r="V887" s="497"/>
      <c r="W887" s="497"/>
      <c r="X887" s="497"/>
      <c r="Y887" s="498"/>
      <c r="Z887" s="308"/>
    </row>
    <row r="888" spans="1:27" ht="13.35" customHeight="1">
      <c r="A888" s="701"/>
      <c r="B888" s="702"/>
      <c r="C888" s="703"/>
      <c r="D888" s="704"/>
      <c r="E888" s="705"/>
      <c r="F888" s="705"/>
      <c r="G888" s="705"/>
      <c r="H888" s="705"/>
      <c r="I888" s="705"/>
      <c r="J888" s="705"/>
      <c r="K888" s="706"/>
      <c r="L888" s="706"/>
      <c r="M888" s="707"/>
      <c r="N888" s="556"/>
      <c r="O888" s="706"/>
      <c r="P888" s="703"/>
      <c r="Q888" s="705"/>
      <c r="R888" s="244"/>
      <c r="S888" s="147"/>
      <c r="T888" s="147"/>
      <c r="U888" s="147"/>
      <c r="V888" s="144"/>
      <c r="Y888" s="708"/>
      <c r="Z888" s="709"/>
    </row>
    <row r="889" spans="1:27" ht="13.35" customHeight="1">
      <c r="A889" s="569">
        <v>69</v>
      </c>
      <c r="C889" s="251"/>
      <c r="D889" s="269"/>
      <c r="E889"/>
      <c r="F889"/>
      <c r="G889"/>
      <c r="H889"/>
      <c r="I889"/>
      <c r="J889"/>
      <c r="K889" s="147"/>
      <c r="L889" s="147"/>
      <c r="M889" s="259"/>
      <c r="N889" s="152"/>
      <c r="O889" s="243"/>
      <c r="P889" s="244"/>
      <c r="Q889" s="147"/>
      <c r="R889" s="147"/>
      <c r="S889" s="147"/>
      <c r="T889" s="147"/>
      <c r="U889" s="147"/>
      <c r="V889" s="144"/>
      <c r="Y889" s="244"/>
    </row>
    <row r="890" spans="1:27" ht="13.35" customHeight="1">
      <c r="A890" s="153"/>
      <c r="E890"/>
      <c r="F890"/>
      <c r="G890"/>
      <c r="H890"/>
      <c r="I890"/>
      <c r="J890"/>
      <c r="M890" s="152"/>
      <c r="Q890" s="244"/>
      <c r="R890" s="244"/>
    </row>
    <row r="891" spans="1:27" ht="13.35" customHeight="1">
      <c r="A891" s="143"/>
      <c r="B891" s="272"/>
      <c r="E891"/>
      <c r="F891"/>
      <c r="G891"/>
      <c r="H891"/>
      <c r="I891"/>
      <c r="J891"/>
      <c r="Q891" s="244"/>
      <c r="R891" s="244"/>
    </row>
    <row r="892" spans="1:27" ht="13.35" customHeight="1">
      <c r="A892" s="143"/>
      <c r="B892" s="272"/>
      <c r="E892"/>
      <c r="F892"/>
      <c r="G892"/>
      <c r="H892"/>
      <c r="I892"/>
      <c r="J892"/>
      <c r="Q892" s="244"/>
      <c r="R892" s="244"/>
    </row>
    <row r="893" spans="1:27" ht="13.35" customHeight="1">
      <c r="A893" s="249"/>
      <c r="E893"/>
      <c r="F893"/>
      <c r="G893"/>
      <c r="H893"/>
      <c r="I893"/>
      <c r="J893"/>
      <c r="Q893" s="244"/>
      <c r="R893" s="244"/>
    </row>
    <row r="894" spans="1:27" ht="13.35" customHeight="1">
      <c r="A894" s="249"/>
      <c r="E894" s="147"/>
      <c r="F894" s="147"/>
      <c r="G894" s="147"/>
      <c r="H894" s="147"/>
      <c r="I894" s="147"/>
      <c r="J894" s="147"/>
      <c r="Q894" s="244"/>
      <c r="R894" s="244"/>
    </row>
    <row r="895" spans="1:27" ht="13.35" customHeight="1">
      <c r="A895" s="250"/>
      <c r="E895" s="147"/>
      <c r="F895" s="147"/>
      <c r="G895" s="147"/>
      <c r="H895" s="147"/>
      <c r="I895" s="147"/>
      <c r="J895" s="147"/>
      <c r="Q895" s="244"/>
      <c r="R895" s="244"/>
    </row>
    <row r="896" spans="1:27" ht="13.35" customHeight="1">
      <c r="A896" s="250"/>
      <c r="E896" s="147"/>
      <c r="F896" s="147"/>
      <c r="G896" s="147"/>
      <c r="H896" s="147"/>
      <c r="I896" s="147"/>
      <c r="J896" s="147"/>
      <c r="Q896" s="244"/>
      <c r="R896" s="244"/>
    </row>
    <row r="897" spans="1:26" ht="13.35" customHeight="1">
      <c r="A897" s="251"/>
      <c r="E897" s="142"/>
      <c r="F897" s="142"/>
      <c r="G897" s="142"/>
      <c r="H897" s="142"/>
      <c r="I897" s="142"/>
      <c r="J897" s="142"/>
      <c r="Q897" s="244"/>
      <c r="R897" s="244"/>
    </row>
    <row r="898" spans="1:26" ht="13.35" customHeight="1">
      <c r="A898" s="252"/>
      <c r="E898" s="142"/>
      <c r="F898" s="142"/>
      <c r="G898" s="142"/>
      <c r="H898" s="142"/>
      <c r="I898" s="142"/>
      <c r="J898" s="142"/>
      <c r="T898" s="141"/>
      <c r="U898" s="141"/>
      <c r="V898" s="141"/>
      <c r="W898" s="141"/>
      <c r="X898" s="141"/>
      <c r="Y898" s="141"/>
      <c r="Z898" s="141"/>
    </row>
    <row r="899" spans="1:26" ht="13.35" customHeight="1">
      <c r="A899" s="252"/>
      <c r="E899" s="142"/>
      <c r="F899" s="142"/>
      <c r="G899" s="142"/>
      <c r="H899" s="142"/>
      <c r="I899" s="142"/>
      <c r="J899" s="142"/>
      <c r="T899" s="141"/>
      <c r="U899" s="141"/>
      <c r="V899" s="141"/>
      <c r="W899" s="141"/>
      <c r="X899" s="141"/>
      <c r="Y899" s="141"/>
      <c r="Z899" s="141"/>
    </row>
    <row r="900" spans="1:26" ht="13.35" customHeight="1">
      <c r="A900" s="252"/>
      <c r="B900" s="269"/>
      <c r="C900" s="251"/>
      <c r="D900" s="269"/>
      <c r="E900" s="147"/>
      <c r="F900" s="147"/>
      <c r="G900" s="147"/>
      <c r="H900" s="147"/>
      <c r="I900" s="147"/>
      <c r="J900" s="147"/>
      <c r="K900" s="148"/>
      <c r="L900" s="149"/>
      <c r="M900" s="253"/>
      <c r="N900" s="149"/>
      <c r="O900" s="149"/>
      <c r="P900" s="146"/>
      <c r="Q900" s="244"/>
      <c r="R900" s="244"/>
      <c r="S900" s="146"/>
      <c r="T900" s="148"/>
      <c r="U900" s="148"/>
      <c r="V900" s="141"/>
      <c r="W900" s="147"/>
      <c r="X900" s="147"/>
      <c r="Y900" s="151"/>
      <c r="Z900" s="150"/>
    </row>
    <row r="901" spans="1:26" ht="13.35" customHeight="1">
      <c r="A901" s="249"/>
    </row>
    <row r="902" spans="1:26" ht="13.35" customHeight="1">
      <c r="A902" s="249"/>
    </row>
    <row r="903" spans="1:26" ht="13.35" customHeight="1">
      <c r="A903" s="249"/>
    </row>
  </sheetData>
  <autoFilter ref="A6:Z889" xr:uid="{00000000-0009-0000-0000-000008000000}"/>
  <mergeCells count="4">
    <mergeCell ref="A4:Z4"/>
    <mergeCell ref="K5:M5"/>
    <mergeCell ref="P5:P6"/>
    <mergeCell ref="T5:X5"/>
  </mergeCells>
  <phoneticPr fontId="15" type="noConversion"/>
  <conditionalFormatting sqref="C467:C473 C555:C563 C568:C575 C588:C599 C704:C719 C763">
    <cfRule type="expression" dxfId="46" priority="137">
      <formula>IF(ISBLANK(C467),"FALSE",IF(_xlfn.ISFORMULA(C467),"FALSE","TRUE"))</formula>
    </cfRule>
  </conditionalFormatting>
  <conditionalFormatting sqref="C479:C486">
    <cfRule type="expression" dxfId="45" priority="41">
      <formula>IF(ISBLANK(C479),"FALSE",IF(_xlfn.ISFORMULA(C479),"FALSE","TRUE"))</formula>
    </cfRule>
  </conditionalFormatting>
  <conditionalFormatting sqref="C491:C498">
    <cfRule type="expression" dxfId="44" priority="13">
      <formula>IF(ISBLANK(C491),"FALSE",IF(_xlfn.ISFORMULA(C491),"FALSE","TRUE"))</formula>
    </cfRule>
  </conditionalFormatting>
  <conditionalFormatting sqref="C503:C509">
    <cfRule type="expression" dxfId="43" priority="134">
      <formula>IF(ISBLANK(C503),"FALSE",IF(_xlfn.ISFORMULA(C503),"FALSE","TRUE"))</formula>
    </cfRule>
  </conditionalFormatting>
  <conditionalFormatting sqref="C514:C520">
    <cfRule type="expression" dxfId="42" priority="133">
      <formula>IF(ISBLANK(C514),"FALSE",IF(_xlfn.ISFORMULA(C514),"FALSE","TRUE"))</formula>
    </cfRule>
  </conditionalFormatting>
  <conditionalFormatting sqref="C523:C531">
    <cfRule type="expression" dxfId="41" priority="132">
      <formula>IF(ISBLANK(C523),"FALSE",IF(_xlfn.ISFORMULA(C523),"FALSE","TRUE"))</formula>
    </cfRule>
  </conditionalFormatting>
  <conditionalFormatting sqref="C534:C542">
    <cfRule type="expression" dxfId="40" priority="131">
      <formula>IF(ISBLANK(C534),"FALSE",IF(_xlfn.ISFORMULA(C534),"FALSE","TRUE"))</formula>
    </cfRule>
  </conditionalFormatting>
  <conditionalFormatting sqref="C545:C552">
    <cfRule type="expression" dxfId="39" priority="130">
      <formula>IF(ISBLANK(C545),"FALSE",IF(_xlfn.ISFORMULA(C545),"FALSE","TRUE"))</formula>
    </cfRule>
  </conditionalFormatting>
  <conditionalFormatting sqref="C578:C585">
    <cfRule type="expression" dxfId="38" priority="127">
      <formula>IF(ISBLANK(C578),"FALSE",IF(_xlfn.ISFORMULA(C578),"FALSE","TRUE"))</formula>
    </cfRule>
  </conditionalFormatting>
  <conditionalFormatting sqref="C602:C613">
    <cfRule type="expression" dxfId="37" priority="124">
      <formula>IF(ISBLANK(C602),"FALSE",IF(_xlfn.ISFORMULA(C602),"FALSE","TRUE"))</formula>
    </cfRule>
  </conditionalFormatting>
  <conditionalFormatting sqref="C616:C623 C625:C632 C634:C641">
    <cfRule type="expression" dxfId="36" priority="3">
      <formula>IF(ISBLANK(C616),"FALSE",IF(_xlfn.ISFORMULA(C616),"FALSE","TRUE"))</formula>
    </cfRule>
  </conditionalFormatting>
  <conditionalFormatting sqref="C643:C652">
    <cfRule type="expression" dxfId="35" priority="123">
      <formula>IF(ISBLANK(C643),"FALSE",IF(_xlfn.ISFORMULA(C643),"FALSE","TRUE"))</formula>
    </cfRule>
  </conditionalFormatting>
  <conditionalFormatting sqref="C655:C661">
    <cfRule type="expression" dxfId="34" priority="2">
      <formula>IF(ISBLANK(C655),"FALSE",IF(_xlfn.ISFORMULA(C655),"FALSE","TRUE"))</formula>
    </cfRule>
  </conditionalFormatting>
  <conditionalFormatting sqref="C664:C681">
    <cfRule type="expression" dxfId="33" priority="122">
      <formula>IF(ISBLANK(C664),"FALSE",IF(_xlfn.ISFORMULA(C664),"FALSE","TRUE"))</formula>
    </cfRule>
  </conditionalFormatting>
  <conditionalFormatting sqref="C684:C701">
    <cfRule type="expression" dxfId="32" priority="16">
      <formula>IF(ISBLANK(C684),"FALSE",IF(_xlfn.ISFORMULA(C684),"FALSE","TRUE"))</formula>
    </cfRule>
  </conditionalFormatting>
  <conditionalFormatting sqref="C722:C737">
    <cfRule type="expression" dxfId="31" priority="14">
      <formula>IF(ISBLANK(C722),"FALSE",IF(_xlfn.ISFORMULA(C722),"FALSE","TRUE"))</formula>
    </cfRule>
  </conditionalFormatting>
  <conditionalFormatting sqref="C740:C757">
    <cfRule type="expression" dxfId="30" priority="12">
      <formula>IF(ISBLANK(C740),"FALSE",IF(_xlfn.ISFORMULA(C740),"FALSE","TRUE"))</formula>
    </cfRule>
  </conditionalFormatting>
  <conditionalFormatting sqref="C766:C783">
    <cfRule type="expression" dxfId="29" priority="6">
      <formula>IF(ISBLANK(C766),"FALSE",IF(_xlfn.ISFORMULA(C766),"FALSE","TRUE"))</formula>
    </cfRule>
  </conditionalFormatting>
  <conditionalFormatting sqref="C791:C806">
    <cfRule type="expression" dxfId="28" priority="116">
      <formula>IF(ISBLANK(C791),"FALSE",IF(_xlfn.ISFORMULA(C791),"FALSE","TRUE"))</formula>
    </cfRule>
  </conditionalFormatting>
  <conditionalFormatting sqref="C814:C829">
    <cfRule type="expression" dxfId="27" priority="103">
      <formula>IF(ISBLANK(C814),"FALSE",IF(_xlfn.ISFORMULA(C814),"FALSE","TRUE"))</formula>
    </cfRule>
  </conditionalFormatting>
  <conditionalFormatting sqref="C837:C855">
    <cfRule type="expression" dxfId="26" priority="5">
      <formula>IF(ISBLANK(C837),"FALSE",IF(_xlfn.ISFORMULA(C837),"FALSE","TRUE"))</formula>
    </cfRule>
  </conditionalFormatting>
  <conditionalFormatting sqref="C863:C881">
    <cfRule type="expression" dxfId="25" priority="4">
      <formula>IF(ISBLANK(C863),"FALSE",IF(_xlfn.ISFORMULA(C863),"FALSE","TRUE"))</formula>
    </cfRule>
  </conditionalFormatting>
  <conditionalFormatting sqref="P7:P886">
    <cfRule type="expression" dxfId="24" priority="151">
      <formula>LEN(P7)&gt;32</formula>
    </cfRule>
  </conditionalFormatting>
  <conditionalFormatting sqref="Q298">
    <cfRule type="expression" dxfId="23" priority="60">
      <formula>LEN(Q298)&gt;36</formula>
    </cfRule>
  </conditionalFormatting>
  <printOptions horizontalCentered="1"/>
  <pageMargins left="0.39370078740157483" right="0.39370078740157483" top="0.59055118110236227" bottom="0.59055118110236227" header="0.59055118110236227" footer="0.39370078740157483"/>
  <pageSetup paperSize="8" scale="50" fitToHeight="0" orientation="landscape" r:id="rId1"/>
  <headerFooter scaleWithDoc="0" alignWithMargins="0"/>
  <rowBreaks count="14" manualBreakCount="14">
    <brk id="83" max="25" man="1"/>
    <brk id="160" max="25" man="1"/>
    <brk id="238" max="25" man="1"/>
    <brk id="297" max="25" man="1"/>
    <brk id="354" max="25" man="1"/>
    <brk id="412" max="25" man="1"/>
    <brk id="447" max="25" man="1"/>
    <brk id="489" max="25" man="1"/>
    <brk id="553" max="25" man="1"/>
    <brk id="623" max="25" man="1"/>
    <brk id="694" max="25" man="1"/>
    <brk id="738" max="25" man="1"/>
    <brk id="789" max="25" man="1"/>
    <brk id="835" max="2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indexed="12"/>
    <pageSetUpPr fitToPage="1"/>
  </sheetPr>
  <dimension ref="A1:O40"/>
  <sheetViews>
    <sheetView view="pageBreakPreview" zoomScale="55" zoomScaleNormal="100" zoomScaleSheetLayoutView="55" workbookViewId="0">
      <selection activeCell="E8" sqref="E8"/>
    </sheetView>
  </sheetViews>
  <sheetFormatPr defaultColWidth="18.6640625" defaultRowHeight="13.35" customHeight="1"/>
  <cols>
    <col min="1" max="1" width="21.5" style="94" customWidth="1"/>
    <col min="2" max="2" width="45.1640625" style="76" customWidth="1"/>
    <col min="3" max="3" width="8.6640625" style="77" customWidth="1"/>
    <col min="4" max="4" width="26.1640625" style="68" customWidth="1"/>
    <col min="5" max="5" width="58.6640625" style="68" customWidth="1"/>
    <col min="6" max="6" width="109.6640625" style="78" bestFit="1" customWidth="1"/>
    <col min="7" max="7" width="15.1640625" style="77" customWidth="1"/>
    <col min="8" max="8" width="35.6640625" style="77" customWidth="1"/>
    <col min="9" max="9" width="71.1640625" style="69" customWidth="1"/>
    <col min="10" max="10" width="8.5" style="77" customWidth="1"/>
    <col min="11" max="11" width="62.6640625" style="130" bestFit="1" customWidth="1"/>
    <col min="12" max="13" width="36.1640625" style="130" customWidth="1"/>
    <col min="14" max="15" width="9.33203125" style="69" customWidth="1"/>
    <col min="16" max="16384" width="18.6640625" style="69"/>
  </cols>
  <sheetData>
    <row r="1" spans="1:15" s="31" customFormat="1" ht="21" customHeight="1">
      <c r="A1" s="20" t="s">
        <v>1</v>
      </c>
      <c r="B1" s="36"/>
      <c r="C1" s="109"/>
      <c r="D1" s="67"/>
      <c r="E1" s="187"/>
      <c r="F1" s="261"/>
      <c r="G1" s="109"/>
      <c r="H1" s="262"/>
      <c r="I1" s="109"/>
      <c r="J1" s="84"/>
      <c r="K1" s="114"/>
      <c r="L1" s="114"/>
      <c r="M1" s="114"/>
    </row>
    <row r="2" spans="1:15" s="31" customFormat="1" ht="21" customHeight="1">
      <c r="A2" s="20" t="s">
        <v>0</v>
      </c>
      <c r="B2" s="36"/>
      <c r="C2" s="109"/>
      <c r="D2" s="113"/>
      <c r="E2" s="204"/>
      <c r="F2" s="261"/>
      <c r="G2" s="109"/>
      <c r="H2" s="262"/>
      <c r="I2" s="109"/>
      <c r="J2" s="84"/>
      <c r="K2" s="114"/>
      <c r="L2" s="114"/>
      <c r="M2" s="114"/>
    </row>
    <row r="3" spans="1:15" s="31" customFormat="1" ht="21" customHeight="1" thickBot="1">
      <c r="A3" s="86" t="s">
        <v>2</v>
      </c>
      <c r="B3" s="36"/>
      <c r="C3" s="84"/>
      <c r="D3" s="114"/>
      <c r="E3" s="114"/>
      <c r="F3" s="114"/>
      <c r="G3" s="84"/>
      <c r="H3" s="263"/>
      <c r="I3" s="84"/>
      <c r="J3" s="84"/>
      <c r="K3" s="114"/>
      <c r="L3" s="114"/>
      <c r="M3" s="114"/>
    </row>
    <row r="4" spans="1:15" s="50" customFormat="1" ht="25.5" customHeight="1" thickBot="1">
      <c r="A4" s="1151" t="s">
        <v>5948</v>
      </c>
      <c r="B4" s="1152"/>
      <c r="C4" s="1152"/>
      <c r="D4" s="1152"/>
      <c r="E4" s="1152"/>
      <c r="F4" s="1152"/>
      <c r="G4" s="1152"/>
      <c r="H4" s="1152"/>
      <c r="I4" s="1152"/>
      <c r="J4" s="1152"/>
      <c r="K4" s="1011"/>
      <c r="L4" s="135"/>
      <c r="M4" s="138"/>
      <c r="O4" s="16"/>
    </row>
    <row r="5" spans="1:15" ht="30" customHeight="1">
      <c r="A5" s="540" t="s">
        <v>5949</v>
      </c>
      <c r="B5" s="541" t="s">
        <v>5950</v>
      </c>
      <c r="C5" s="542" t="s">
        <v>5951</v>
      </c>
      <c r="D5" s="539" t="s">
        <v>5952</v>
      </c>
      <c r="E5" s="1003" t="s">
        <v>5953</v>
      </c>
      <c r="F5" s="236" t="s">
        <v>103</v>
      </c>
      <c r="G5" s="543" t="s">
        <v>5954</v>
      </c>
      <c r="H5" s="543" t="s">
        <v>5955</v>
      </c>
      <c r="I5" s="1003" t="s">
        <v>128</v>
      </c>
      <c r="J5" s="236" t="s">
        <v>129</v>
      </c>
      <c r="K5" s="1010" t="s">
        <v>5956</v>
      </c>
      <c r="L5" s="544" t="s">
        <v>5957</v>
      </c>
    </row>
    <row r="6" spans="1:15" ht="39" customHeight="1">
      <c r="A6" s="545"/>
      <c r="B6" s="545"/>
      <c r="C6" s="546"/>
      <c r="D6" s="489"/>
      <c r="E6" s="489"/>
      <c r="F6" s="547"/>
      <c r="G6" s="489"/>
      <c r="H6" s="489"/>
      <c r="I6" s="548"/>
      <c r="J6" s="549"/>
      <c r="K6" s="550"/>
      <c r="L6" s="551"/>
      <c r="M6" s="79"/>
    </row>
    <row r="7" spans="1:15" ht="30" customHeight="1">
      <c r="A7" s="552"/>
      <c r="B7" s="553"/>
      <c r="C7" s="554"/>
      <c r="D7" s="478"/>
      <c r="E7" s="555"/>
      <c r="F7" s="476"/>
      <c r="G7" s="478"/>
      <c r="H7" s="478"/>
      <c r="I7" s="556"/>
      <c r="J7" s="554"/>
      <c r="K7" s="557"/>
      <c r="L7" s="477"/>
      <c r="M7" s="68"/>
    </row>
    <row r="8" spans="1:15" ht="34.5" customHeight="1">
      <c r="A8" s="552"/>
      <c r="B8" s="558"/>
      <c r="C8" s="559"/>
      <c r="D8" s="555"/>
      <c r="E8" s="555"/>
      <c r="F8" s="1153" t="s">
        <v>5958</v>
      </c>
      <c r="G8" s="1154"/>
      <c r="H8" s="1154"/>
      <c r="I8" s="1155"/>
      <c r="J8" s="554"/>
      <c r="K8" s="557"/>
      <c r="L8" s="477"/>
      <c r="M8" s="68"/>
    </row>
    <row r="9" spans="1:15" ht="41.25" customHeight="1">
      <c r="A9" s="552"/>
      <c r="B9" s="558"/>
      <c r="C9" s="554"/>
      <c r="D9" s="478"/>
      <c r="E9" s="555"/>
      <c r="F9" s="476"/>
      <c r="G9" s="478"/>
      <c r="H9" s="478"/>
      <c r="I9" s="556"/>
      <c r="J9" s="554"/>
      <c r="K9" s="557"/>
      <c r="L9" s="477"/>
      <c r="M9" s="68"/>
    </row>
    <row r="10" spans="1:15" ht="36" customHeight="1">
      <c r="A10" s="552"/>
      <c r="B10" s="560"/>
      <c r="C10" s="554"/>
      <c r="D10" s="478"/>
      <c r="E10" s="555"/>
      <c r="F10" s="476"/>
      <c r="G10" s="478"/>
      <c r="H10" s="478"/>
      <c r="I10" s="556"/>
      <c r="J10" s="554"/>
      <c r="K10" s="557"/>
      <c r="L10" s="477"/>
      <c r="M10" s="68"/>
    </row>
    <row r="11" spans="1:15" ht="30" customHeight="1">
      <c r="A11" s="552"/>
      <c r="B11" s="560"/>
      <c r="C11" s="554"/>
      <c r="D11" s="478"/>
      <c r="E11" s="555"/>
      <c r="F11" s="476"/>
      <c r="G11" s="478"/>
      <c r="H11" s="478"/>
      <c r="I11" s="556"/>
      <c r="J11" s="554"/>
      <c r="K11" s="557"/>
      <c r="L11" s="477"/>
      <c r="M11" s="68"/>
    </row>
    <row r="12" spans="1:15" ht="30" customHeight="1">
      <c r="A12" s="561"/>
      <c r="B12" s="562"/>
      <c r="C12" s="563"/>
      <c r="D12" s="564"/>
      <c r="E12" s="565"/>
      <c r="F12" s="518"/>
      <c r="G12" s="564"/>
      <c r="H12" s="564"/>
      <c r="I12" s="566"/>
      <c r="J12" s="563"/>
      <c r="K12" s="567"/>
      <c r="L12" s="568"/>
      <c r="M12" s="79"/>
    </row>
    <row r="13" spans="1:15" ht="30" customHeight="1">
      <c r="A13" s="367"/>
      <c r="B13" s="362"/>
      <c r="C13" s="363"/>
      <c r="D13" s="360"/>
      <c r="E13" s="360"/>
      <c r="F13" s="364"/>
      <c r="G13" s="363"/>
      <c r="H13" s="363"/>
      <c r="I13" s="365"/>
      <c r="J13" s="363"/>
      <c r="K13" s="366"/>
      <c r="L13" s="366"/>
      <c r="M13" s="79"/>
    </row>
    <row r="14" spans="1:15" ht="30" customHeight="1">
      <c r="A14" s="361"/>
      <c r="B14" s="362"/>
      <c r="C14" s="363"/>
      <c r="D14" s="360"/>
      <c r="E14" s="360"/>
      <c r="F14" s="364"/>
      <c r="G14" s="363"/>
      <c r="H14" s="363"/>
      <c r="I14" s="365"/>
      <c r="J14" s="363"/>
      <c r="K14" s="366"/>
      <c r="L14" s="366"/>
      <c r="M14" s="79"/>
    </row>
    <row r="15" spans="1:15" ht="30" customHeight="1">
      <c r="A15" s="361"/>
      <c r="B15" s="362"/>
      <c r="C15" s="363"/>
      <c r="D15" s="360"/>
      <c r="E15" s="360"/>
      <c r="F15" s="364"/>
      <c r="G15" s="363"/>
      <c r="H15" s="363"/>
      <c r="I15" s="365"/>
      <c r="J15" s="363"/>
      <c r="K15" s="366"/>
      <c r="L15" s="366"/>
      <c r="M15" s="79"/>
    </row>
    <row r="16" spans="1:15" ht="30" customHeight="1">
      <c r="A16" s="361"/>
      <c r="B16" s="362"/>
      <c r="C16" s="363"/>
      <c r="D16" s="360"/>
      <c r="E16" s="360"/>
      <c r="F16" s="364"/>
      <c r="G16" s="363"/>
      <c r="H16" s="363"/>
      <c r="I16" s="365"/>
      <c r="J16" s="363"/>
      <c r="K16" s="366"/>
      <c r="L16" s="366"/>
    </row>
    <row r="17" spans="1:12" ht="30" customHeight="1">
      <c r="A17" s="361"/>
      <c r="B17" s="362"/>
      <c r="C17" s="363"/>
      <c r="D17" s="360"/>
      <c r="E17" s="360"/>
      <c r="F17" s="364"/>
      <c r="G17" s="363"/>
      <c r="H17" s="363"/>
      <c r="I17" s="365"/>
      <c r="J17" s="363"/>
      <c r="K17" s="366"/>
      <c r="L17" s="366"/>
    </row>
    <row r="18" spans="1:12" ht="13.35" customHeight="1">
      <c r="A18" s="361"/>
      <c r="B18" s="362"/>
      <c r="C18" s="363"/>
      <c r="D18" s="360"/>
      <c r="E18" s="360"/>
      <c r="F18" s="364"/>
      <c r="G18" s="363"/>
      <c r="H18" s="363"/>
      <c r="I18" s="365"/>
      <c r="J18" s="363"/>
      <c r="K18" s="366"/>
      <c r="L18" s="366"/>
    </row>
    <row r="19" spans="1:12" ht="13.35" customHeight="1">
      <c r="A19" s="361"/>
      <c r="B19" s="362"/>
      <c r="C19" s="363"/>
      <c r="D19" s="360"/>
      <c r="E19" s="360"/>
      <c r="F19" s="364"/>
      <c r="G19" s="363"/>
      <c r="H19" s="363"/>
      <c r="I19" s="365"/>
      <c r="J19" s="363"/>
      <c r="K19" s="366"/>
      <c r="L19" s="366"/>
    </row>
    <row r="20" spans="1:12" ht="13.35" customHeight="1">
      <c r="A20" s="361"/>
      <c r="B20" s="362"/>
      <c r="C20" s="363"/>
      <c r="D20" s="360"/>
      <c r="E20" s="360"/>
      <c r="F20" s="364"/>
      <c r="G20" s="363"/>
      <c r="H20" s="363"/>
      <c r="I20" s="365"/>
      <c r="J20" s="363"/>
      <c r="K20" s="366"/>
      <c r="L20" s="366"/>
    </row>
    <row r="21" spans="1:12" ht="13.35" customHeight="1">
      <c r="A21" s="361"/>
      <c r="B21" s="362"/>
      <c r="C21" s="363"/>
      <c r="D21" s="360"/>
      <c r="E21" s="360"/>
      <c r="F21" s="364"/>
      <c r="G21" s="363"/>
      <c r="H21" s="363"/>
      <c r="I21" s="365"/>
      <c r="J21" s="363"/>
      <c r="K21" s="366"/>
      <c r="L21" s="366"/>
    </row>
    <row r="22" spans="1:12" ht="13.35" customHeight="1">
      <c r="A22" s="361"/>
      <c r="B22" s="362"/>
      <c r="C22" s="363"/>
      <c r="D22" s="360"/>
      <c r="E22" s="360"/>
      <c r="F22" s="364"/>
      <c r="G22" s="363"/>
      <c r="H22" s="363"/>
      <c r="I22" s="365"/>
      <c r="J22" s="363"/>
      <c r="K22" s="366"/>
      <c r="L22" s="366"/>
    </row>
    <row r="23" spans="1:12" ht="13.35" customHeight="1">
      <c r="A23" s="361"/>
      <c r="B23" s="362"/>
      <c r="C23" s="363"/>
      <c r="D23" s="360"/>
      <c r="E23" s="360"/>
      <c r="F23" s="364"/>
      <c r="G23" s="363"/>
      <c r="H23" s="363"/>
      <c r="I23" s="365"/>
      <c r="J23" s="363"/>
      <c r="K23" s="366"/>
      <c r="L23" s="366"/>
    </row>
    <row r="24" spans="1:12" ht="13.35" customHeight="1">
      <c r="A24" s="361"/>
      <c r="B24" s="362"/>
      <c r="C24" s="363"/>
      <c r="D24" s="360"/>
      <c r="E24" s="360"/>
      <c r="F24" s="364"/>
      <c r="G24" s="363"/>
      <c r="H24" s="363"/>
      <c r="I24" s="365"/>
      <c r="J24" s="363"/>
      <c r="K24" s="366"/>
      <c r="L24" s="366"/>
    </row>
    <row r="25" spans="1:12" ht="13.35" customHeight="1">
      <c r="A25" s="361"/>
      <c r="B25" s="362"/>
      <c r="C25" s="363"/>
      <c r="D25" s="360"/>
      <c r="E25" s="360"/>
      <c r="F25" s="364"/>
      <c r="G25" s="363"/>
      <c r="H25" s="363"/>
      <c r="I25" s="365"/>
      <c r="J25" s="363"/>
      <c r="K25" s="366"/>
      <c r="L25" s="366"/>
    </row>
    <row r="26" spans="1:12" ht="13.35" customHeight="1">
      <c r="A26" s="361"/>
      <c r="B26" s="362"/>
      <c r="C26" s="363"/>
      <c r="D26" s="360"/>
      <c r="E26" s="360"/>
      <c r="F26" s="364"/>
      <c r="G26" s="363"/>
      <c r="H26" s="363"/>
      <c r="I26" s="365"/>
      <c r="J26" s="363"/>
      <c r="K26" s="366"/>
      <c r="L26" s="366"/>
    </row>
    <row r="27" spans="1:12" ht="13.35" customHeight="1">
      <c r="A27" s="361"/>
      <c r="B27" s="362"/>
      <c r="C27" s="363"/>
      <c r="D27" s="360"/>
      <c r="E27" s="360"/>
      <c r="F27" s="364"/>
      <c r="G27" s="363"/>
      <c r="H27" s="363"/>
      <c r="I27" s="365"/>
      <c r="J27" s="363"/>
      <c r="K27" s="366"/>
      <c r="L27" s="366"/>
    </row>
    <row r="28" spans="1:12" ht="13.35" customHeight="1">
      <c r="A28" s="361"/>
      <c r="B28" s="362"/>
      <c r="C28" s="363"/>
      <c r="D28" s="360"/>
      <c r="E28" s="360"/>
      <c r="F28" s="364"/>
      <c r="G28" s="363"/>
      <c r="H28" s="363"/>
      <c r="I28" s="365"/>
      <c r="J28" s="363"/>
      <c r="K28" s="366"/>
      <c r="L28" s="366"/>
    </row>
    <row r="29" spans="1:12" ht="13.35" customHeight="1">
      <c r="A29" s="361"/>
      <c r="B29" s="362"/>
      <c r="C29" s="363"/>
      <c r="D29" s="360"/>
      <c r="E29" s="360"/>
      <c r="F29" s="364"/>
      <c r="G29" s="363"/>
      <c r="H29" s="363"/>
      <c r="I29" s="365"/>
      <c r="J29" s="363"/>
      <c r="K29" s="366"/>
      <c r="L29" s="366"/>
    </row>
    <row r="30" spans="1:12" ht="13.35" customHeight="1">
      <c r="A30" s="361"/>
      <c r="B30" s="362"/>
      <c r="C30" s="363"/>
      <c r="D30" s="360"/>
      <c r="E30" s="360"/>
      <c r="F30" s="364"/>
      <c r="G30" s="363"/>
      <c r="H30" s="363"/>
      <c r="I30" s="365"/>
      <c r="J30" s="363"/>
      <c r="K30" s="366"/>
      <c r="L30" s="366"/>
    </row>
    <row r="31" spans="1:12" ht="13.35" customHeight="1">
      <c r="A31" s="361"/>
      <c r="B31" s="362"/>
      <c r="C31" s="363"/>
      <c r="D31" s="360"/>
      <c r="E31" s="360"/>
      <c r="F31" s="364"/>
      <c r="G31" s="363"/>
      <c r="H31" s="363"/>
      <c r="I31" s="365"/>
      <c r="J31" s="363"/>
      <c r="K31" s="366"/>
      <c r="L31" s="366"/>
    </row>
    <row r="32" spans="1:12" ht="13.35" customHeight="1">
      <c r="A32" s="361"/>
      <c r="B32" s="362"/>
      <c r="C32" s="363"/>
      <c r="D32" s="360"/>
      <c r="E32" s="360"/>
      <c r="F32" s="364"/>
      <c r="G32" s="363"/>
      <c r="H32" s="363"/>
      <c r="I32" s="365"/>
      <c r="J32" s="363"/>
      <c r="K32" s="366"/>
      <c r="L32" s="366"/>
    </row>
    <row r="33" spans="1:12" ht="13.35" customHeight="1">
      <c r="A33" s="361"/>
      <c r="B33" s="362"/>
      <c r="C33" s="363"/>
      <c r="D33" s="360"/>
      <c r="E33" s="360"/>
      <c r="F33" s="364"/>
      <c r="G33" s="363"/>
      <c r="H33" s="363"/>
      <c r="I33" s="365"/>
      <c r="J33" s="363"/>
      <c r="K33" s="366"/>
      <c r="L33" s="366"/>
    </row>
    <row r="34" spans="1:12" ht="13.35" customHeight="1">
      <c r="A34" s="361"/>
      <c r="B34" s="362"/>
      <c r="C34" s="363"/>
      <c r="D34" s="360"/>
      <c r="E34" s="360"/>
      <c r="F34" s="364"/>
      <c r="G34" s="363"/>
      <c r="H34" s="363"/>
      <c r="I34" s="365"/>
      <c r="J34" s="363"/>
      <c r="K34" s="366"/>
      <c r="L34" s="366"/>
    </row>
    <row r="35" spans="1:12" ht="13.35" customHeight="1">
      <c r="A35" s="361"/>
      <c r="B35" s="362"/>
      <c r="C35" s="363"/>
      <c r="D35" s="360"/>
      <c r="E35" s="360"/>
      <c r="F35" s="364"/>
      <c r="G35" s="363"/>
      <c r="H35" s="363"/>
      <c r="I35" s="365"/>
      <c r="J35" s="363"/>
      <c r="K35" s="366"/>
      <c r="L35" s="366"/>
    </row>
    <row r="36" spans="1:12" ht="13.35" customHeight="1">
      <c r="A36" s="361"/>
      <c r="B36" s="362"/>
      <c r="C36" s="363"/>
      <c r="D36" s="360"/>
      <c r="E36" s="360"/>
      <c r="F36" s="364"/>
      <c r="G36" s="363"/>
      <c r="H36" s="363"/>
      <c r="I36" s="365"/>
      <c r="J36" s="363"/>
      <c r="K36" s="366"/>
      <c r="L36" s="366"/>
    </row>
    <row r="37" spans="1:12" ht="13.35" customHeight="1">
      <c r="A37" s="361"/>
      <c r="B37" s="362"/>
      <c r="C37" s="363"/>
      <c r="D37" s="360"/>
      <c r="E37" s="360"/>
      <c r="F37" s="364"/>
      <c r="G37" s="363"/>
      <c r="H37" s="363"/>
      <c r="I37" s="365"/>
      <c r="J37" s="363"/>
      <c r="K37" s="366"/>
      <c r="L37" s="366"/>
    </row>
    <row r="38" spans="1:12" ht="13.35" customHeight="1">
      <c r="A38" s="361"/>
      <c r="B38" s="362"/>
      <c r="C38" s="363"/>
      <c r="D38" s="360"/>
      <c r="E38" s="360"/>
      <c r="F38" s="364"/>
      <c r="G38" s="363"/>
      <c r="H38" s="363"/>
      <c r="I38" s="365"/>
      <c r="J38" s="363"/>
      <c r="K38" s="366"/>
      <c r="L38" s="366"/>
    </row>
    <row r="39" spans="1:12" ht="13.35" customHeight="1">
      <c r="A39" s="361"/>
      <c r="B39" s="362"/>
      <c r="C39" s="363"/>
      <c r="D39" s="360"/>
      <c r="E39" s="360"/>
      <c r="F39" s="364"/>
      <c r="G39" s="363"/>
      <c r="H39" s="363"/>
      <c r="I39" s="365"/>
      <c r="J39" s="363"/>
      <c r="K39" s="366"/>
      <c r="L39" s="366"/>
    </row>
    <row r="40" spans="1:12" ht="13.35" customHeight="1">
      <c r="A40" s="361"/>
      <c r="B40" s="362"/>
      <c r="C40" s="363"/>
      <c r="D40" s="360"/>
      <c r="E40" s="360"/>
      <c r="F40" s="364"/>
      <c r="G40" s="363"/>
      <c r="H40" s="363"/>
      <c r="I40" s="365"/>
      <c r="J40" s="363"/>
      <c r="K40" s="366"/>
      <c r="L40" s="366"/>
    </row>
  </sheetData>
  <mergeCells count="2">
    <mergeCell ref="A4:J4"/>
    <mergeCell ref="F8:I8"/>
  </mergeCells>
  <phoneticPr fontId="0" type="noConversion"/>
  <printOptions horizontalCentered="1"/>
  <pageMargins left="0.39370078740157483" right="0.39370078740157483" top="0.59055118110236227" bottom="0.59055118110236227" header="0.59055118110236227" footer="0.39370078740157483"/>
  <pageSetup paperSize="8" scale="51" fitToHeight="0" orientation="landscape" r:id="rId1"/>
  <headerFooter scaleWithDoc="0"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indexed="12"/>
    <pageSetUpPr fitToPage="1"/>
  </sheetPr>
  <dimension ref="A1:Y65"/>
  <sheetViews>
    <sheetView view="pageBreakPreview" topLeftCell="B21" zoomScale="55" zoomScaleNormal="55" zoomScaleSheetLayoutView="55" workbookViewId="0">
      <selection activeCell="F29" sqref="F29"/>
    </sheetView>
  </sheetViews>
  <sheetFormatPr defaultColWidth="18.6640625" defaultRowHeight="13.35" customHeight="1"/>
  <cols>
    <col min="1" max="1" width="27.1640625" style="106" customWidth="1"/>
    <col min="2" max="2" width="40.6640625" style="106" bestFit="1" customWidth="1"/>
    <col min="3" max="3" width="72.5" style="72" customWidth="1"/>
    <col min="4" max="4" width="15" style="106" customWidth="1"/>
    <col min="5" max="5" width="6.6640625" style="72" customWidth="1"/>
    <col min="6" max="6" width="32.5" style="106" bestFit="1" customWidth="1"/>
    <col min="7" max="7" width="20.33203125" style="106" customWidth="1"/>
    <col min="8" max="8" width="77.1640625" style="106" bestFit="1" customWidth="1"/>
    <col min="9" max="9" width="13.6640625" style="106" customWidth="1"/>
    <col min="10" max="10" width="11.1640625" style="106" customWidth="1"/>
    <col min="11" max="11" width="9" style="106" bestFit="1" customWidth="1"/>
    <col min="12" max="12" width="8.1640625" style="106" bestFit="1" customWidth="1"/>
    <col min="13" max="13" width="9.5" style="106" customWidth="1"/>
    <col min="14" max="14" width="60.6640625" style="72" customWidth="1"/>
    <col min="15" max="15" width="69.6640625" style="115" customWidth="1"/>
    <col min="16" max="16" width="9.1640625" style="106" customWidth="1"/>
    <col min="17" max="17" width="9.33203125" style="9" customWidth="1"/>
    <col min="18" max="18" width="87.6640625" style="75" customWidth="1"/>
    <col min="19" max="19" width="11.5" style="9" bestFit="1" customWidth="1"/>
    <col min="20" max="16384" width="18.6640625" style="9"/>
  </cols>
  <sheetData>
    <row r="1" spans="1:19" s="86" customFormat="1" ht="21" customHeight="1" collapsed="1">
      <c r="A1" s="20" t="s">
        <v>1</v>
      </c>
      <c r="B1" s="100"/>
      <c r="C1" s="87"/>
      <c r="D1" s="87"/>
      <c r="F1" s="100"/>
      <c r="G1" s="100"/>
      <c r="H1" s="118"/>
      <c r="I1" s="118"/>
      <c r="J1" s="119"/>
      <c r="K1" s="120"/>
      <c r="L1" s="100"/>
      <c r="M1" s="100"/>
      <c r="O1" s="36"/>
      <c r="P1" s="100"/>
      <c r="Q1" s="100"/>
      <c r="S1" s="100"/>
    </row>
    <row r="2" spans="1:19" s="86" customFormat="1" ht="21" customHeight="1">
      <c r="A2" s="20" t="s">
        <v>0</v>
      </c>
      <c r="B2" s="100"/>
      <c r="C2" s="87"/>
      <c r="D2" s="87"/>
      <c r="E2" s="189"/>
      <c r="F2" s="188"/>
      <c r="G2" s="100"/>
      <c r="H2" s="187"/>
      <c r="I2" s="118"/>
      <c r="J2" s="119"/>
      <c r="K2" s="120"/>
      <c r="L2" s="100"/>
      <c r="M2" s="100"/>
      <c r="O2" s="36"/>
      <c r="P2" s="100"/>
      <c r="Q2" s="100"/>
      <c r="S2" s="100"/>
    </row>
    <row r="3" spans="1:19" s="86" customFormat="1" ht="21" customHeight="1" thickBot="1">
      <c r="A3" s="86" t="s">
        <v>2</v>
      </c>
      <c r="B3" s="100"/>
      <c r="I3" s="100"/>
      <c r="O3" s="111"/>
    </row>
    <row r="4" spans="1:19" s="61" customFormat="1" ht="25.5" customHeight="1" thickBot="1">
      <c r="A4" s="1121" t="s">
        <v>5959</v>
      </c>
      <c r="B4" s="1122"/>
      <c r="C4" s="1122"/>
      <c r="D4" s="1122"/>
      <c r="E4" s="1122"/>
      <c r="F4" s="1122"/>
      <c r="G4" s="1122"/>
      <c r="H4" s="1122"/>
      <c r="I4" s="1122"/>
      <c r="J4" s="1122"/>
      <c r="K4" s="1122"/>
      <c r="L4" s="1122"/>
      <c r="M4" s="1122"/>
      <c r="N4" s="1122"/>
      <c r="O4" s="1122"/>
      <c r="P4" s="1123"/>
    </row>
    <row r="5" spans="1:19" s="56" customFormat="1" ht="30" customHeight="1">
      <c r="A5" s="128"/>
      <c r="B5" s="129"/>
      <c r="C5" s="129"/>
      <c r="D5" s="1162" t="s">
        <v>114</v>
      </c>
      <c r="E5" s="1124" t="s">
        <v>5960</v>
      </c>
      <c r="F5" s="1125"/>
      <c r="G5" s="1125"/>
      <c r="H5" s="1126"/>
      <c r="I5" s="1141" t="s">
        <v>5961</v>
      </c>
      <c r="J5" s="1141" t="s">
        <v>5962</v>
      </c>
      <c r="K5" s="1164" t="s">
        <v>5963</v>
      </c>
      <c r="L5" s="1165"/>
      <c r="M5" s="1166"/>
      <c r="N5" s="129"/>
      <c r="O5" s="129"/>
      <c r="P5" s="183"/>
    </row>
    <row r="6" spans="1:19" s="56" customFormat="1" ht="18">
      <c r="A6" s="51" t="s">
        <v>101</v>
      </c>
      <c r="B6" s="42" t="s">
        <v>102</v>
      </c>
      <c r="C6" s="42" t="s">
        <v>5964</v>
      </c>
      <c r="D6" s="1163"/>
      <c r="E6" s="1009" t="s">
        <v>4144</v>
      </c>
      <c r="F6" s="1009" t="s">
        <v>5965</v>
      </c>
      <c r="G6" s="1009" t="s">
        <v>114</v>
      </c>
      <c r="H6" s="92" t="s">
        <v>103</v>
      </c>
      <c r="I6" s="1142"/>
      <c r="J6" s="1142"/>
      <c r="K6" s="81" t="s">
        <v>5966</v>
      </c>
      <c r="L6" s="137" t="s">
        <v>112</v>
      </c>
      <c r="M6" s="93" t="s">
        <v>113</v>
      </c>
      <c r="N6" s="1006" t="s">
        <v>5967</v>
      </c>
      <c r="O6" s="42" t="s">
        <v>128</v>
      </c>
      <c r="P6" s="42" t="s">
        <v>129</v>
      </c>
      <c r="Q6" s="86"/>
    </row>
    <row r="7" spans="1:19" s="22" customFormat="1" ht="30" customHeight="1">
      <c r="A7" s="748" t="s">
        <v>5968</v>
      </c>
      <c r="B7" s="426" t="s">
        <v>500</v>
      </c>
      <c r="C7" s="570" t="s">
        <v>5969</v>
      </c>
      <c r="D7" s="223" t="s">
        <v>5970</v>
      </c>
      <c r="E7" s="435">
        <v>1</v>
      </c>
      <c r="F7" s="300" t="s">
        <v>5971</v>
      </c>
      <c r="G7" s="401" t="s">
        <v>857</v>
      </c>
      <c r="H7" s="427" t="s">
        <v>5972</v>
      </c>
      <c r="I7" s="301" t="s">
        <v>4125</v>
      </c>
      <c r="J7" s="301"/>
      <c r="K7" s="428">
        <v>3</v>
      </c>
      <c r="L7" s="429">
        <v>0</v>
      </c>
      <c r="M7" s="430">
        <v>12</v>
      </c>
      <c r="N7" s="1167" t="s">
        <v>5973</v>
      </c>
      <c r="O7" s="427" t="s">
        <v>5974</v>
      </c>
      <c r="P7" s="840">
        <v>2</v>
      </c>
      <c r="R7" s="680"/>
    </row>
    <row r="8" spans="1:19" s="22" customFormat="1" ht="30" customHeight="1">
      <c r="A8" s="346"/>
      <c r="B8" s="431"/>
      <c r="C8" s="382"/>
      <c r="D8" s="436"/>
      <c r="E8" s="436">
        <v>2</v>
      </c>
      <c r="F8" s="306" t="s">
        <v>5975</v>
      </c>
      <c r="G8" s="432" t="s">
        <v>135</v>
      </c>
      <c r="H8" s="433" t="s">
        <v>5976</v>
      </c>
      <c r="I8" s="434"/>
      <c r="J8" s="434"/>
      <c r="K8" s="806"/>
      <c r="L8" s="806"/>
      <c r="M8" s="807"/>
      <c r="N8" s="1168"/>
      <c r="O8" s="433" t="s">
        <v>5977</v>
      </c>
      <c r="P8" s="437" t="s">
        <v>184</v>
      </c>
      <c r="R8" s="680"/>
    </row>
    <row r="9" spans="1:19" s="22" customFormat="1" ht="30" customHeight="1">
      <c r="A9" s="349"/>
      <c r="B9" s="442"/>
      <c r="C9" s="383"/>
      <c r="D9" s="297"/>
      <c r="E9" s="443">
        <v>3</v>
      </c>
      <c r="F9" s="387" t="s">
        <v>5978</v>
      </c>
      <c r="G9" s="386" t="s">
        <v>135</v>
      </c>
      <c r="H9" s="444" t="s">
        <v>5979</v>
      </c>
      <c r="I9" s="296"/>
      <c r="J9" s="296" t="s">
        <v>4125</v>
      </c>
      <c r="K9" s="1014"/>
      <c r="L9" s="830"/>
      <c r="M9" s="831"/>
      <c r="N9" s="1169"/>
      <c r="O9" s="309"/>
      <c r="P9" s="388" t="s">
        <v>184</v>
      </c>
      <c r="R9" s="680"/>
    </row>
    <row r="10" spans="1:19" s="22" customFormat="1" ht="28.5" customHeight="1">
      <c r="A10" s="843" t="s">
        <v>536</v>
      </c>
      <c r="B10" s="426" t="s">
        <v>538</v>
      </c>
      <c r="C10" s="446" t="s">
        <v>540</v>
      </c>
      <c r="D10" s="300" t="s">
        <v>541</v>
      </c>
      <c r="E10" s="299">
        <v>1</v>
      </c>
      <c r="F10" s="223" t="s">
        <v>5980</v>
      </c>
      <c r="G10" s="445" t="s">
        <v>5981</v>
      </c>
      <c r="H10" s="446" t="s">
        <v>5982</v>
      </c>
      <c r="I10" s="224"/>
      <c r="J10" s="224"/>
      <c r="K10" s="246"/>
      <c r="L10" s="803"/>
      <c r="M10" s="804"/>
      <c r="N10" s="1159" t="s">
        <v>5983</v>
      </c>
      <c r="O10" s="841" t="s">
        <v>5984</v>
      </c>
      <c r="P10" s="840">
        <v>2</v>
      </c>
      <c r="R10" s="680"/>
    </row>
    <row r="11" spans="1:19" s="22" customFormat="1" ht="30" customHeight="1">
      <c r="A11" s="346"/>
      <c r="B11" s="447"/>
      <c r="C11" s="571"/>
      <c r="D11" s="436"/>
      <c r="E11" s="432">
        <v>2</v>
      </c>
      <c r="F11" s="225" t="s">
        <v>5985</v>
      </c>
      <c r="G11" s="805" t="s">
        <v>5970</v>
      </c>
      <c r="H11" s="448" t="s">
        <v>5986</v>
      </c>
      <c r="I11" s="226"/>
      <c r="J11" s="226"/>
      <c r="K11" s="227"/>
      <c r="L11" s="806"/>
      <c r="M11" s="807"/>
      <c r="N11" s="1160"/>
      <c r="O11" s="808"/>
      <c r="P11" s="226" t="s">
        <v>184</v>
      </c>
      <c r="R11" s="680"/>
    </row>
    <row r="12" spans="1:19" s="22" customFormat="1" ht="46.5" customHeight="1">
      <c r="A12" s="346"/>
      <c r="B12" s="447"/>
      <c r="C12" s="571"/>
      <c r="D12" s="436"/>
      <c r="E12" s="432">
        <v>3</v>
      </c>
      <c r="F12" s="398" t="s">
        <v>5987</v>
      </c>
      <c r="G12" s="805" t="s">
        <v>5988</v>
      </c>
      <c r="H12" s="448" t="s">
        <v>5989</v>
      </c>
      <c r="I12" s="226" t="s">
        <v>4125</v>
      </c>
      <c r="J12" s="226"/>
      <c r="K12" s="227">
        <v>2.87</v>
      </c>
      <c r="L12" s="809">
        <v>2</v>
      </c>
      <c r="M12" s="810">
        <v>3</v>
      </c>
      <c r="N12" s="1160"/>
      <c r="O12" s="808" t="s">
        <v>5990</v>
      </c>
      <c r="P12" s="226" t="s">
        <v>184</v>
      </c>
      <c r="R12" s="680"/>
    </row>
    <row r="13" spans="1:19" s="22" customFormat="1" ht="42.75">
      <c r="A13" s="346"/>
      <c r="B13" s="447"/>
      <c r="C13" s="571"/>
      <c r="D13" s="436"/>
      <c r="E13" s="432">
        <v>4</v>
      </c>
      <c r="F13" s="398" t="s">
        <v>5991</v>
      </c>
      <c r="G13" s="805" t="s">
        <v>5988</v>
      </c>
      <c r="H13" s="448" t="s">
        <v>5992</v>
      </c>
      <c r="I13" s="226" t="s">
        <v>4125</v>
      </c>
      <c r="J13" s="226"/>
      <c r="K13" s="227">
        <v>1.07</v>
      </c>
      <c r="L13" s="809">
        <v>0.9</v>
      </c>
      <c r="M13" s="810">
        <v>1.2</v>
      </c>
      <c r="N13" s="1160"/>
      <c r="O13" s="808" t="s">
        <v>5993</v>
      </c>
      <c r="P13" s="226" t="s">
        <v>184</v>
      </c>
      <c r="R13" s="680"/>
    </row>
    <row r="14" spans="1:19" s="22" customFormat="1" ht="30" customHeight="1">
      <c r="A14" s="450"/>
      <c r="B14" s="392"/>
      <c r="C14" s="383"/>
      <c r="D14" s="387"/>
      <c r="E14" s="386">
        <v>5</v>
      </c>
      <c r="F14" s="222" t="s">
        <v>537</v>
      </c>
      <c r="G14" s="451" t="s">
        <v>541</v>
      </c>
      <c r="H14" s="452" t="s">
        <v>5994</v>
      </c>
      <c r="I14" s="232"/>
      <c r="J14" s="232" t="s">
        <v>4125</v>
      </c>
      <c r="K14" s="230"/>
      <c r="L14" s="811"/>
      <c r="M14" s="812"/>
      <c r="N14" s="1161"/>
      <c r="O14" s="240"/>
      <c r="P14" s="232" t="s">
        <v>184</v>
      </c>
      <c r="R14" s="680"/>
    </row>
    <row r="15" spans="1:19" s="22" customFormat="1" ht="28.5">
      <c r="A15" s="843" t="s">
        <v>549</v>
      </c>
      <c r="B15" s="426" t="s">
        <v>538</v>
      </c>
      <c r="C15" s="446" t="s">
        <v>5995</v>
      </c>
      <c r="D15" s="300" t="s">
        <v>541</v>
      </c>
      <c r="E15" s="299">
        <v>1</v>
      </c>
      <c r="F15" s="223" t="s">
        <v>5980</v>
      </c>
      <c r="G15" s="445" t="s">
        <v>5981</v>
      </c>
      <c r="H15" s="446" t="s">
        <v>5982</v>
      </c>
      <c r="I15" s="224"/>
      <c r="J15" s="224"/>
      <c r="K15" s="246"/>
      <c r="L15" s="803"/>
      <c r="M15" s="804"/>
      <c r="N15" s="1159" t="s">
        <v>5996</v>
      </c>
      <c r="O15" s="841" t="s">
        <v>5997</v>
      </c>
      <c r="P15" s="840">
        <v>2</v>
      </c>
      <c r="R15" s="680"/>
    </row>
    <row r="16" spans="1:19" s="22" customFormat="1" ht="30" customHeight="1">
      <c r="A16" s="346"/>
      <c r="B16" s="447"/>
      <c r="C16" s="571"/>
      <c r="D16" s="436"/>
      <c r="E16" s="432">
        <v>2</v>
      </c>
      <c r="F16" s="225" t="s">
        <v>5998</v>
      </c>
      <c r="G16" s="805" t="s">
        <v>5970</v>
      </c>
      <c r="H16" s="448" t="s">
        <v>5999</v>
      </c>
      <c r="I16" s="226"/>
      <c r="J16" s="226"/>
      <c r="K16" s="227"/>
      <c r="L16" s="806"/>
      <c r="M16" s="807"/>
      <c r="N16" s="1160"/>
      <c r="O16" s="808"/>
      <c r="P16" s="226" t="s">
        <v>184</v>
      </c>
      <c r="R16" s="680"/>
    </row>
    <row r="17" spans="1:25" s="22" customFormat="1" ht="30" customHeight="1">
      <c r="A17" s="450"/>
      <c r="B17" s="392"/>
      <c r="C17" s="383"/>
      <c r="D17" s="387"/>
      <c r="E17" s="386">
        <v>3</v>
      </c>
      <c r="F17" s="222" t="s">
        <v>550</v>
      </c>
      <c r="G17" s="451" t="s">
        <v>541</v>
      </c>
      <c r="H17" s="452" t="s">
        <v>6000</v>
      </c>
      <c r="I17" s="232"/>
      <c r="J17" s="232" t="s">
        <v>4125</v>
      </c>
      <c r="K17" s="230"/>
      <c r="L17" s="813"/>
      <c r="M17" s="814"/>
      <c r="N17" s="1161"/>
      <c r="O17" s="240"/>
      <c r="P17" s="232" t="s">
        <v>184</v>
      </c>
      <c r="R17" s="680"/>
    </row>
    <row r="18" spans="1:25" s="22" customFormat="1" ht="28.5">
      <c r="A18" s="843" t="s">
        <v>553</v>
      </c>
      <c r="B18" s="426" t="s">
        <v>538</v>
      </c>
      <c r="C18" s="446" t="s">
        <v>6001</v>
      </c>
      <c r="D18" s="300" t="s">
        <v>541</v>
      </c>
      <c r="E18" s="299">
        <v>1</v>
      </c>
      <c r="F18" s="223" t="s">
        <v>5980</v>
      </c>
      <c r="G18" s="445" t="s">
        <v>5981</v>
      </c>
      <c r="H18" s="446" t="s">
        <v>5982</v>
      </c>
      <c r="I18" s="224"/>
      <c r="J18" s="224"/>
      <c r="K18" s="246"/>
      <c r="L18" s="803"/>
      <c r="M18" s="804"/>
      <c r="N18" s="1159" t="s">
        <v>6002</v>
      </c>
      <c r="O18" s="841" t="s">
        <v>5997</v>
      </c>
      <c r="P18" s="840">
        <v>2</v>
      </c>
      <c r="R18" s="680"/>
    </row>
    <row r="19" spans="1:25" s="22" customFormat="1" ht="24" customHeight="1">
      <c r="A19" s="346"/>
      <c r="B19" s="447"/>
      <c r="C19" s="571"/>
      <c r="D19" s="436"/>
      <c r="E19" s="432">
        <v>2</v>
      </c>
      <c r="F19" s="225" t="s">
        <v>6003</v>
      </c>
      <c r="G19" s="805" t="s">
        <v>5970</v>
      </c>
      <c r="H19" s="448" t="s">
        <v>6004</v>
      </c>
      <c r="I19" s="226"/>
      <c r="J19" s="226"/>
      <c r="K19" s="227"/>
      <c r="L19" s="806"/>
      <c r="M19" s="807"/>
      <c r="N19" s="1160"/>
      <c r="O19" s="808"/>
      <c r="P19" s="226" t="s">
        <v>184</v>
      </c>
      <c r="R19" s="680"/>
    </row>
    <row r="20" spans="1:25" s="22" customFormat="1" ht="30" customHeight="1">
      <c r="A20" s="450"/>
      <c r="B20" s="392"/>
      <c r="C20" s="383"/>
      <c r="D20" s="387"/>
      <c r="E20" s="386">
        <v>3</v>
      </c>
      <c r="F20" s="222" t="s">
        <v>554</v>
      </c>
      <c r="G20" s="451" t="s">
        <v>541</v>
      </c>
      <c r="H20" s="452" t="s">
        <v>6005</v>
      </c>
      <c r="I20" s="232"/>
      <c r="J20" s="232" t="s">
        <v>4125</v>
      </c>
      <c r="K20" s="230"/>
      <c r="L20" s="813"/>
      <c r="M20" s="814"/>
      <c r="N20" s="1161"/>
      <c r="O20" s="240"/>
      <c r="P20" s="232" t="s">
        <v>184</v>
      </c>
      <c r="R20" s="680"/>
    </row>
    <row r="21" spans="1:25" s="22" customFormat="1" ht="30" customHeight="1">
      <c r="A21" s="843" t="s">
        <v>557</v>
      </c>
      <c r="B21" s="453" t="s">
        <v>538</v>
      </c>
      <c r="C21" s="446" t="s">
        <v>6006</v>
      </c>
      <c r="D21" s="223" t="s">
        <v>5970</v>
      </c>
      <c r="E21" s="299">
        <v>1</v>
      </c>
      <c r="F21" s="223" t="s">
        <v>6007</v>
      </c>
      <c r="G21" s="223" t="s">
        <v>5970</v>
      </c>
      <c r="H21" s="815" t="s">
        <v>6008</v>
      </c>
      <c r="I21" s="224"/>
      <c r="J21" s="224" t="s">
        <v>4125</v>
      </c>
      <c r="K21" s="246"/>
      <c r="L21" s="816"/>
      <c r="M21" s="817"/>
      <c r="N21" s="1159" t="s">
        <v>6009</v>
      </c>
      <c r="O21" s="231"/>
      <c r="P21" s="840">
        <v>2</v>
      </c>
      <c r="R21" s="680"/>
    </row>
    <row r="22" spans="1:25" s="22" customFormat="1" ht="30" customHeight="1">
      <c r="A22" s="390"/>
      <c r="B22" s="455"/>
      <c r="C22" s="572"/>
      <c r="D22" s="312"/>
      <c r="E22" s="395">
        <v>2</v>
      </c>
      <c r="F22" s="398" t="s">
        <v>5985</v>
      </c>
      <c r="G22" s="225" t="s">
        <v>5970</v>
      </c>
      <c r="H22" s="448" t="s">
        <v>5986</v>
      </c>
      <c r="I22" s="602"/>
      <c r="J22" s="602"/>
      <c r="K22" s="818"/>
      <c r="L22" s="819"/>
      <c r="M22" s="820"/>
      <c r="N22" s="1160"/>
      <c r="O22" s="765"/>
      <c r="P22" s="602" t="s">
        <v>184</v>
      </c>
      <c r="R22" s="680"/>
    </row>
    <row r="23" spans="1:25" s="22" customFormat="1" ht="30" customHeight="1">
      <c r="A23" s="346"/>
      <c r="B23" s="447"/>
      <c r="C23" s="571"/>
      <c r="D23" s="436"/>
      <c r="E23" s="432">
        <v>3</v>
      </c>
      <c r="F23" s="225" t="s">
        <v>5998</v>
      </c>
      <c r="G23" s="805" t="s">
        <v>5970</v>
      </c>
      <c r="H23" s="808" t="s">
        <v>6010</v>
      </c>
      <c r="I23" s="226"/>
      <c r="J23" s="226"/>
      <c r="K23" s="227"/>
      <c r="L23" s="806"/>
      <c r="M23" s="807"/>
      <c r="N23" s="1160"/>
      <c r="O23" s="808"/>
      <c r="P23" s="226" t="s">
        <v>184</v>
      </c>
      <c r="R23" s="680"/>
      <c r="V23" s="23"/>
      <c r="W23" s="73"/>
      <c r="X23" s="23"/>
      <c r="Y23" s="73"/>
    </row>
    <row r="24" spans="1:25" s="22" customFormat="1" ht="30" customHeight="1">
      <c r="A24" s="450"/>
      <c r="B24" s="454"/>
      <c r="C24" s="573"/>
      <c r="D24" s="450"/>
      <c r="E24" s="386">
        <v>4</v>
      </c>
      <c r="F24" s="222" t="s">
        <v>6003</v>
      </c>
      <c r="G24" s="451" t="s">
        <v>5970</v>
      </c>
      <c r="H24" s="240" t="s">
        <v>6004</v>
      </c>
      <c r="I24" s="821"/>
      <c r="J24" s="821"/>
      <c r="K24" s="822"/>
      <c r="L24" s="823"/>
      <c r="M24" s="824"/>
      <c r="N24" s="1161"/>
      <c r="O24" s="825"/>
      <c r="P24" s="232" t="s">
        <v>184</v>
      </c>
      <c r="R24" s="680"/>
      <c r="V24" s="23"/>
      <c r="W24" s="73"/>
      <c r="X24" s="23"/>
      <c r="Y24" s="73"/>
    </row>
    <row r="25" spans="1:25" s="22" customFormat="1" ht="28.5">
      <c r="A25" s="843" t="s">
        <v>560</v>
      </c>
      <c r="B25" s="426" t="s">
        <v>538</v>
      </c>
      <c r="C25" s="446" t="s">
        <v>540</v>
      </c>
      <c r="D25" s="300" t="s">
        <v>541</v>
      </c>
      <c r="E25" s="299">
        <v>1</v>
      </c>
      <c r="F25" s="223" t="s">
        <v>5980</v>
      </c>
      <c r="G25" s="445" t="s">
        <v>5981</v>
      </c>
      <c r="H25" s="446" t="s">
        <v>5982</v>
      </c>
      <c r="I25" s="224"/>
      <c r="J25" s="224"/>
      <c r="K25" s="246"/>
      <c r="L25" s="803"/>
      <c r="M25" s="804"/>
      <c r="N25" s="1159" t="s">
        <v>6011</v>
      </c>
      <c r="O25" s="841" t="s">
        <v>5997</v>
      </c>
      <c r="P25" s="840">
        <v>2</v>
      </c>
      <c r="R25" s="680"/>
    </row>
    <row r="26" spans="1:25" s="22" customFormat="1" ht="30" customHeight="1">
      <c r="A26" s="346"/>
      <c r="B26" s="447"/>
      <c r="C26" s="571"/>
      <c r="D26" s="436"/>
      <c r="E26" s="432">
        <v>2</v>
      </c>
      <c r="F26" s="225" t="s">
        <v>6007</v>
      </c>
      <c r="G26" s="805" t="s">
        <v>5970</v>
      </c>
      <c r="H26" s="808" t="s">
        <v>6012</v>
      </c>
      <c r="I26" s="226"/>
      <c r="J26" s="226"/>
      <c r="K26" s="227"/>
      <c r="L26" s="806"/>
      <c r="M26" s="807"/>
      <c r="N26" s="1160"/>
      <c r="O26" s="808"/>
      <c r="P26" s="226" t="s">
        <v>184</v>
      </c>
      <c r="R26" s="680"/>
    </row>
    <row r="27" spans="1:25" s="22" customFormat="1" ht="30" customHeight="1">
      <c r="A27" s="450"/>
      <c r="B27" s="392"/>
      <c r="C27" s="383"/>
      <c r="D27" s="387"/>
      <c r="E27" s="386">
        <v>3</v>
      </c>
      <c r="F27" s="222" t="s">
        <v>561</v>
      </c>
      <c r="G27" s="451" t="s">
        <v>541</v>
      </c>
      <c r="H27" s="240" t="s">
        <v>6013</v>
      </c>
      <c r="I27" s="232"/>
      <c r="J27" s="232" t="s">
        <v>4125</v>
      </c>
      <c r="K27" s="230"/>
      <c r="L27" s="813"/>
      <c r="M27" s="814"/>
      <c r="N27" s="1161"/>
      <c r="O27" s="240"/>
      <c r="P27" s="232" t="s">
        <v>184</v>
      </c>
      <c r="R27" s="680"/>
    </row>
    <row r="28" spans="1:25" s="22" customFormat="1" ht="42.75">
      <c r="A28" s="843" t="s">
        <v>4869</v>
      </c>
      <c r="B28" s="406" t="s">
        <v>538</v>
      </c>
      <c r="C28" s="446" t="s">
        <v>6014</v>
      </c>
      <c r="D28" s="300" t="s">
        <v>5981</v>
      </c>
      <c r="E28" s="299">
        <v>1</v>
      </c>
      <c r="F28" s="398" t="s">
        <v>763</v>
      </c>
      <c r="G28" s="772" t="s">
        <v>5988</v>
      </c>
      <c r="H28" s="826" t="s">
        <v>6015</v>
      </c>
      <c r="I28" s="768"/>
      <c r="J28" s="1013"/>
      <c r="K28" s="803"/>
      <c r="L28" s="816"/>
      <c r="M28" s="817"/>
      <c r="N28" s="1159" t="s">
        <v>6016</v>
      </c>
      <c r="O28" s="841" t="s">
        <v>6017</v>
      </c>
      <c r="P28" s="840">
        <v>2</v>
      </c>
      <c r="R28" s="680"/>
    </row>
    <row r="29" spans="1:25" s="22" customFormat="1" ht="42.75">
      <c r="A29" s="450"/>
      <c r="B29" s="392"/>
      <c r="C29" s="383"/>
      <c r="D29" s="387"/>
      <c r="E29" s="386">
        <v>2</v>
      </c>
      <c r="F29" s="222" t="s">
        <v>5980</v>
      </c>
      <c r="G29" s="451" t="s">
        <v>5981</v>
      </c>
      <c r="H29" s="383" t="s">
        <v>6018</v>
      </c>
      <c r="I29" s="232"/>
      <c r="J29" s="230" t="s">
        <v>4125</v>
      </c>
      <c r="K29" s="811"/>
      <c r="L29" s="813"/>
      <c r="M29" s="814"/>
      <c r="N29" s="1161"/>
      <c r="O29" s="842" t="s">
        <v>6019</v>
      </c>
      <c r="P29" s="844">
        <v>2</v>
      </c>
      <c r="R29" s="680"/>
    </row>
    <row r="30" spans="1:25" s="22" customFormat="1" ht="30" customHeight="1">
      <c r="A30" s="845" t="s">
        <v>6020</v>
      </c>
      <c r="B30" s="390" t="s">
        <v>584</v>
      </c>
      <c r="C30" s="574" t="s">
        <v>6021</v>
      </c>
      <c r="D30" s="398" t="s">
        <v>5970</v>
      </c>
      <c r="E30" s="312">
        <v>1</v>
      </c>
      <c r="F30" s="398" t="s">
        <v>6022</v>
      </c>
      <c r="G30" s="398" t="s">
        <v>5970</v>
      </c>
      <c r="H30" s="765" t="s">
        <v>6021</v>
      </c>
      <c r="I30" s="602"/>
      <c r="J30" s="602" t="s">
        <v>4125</v>
      </c>
      <c r="K30" s="827"/>
      <c r="L30" s="827"/>
      <c r="M30" s="828"/>
      <c r="N30" s="1159" t="s">
        <v>6023</v>
      </c>
      <c r="O30" s="574" t="s">
        <v>6024</v>
      </c>
      <c r="P30" s="840">
        <v>2</v>
      </c>
      <c r="R30" s="829"/>
      <c r="W30" s="603"/>
    </row>
    <row r="31" spans="1:25" s="22" customFormat="1" ht="30" customHeight="1">
      <c r="A31" s="348"/>
      <c r="B31" s="348"/>
      <c r="C31" s="574"/>
      <c r="D31" s="390"/>
      <c r="E31" s="312">
        <v>2</v>
      </c>
      <c r="F31" s="225" t="s">
        <v>6025</v>
      </c>
      <c r="G31" s="225" t="s">
        <v>5970</v>
      </c>
      <c r="H31" s="808" t="s">
        <v>6026</v>
      </c>
      <c r="I31" s="226"/>
      <c r="J31" s="226"/>
      <c r="K31" s="806"/>
      <c r="L31" s="806"/>
      <c r="M31" s="807"/>
      <c r="N31" s="1160"/>
      <c r="O31" s="448"/>
      <c r="P31" s="769" t="s">
        <v>184</v>
      </c>
      <c r="R31" s="829"/>
    </row>
    <row r="32" spans="1:25" s="22" customFormat="1" ht="26.25" customHeight="1">
      <c r="A32" s="349"/>
      <c r="B32" s="442"/>
      <c r="C32" s="512"/>
      <c r="D32" s="305"/>
      <c r="E32" s="387">
        <v>3</v>
      </c>
      <c r="F32" s="222" t="s">
        <v>6027</v>
      </c>
      <c r="G32" s="451" t="s">
        <v>857</v>
      </c>
      <c r="H32" s="383" t="s">
        <v>6028</v>
      </c>
      <c r="I32" s="74" t="s">
        <v>4125</v>
      </c>
      <c r="J32" s="74"/>
      <c r="K32" s="1014">
        <v>1</v>
      </c>
      <c r="L32" s="830">
        <v>0</v>
      </c>
      <c r="M32" s="831">
        <v>2</v>
      </c>
      <c r="N32" s="1161"/>
      <c r="O32" s="697"/>
      <c r="P32" s="232" t="s">
        <v>138</v>
      </c>
      <c r="R32" s="681"/>
    </row>
    <row r="33" spans="1:18" s="22" customFormat="1" ht="30" customHeight="1">
      <c r="A33" s="843" t="s">
        <v>570</v>
      </c>
      <c r="B33" s="406" t="s">
        <v>566</v>
      </c>
      <c r="C33" s="231" t="s">
        <v>6029</v>
      </c>
      <c r="D33" s="300" t="s">
        <v>5981</v>
      </c>
      <c r="E33" s="299">
        <v>1</v>
      </c>
      <c r="F33" s="398" t="s">
        <v>804</v>
      </c>
      <c r="G33" s="772" t="s">
        <v>5988</v>
      </c>
      <c r="H33" s="826" t="s">
        <v>6030</v>
      </c>
      <c r="I33" s="768"/>
      <c r="J33" s="1013"/>
      <c r="K33" s="803"/>
      <c r="L33" s="816"/>
      <c r="M33" s="817"/>
      <c r="N33" s="1159" t="s">
        <v>6031</v>
      </c>
      <c r="O33" s="231"/>
      <c r="P33" s="840">
        <v>2</v>
      </c>
      <c r="R33" s="2"/>
    </row>
    <row r="34" spans="1:18" s="22" customFormat="1" ht="30" customHeight="1">
      <c r="A34" s="346"/>
      <c r="B34" s="447"/>
      <c r="C34" s="571"/>
      <c r="D34" s="436"/>
      <c r="E34" s="432">
        <v>2</v>
      </c>
      <c r="F34" s="398" t="s">
        <v>6032</v>
      </c>
      <c r="G34" s="805" t="s">
        <v>5988</v>
      </c>
      <c r="H34" s="808" t="s">
        <v>6033</v>
      </c>
      <c r="I34" s="226" t="s">
        <v>4125</v>
      </c>
      <c r="J34" s="226"/>
      <c r="K34" s="227">
        <v>3.99</v>
      </c>
      <c r="L34" s="809">
        <v>2</v>
      </c>
      <c r="M34" s="810">
        <v>4.5</v>
      </c>
      <c r="N34" s="1160"/>
      <c r="O34" s="808" t="s">
        <v>6034</v>
      </c>
      <c r="P34" s="226" t="s">
        <v>138</v>
      </c>
      <c r="R34" s="2"/>
    </row>
    <row r="35" spans="1:18" s="22" customFormat="1" ht="30" customHeight="1">
      <c r="A35" s="346"/>
      <c r="B35" s="447"/>
      <c r="C35" s="571"/>
      <c r="D35" s="436"/>
      <c r="E35" s="432">
        <v>3</v>
      </c>
      <c r="F35" s="398" t="s">
        <v>6035</v>
      </c>
      <c r="G35" s="805" t="s">
        <v>5988</v>
      </c>
      <c r="H35" s="808" t="s">
        <v>5992</v>
      </c>
      <c r="I35" s="226" t="s">
        <v>4125</v>
      </c>
      <c r="J35" s="226"/>
      <c r="K35" s="806">
        <v>1.07</v>
      </c>
      <c r="L35" s="809">
        <v>0.9</v>
      </c>
      <c r="M35" s="810">
        <v>1.2</v>
      </c>
      <c r="N35" s="1160"/>
      <c r="O35" s="808"/>
      <c r="P35" s="226" t="s">
        <v>138</v>
      </c>
      <c r="R35" s="682"/>
    </row>
    <row r="36" spans="1:18" s="22" customFormat="1" ht="30" customHeight="1">
      <c r="A36" s="450"/>
      <c r="B36" s="392"/>
      <c r="C36" s="383"/>
      <c r="D36" s="387"/>
      <c r="E36" s="386">
        <v>4</v>
      </c>
      <c r="F36" s="222" t="s">
        <v>571</v>
      </c>
      <c r="G36" s="451" t="s">
        <v>5981</v>
      </c>
      <c r="H36" s="383" t="s">
        <v>6036</v>
      </c>
      <c r="I36" s="232"/>
      <c r="J36" s="230" t="s">
        <v>4125</v>
      </c>
      <c r="K36" s="811"/>
      <c r="L36" s="813"/>
      <c r="M36" s="814"/>
      <c r="N36" s="1161"/>
      <c r="O36" s="240"/>
      <c r="P36" s="232">
        <v>1</v>
      </c>
      <c r="R36" s="2"/>
    </row>
    <row r="37" spans="1:18" s="22" customFormat="1" ht="30" customHeight="1">
      <c r="A37" s="843" t="s">
        <v>601</v>
      </c>
      <c r="B37" s="406" t="s">
        <v>596</v>
      </c>
      <c r="C37" s="231" t="s">
        <v>6037</v>
      </c>
      <c r="D37" s="300" t="s">
        <v>5981</v>
      </c>
      <c r="E37" s="299">
        <v>1</v>
      </c>
      <c r="F37" s="398" t="s">
        <v>788</v>
      </c>
      <c r="G37" s="772" t="s">
        <v>5988</v>
      </c>
      <c r="H37" s="826" t="s">
        <v>6038</v>
      </c>
      <c r="I37" s="768"/>
      <c r="J37" s="1013"/>
      <c r="K37" s="803"/>
      <c r="L37" s="816"/>
      <c r="M37" s="817"/>
      <c r="N37" s="1159" t="s">
        <v>6039</v>
      </c>
      <c r="O37" s="231"/>
      <c r="P37" s="840">
        <v>2</v>
      </c>
      <c r="R37" s="2"/>
    </row>
    <row r="38" spans="1:18" s="22" customFormat="1" ht="30" customHeight="1">
      <c r="A38" s="346"/>
      <c r="B38" s="447"/>
      <c r="C38" s="571"/>
      <c r="D38" s="436"/>
      <c r="E38" s="432">
        <v>2</v>
      </c>
      <c r="F38" s="398" t="s">
        <v>6040</v>
      </c>
      <c r="G38" s="805" t="s">
        <v>5988</v>
      </c>
      <c r="H38" s="808" t="s">
        <v>6033</v>
      </c>
      <c r="I38" s="226" t="s">
        <v>4125</v>
      </c>
      <c r="J38" s="226"/>
      <c r="K38" s="227">
        <v>2.87</v>
      </c>
      <c r="L38" s="809">
        <v>2</v>
      </c>
      <c r="M38" s="810">
        <v>4</v>
      </c>
      <c r="N38" s="1160"/>
      <c r="O38" s="808"/>
      <c r="P38" s="226" t="s">
        <v>184</v>
      </c>
      <c r="R38" s="2"/>
    </row>
    <row r="39" spans="1:18" s="22" customFormat="1" ht="30" customHeight="1">
      <c r="A39" s="346"/>
      <c r="B39" s="447"/>
      <c r="C39" s="571"/>
      <c r="D39" s="436"/>
      <c r="E39" s="432">
        <v>3</v>
      </c>
      <c r="F39" s="398" t="s">
        <v>6041</v>
      </c>
      <c r="G39" s="805" t="s">
        <v>5988</v>
      </c>
      <c r="H39" s="808" t="s">
        <v>5992</v>
      </c>
      <c r="I39" s="226" t="s">
        <v>4125</v>
      </c>
      <c r="J39" s="226"/>
      <c r="K39" s="806">
        <v>1.07</v>
      </c>
      <c r="L39" s="809">
        <v>0.9</v>
      </c>
      <c r="M39" s="810">
        <v>1.2</v>
      </c>
      <c r="N39" s="1160"/>
      <c r="O39" s="808"/>
      <c r="P39" s="226" t="s">
        <v>138</v>
      </c>
      <c r="R39" s="682"/>
    </row>
    <row r="40" spans="1:18" s="22" customFormat="1" ht="30" customHeight="1">
      <c r="A40" s="450"/>
      <c r="B40" s="392"/>
      <c r="C40" s="383"/>
      <c r="D40" s="387"/>
      <c r="E40" s="386">
        <v>4</v>
      </c>
      <c r="F40" s="222" t="s">
        <v>602</v>
      </c>
      <c r="G40" s="451" t="s">
        <v>5981</v>
      </c>
      <c r="H40" s="383" t="s">
        <v>6042</v>
      </c>
      <c r="I40" s="232"/>
      <c r="J40" s="230" t="s">
        <v>4125</v>
      </c>
      <c r="K40" s="811"/>
      <c r="L40" s="813"/>
      <c r="M40" s="814"/>
      <c r="N40" s="1161"/>
      <c r="O40" s="240"/>
      <c r="P40" s="232" t="s">
        <v>184</v>
      </c>
      <c r="R40" s="2"/>
    </row>
    <row r="41" spans="1:18" s="22" customFormat="1" ht="30" customHeight="1">
      <c r="A41" s="843" t="s">
        <v>606</v>
      </c>
      <c r="B41" s="406" t="s">
        <v>596</v>
      </c>
      <c r="C41" s="446" t="s">
        <v>6043</v>
      </c>
      <c r="D41" s="300" t="s">
        <v>541</v>
      </c>
      <c r="E41" s="299">
        <v>1</v>
      </c>
      <c r="F41" s="223" t="s">
        <v>602</v>
      </c>
      <c r="G41" s="445" t="s">
        <v>5981</v>
      </c>
      <c r="H41" s="446" t="s">
        <v>6044</v>
      </c>
      <c r="I41" s="224"/>
      <c r="J41" s="224"/>
      <c r="K41" s="246"/>
      <c r="L41" s="803"/>
      <c r="M41" s="804"/>
      <c r="N41" s="1159" t="s">
        <v>6045</v>
      </c>
      <c r="O41" s="231"/>
      <c r="P41" s="840">
        <v>2</v>
      </c>
      <c r="R41" s="2"/>
    </row>
    <row r="42" spans="1:18" s="22" customFormat="1" ht="30" customHeight="1">
      <c r="A42" s="346"/>
      <c r="B42" s="447"/>
      <c r="C42" s="571"/>
      <c r="D42" s="436"/>
      <c r="E42" s="432">
        <v>2</v>
      </c>
      <c r="F42" s="225" t="s">
        <v>6046</v>
      </c>
      <c r="G42" s="805" t="s">
        <v>5970</v>
      </c>
      <c r="H42" s="448" t="s">
        <v>6047</v>
      </c>
      <c r="I42" s="226"/>
      <c r="J42" s="226"/>
      <c r="K42" s="227"/>
      <c r="L42" s="806"/>
      <c r="M42" s="807"/>
      <c r="N42" s="1160"/>
      <c r="O42" s="808"/>
      <c r="P42" s="226" t="s">
        <v>184</v>
      </c>
      <c r="R42" s="2"/>
    </row>
    <row r="43" spans="1:18" s="22" customFormat="1" ht="16.5">
      <c r="A43" s="346"/>
      <c r="B43" s="447"/>
      <c r="C43" s="571"/>
      <c r="D43" s="436"/>
      <c r="E43" s="432">
        <v>3</v>
      </c>
      <c r="F43" s="225" t="s">
        <v>6040</v>
      </c>
      <c r="G43" s="805" t="s">
        <v>5988</v>
      </c>
      <c r="H43" s="448" t="s">
        <v>6033</v>
      </c>
      <c r="I43" s="226" t="s">
        <v>4125</v>
      </c>
      <c r="J43" s="226"/>
      <c r="K43" s="227">
        <v>2.89</v>
      </c>
      <c r="L43" s="809">
        <v>2</v>
      </c>
      <c r="M43" s="810">
        <v>3</v>
      </c>
      <c r="N43" s="1160"/>
      <c r="O43" s="808" t="s">
        <v>6034</v>
      </c>
      <c r="P43" s="226" t="s">
        <v>184</v>
      </c>
      <c r="R43" s="681"/>
    </row>
    <row r="44" spans="1:18" s="22" customFormat="1" ht="16.5">
      <c r="A44" s="346"/>
      <c r="B44" s="447"/>
      <c r="C44" s="571"/>
      <c r="D44" s="436"/>
      <c r="E44" s="432">
        <v>4</v>
      </c>
      <c r="F44" s="225" t="s">
        <v>6041</v>
      </c>
      <c r="G44" s="805" t="s">
        <v>5988</v>
      </c>
      <c r="H44" s="448" t="s">
        <v>5992</v>
      </c>
      <c r="I44" s="226" t="s">
        <v>4125</v>
      </c>
      <c r="J44" s="226"/>
      <c r="K44" s="806">
        <v>1.07</v>
      </c>
      <c r="L44" s="809">
        <v>0.9</v>
      </c>
      <c r="M44" s="810">
        <v>1.2</v>
      </c>
      <c r="N44" s="1160"/>
      <c r="O44" s="808"/>
      <c r="P44" s="226" t="s">
        <v>138</v>
      </c>
      <c r="R44" s="681"/>
    </row>
    <row r="45" spans="1:18" s="22" customFormat="1" ht="30" customHeight="1">
      <c r="A45" s="450"/>
      <c r="B45" s="392"/>
      <c r="C45" s="383"/>
      <c r="D45" s="387"/>
      <c r="E45" s="386">
        <v>5</v>
      </c>
      <c r="F45" s="222" t="s">
        <v>607</v>
      </c>
      <c r="G45" s="451" t="s">
        <v>541</v>
      </c>
      <c r="H45" s="452" t="s">
        <v>6048</v>
      </c>
      <c r="I45" s="232"/>
      <c r="J45" s="232" t="s">
        <v>4125</v>
      </c>
      <c r="K45" s="230"/>
      <c r="L45" s="813"/>
      <c r="M45" s="814"/>
      <c r="N45" s="1161"/>
      <c r="O45" s="240"/>
      <c r="P45" s="232" t="s">
        <v>184</v>
      </c>
      <c r="R45" s="2"/>
    </row>
    <row r="46" spans="1:18" s="22" customFormat="1" ht="30" customHeight="1">
      <c r="A46" s="843" t="s">
        <v>577</v>
      </c>
      <c r="B46" s="406" t="s">
        <v>566</v>
      </c>
      <c r="C46" s="446" t="s">
        <v>6049</v>
      </c>
      <c r="D46" s="300" t="s">
        <v>541</v>
      </c>
      <c r="E46" s="299">
        <v>1</v>
      </c>
      <c r="F46" s="223" t="s">
        <v>571</v>
      </c>
      <c r="G46" s="445" t="s">
        <v>5981</v>
      </c>
      <c r="H46" s="446" t="s">
        <v>6050</v>
      </c>
      <c r="I46" s="224"/>
      <c r="J46" s="224"/>
      <c r="K46" s="246"/>
      <c r="L46" s="803"/>
      <c r="M46" s="804"/>
      <c r="N46" s="1159" t="s">
        <v>6051</v>
      </c>
      <c r="O46" s="231"/>
      <c r="P46" s="840">
        <v>2</v>
      </c>
      <c r="R46" s="2"/>
    </row>
    <row r="47" spans="1:18" s="22" customFormat="1" ht="30" customHeight="1">
      <c r="A47" s="346"/>
      <c r="B47" s="447"/>
      <c r="C47" s="571"/>
      <c r="D47" s="436"/>
      <c r="E47" s="432">
        <v>2</v>
      </c>
      <c r="F47" s="225" t="s">
        <v>6025</v>
      </c>
      <c r="G47" s="805" t="s">
        <v>5970</v>
      </c>
      <c r="H47" s="448" t="s">
        <v>6052</v>
      </c>
      <c r="I47" s="226"/>
      <c r="J47" s="226"/>
      <c r="K47" s="227"/>
      <c r="L47" s="806"/>
      <c r="M47" s="807"/>
      <c r="N47" s="1160"/>
      <c r="O47" s="808"/>
      <c r="P47" s="226" t="s">
        <v>184</v>
      </c>
      <c r="R47" s="2"/>
    </row>
    <row r="48" spans="1:18" s="22" customFormat="1" ht="30" customHeight="1">
      <c r="A48" s="346"/>
      <c r="B48" s="447"/>
      <c r="C48" s="571"/>
      <c r="D48" s="436"/>
      <c r="E48" s="432">
        <v>3</v>
      </c>
      <c r="F48" s="225" t="s">
        <v>6032</v>
      </c>
      <c r="G48" s="805" t="s">
        <v>5988</v>
      </c>
      <c r="H48" s="448" t="s">
        <v>6033</v>
      </c>
      <c r="I48" s="226" t="s">
        <v>4125</v>
      </c>
      <c r="J48" s="226"/>
      <c r="K48" s="227">
        <v>3.99</v>
      </c>
      <c r="L48" s="809">
        <v>2</v>
      </c>
      <c r="M48" s="810">
        <v>4.5</v>
      </c>
      <c r="N48" s="1160"/>
      <c r="O48" s="808" t="s">
        <v>6053</v>
      </c>
      <c r="P48" s="226" t="s">
        <v>184</v>
      </c>
      <c r="R48" s="681"/>
    </row>
    <row r="49" spans="1:18" s="22" customFormat="1" ht="16.5">
      <c r="A49" s="346"/>
      <c r="B49" s="447"/>
      <c r="C49" s="571"/>
      <c r="D49" s="436"/>
      <c r="E49" s="432">
        <v>4</v>
      </c>
      <c r="F49" s="225" t="s">
        <v>6035</v>
      </c>
      <c r="G49" s="805" t="s">
        <v>5988</v>
      </c>
      <c r="H49" s="448" t="s">
        <v>5992</v>
      </c>
      <c r="I49" s="226" t="s">
        <v>4125</v>
      </c>
      <c r="J49" s="226"/>
      <c r="K49" s="806">
        <v>1.07</v>
      </c>
      <c r="L49" s="809">
        <v>0.9</v>
      </c>
      <c r="M49" s="810">
        <v>1.2</v>
      </c>
      <c r="N49" s="1160"/>
      <c r="O49" s="808"/>
      <c r="P49" s="226" t="s">
        <v>138</v>
      </c>
      <c r="R49" s="681"/>
    </row>
    <row r="50" spans="1:18" s="22" customFormat="1" ht="30" customHeight="1">
      <c r="A50" s="450"/>
      <c r="B50" s="392"/>
      <c r="C50" s="383"/>
      <c r="D50" s="387"/>
      <c r="E50" s="386">
        <v>5</v>
      </c>
      <c r="F50" s="222" t="s">
        <v>578</v>
      </c>
      <c r="G50" s="451" t="s">
        <v>541</v>
      </c>
      <c r="H50" s="452" t="s">
        <v>6054</v>
      </c>
      <c r="I50" s="232"/>
      <c r="J50" s="232" t="s">
        <v>4125</v>
      </c>
      <c r="K50" s="230"/>
      <c r="L50" s="813"/>
      <c r="M50" s="814"/>
      <c r="N50" s="1161"/>
      <c r="O50" s="240"/>
      <c r="P50" s="232" t="s">
        <v>184</v>
      </c>
      <c r="R50" s="2"/>
    </row>
    <row r="51" spans="1:18" s="22" customFormat="1" ht="30" customHeight="1">
      <c r="A51" s="845" t="s">
        <v>6055</v>
      </c>
      <c r="B51" s="390" t="s">
        <v>613</v>
      </c>
      <c r="C51" s="574" t="s">
        <v>6056</v>
      </c>
      <c r="D51" s="398" t="s">
        <v>5970</v>
      </c>
      <c r="E51" s="312">
        <v>1</v>
      </c>
      <c r="F51" s="398" t="s">
        <v>6057</v>
      </c>
      <c r="G51" s="398" t="s">
        <v>5970</v>
      </c>
      <c r="H51" s="1053" t="s">
        <v>6021</v>
      </c>
      <c r="I51" s="602"/>
      <c r="J51" s="602" t="s">
        <v>4125</v>
      </c>
      <c r="K51" s="827"/>
      <c r="L51" s="827"/>
      <c r="M51" s="828"/>
      <c r="N51" s="1159" t="s">
        <v>6058</v>
      </c>
      <c r="O51" s="574" t="s">
        <v>6059</v>
      </c>
      <c r="P51" s="840">
        <v>2</v>
      </c>
      <c r="R51" s="2"/>
    </row>
    <row r="52" spans="1:18" s="22" customFormat="1" ht="30" customHeight="1">
      <c r="A52" s="390"/>
      <c r="B52" s="390"/>
      <c r="C52" s="574"/>
      <c r="D52" s="398"/>
      <c r="E52" s="312">
        <v>2</v>
      </c>
      <c r="F52" s="398" t="s">
        <v>6060</v>
      </c>
      <c r="G52" s="225" t="s">
        <v>5970</v>
      </c>
      <c r="H52" s="765" t="s">
        <v>6061</v>
      </c>
      <c r="I52" s="602"/>
      <c r="J52" s="602"/>
      <c r="K52" s="806"/>
      <c r="L52" s="806"/>
      <c r="M52" s="807"/>
      <c r="N52" s="1160"/>
      <c r="O52" s="574"/>
      <c r="P52" s="226" t="s">
        <v>138</v>
      </c>
      <c r="R52" s="2"/>
    </row>
    <row r="53" spans="1:18" s="22" customFormat="1" ht="30" customHeight="1">
      <c r="A53" s="348"/>
      <c r="B53" s="348"/>
      <c r="C53" s="574"/>
      <c r="D53" s="390"/>
      <c r="E53" s="312">
        <v>2</v>
      </c>
      <c r="F53" s="225" t="s">
        <v>6046</v>
      </c>
      <c r="G53" s="225" t="s">
        <v>5970</v>
      </c>
      <c r="H53" s="808" t="s">
        <v>6062</v>
      </c>
      <c r="I53" s="226"/>
      <c r="J53" s="226"/>
      <c r="K53" s="806"/>
      <c r="L53" s="806"/>
      <c r="M53" s="807"/>
      <c r="N53" s="1160"/>
      <c r="O53" s="448"/>
      <c r="P53" s="769" t="s">
        <v>184</v>
      </c>
      <c r="R53" s="682"/>
    </row>
    <row r="54" spans="1:18" s="22" customFormat="1" ht="30" customHeight="1">
      <c r="A54" s="349"/>
      <c r="B54" s="442"/>
      <c r="C54" s="512"/>
      <c r="D54" s="305"/>
      <c r="E54" s="387">
        <v>3</v>
      </c>
      <c r="F54" s="222" t="s">
        <v>6063</v>
      </c>
      <c r="G54" s="451" t="s">
        <v>857</v>
      </c>
      <c r="H54" s="383" t="s">
        <v>6028</v>
      </c>
      <c r="I54" s="74" t="s">
        <v>4125</v>
      </c>
      <c r="J54" s="74"/>
      <c r="K54" s="1014">
        <v>1</v>
      </c>
      <c r="L54" s="830">
        <v>0</v>
      </c>
      <c r="M54" s="831">
        <v>2</v>
      </c>
      <c r="N54" s="1161"/>
      <c r="O54" s="697"/>
      <c r="P54" s="232" t="s">
        <v>138</v>
      </c>
      <c r="R54" s="681"/>
    </row>
    <row r="55" spans="1:18" s="22" customFormat="1" ht="65.099999999999994" customHeight="1">
      <c r="A55" s="845" t="s">
        <v>784</v>
      </c>
      <c r="B55" s="390" t="s">
        <v>584</v>
      </c>
      <c r="C55" s="574" t="s">
        <v>6064</v>
      </c>
      <c r="D55" s="398" t="s">
        <v>778</v>
      </c>
      <c r="E55" s="348"/>
      <c r="F55" s="832"/>
      <c r="G55" s="833"/>
      <c r="H55" s="834"/>
      <c r="I55" s="835"/>
      <c r="J55" s="835"/>
      <c r="K55" s="836"/>
      <c r="L55" s="836"/>
      <c r="M55" s="837"/>
      <c r="N55" s="1156" t="s">
        <v>6065</v>
      </c>
      <c r="O55" s="574" t="s">
        <v>6066</v>
      </c>
      <c r="P55" s="840">
        <v>2</v>
      </c>
      <c r="R55" s="681"/>
    </row>
    <row r="56" spans="1:18" s="22" customFormat="1" ht="65.099999999999994" customHeight="1">
      <c r="A56" s="390"/>
      <c r="B56" s="533"/>
      <c r="C56" s="574"/>
      <c r="D56" s="390"/>
      <c r="E56" s="312">
        <v>1</v>
      </c>
      <c r="F56" s="398" t="s">
        <v>6067</v>
      </c>
      <c r="G56" s="630" t="s">
        <v>778</v>
      </c>
      <c r="H56" s="574" t="s">
        <v>6068</v>
      </c>
      <c r="I56" s="602"/>
      <c r="J56" s="602"/>
      <c r="K56" s="827"/>
      <c r="L56" s="827"/>
      <c r="M56" s="828"/>
      <c r="N56" s="1157"/>
      <c r="O56" s="574"/>
      <c r="P56" s="226" t="s">
        <v>184</v>
      </c>
      <c r="R56" s="682"/>
    </row>
    <row r="57" spans="1:18" s="22" customFormat="1" ht="65.099999999999994" customHeight="1">
      <c r="A57" s="390"/>
      <c r="B57" s="533"/>
      <c r="C57" s="574"/>
      <c r="D57" s="390"/>
      <c r="E57" s="312">
        <v>2</v>
      </c>
      <c r="F57" s="398" t="s">
        <v>6069</v>
      </c>
      <c r="G57" s="630" t="s">
        <v>778</v>
      </c>
      <c r="H57" s="574" t="s">
        <v>6070</v>
      </c>
      <c r="I57" s="602"/>
      <c r="J57" s="602"/>
      <c r="K57" s="827"/>
      <c r="L57" s="827"/>
      <c r="M57" s="828"/>
      <c r="N57" s="1157"/>
      <c r="O57" s="574"/>
      <c r="P57" s="226" t="s">
        <v>184</v>
      </c>
      <c r="R57" s="2"/>
    </row>
    <row r="58" spans="1:18" s="22" customFormat="1" ht="69.75" customHeight="1">
      <c r="A58" s="375"/>
      <c r="B58" s="535"/>
      <c r="C58" s="452"/>
      <c r="D58" s="375"/>
      <c r="E58" s="387">
        <v>3</v>
      </c>
      <c r="F58" s="222" t="s">
        <v>785</v>
      </c>
      <c r="G58" s="451" t="s">
        <v>778</v>
      </c>
      <c r="H58" s="452" t="s">
        <v>6071</v>
      </c>
      <c r="I58" s="232"/>
      <c r="J58" s="232" t="s">
        <v>4125</v>
      </c>
      <c r="K58" s="811"/>
      <c r="L58" s="811"/>
      <c r="M58" s="812"/>
      <c r="N58" s="1158"/>
      <c r="O58" s="452"/>
      <c r="P58" s="232">
        <v>1</v>
      </c>
      <c r="R58" s="681"/>
    </row>
    <row r="59" spans="1:18" s="22" customFormat="1" ht="64.5" customHeight="1">
      <c r="A59" s="845" t="s">
        <v>800</v>
      </c>
      <c r="B59" s="455" t="s">
        <v>613</v>
      </c>
      <c r="C59" s="574" t="s">
        <v>6072</v>
      </c>
      <c r="D59" s="390" t="s">
        <v>778</v>
      </c>
      <c r="E59" s="312"/>
      <c r="F59" s="398"/>
      <c r="G59" s="630"/>
      <c r="H59" s="574"/>
      <c r="I59" s="602"/>
      <c r="J59" s="602"/>
      <c r="K59" s="827"/>
      <c r="L59" s="827"/>
      <c r="M59" s="828"/>
      <c r="N59" s="1156" t="s">
        <v>6073</v>
      </c>
      <c r="O59" s="574" t="s">
        <v>6074</v>
      </c>
      <c r="P59" s="840">
        <v>2</v>
      </c>
      <c r="R59" s="681"/>
    </row>
    <row r="60" spans="1:18" s="22" customFormat="1" ht="65.099999999999994" customHeight="1">
      <c r="A60" s="431"/>
      <c r="B60" s="717"/>
      <c r="C60" s="448"/>
      <c r="D60" s="431"/>
      <c r="E60" s="436">
        <v>1</v>
      </c>
      <c r="F60" s="225" t="s">
        <v>6075</v>
      </c>
      <c r="G60" s="805" t="s">
        <v>778</v>
      </c>
      <c r="H60" s="448" t="s">
        <v>6068</v>
      </c>
      <c r="I60" s="226"/>
      <c r="J60" s="226"/>
      <c r="K60" s="806"/>
      <c r="L60" s="806"/>
      <c r="M60" s="807"/>
      <c r="N60" s="1157"/>
      <c r="O60" s="448"/>
      <c r="P60" s="226" t="s">
        <v>184</v>
      </c>
      <c r="R60" s="681"/>
    </row>
    <row r="61" spans="1:18" s="22" customFormat="1" ht="65.099999999999994" customHeight="1">
      <c r="A61" s="431"/>
      <c r="B61" s="717"/>
      <c r="C61" s="448"/>
      <c r="D61" s="431"/>
      <c r="E61" s="436">
        <v>2</v>
      </c>
      <c r="F61" s="225" t="s">
        <v>6076</v>
      </c>
      <c r="G61" s="805" t="s">
        <v>778</v>
      </c>
      <c r="H61" s="448" t="s">
        <v>6070</v>
      </c>
      <c r="I61" s="226"/>
      <c r="J61" s="226"/>
      <c r="K61" s="806"/>
      <c r="L61" s="806"/>
      <c r="M61" s="807"/>
      <c r="N61" s="1157"/>
      <c r="O61" s="448"/>
      <c r="P61" s="226" t="s">
        <v>184</v>
      </c>
      <c r="R61" s="681"/>
    </row>
    <row r="62" spans="1:18" s="22" customFormat="1" ht="65.099999999999994" customHeight="1">
      <c r="A62" s="375"/>
      <c r="B62" s="535"/>
      <c r="C62" s="452"/>
      <c r="D62" s="375"/>
      <c r="E62" s="387">
        <v>3</v>
      </c>
      <c r="F62" s="222" t="s">
        <v>801</v>
      </c>
      <c r="G62" s="451" t="s">
        <v>778</v>
      </c>
      <c r="H62" s="452" t="s">
        <v>6071</v>
      </c>
      <c r="I62" s="232"/>
      <c r="J62" s="232" t="s">
        <v>4125</v>
      </c>
      <c r="K62" s="811"/>
      <c r="L62" s="811"/>
      <c r="M62" s="812"/>
      <c r="N62" s="1158"/>
      <c r="O62" s="452"/>
      <c r="P62" s="232">
        <v>1</v>
      </c>
      <c r="R62" s="681"/>
    </row>
    <row r="63" spans="1:18" s="2" customFormat="1" ht="14.25">
      <c r="A63" s="3"/>
      <c r="C63" s="22"/>
      <c r="D63" s="23"/>
      <c r="E63" s="22"/>
      <c r="F63" s="23"/>
      <c r="G63" s="23"/>
      <c r="H63" s="22"/>
      <c r="I63" s="23"/>
      <c r="J63" s="23"/>
      <c r="K63" s="23"/>
      <c r="L63" s="23"/>
      <c r="M63" s="23"/>
      <c r="N63" s="22"/>
      <c r="O63" s="73"/>
      <c r="P63" s="23"/>
    </row>
    <row r="64" spans="1:18" s="2" customFormat="1" ht="14.25">
      <c r="A64" s="3"/>
      <c r="C64" s="22"/>
      <c r="D64" s="23"/>
      <c r="E64" s="22"/>
      <c r="F64" s="23"/>
      <c r="G64" s="23"/>
      <c r="H64" s="22"/>
      <c r="I64" s="23"/>
      <c r="J64" s="23"/>
      <c r="K64" s="23"/>
      <c r="L64" s="23"/>
      <c r="M64" s="23"/>
      <c r="N64" s="22"/>
      <c r="O64" s="73"/>
      <c r="P64" s="23"/>
    </row>
    <row r="65" spans="1:17" ht="13.35" customHeight="1">
      <c r="A65" s="23">
        <v>15</v>
      </c>
      <c r="B65" s="23">
        <v>15</v>
      </c>
      <c r="Q65" s="75"/>
    </row>
  </sheetData>
  <mergeCells count="21">
    <mergeCell ref="N10:N14"/>
    <mergeCell ref="N15:N17"/>
    <mergeCell ref="N18:N20"/>
    <mergeCell ref="N25:N27"/>
    <mergeCell ref="N21:N24"/>
    <mergeCell ref="N59:N62"/>
    <mergeCell ref="N46:N50"/>
    <mergeCell ref="N51:N54"/>
    <mergeCell ref="A4:P4"/>
    <mergeCell ref="D5:D6"/>
    <mergeCell ref="J5:J6"/>
    <mergeCell ref="K5:M5"/>
    <mergeCell ref="E5:H5"/>
    <mergeCell ref="I5:I6"/>
    <mergeCell ref="N30:N32"/>
    <mergeCell ref="N33:N36"/>
    <mergeCell ref="N28:N29"/>
    <mergeCell ref="N55:N58"/>
    <mergeCell ref="N37:N40"/>
    <mergeCell ref="N41:N45"/>
    <mergeCell ref="N7:N9"/>
  </mergeCells>
  <phoneticPr fontId="0" type="noConversion"/>
  <conditionalFormatting sqref="A7:A64">
    <cfRule type="duplicateValues" dxfId="22" priority="3549"/>
  </conditionalFormatting>
  <conditionalFormatting sqref="B30:B31">
    <cfRule type="duplicateValues" dxfId="21" priority="11"/>
  </conditionalFormatting>
  <conditionalFormatting sqref="B51:B53">
    <cfRule type="duplicateValues" dxfId="20" priority="6"/>
  </conditionalFormatting>
  <conditionalFormatting sqref="B55:B57">
    <cfRule type="duplicateValues" dxfId="19" priority="3093"/>
  </conditionalFormatting>
  <conditionalFormatting sqref="C7:C32 C34:C36 C38:C64">
    <cfRule type="expression" dxfId="18" priority="15">
      <formula>LEN(C7)&gt;52</formula>
    </cfRule>
  </conditionalFormatting>
  <conditionalFormatting sqref="C33">
    <cfRule type="expression" dxfId="17" priority="10">
      <formula>LEN(C33)&gt;24</formula>
    </cfRule>
  </conditionalFormatting>
  <conditionalFormatting sqref="C37">
    <cfRule type="expression" dxfId="16" priority="9">
      <formula>LEN(C37)&gt;24</formula>
    </cfRule>
  </conditionalFormatting>
  <conditionalFormatting sqref="H13 H44">
    <cfRule type="expression" dxfId="15" priority="13">
      <formula>LEN(H13)&gt;52</formula>
    </cfRule>
  </conditionalFormatting>
  <conditionalFormatting sqref="H21">
    <cfRule type="expression" dxfId="14" priority="12">
      <formula>LEN(H21)&gt;52</formula>
    </cfRule>
  </conditionalFormatting>
  <conditionalFormatting sqref="H49">
    <cfRule type="expression" dxfId="13" priority="7">
      <formula>LEN(H49)&gt;52</formula>
    </cfRule>
  </conditionalFormatting>
  <conditionalFormatting sqref="W24">
    <cfRule type="expression" dxfId="12" priority="2">
      <formula>LEN(W24)&gt;52</formula>
    </cfRule>
  </conditionalFormatting>
  <conditionalFormatting sqref="Y24">
    <cfRule type="expression" dxfId="11" priority="3">
      <formula>LEN(Y24)&gt;52</formula>
    </cfRule>
  </conditionalFormatting>
  <printOptions horizontalCentered="1"/>
  <pageMargins left="0.39370078740157483" right="0.39370078740157483" top="0.59055118110236227" bottom="0.59055118110236227" header="0.59055118110236227" footer="0.39370078740157483"/>
  <pageSetup paperSize="8" scale="52" fitToHeight="0" orientation="landscape" r:id="rId1"/>
  <headerFooter scaleWithDoc="0" alignWithMargins="0"/>
  <rowBreaks count="1" manualBreakCount="1">
    <brk id="45"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BBCE-DEBB-4134-AA3E-8752040549A3}">
  <sheetPr codeName="Sheet19" filterMode="1">
    <tabColor rgb="FF0000FF"/>
    <pageSetUpPr fitToPage="1"/>
  </sheetPr>
  <dimension ref="A1:L50"/>
  <sheetViews>
    <sheetView view="pageBreakPreview" zoomScale="55" zoomScaleNormal="70" zoomScaleSheetLayoutView="55" workbookViewId="0">
      <selection activeCell="C43" sqref="A1:L50"/>
    </sheetView>
  </sheetViews>
  <sheetFormatPr defaultColWidth="9.33203125" defaultRowHeight="11.25"/>
  <cols>
    <col min="1" max="1" width="26.33203125" style="238" customWidth="1"/>
    <col min="2" max="2" width="41.33203125" style="238" bestFit="1" customWidth="1"/>
    <col min="3" max="3" width="118.6640625" style="238" bestFit="1" customWidth="1"/>
    <col min="4" max="4" width="15" style="238" customWidth="1"/>
    <col min="5" max="6" width="17" style="238" customWidth="1"/>
    <col min="7" max="7" width="16.33203125" style="238" customWidth="1"/>
    <col min="8" max="8" width="28.1640625" style="238" customWidth="1"/>
    <col min="9" max="9" width="94.33203125" style="238" customWidth="1"/>
    <col min="10" max="10" width="8.6640625" style="238" customWidth="1"/>
    <col min="11" max="11" width="9.33203125" style="238"/>
    <col min="12" max="12" width="67.33203125" style="238" customWidth="1"/>
    <col min="13" max="16384" width="9.33203125" style="238"/>
  </cols>
  <sheetData>
    <row r="1" spans="1:12" ht="18">
      <c r="A1" s="20" t="str" cm="1">
        <f t="array" ref="A1">ProjectTitle</f>
        <v>KCGM GROWTH PROJECT</v>
      </c>
      <c r="B1" s="174"/>
      <c r="C1" s="175"/>
      <c r="D1" s="107"/>
      <c r="E1" s="107"/>
      <c r="F1" s="107"/>
      <c r="G1" s="107"/>
      <c r="H1" s="107"/>
      <c r="I1" s="107"/>
      <c r="J1" s="1032"/>
    </row>
    <row r="2" spans="1:12" ht="18">
      <c r="A2" s="20" t="str">
        <f>'Cover Page'!DocumentTitle</f>
        <v>PROCESS CONTROL TABLES - FLOTATION (F16, F17, F18)</v>
      </c>
      <c r="B2" s="174"/>
      <c r="C2" s="1033"/>
      <c r="D2" s="1170"/>
      <c r="E2" s="1170"/>
      <c r="F2" s="1170"/>
      <c r="G2" s="174"/>
      <c r="H2" s="174"/>
      <c r="I2" s="107"/>
      <c r="J2" s="1032"/>
    </row>
    <row r="3" spans="1:12" ht="18.75" thickBot="1">
      <c r="A3" s="86" t="str">
        <f>'Cover Page'!A29</f>
        <v>2000-F16-LST-PR-10001</v>
      </c>
      <c r="B3" s="175"/>
      <c r="C3" s="1034"/>
      <c r="D3" s="107"/>
      <c r="E3" s="107"/>
      <c r="F3" s="107"/>
      <c r="G3" s="107"/>
      <c r="H3" s="107"/>
      <c r="I3" s="107"/>
      <c r="J3" s="171"/>
    </row>
    <row r="4" spans="1:12" ht="12" thickBot="1">
      <c r="A4" s="1171" t="s">
        <v>6077</v>
      </c>
      <c r="B4" s="1172"/>
      <c r="C4" s="1172"/>
      <c r="D4" s="1172"/>
      <c r="E4" s="1172"/>
      <c r="F4" s="1172"/>
      <c r="G4" s="1172"/>
      <c r="H4" s="1172"/>
      <c r="I4" s="1172"/>
      <c r="J4" s="1173"/>
    </row>
    <row r="5" spans="1:12" ht="12" thickBot="1">
      <c r="A5" s="1174"/>
      <c r="B5" s="1175"/>
      <c r="C5" s="1175"/>
      <c r="D5" s="1175"/>
      <c r="E5" s="1175"/>
      <c r="F5" s="1175"/>
      <c r="G5" s="1175"/>
      <c r="H5" s="1175"/>
      <c r="I5" s="1175"/>
      <c r="J5" s="1176"/>
    </row>
    <row r="6" spans="1:12" ht="30">
      <c r="A6" s="256" t="s">
        <v>101</v>
      </c>
      <c r="B6" s="255" t="s">
        <v>102</v>
      </c>
      <c r="C6" s="255" t="s">
        <v>103</v>
      </c>
      <c r="D6" s="255" t="s">
        <v>6078</v>
      </c>
      <c r="E6" s="255" t="s">
        <v>2088</v>
      </c>
      <c r="F6" s="255" t="s">
        <v>6079</v>
      </c>
      <c r="G6" s="255" t="s">
        <v>2090</v>
      </c>
      <c r="H6" s="255" t="s">
        <v>127</v>
      </c>
      <c r="I6" s="255" t="s">
        <v>128</v>
      </c>
      <c r="J6" s="255" t="s">
        <v>129</v>
      </c>
    </row>
    <row r="7" spans="1:12" ht="71.25" hidden="1" customHeight="1">
      <c r="A7" s="350" t="s">
        <v>6080</v>
      </c>
      <c r="B7" s="351" t="s">
        <v>538</v>
      </c>
      <c r="C7" s="352" t="s">
        <v>6081</v>
      </c>
      <c r="D7" s="353" t="s">
        <v>4857</v>
      </c>
      <c r="E7" s="353" t="s">
        <v>4870</v>
      </c>
      <c r="F7" s="353" t="s">
        <v>325</v>
      </c>
      <c r="G7" s="353"/>
      <c r="H7" s="353"/>
      <c r="I7" s="295" t="s">
        <v>6082</v>
      </c>
      <c r="J7" s="353">
        <v>0</v>
      </c>
    </row>
    <row r="8" spans="1:12" ht="71.25" hidden="1" customHeight="1">
      <c r="A8" s="350" t="s">
        <v>6083</v>
      </c>
      <c r="B8" s="351" t="s">
        <v>538</v>
      </c>
      <c r="C8" s="352" t="s">
        <v>6084</v>
      </c>
      <c r="D8" s="353" t="s">
        <v>6085</v>
      </c>
      <c r="E8" s="353"/>
      <c r="F8" s="353" t="s">
        <v>325</v>
      </c>
      <c r="G8" s="353"/>
      <c r="H8" s="353"/>
      <c r="I8" s="295" t="s">
        <v>6086</v>
      </c>
      <c r="J8" s="353">
        <v>0</v>
      </c>
    </row>
    <row r="9" spans="1:12" ht="240" hidden="1" customHeight="1">
      <c r="A9" s="350" t="s">
        <v>6087</v>
      </c>
      <c r="B9" s="351" t="s">
        <v>500</v>
      </c>
      <c r="C9" s="352" t="s">
        <v>6088</v>
      </c>
      <c r="D9" s="353" t="s">
        <v>6089</v>
      </c>
      <c r="E9" s="353" t="s">
        <v>6090</v>
      </c>
      <c r="F9" s="353" t="s">
        <v>325</v>
      </c>
      <c r="G9" s="353"/>
      <c r="H9" s="353"/>
      <c r="I9" s="295" t="s">
        <v>6091</v>
      </c>
      <c r="J9" s="353">
        <v>0</v>
      </c>
      <c r="L9" s="1177"/>
    </row>
    <row r="10" spans="1:12" ht="237.75" hidden="1" customHeight="1">
      <c r="A10" s="350" t="s">
        <v>6092</v>
      </c>
      <c r="B10" s="351" t="s">
        <v>500</v>
      </c>
      <c r="C10" s="352" t="s">
        <v>6093</v>
      </c>
      <c r="D10" s="353" t="s">
        <v>6089</v>
      </c>
      <c r="E10" s="353" t="s">
        <v>6090</v>
      </c>
      <c r="F10" s="353" t="s">
        <v>325</v>
      </c>
      <c r="G10" s="353"/>
      <c r="H10" s="353"/>
      <c r="I10" s="295" t="s">
        <v>6094</v>
      </c>
      <c r="J10" s="353" t="s">
        <v>138</v>
      </c>
      <c r="L10" s="1177"/>
    </row>
    <row r="11" spans="1:12" ht="144.75" hidden="1" customHeight="1">
      <c r="A11" s="350" t="s">
        <v>6095</v>
      </c>
      <c r="B11" s="351" t="s">
        <v>500</v>
      </c>
      <c r="C11" s="352" t="s">
        <v>6096</v>
      </c>
      <c r="D11" s="353" t="s">
        <v>6089</v>
      </c>
      <c r="E11" s="353" t="s">
        <v>6090</v>
      </c>
      <c r="F11" s="353" t="s">
        <v>325</v>
      </c>
      <c r="G11" s="353"/>
      <c r="H11" s="353"/>
      <c r="I11" s="295" t="s">
        <v>6097</v>
      </c>
      <c r="J11" s="353">
        <v>0</v>
      </c>
      <c r="L11" s="1177"/>
    </row>
    <row r="12" spans="1:12" ht="252.75" hidden="1" customHeight="1">
      <c r="A12" s="350" t="s">
        <v>6098</v>
      </c>
      <c r="B12" s="351" t="s">
        <v>500</v>
      </c>
      <c r="C12" s="352" t="s">
        <v>6099</v>
      </c>
      <c r="D12" s="353" t="s">
        <v>6089</v>
      </c>
      <c r="E12" s="353" t="s">
        <v>6090</v>
      </c>
      <c r="F12" s="353" t="s">
        <v>325</v>
      </c>
      <c r="G12" s="353"/>
      <c r="H12" s="353"/>
      <c r="I12" s="295" t="s">
        <v>6100</v>
      </c>
      <c r="J12" s="353" t="s">
        <v>138</v>
      </c>
      <c r="L12" s="678"/>
    </row>
    <row r="13" spans="1:12" ht="174" hidden="1" customHeight="1">
      <c r="A13" s="350" t="s">
        <v>6101</v>
      </c>
      <c r="B13" s="351" t="s">
        <v>500</v>
      </c>
      <c r="C13" s="352" t="s">
        <v>4074</v>
      </c>
      <c r="D13" s="353" t="s">
        <v>6089</v>
      </c>
      <c r="E13" s="353" t="s">
        <v>6090</v>
      </c>
      <c r="F13" s="353" t="s">
        <v>325</v>
      </c>
      <c r="G13" s="353"/>
      <c r="H13" s="353"/>
      <c r="I13" s="295" t="s">
        <v>6102</v>
      </c>
      <c r="J13" s="353" t="s">
        <v>138</v>
      </c>
      <c r="L13" s="678"/>
    </row>
    <row r="14" spans="1:12" ht="174" hidden="1" customHeight="1">
      <c r="A14" s="350" t="s">
        <v>6103</v>
      </c>
      <c r="B14" s="351" t="s">
        <v>500</v>
      </c>
      <c r="C14" s="352" t="s">
        <v>6104</v>
      </c>
      <c r="D14" s="353" t="s">
        <v>6089</v>
      </c>
      <c r="E14" s="353" t="s">
        <v>6090</v>
      </c>
      <c r="F14" s="353" t="s">
        <v>325</v>
      </c>
      <c r="G14" s="353"/>
      <c r="H14" s="353"/>
      <c r="I14" s="295" t="s">
        <v>6105</v>
      </c>
      <c r="J14" s="353" t="s">
        <v>138</v>
      </c>
      <c r="L14" s="678"/>
    </row>
    <row r="15" spans="1:12" ht="174" hidden="1" customHeight="1">
      <c r="A15" s="350" t="s">
        <v>6106</v>
      </c>
      <c r="B15" s="351" t="s">
        <v>500</v>
      </c>
      <c r="C15" s="352" t="s">
        <v>6107</v>
      </c>
      <c r="D15" s="353" t="s">
        <v>6089</v>
      </c>
      <c r="E15" s="353" t="s">
        <v>6090</v>
      </c>
      <c r="F15" s="353" t="s">
        <v>325</v>
      </c>
      <c r="G15" s="353"/>
      <c r="H15" s="353"/>
      <c r="I15" s="295" t="s">
        <v>6108</v>
      </c>
      <c r="J15" s="353" t="s">
        <v>138</v>
      </c>
      <c r="L15" s="678"/>
    </row>
    <row r="16" spans="1:12" ht="174" hidden="1" customHeight="1">
      <c r="A16" s="350" t="s">
        <v>4218</v>
      </c>
      <c r="B16" s="351" t="s">
        <v>500</v>
      </c>
      <c r="C16" s="352" t="s">
        <v>6109</v>
      </c>
      <c r="D16" s="353" t="s">
        <v>6089</v>
      </c>
      <c r="E16" s="353" t="s">
        <v>6090</v>
      </c>
      <c r="F16" s="353" t="s">
        <v>325</v>
      </c>
      <c r="G16" s="353"/>
      <c r="H16" s="353"/>
      <c r="I16" s="838" t="s">
        <v>6110</v>
      </c>
      <c r="J16" s="353" t="s">
        <v>138</v>
      </c>
      <c r="L16" s="678"/>
    </row>
    <row r="17" spans="1:12" ht="222" hidden="1" customHeight="1">
      <c r="A17" s="350" t="s">
        <v>6111</v>
      </c>
      <c r="B17" s="351" t="s">
        <v>500</v>
      </c>
      <c r="C17" s="352" t="s">
        <v>6112</v>
      </c>
      <c r="D17" s="353" t="s">
        <v>6089</v>
      </c>
      <c r="E17" s="353" t="s">
        <v>6090</v>
      </c>
      <c r="F17" s="353" t="s">
        <v>325</v>
      </c>
      <c r="G17" s="353"/>
      <c r="H17" s="353"/>
      <c r="I17" s="838" t="s">
        <v>6113</v>
      </c>
      <c r="J17" s="353" t="s">
        <v>138</v>
      </c>
      <c r="L17" s="678"/>
    </row>
    <row r="18" spans="1:12" ht="274.5" hidden="1" customHeight="1">
      <c r="A18" s="350" t="s">
        <v>6114</v>
      </c>
      <c r="B18" s="351" t="s">
        <v>500</v>
      </c>
      <c r="C18" s="352" t="s">
        <v>6115</v>
      </c>
      <c r="D18" s="353" t="s">
        <v>6089</v>
      </c>
      <c r="E18" s="353" t="s">
        <v>6090</v>
      </c>
      <c r="F18" s="353" t="s">
        <v>325</v>
      </c>
      <c r="G18" s="353"/>
      <c r="H18" s="353"/>
      <c r="I18" s="838" t="s">
        <v>6116</v>
      </c>
      <c r="J18" s="353">
        <v>0</v>
      </c>
      <c r="L18" s="678"/>
    </row>
    <row r="19" spans="1:12" ht="174" hidden="1" customHeight="1">
      <c r="A19" s="741" t="s">
        <v>6117</v>
      </c>
      <c r="B19" s="351" t="s">
        <v>500</v>
      </c>
      <c r="C19" s="352" t="s">
        <v>6118</v>
      </c>
      <c r="D19" s="353" t="s">
        <v>6089</v>
      </c>
      <c r="E19" s="353" t="s">
        <v>6090</v>
      </c>
      <c r="F19" s="353" t="s">
        <v>325</v>
      </c>
      <c r="G19" s="353"/>
      <c r="H19" s="353"/>
      <c r="I19" s="838" t="s">
        <v>6119</v>
      </c>
      <c r="J19" s="742">
        <v>2</v>
      </c>
      <c r="L19" s="678"/>
    </row>
    <row r="20" spans="1:12" ht="174" hidden="1" customHeight="1">
      <c r="A20" s="741" t="s">
        <v>6120</v>
      </c>
      <c r="B20" s="351" t="s">
        <v>500</v>
      </c>
      <c r="C20" s="352" t="s">
        <v>6121</v>
      </c>
      <c r="D20" s="353" t="s">
        <v>6089</v>
      </c>
      <c r="E20" s="353" t="s">
        <v>6090</v>
      </c>
      <c r="F20" s="353" t="s">
        <v>325</v>
      </c>
      <c r="G20" s="353"/>
      <c r="H20" s="353"/>
      <c r="I20" s="838" t="s">
        <v>6122</v>
      </c>
      <c r="J20" s="742">
        <v>2</v>
      </c>
      <c r="L20" s="678"/>
    </row>
    <row r="21" spans="1:12" ht="214.5" hidden="1" customHeight="1">
      <c r="A21" s="350" t="s">
        <v>6123</v>
      </c>
      <c r="B21" s="351" t="s">
        <v>5424</v>
      </c>
      <c r="C21" s="352" t="s">
        <v>6124</v>
      </c>
      <c r="D21" s="353" t="s">
        <v>6089</v>
      </c>
      <c r="E21" s="353" t="s">
        <v>6090</v>
      </c>
      <c r="F21" s="353" t="s">
        <v>325</v>
      </c>
      <c r="G21" s="353"/>
      <c r="H21" s="353"/>
      <c r="I21" s="838" t="s">
        <v>6125</v>
      </c>
      <c r="J21" s="353" t="s">
        <v>138</v>
      </c>
      <c r="L21" s="678"/>
    </row>
    <row r="22" spans="1:12" ht="209.25" hidden="1" customHeight="1">
      <c r="A22" s="350" t="s">
        <v>6126</v>
      </c>
      <c r="B22" s="351" t="s">
        <v>6127</v>
      </c>
      <c r="C22" s="352" t="s">
        <v>6128</v>
      </c>
      <c r="D22" s="353" t="s">
        <v>6089</v>
      </c>
      <c r="E22" s="353" t="s">
        <v>6090</v>
      </c>
      <c r="F22" s="353" t="s">
        <v>325</v>
      </c>
      <c r="G22" s="353"/>
      <c r="H22" s="353"/>
      <c r="I22" s="838" t="s">
        <v>6129</v>
      </c>
      <c r="J22" s="353" t="s">
        <v>138</v>
      </c>
      <c r="L22" s="678"/>
    </row>
    <row r="23" spans="1:12" ht="209.25" hidden="1" customHeight="1">
      <c r="A23" s="741" t="s">
        <v>6130</v>
      </c>
      <c r="B23" s="351" t="s">
        <v>500</v>
      </c>
      <c r="C23" s="352" t="s">
        <v>6131</v>
      </c>
      <c r="D23" s="353" t="s">
        <v>6089</v>
      </c>
      <c r="E23" s="353" t="s">
        <v>6090</v>
      </c>
      <c r="F23" s="353" t="s">
        <v>325</v>
      </c>
      <c r="G23" s="353"/>
      <c r="H23" s="353"/>
      <c r="I23" s="839" t="s">
        <v>6132</v>
      </c>
      <c r="J23" s="742">
        <v>2</v>
      </c>
      <c r="L23" s="678"/>
    </row>
    <row r="24" spans="1:12" ht="209.25" hidden="1" customHeight="1">
      <c r="A24" s="741" t="s">
        <v>6133</v>
      </c>
      <c r="B24" s="351" t="s">
        <v>500</v>
      </c>
      <c r="C24" s="352" t="s">
        <v>6134</v>
      </c>
      <c r="D24" s="353" t="s">
        <v>6089</v>
      </c>
      <c r="E24" s="353" t="s">
        <v>6090</v>
      </c>
      <c r="F24" s="353" t="s">
        <v>325</v>
      </c>
      <c r="G24" s="353"/>
      <c r="H24" s="353"/>
      <c r="I24" s="839" t="s">
        <v>6135</v>
      </c>
      <c r="J24" s="742">
        <v>2</v>
      </c>
      <c r="L24" s="678"/>
    </row>
    <row r="25" spans="1:12" ht="114" hidden="1">
      <c r="A25" s="742" t="s">
        <v>6136</v>
      </c>
      <c r="B25" s="351" t="s">
        <v>566</v>
      </c>
      <c r="C25" s="352" t="s">
        <v>6137</v>
      </c>
      <c r="D25" s="353" t="s">
        <v>6089</v>
      </c>
      <c r="E25" s="353" t="s">
        <v>6090</v>
      </c>
      <c r="F25" s="353" t="s">
        <v>325</v>
      </c>
      <c r="G25" s="353"/>
      <c r="H25" s="353"/>
      <c r="I25" s="839" t="s">
        <v>6138</v>
      </c>
      <c r="J25" s="742">
        <v>2</v>
      </c>
      <c r="L25" s="678"/>
    </row>
    <row r="26" spans="1:12" ht="85.5" hidden="1">
      <c r="A26" s="742" t="s">
        <v>6139</v>
      </c>
      <c r="B26" s="351" t="s">
        <v>566</v>
      </c>
      <c r="C26" s="352" t="s">
        <v>6140</v>
      </c>
      <c r="D26" s="353" t="s">
        <v>6089</v>
      </c>
      <c r="E26" s="353" t="s">
        <v>6090</v>
      </c>
      <c r="F26" s="353" t="s">
        <v>325</v>
      </c>
      <c r="G26" s="353"/>
      <c r="H26" s="353"/>
      <c r="I26" s="838" t="s">
        <v>6141</v>
      </c>
      <c r="J26" s="742">
        <v>2</v>
      </c>
      <c r="L26" s="678"/>
    </row>
    <row r="27" spans="1:12" ht="128.25" hidden="1">
      <c r="A27" s="741" t="s">
        <v>6142</v>
      </c>
      <c r="B27" s="531" t="s">
        <v>566</v>
      </c>
      <c r="C27" s="352" t="s">
        <v>6143</v>
      </c>
      <c r="D27" s="353" t="s">
        <v>6089</v>
      </c>
      <c r="E27" s="353" t="s">
        <v>6090</v>
      </c>
      <c r="F27" s="353" t="s">
        <v>325</v>
      </c>
      <c r="G27" s="353"/>
      <c r="H27" s="353"/>
      <c r="I27" s="839" t="s">
        <v>6144</v>
      </c>
      <c r="J27" s="742">
        <v>2</v>
      </c>
      <c r="L27" s="678"/>
    </row>
    <row r="28" spans="1:12" ht="85.5" hidden="1">
      <c r="A28" s="742" t="s">
        <v>6145</v>
      </c>
      <c r="B28" s="531" t="s">
        <v>566</v>
      </c>
      <c r="C28" s="352" t="s">
        <v>6146</v>
      </c>
      <c r="D28" s="353" t="s">
        <v>6089</v>
      </c>
      <c r="E28" s="353" t="s">
        <v>6090</v>
      </c>
      <c r="F28" s="353" t="s">
        <v>325</v>
      </c>
      <c r="G28" s="353"/>
      <c r="H28" s="353"/>
      <c r="I28" s="838" t="s">
        <v>6147</v>
      </c>
      <c r="J28" s="742">
        <v>2</v>
      </c>
      <c r="L28" s="678"/>
    </row>
    <row r="29" spans="1:12" ht="128.25" hidden="1">
      <c r="A29" s="350" t="s">
        <v>6148</v>
      </c>
      <c r="B29" s="531" t="s">
        <v>566</v>
      </c>
      <c r="C29" s="352" t="s">
        <v>6149</v>
      </c>
      <c r="D29" s="353" t="s">
        <v>6089</v>
      </c>
      <c r="E29" s="353" t="s">
        <v>6090</v>
      </c>
      <c r="F29" s="353" t="s">
        <v>325</v>
      </c>
      <c r="G29" s="353"/>
      <c r="H29" s="353"/>
      <c r="I29" s="838" t="s">
        <v>6150</v>
      </c>
      <c r="J29" s="353" t="s">
        <v>138</v>
      </c>
      <c r="L29" s="678"/>
    </row>
    <row r="30" spans="1:12" ht="128.25" hidden="1">
      <c r="A30" s="741" t="s">
        <v>6151</v>
      </c>
      <c r="B30" s="531" t="s">
        <v>596</v>
      </c>
      <c r="C30" s="352" t="s">
        <v>6152</v>
      </c>
      <c r="D30" s="353" t="s">
        <v>6089</v>
      </c>
      <c r="E30" s="353" t="s">
        <v>6090</v>
      </c>
      <c r="F30" s="353" t="s">
        <v>325</v>
      </c>
      <c r="G30" s="353"/>
      <c r="H30" s="353"/>
      <c r="I30" s="839" t="s">
        <v>6153</v>
      </c>
      <c r="J30" s="742">
        <v>2</v>
      </c>
      <c r="L30" s="678"/>
    </row>
    <row r="31" spans="1:12" ht="85.5" hidden="1">
      <c r="A31" s="742" t="s">
        <v>6154</v>
      </c>
      <c r="B31" s="531" t="s">
        <v>596</v>
      </c>
      <c r="C31" s="352" t="s">
        <v>6155</v>
      </c>
      <c r="D31" s="353" t="s">
        <v>6089</v>
      </c>
      <c r="E31" s="353" t="s">
        <v>6090</v>
      </c>
      <c r="F31" s="353" t="s">
        <v>325</v>
      </c>
      <c r="G31" s="353"/>
      <c r="H31" s="353"/>
      <c r="I31" s="838" t="s">
        <v>6156</v>
      </c>
      <c r="J31" s="742">
        <v>2</v>
      </c>
      <c r="L31" s="678"/>
    </row>
    <row r="32" spans="1:12" ht="128.25" hidden="1">
      <c r="A32" s="350" t="s">
        <v>6157</v>
      </c>
      <c r="B32" s="531" t="s">
        <v>596</v>
      </c>
      <c r="C32" s="352" t="s">
        <v>6158</v>
      </c>
      <c r="D32" s="353" t="s">
        <v>6089</v>
      </c>
      <c r="E32" s="353" t="s">
        <v>6090</v>
      </c>
      <c r="F32" s="353" t="s">
        <v>325</v>
      </c>
      <c r="G32" s="353"/>
      <c r="H32" s="353"/>
      <c r="I32" s="838" t="s">
        <v>6159</v>
      </c>
      <c r="J32" s="353" t="s">
        <v>138</v>
      </c>
      <c r="L32" s="678"/>
    </row>
    <row r="33" spans="1:12" ht="128.25" hidden="1">
      <c r="A33" s="742" t="s">
        <v>6160</v>
      </c>
      <c r="B33" s="531" t="s">
        <v>596</v>
      </c>
      <c r="C33" s="352" t="s">
        <v>6161</v>
      </c>
      <c r="D33" s="353" t="s">
        <v>6089</v>
      </c>
      <c r="E33" s="353" t="s">
        <v>6090</v>
      </c>
      <c r="F33" s="353" t="s">
        <v>325</v>
      </c>
      <c r="G33" s="353"/>
      <c r="H33" s="353"/>
      <c r="I33" s="838" t="s">
        <v>6162</v>
      </c>
      <c r="J33" s="742">
        <v>2</v>
      </c>
      <c r="L33" s="678"/>
    </row>
    <row r="34" spans="1:12" ht="85.5" hidden="1">
      <c r="A34" s="742" t="s">
        <v>6163</v>
      </c>
      <c r="B34" s="531" t="s">
        <v>596</v>
      </c>
      <c r="C34" s="352" t="s">
        <v>6164</v>
      </c>
      <c r="D34" s="353" t="s">
        <v>6089</v>
      </c>
      <c r="E34" s="353" t="s">
        <v>6090</v>
      </c>
      <c r="F34" s="353" t="s">
        <v>325</v>
      </c>
      <c r="G34" s="353"/>
      <c r="H34" s="353"/>
      <c r="I34" s="838" t="s">
        <v>6165</v>
      </c>
      <c r="J34" s="742">
        <v>2</v>
      </c>
      <c r="L34" s="678"/>
    </row>
    <row r="35" spans="1:12" ht="122.25" hidden="1" customHeight="1">
      <c r="A35" s="350" t="s">
        <v>6166</v>
      </c>
      <c r="B35" s="351" t="s">
        <v>584</v>
      </c>
      <c r="C35" s="352" t="s">
        <v>6167</v>
      </c>
      <c r="D35" s="353" t="s">
        <v>6089</v>
      </c>
      <c r="E35" s="353" t="s">
        <v>6090</v>
      </c>
      <c r="F35" s="353" t="s">
        <v>325</v>
      </c>
      <c r="G35" s="353"/>
      <c r="H35" s="353"/>
      <c r="I35" s="838" t="s">
        <v>6168</v>
      </c>
      <c r="J35" s="353" t="s">
        <v>138</v>
      </c>
      <c r="L35" s="678"/>
    </row>
    <row r="36" spans="1:12" ht="138.75" hidden="1" customHeight="1">
      <c r="A36" s="350" t="s">
        <v>6169</v>
      </c>
      <c r="B36" s="351" t="s">
        <v>613</v>
      </c>
      <c r="C36" s="352" t="s">
        <v>6170</v>
      </c>
      <c r="D36" s="353" t="s">
        <v>6089</v>
      </c>
      <c r="E36" s="353" t="s">
        <v>6090</v>
      </c>
      <c r="F36" s="353" t="s">
        <v>325</v>
      </c>
      <c r="G36" s="353"/>
      <c r="H36" s="353"/>
      <c r="I36" s="838" t="s">
        <v>6171</v>
      </c>
      <c r="J36" s="353" t="s">
        <v>138</v>
      </c>
      <c r="L36" s="678"/>
    </row>
    <row r="37" spans="1:12" ht="96.75" hidden="1" customHeight="1">
      <c r="A37" s="350" t="s">
        <v>6172</v>
      </c>
      <c r="B37" s="351" t="s">
        <v>566</v>
      </c>
      <c r="C37" s="352" t="s">
        <v>6173</v>
      </c>
      <c r="D37" s="353" t="s">
        <v>6089</v>
      </c>
      <c r="E37" s="353" t="s">
        <v>6090</v>
      </c>
      <c r="F37" s="353" t="s">
        <v>325</v>
      </c>
      <c r="G37" s="353"/>
      <c r="H37" s="353"/>
      <c r="I37" s="295" t="s">
        <v>6174</v>
      </c>
      <c r="J37" s="353" t="s">
        <v>138</v>
      </c>
      <c r="L37" s="679"/>
    </row>
    <row r="38" spans="1:12" ht="96.75" hidden="1" customHeight="1">
      <c r="A38" s="350" t="s">
        <v>6175</v>
      </c>
      <c r="B38" s="351" t="s">
        <v>566</v>
      </c>
      <c r="C38" s="352" t="s">
        <v>6176</v>
      </c>
      <c r="D38" s="353" t="s">
        <v>6089</v>
      </c>
      <c r="E38" s="353" t="s">
        <v>6090</v>
      </c>
      <c r="F38" s="353" t="s">
        <v>325</v>
      </c>
      <c r="G38" s="353"/>
      <c r="H38" s="353"/>
      <c r="I38" s="295" t="s">
        <v>6177</v>
      </c>
      <c r="J38" s="353" t="s">
        <v>138</v>
      </c>
      <c r="L38" s="679"/>
    </row>
    <row r="39" spans="1:12" ht="96.75" hidden="1" customHeight="1">
      <c r="A39" s="350" t="s">
        <v>6178</v>
      </c>
      <c r="B39" s="351" t="s">
        <v>596</v>
      </c>
      <c r="C39" s="352" t="s">
        <v>6179</v>
      </c>
      <c r="D39" s="353" t="s">
        <v>6089</v>
      </c>
      <c r="E39" s="353" t="s">
        <v>6090</v>
      </c>
      <c r="F39" s="353" t="s">
        <v>325</v>
      </c>
      <c r="G39" s="353"/>
      <c r="H39" s="353"/>
      <c r="I39" s="295" t="s">
        <v>6180</v>
      </c>
      <c r="J39" s="353" t="s">
        <v>138</v>
      </c>
      <c r="L39" s="679"/>
    </row>
    <row r="40" spans="1:12" ht="96.75" hidden="1" customHeight="1">
      <c r="A40" s="350" t="s">
        <v>6181</v>
      </c>
      <c r="B40" s="351" t="s">
        <v>596</v>
      </c>
      <c r="C40" s="352" t="s">
        <v>6182</v>
      </c>
      <c r="D40" s="353" t="s">
        <v>6089</v>
      </c>
      <c r="E40" s="353" t="s">
        <v>6090</v>
      </c>
      <c r="F40" s="353" t="s">
        <v>325</v>
      </c>
      <c r="G40" s="353"/>
      <c r="H40" s="353"/>
      <c r="I40" s="295" t="s">
        <v>6183</v>
      </c>
      <c r="J40" s="353" t="s">
        <v>138</v>
      </c>
      <c r="L40" s="679"/>
    </row>
    <row r="41" spans="1:12" s="141" customFormat="1" ht="99.75">
      <c r="A41" s="350" t="s">
        <v>6184</v>
      </c>
      <c r="B41" s="351" t="s">
        <v>331</v>
      </c>
      <c r="C41" s="352" t="s">
        <v>6185</v>
      </c>
      <c r="D41" s="353" t="s">
        <v>6089</v>
      </c>
      <c r="E41" s="353" t="s">
        <v>6090</v>
      </c>
      <c r="F41" s="353" t="s">
        <v>325</v>
      </c>
      <c r="G41" s="353"/>
      <c r="H41" s="353"/>
      <c r="I41" s="295" t="s">
        <v>6186</v>
      </c>
      <c r="J41" s="353" t="s">
        <v>184</v>
      </c>
      <c r="L41" s="677"/>
    </row>
    <row r="42" spans="1:12" s="141" customFormat="1" ht="99.75">
      <c r="A42" s="350" t="s">
        <v>6187</v>
      </c>
      <c r="B42" s="351" t="s">
        <v>331</v>
      </c>
      <c r="C42" s="352" t="s">
        <v>6188</v>
      </c>
      <c r="D42" s="353" t="s">
        <v>6089</v>
      </c>
      <c r="E42" s="353" t="s">
        <v>6090</v>
      </c>
      <c r="F42" s="353" t="s">
        <v>325</v>
      </c>
      <c r="G42" s="353"/>
      <c r="H42" s="353"/>
      <c r="I42" s="295" t="s">
        <v>6189</v>
      </c>
      <c r="J42" s="353" t="s">
        <v>184</v>
      </c>
      <c r="L42" s="677"/>
    </row>
    <row r="43" spans="1:12" s="141" customFormat="1" ht="99.75">
      <c r="A43" s="350" t="s">
        <v>6190</v>
      </c>
      <c r="B43" s="351" t="s">
        <v>331</v>
      </c>
      <c r="C43" s="352" t="s">
        <v>6191</v>
      </c>
      <c r="D43" s="353" t="s">
        <v>6089</v>
      </c>
      <c r="E43" s="353" t="s">
        <v>6090</v>
      </c>
      <c r="F43" s="353" t="s">
        <v>325</v>
      </c>
      <c r="G43" s="353"/>
      <c r="H43" s="353"/>
      <c r="I43" s="295" t="s">
        <v>6192</v>
      </c>
      <c r="J43" s="353" t="s">
        <v>184</v>
      </c>
      <c r="L43" s="677"/>
    </row>
    <row r="44" spans="1:12" s="141" customFormat="1" ht="99.75">
      <c r="A44" s="350" t="s">
        <v>6193</v>
      </c>
      <c r="B44" s="351" t="s">
        <v>331</v>
      </c>
      <c r="C44" s="352" t="s">
        <v>6194</v>
      </c>
      <c r="D44" s="353" t="s">
        <v>6089</v>
      </c>
      <c r="E44" s="353" t="s">
        <v>6090</v>
      </c>
      <c r="F44" s="353" t="s">
        <v>325</v>
      </c>
      <c r="G44" s="353"/>
      <c r="H44" s="353"/>
      <c r="I44" s="295" t="s">
        <v>6195</v>
      </c>
      <c r="J44" s="353" t="s">
        <v>184</v>
      </c>
      <c r="L44" s="677"/>
    </row>
    <row r="45" spans="1:12" s="141" customFormat="1" ht="82.5" hidden="1" customHeight="1">
      <c r="A45" s="741" t="s">
        <v>6196</v>
      </c>
      <c r="B45" s="351" t="s">
        <v>596</v>
      </c>
      <c r="C45" s="352" t="s">
        <v>6197</v>
      </c>
      <c r="D45" s="353" t="s">
        <v>6078</v>
      </c>
      <c r="E45" s="353" t="s">
        <v>2088</v>
      </c>
      <c r="F45" s="353" t="s">
        <v>325</v>
      </c>
      <c r="G45" s="353">
        <v>5</v>
      </c>
      <c r="H45" s="353" t="s">
        <v>6198</v>
      </c>
      <c r="I45" s="295" t="s">
        <v>6199</v>
      </c>
      <c r="J45" s="742">
        <v>2</v>
      </c>
      <c r="L45" s="677"/>
    </row>
    <row r="46" spans="1:12" s="141" customFormat="1" ht="28.5" customHeight="1">
      <c r="A46" s="144"/>
      <c r="B46" s="1029"/>
      <c r="C46" s="1030"/>
      <c r="D46" s="147"/>
      <c r="E46" s="147"/>
      <c r="F46" s="147"/>
      <c r="G46" s="147"/>
      <c r="H46" s="147"/>
      <c r="I46" s="244"/>
      <c r="J46" s="147"/>
      <c r="L46" s="677"/>
    </row>
    <row r="47" spans="1:12" ht="14.25">
      <c r="A47" s="1031">
        <f>COUNTA(A7:A45)</f>
        <v>39</v>
      </c>
    </row>
    <row r="50" spans="1:1" ht="15">
      <c r="A50" s="254"/>
    </row>
  </sheetData>
  <autoFilter ref="A6:J45" xr:uid="{98E0BBCE-DEBB-4134-AA3E-8752040549A3}">
    <filterColumn colId="0">
      <filters>
        <filter val="F17BW401_C1"/>
        <filter val="F17BW402_C1"/>
        <filter val="F17BW403_C1"/>
        <filter val="F17BW404_C1"/>
      </filters>
    </filterColumn>
  </autoFilter>
  <mergeCells count="3">
    <mergeCell ref="D2:F2"/>
    <mergeCell ref="A4:J5"/>
    <mergeCell ref="L9:L11"/>
  </mergeCells>
  <phoneticPr fontId="15" type="noConversion"/>
  <conditionalFormatting sqref="C7:C46">
    <cfRule type="expression" dxfId="10" priority="3">
      <formula>LEN(C7)&gt;52</formula>
    </cfRule>
  </conditionalFormatting>
  <pageMargins left="0.70866141732283472" right="0.70866141732283472" top="0.74803149606299213" bottom="0.74803149606299213" header="0.31496062992125984" footer="0.31496062992125984"/>
  <pageSetup paperSize="8" scale="63"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1396-24EB-41B5-870B-03C822C68F95}">
  <sheetPr codeName="Sheet25">
    <tabColor rgb="FF0000FF"/>
    <pageSetUpPr fitToPage="1"/>
  </sheetPr>
  <dimension ref="A1:O654"/>
  <sheetViews>
    <sheetView view="pageBreakPreview" topLeftCell="A249" zoomScale="85" zoomScaleNormal="55" zoomScaleSheetLayoutView="85" workbookViewId="0">
      <selection activeCell="H255" sqref="H255"/>
    </sheetView>
  </sheetViews>
  <sheetFormatPr defaultColWidth="9.33203125" defaultRowHeight="11.25"/>
  <cols>
    <col min="1" max="1" width="26.33203125" style="238" customWidth="1"/>
    <col min="2" max="2" width="41.33203125" style="238" bestFit="1" customWidth="1"/>
    <col min="3" max="3" width="63.6640625" style="238" bestFit="1" customWidth="1"/>
    <col min="4" max="4" width="14.1640625" style="238" customWidth="1"/>
    <col min="5" max="5" width="12.6640625" style="238" customWidth="1"/>
    <col min="6" max="6" width="17.33203125" style="238" bestFit="1" customWidth="1"/>
    <col min="7" max="7" width="10" style="238" customWidth="1"/>
    <col min="8" max="8" width="15" style="238" customWidth="1"/>
    <col min="9" max="9" width="44.33203125" style="238" customWidth="1"/>
    <col min="10" max="10" width="65.5" style="238" customWidth="1"/>
    <col min="11" max="11" width="31" style="238" customWidth="1"/>
    <col min="12" max="12" width="26.1640625" style="238" customWidth="1"/>
    <col min="13" max="13" width="72.6640625" style="238" customWidth="1"/>
    <col min="14" max="14" width="8.6640625" style="238" customWidth="1"/>
    <col min="15" max="16384" width="9.33203125" style="238"/>
  </cols>
  <sheetData>
    <row r="1" spans="1:15" ht="18">
      <c r="A1" s="175" t="s">
        <v>1</v>
      </c>
      <c r="B1" s="174"/>
      <c r="C1" s="175"/>
      <c r="D1" s="107"/>
      <c r="E1" s="107"/>
      <c r="F1" s="107"/>
      <c r="G1" s="107"/>
      <c r="H1" s="107"/>
      <c r="I1" s="107"/>
      <c r="J1" s="107"/>
      <c r="K1" s="107"/>
      <c r="L1" s="107"/>
      <c r="M1" s="107"/>
      <c r="N1" s="1032"/>
    </row>
    <row r="2" spans="1:15" ht="18">
      <c r="A2" s="175" t="s">
        <v>0</v>
      </c>
      <c r="B2" s="174"/>
      <c r="C2" s="1033"/>
      <c r="D2" s="1035"/>
      <c r="E2" s="1035"/>
      <c r="F2" s="1035"/>
      <c r="G2" s="1035"/>
      <c r="H2" s="1035"/>
      <c r="I2" s="1035"/>
      <c r="J2" s="1035"/>
      <c r="K2" s="1035"/>
      <c r="L2" s="174"/>
      <c r="M2" s="107"/>
      <c r="N2" s="1032"/>
    </row>
    <row r="3" spans="1:15" ht="18.75" thickBot="1">
      <c r="A3" s="171" t="s">
        <v>2</v>
      </c>
      <c r="B3" s="175"/>
      <c r="C3" s="1034"/>
      <c r="D3" s="107"/>
      <c r="E3" s="107"/>
      <c r="F3" s="107"/>
      <c r="G3" s="107"/>
      <c r="H3" s="107"/>
      <c r="I3" s="107"/>
      <c r="J3" s="107"/>
      <c r="K3" s="107"/>
      <c r="L3" s="107"/>
      <c r="M3" s="107"/>
      <c r="N3" s="171"/>
    </row>
    <row r="4" spans="1:15" ht="10.5" customHeight="1">
      <c r="A4" s="1178" t="s">
        <v>6200</v>
      </c>
      <c r="B4" s="1179"/>
      <c r="C4" s="1179"/>
      <c r="D4" s="1179"/>
      <c r="E4" s="1179"/>
      <c r="F4" s="1179"/>
      <c r="G4" s="1179"/>
      <c r="H4" s="1179"/>
      <c r="I4" s="1179"/>
      <c r="J4" s="1179"/>
      <c r="K4" s="1179"/>
      <c r="L4" s="1179"/>
      <c r="M4" s="1179"/>
      <c r="N4" s="1180"/>
    </row>
    <row r="5" spans="1:15" ht="10.5" customHeight="1" thickBot="1">
      <c r="A5" s="1174"/>
      <c r="B5" s="1175"/>
      <c r="C5" s="1175"/>
      <c r="D5" s="1175"/>
      <c r="E5" s="1175"/>
      <c r="F5" s="1175"/>
      <c r="G5" s="1175"/>
      <c r="H5" s="1175"/>
      <c r="I5" s="1175"/>
      <c r="J5" s="1175"/>
      <c r="K5" s="1175"/>
      <c r="L5" s="1175"/>
      <c r="M5" s="1175"/>
      <c r="N5" s="1176"/>
    </row>
    <row r="6" spans="1:15" ht="30">
      <c r="A6" s="256" t="s">
        <v>101</v>
      </c>
      <c r="B6" s="255" t="s">
        <v>102</v>
      </c>
      <c r="C6" s="255" t="s">
        <v>104</v>
      </c>
      <c r="D6" s="255" t="s">
        <v>108</v>
      </c>
      <c r="E6" s="255" t="s">
        <v>2088</v>
      </c>
      <c r="F6" s="255" t="s">
        <v>6201</v>
      </c>
      <c r="G6" s="255" t="s">
        <v>6202</v>
      </c>
      <c r="H6" s="255" t="s">
        <v>6203</v>
      </c>
      <c r="I6" s="255" t="s">
        <v>6204</v>
      </c>
      <c r="J6" s="255" t="s">
        <v>6205</v>
      </c>
      <c r="K6" s="255" t="s">
        <v>6206</v>
      </c>
      <c r="L6" s="255" t="s">
        <v>39</v>
      </c>
      <c r="M6" s="255" t="s">
        <v>6207</v>
      </c>
      <c r="N6" s="255" t="s">
        <v>129</v>
      </c>
    </row>
    <row r="7" spans="1:15" ht="42.95" customHeight="1">
      <c r="A7" s="741" t="s">
        <v>6196</v>
      </c>
      <c r="B7" s="531" t="s">
        <v>596</v>
      </c>
      <c r="C7" s="257" t="s">
        <v>6208</v>
      </c>
      <c r="D7" s="530" t="s">
        <v>6209</v>
      </c>
      <c r="E7" s="530" t="s">
        <v>2095</v>
      </c>
      <c r="F7" s="530"/>
      <c r="G7" s="530"/>
      <c r="H7" s="742">
        <v>3</v>
      </c>
      <c r="I7" s="530" t="s">
        <v>6198</v>
      </c>
      <c r="J7" s="530" t="s">
        <v>6210</v>
      </c>
      <c r="K7" s="530" t="s">
        <v>6211</v>
      </c>
      <c r="L7" s="530" t="s">
        <v>6212</v>
      </c>
      <c r="M7" s="228" t="s">
        <v>6213</v>
      </c>
      <c r="N7" s="742">
        <v>2</v>
      </c>
    </row>
    <row r="8" spans="1:15" ht="28.5">
      <c r="A8" s="257" t="s">
        <v>131</v>
      </c>
      <c r="B8" s="531" t="s">
        <v>132</v>
      </c>
      <c r="C8" s="257" t="s">
        <v>134</v>
      </c>
      <c r="D8" s="530" t="s">
        <v>6214</v>
      </c>
      <c r="E8" s="530" t="s">
        <v>63</v>
      </c>
      <c r="F8" s="530">
        <v>200</v>
      </c>
      <c r="G8" s="530" t="s">
        <v>6215</v>
      </c>
      <c r="H8" s="530">
        <v>5</v>
      </c>
      <c r="I8" s="13" t="s">
        <v>136</v>
      </c>
      <c r="J8" s="530" t="s">
        <v>6216</v>
      </c>
      <c r="K8" s="530" t="s">
        <v>6217</v>
      </c>
      <c r="L8" s="530" t="s">
        <v>6218</v>
      </c>
      <c r="M8" s="228" t="s">
        <v>6219</v>
      </c>
      <c r="N8" s="530" t="s">
        <v>184</v>
      </c>
    </row>
    <row r="9" spans="1:15" ht="28.5">
      <c r="A9" s="257" t="s">
        <v>131</v>
      </c>
      <c r="B9" s="531" t="s">
        <v>132</v>
      </c>
      <c r="C9" s="257" t="s">
        <v>134</v>
      </c>
      <c r="D9" s="530" t="s">
        <v>6214</v>
      </c>
      <c r="E9" s="530" t="s">
        <v>66</v>
      </c>
      <c r="F9" s="530">
        <v>500</v>
      </c>
      <c r="G9" s="530" t="s">
        <v>6215</v>
      </c>
      <c r="H9" s="530">
        <v>5</v>
      </c>
      <c r="I9" s="13" t="s">
        <v>136</v>
      </c>
      <c r="J9" s="530" t="s">
        <v>6216</v>
      </c>
      <c r="K9" s="530" t="s">
        <v>6217</v>
      </c>
      <c r="L9" s="530" t="s">
        <v>6218</v>
      </c>
      <c r="M9" s="228" t="s">
        <v>6219</v>
      </c>
      <c r="N9" s="530" t="s">
        <v>184</v>
      </c>
    </row>
    <row r="10" spans="1:15" ht="28.5">
      <c r="A10" s="741" t="s">
        <v>2956</v>
      </c>
      <c r="B10" s="257" t="s">
        <v>745</v>
      </c>
      <c r="C10" s="257" t="s">
        <v>2958</v>
      </c>
      <c r="D10" s="257" t="s">
        <v>6209</v>
      </c>
      <c r="E10" s="257" t="s">
        <v>2095</v>
      </c>
      <c r="F10" s="530"/>
      <c r="G10" s="530"/>
      <c r="H10" s="530">
        <v>0</v>
      </c>
      <c r="I10" s="530"/>
      <c r="J10" s="530" t="s">
        <v>6210</v>
      </c>
      <c r="K10" s="530" t="s">
        <v>6220</v>
      </c>
      <c r="L10" s="530" t="s">
        <v>6221</v>
      </c>
      <c r="M10" s="228" t="s">
        <v>6222</v>
      </c>
      <c r="N10" s="742">
        <v>2</v>
      </c>
    </row>
    <row r="11" spans="1:15" ht="42.75">
      <c r="A11" s="741" t="s">
        <v>2952</v>
      </c>
      <c r="B11" s="257" t="s">
        <v>745</v>
      </c>
      <c r="C11" s="257" t="s">
        <v>2954</v>
      </c>
      <c r="D11" s="257" t="s">
        <v>6209</v>
      </c>
      <c r="E11" s="257" t="s">
        <v>2095</v>
      </c>
      <c r="F11" s="530"/>
      <c r="G11" s="530"/>
      <c r="H11" s="530">
        <v>0</v>
      </c>
      <c r="I11" s="530"/>
      <c r="J11" s="530" t="s">
        <v>6223</v>
      </c>
      <c r="K11" s="530" t="s">
        <v>6217</v>
      </c>
      <c r="L11" s="530" t="s">
        <v>6212</v>
      </c>
      <c r="M11" s="228" t="s">
        <v>6222</v>
      </c>
      <c r="N11" s="742">
        <v>2</v>
      </c>
    </row>
    <row r="12" spans="1:15" ht="28.5" customHeight="1">
      <c r="A12" s="741" t="s">
        <v>2936</v>
      </c>
      <c r="B12" s="257" t="s">
        <v>745</v>
      </c>
      <c r="C12" s="257" t="s">
        <v>2938</v>
      </c>
      <c r="D12" s="257" t="s">
        <v>6209</v>
      </c>
      <c r="E12" s="257" t="s">
        <v>2095</v>
      </c>
      <c r="F12" s="530"/>
      <c r="G12" s="530"/>
      <c r="H12" s="530">
        <v>0</v>
      </c>
      <c r="I12" s="530"/>
      <c r="J12" s="530" t="s">
        <v>6216</v>
      </c>
      <c r="K12" s="530" t="s">
        <v>6211</v>
      </c>
      <c r="L12" s="530" t="s">
        <v>6218</v>
      </c>
      <c r="M12" s="228" t="s">
        <v>6224</v>
      </c>
      <c r="N12" s="742">
        <v>2</v>
      </c>
    </row>
    <row r="13" spans="1:15" ht="28.5" customHeight="1">
      <c r="A13" s="741" t="s">
        <v>2125</v>
      </c>
      <c r="B13" s="257" t="s">
        <v>745</v>
      </c>
      <c r="C13" s="257" t="s">
        <v>2127</v>
      </c>
      <c r="D13" s="257" t="s">
        <v>6209</v>
      </c>
      <c r="E13" s="257" t="s">
        <v>2095</v>
      </c>
      <c r="F13" s="530"/>
      <c r="G13" s="530"/>
      <c r="H13" s="530">
        <v>0</v>
      </c>
      <c r="I13" s="530"/>
      <c r="J13" s="530" t="s">
        <v>6216</v>
      </c>
      <c r="K13" s="530" t="s">
        <v>6211</v>
      </c>
      <c r="L13" s="530" t="s">
        <v>6218</v>
      </c>
      <c r="M13" s="228" t="s">
        <v>6224</v>
      </c>
      <c r="N13" s="742">
        <v>2</v>
      </c>
    </row>
    <row r="14" spans="1:15" ht="28.5" customHeight="1">
      <c r="A14" s="741" t="s">
        <v>3077</v>
      </c>
      <c r="B14" s="257" t="s">
        <v>745</v>
      </c>
      <c r="C14" s="257" t="s">
        <v>3079</v>
      </c>
      <c r="D14" s="257" t="s">
        <v>6209</v>
      </c>
      <c r="E14" s="257" t="s">
        <v>2095</v>
      </c>
      <c r="F14" s="530"/>
      <c r="G14" s="530"/>
      <c r="H14" s="530">
        <v>0</v>
      </c>
      <c r="I14" s="530"/>
      <c r="J14" s="530" t="s">
        <v>6216</v>
      </c>
      <c r="K14" s="530" t="s">
        <v>6211</v>
      </c>
      <c r="L14" s="530" t="s">
        <v>6218</v>
      </c>
      <c r="M14" s="228" t="s">
        <v>6222</v>
      </c>
      <c r="N14" s="742">
        <v>2</v>
      </c>
    </row>
    <row r="15" spans="1:15" ht="28.5" customHeight="1">
      <c r="A15" s="741" t="s">
        <v>2940</v>
      </c>
      <c r="B15" s="257" t="s">
        <v>745</v>
      </c>
      <c r="C15" s="257" t="s">
        <v>2942</v>
      </c>
      <c r="D15" s="257" t="s">
        <v>6209</v>
      </c>
      <c r="E15" s="257" t="s">
        <v>2095</v>
      </c>
      <c r="F15" s="530"/>
      <c r="G15" s="530"/>
      <c r="H15" s="530">
        <v>0</v>
      </c>
      <c r="I15" s="530"/>
      <c r="J15" s="530" t="s">
        <v>6210</v>
      </c>
      <c r="K15" s="530" t="s">
        <v>6220</v>
      </c>
      <c r="L15" s="530" t="s">
        <v>6221</v>
      </c>
      <c r="M15" s="228" t="s">
        <v>6222</v>
      </c>
      <c r="N15" s="742">
        <v>2</v>
      </c>
      <c r="O15" s="676"/>
    </row>
    <row r="16" spans="1:15" ht="28.5" customHeight="1">
      <c r="A16" s="741" t="s">
        <v>2924</v>
      </c>
      <c r="B16" s="257" t="s">
        <v>745</v>
      </c>
      <c r="C16" s="257" t="s">
        <v>2926</v>
      </c>
      <c r="D16" s="257" t="s">
        <v>6209</v>
      </c>
      <c r="E16" s="257" t="s">
        <v>2095</v>
      </c>
      <c r="F16" s="530"/>
      <c r="G16" s="530"/>
      <c r="H16" s="530">
        <v>0</v>
      </c>
      <c r="I16" s="530"/>
      <c r="J16" s="530" t="s">
        <v>6210</v>
      </c>
      <c r="K16" s="530" t="s">
        <v>6220</v>
      </c>
      <c r="L16" s="530" t="s">
        <v>6221</v>
      </c>
      <c r="M16" s="228" t="s">
        <v>6222</v>
      </c>
      <c r="N16" s="742">
        <v>2</v>
      </c>
      <c r="O16" s="676"/>
    </row>
    <row r="17" spans="1:15" ht="42.75">
      <c r="A17" s="741" t="s">
        <v>2920</v>
      </c>
      <c r="B17" s="257" t="s">
        <v>745</v>
      </c>
      <c r="C17" s="257" t="s">
        <v>2922</v>
      </c>
      <c r="D17" s="257" t="s">
        <v>6209</v>
      </c>
      <c r="E17" s="257" t="s">
        <v>2095</v>
      </c>
      <c r="F17" s="530"/>
      <c r="G17" s="530"/>
      <c r="H17" s="530">
        <v>0</v>
      </c>
      <c r="I17" s="530"/>
      <c r="J17" s="530" t="s">
        <v>6223</v>
      </c>
      <c r="K17" s="530" t="s">
        <v>6217</v>
      </c>
      <c r="L17" s="530" t="s">
        <v>6212</v>
      </c>
      <c r="M17" s="228" t="s">
        <v>6222</v>
      </c>
      <c r="N17" s="742">
        <v>2</v>
      </c>
      <c r="O17" s="676"/>
    </row>
    <row r="18" spans="1:15" ht="28.5" customHeight="1">
      <c r="A18" s="741" t="s">
        <v>2912</v>
      </c>
      <c r="B18" s="257" t="s">
        <v>745</v>
      </c>
      <c r="C18" s="257" t="s">
        <v>2914</v>
      </c>
      <c r="D18" s="257" t="s">
        <v>6209</v>
      </c>
      <c r="E18" s="257" t="s">
        <v>2095</v>
      </c>
      <c r="F18" s="530"/>
      <c r="G18" s="530"/>
      <c r="H18" s="530">
        <v>0</v>
      </c>
      <c r="I18" s="530"/>
      <c r="J18" s="530" t="s">
        <v>6216</v>
      </c>
      <c r="K18" s="530" t="s">
        <v>6211</v>
      </c>
      <c r="L18" s="530" t="s">
        <v>6218</v>
      </c>
      <c r="M18" s="228" t="s">
        <v>6224</v>
      </c>
      <c r="N18" s="742">
        <v>2</v>
      </c>
      <c r="O18" s="676"/>
    </row>
    <row r="19" spans="1:15" ht="28.5" customHeight="1">
      <c r="A19" s="741" t="s">
        <v>2904</v>
      </c>
      <c r="B19" s="257" t="s">
        <v>745</v>
      </c>
      <c r="C19" s="257" t="s">
        <v>2906</v>
      </c>
      <c r="D19" s="257" t="s">
        <v>6209</v>
      </c>
      <c r="E19" s="257" t="s">
        <v>2095</v>
      </c>
      <c r="F19" s="530"/>
      <c r="G19" s="530"/>
      <c r="H19" s="530">
        <v>0</v>
      </c>
      <c r="I19" s="530"/>
      <c r="J19" s="530" t="s">
        <v>6210</v>
      </c>
      <c r="K19" s="530" t="s">
        <v>6220</v>
      </c>
      <c r="L19" s="530" t="s">
        <v>6221</v>
      </c>
      <c r="M19" s="228" t="s">
        <v>6222</v>
      </c>
      <c r="N19" s="742">
        <v>2</v>
      </c>
      <c r="O19" s="676"/>
    </row>
    <row r="20" spans="1:15" ht="28.5" customHeight="1">
      <c r="A20" s="741" t="s">
        <v>2892</v>
      </c>
      <c r="B20" s="257" t="s">
        <v>745</v>
      </c>
      <c r="C20" s="257" t="s">
        <v>2894</v>
      </c>
      <c r="D20" s="257" t="s">
        <v>6209</v>
      </c>
      <c r="E20" s="257" t="s">
        <v>2095</v>
      </c>
      <c r="F20" s="530"/>
      <c r="G20" s="530"/>
      <c r="H20" s="530">
        <v>0</v>
      </c>
      <c r="I20" s="530"/>
      <c r="J20" s="530" t="s">
        <v>6210</v>
      </c>
      <c r="K20" s="530" t="s">
        <v>6220</v>
      </c>
      <c r="L20" s="530" t="s">
        <v>6221</v>
      </c>
      <c r="M20" s="228" t="s">
        <v>6222</v>
      </c>
      <c r="N20" s="742">
        <v>2</v>
      </c>
      <c r="O20" s="676"/>
    </row>
    <row r="21" spans="1:15" ht="28.5" customHeight="1">
      <c r="A21" s="741" t="s">
        <v>2888</v>
      </c>
      <c r="B21" s="257" t="s">
        <v>745</v>
      </c>
      <c r="C21" s="257" t="s">
        <v>2890</v>
      </c>
      <c r="D21" s="257" t="s">
        <v>6209</v>
      </c>
      <c r="E21" s="257" t="s">
        <v>2095</v>
      </c>
      <c r="F21" s="530"/>
      <c r="G21" s="530"/>
      <c r="H21" s="530">
        <v>0</v>
      </c>
      <c r="I21" s="530"/>
      <c r="J21" s="530" t="s">
        <v>6223</v>
      </c>
      <c r="K21" s="530" t="s">
        <v>6217</v>
      </c>
      <c r="L21" s="530" t="s">
        <v>6212</v>
      </c>
      <c r="M21" s="228" t="s">
        <v>6222</v>
      </c>
      <c r="N21" s="742">
        <v>2</v>
      </c>
      <c r="O21" s="676"/>
    </row>
    <row r="22" spans="1:15" ht="28.5" customHeight="1">
      <c r="A22" s="741" t="s">
        <v>2880</v>
      </c>
      <c r="B22" s="257" t="s">
        <v>745</v>
      </c>
      <c r="C22" s="257" t="s">
        <v>2882</v>
      </c>
      <c r="D22" s="257" t="s">
        <v>6209</v>
      </c>
      <c r="E22" s="257" t="s">
        <v>2095</v>
      </c>
      <c r="F22" s="530"/>
      <c r="G22" s="530"/>
      <c r="H22" s="530">
        <v>0</v>
      </c>
      <c r="I22" s="530"/>
      <c r="J22" s="530" t="s">
        <v>6216</v>
      </c>
      <c r="K22" s="530" t="s">
        <v>6211</v>
      </c>
      <c r="L22" s="530" t="s">
        <v>6218</v>
      </c>
      <c r="M22" s="228" t="s">
        <v>6224</v>
      </c>
      <c r="N22" s="742">
        <v>2</v>
      </c>
      <c r="O22" s="676"/>
    </row>
    <row r="23" spans="1:15" ht="28.5" customHeight="1">
      <c r="A23" s="741" t="s">
        <v>2872</v>
      </c>
      <c r="B23" s="257" t="s">
        <v>745</v>
      </c>
      <c r="C23" s="257" t="s">
        <v>2874</v>
      </c>
      <c r="D23" s="257" t="s">
        <v>6209</v>
      </c>
      <c r="E23" s="257" t="s">
        <v>2095</v>
      </c>
      <c r="F23" s="530"/>
      <c r="G23" s="530"/>
      <c r="H23" s="530">
        <v>0</v>
      </c>
      <c r="I23" s="530"/>
      <c r="J23" s="530" t="s">
        <v>6210</v>
      </c>
      <c r="K23" s="530" t="s">
        <v>6220</v>
      </c>
      <c r="L23" s="530" t="s">
        <v>6221</v>
      </c>
      <c r="M23" s="228" t="s">
        <v>6222</v>
      </c>
      <c r="N23" s="742">
        <v>2</v>
      </c>
      <c r="O23" s="676"/>
    </row>
    <row r="24" spans="1:15" ht="28.5">
      <c r="A24" s="257" t="s">
        <v>4577</v>
      </c>
      <c r="B24" s="257" t="s">
        <v>132</v>
      </c>
      <c r="C24" s="257" t="s">
        <v>4739</v>
      </c>
      <c r="D24" s="257" t="s">
        <v>6214</v>
      </c>
      <c r="E24" s="257" t="s">
        <v>63</v>
      </c>
      <c r="F24" s="738">
        <v>40</v>
      </c>
      <c r="G24" s="530" t="s">
        <v>6225</v>
      </c>
      <c r="H24" s="530">
        <v>5</v>
      </c>
      <c r="I24" s="530"/>
      <c r="J24" s="530" t="s">
        <v>6216</v>
      </c>
      <c r="K24" s="530" t="s">
        <v>6220</v>
      </c>
      <c r="L24" s="530" t="s">
        <v>6212</v>
      </c>
      <c r="M24" s="228" t="s">
        <v>6226</v>
      </c>
      <c r="N24" s="530">
        <v>0</v>
      </c>
      <c r="O24" s="676"/>
    </row>
    <row r="25" spans="1:15" ht="28.5">
      <c r="A25" s="257" t="s">
        <v>4577</v>
      </c>
      <c r="B25" s="257" t="s">
        <v>132</v>
      </c>
      <c r="C25" s="257" t="s">
        <v>4739</v>
      </c>
      <c r="D25" s="257" t="s">
        <v>6214</v>
      </c>
      <c r="E25" s="257" t="s">
        <v>66</v>
      </c>
      <c r="F25" s="738">
        <v>103</v>
      </c>
      <c r="G25" s="530" t="s">
        <v>6225</v>
      </c>
      <c r="H25" s="530">
        <v>5</v>
      </c>
      <c r="I25" s="530"/>
      <c r="J25" s="530" t="s">
        <v>6216</v>
      </c>
      <c r="K25" s="530" t="s">
        <v>6211</v>
      </c>
      <c r="L25" s="530" t="s">
        <v>6218</v>
      </c>
      <c r="M25" s="228" t="s">
        <v>6226</v>
      </c>
      <c r="N25" s="530">
        <v>0</v>
      </c>
      <c r="O25" s="676"/>
    </row>
    <row r="26" spans="1:15" s="998" customFormat="1" ht="28.5" customHeight="1">
      <c r="A26" s="741" t="s">
        <v>2932</v>
      </c>
      <c r="B26" s="257" t="s">
        <v>745</v>
      </c>
      <c r="C26" s="257" t="s">
        <v>2934</v>
      </c>
      <c r="D26" s="257" t="s">
        <v>6209</v>
      </c>
      <c r="E26" s="257" t="s">
        <v>2095</v>
      </c>
      <c r="F26" s="530"/>
      <c r="G26" s="530"/>
      <c r="H26" s="530">
        <v>0</v>
      </c>
      <c r="I26" s="530"/>
      <c r="J26" s="530" t="s">
        <v>6216</v>
      </c>
      <c r="K26" s="530" t="s">
        <v>6217</v>
      </c>
      <c r="L26" s="530" t="s">
        <v>6218</v>
      </c>
      <c r="M26" s="228" t="s">
        <v>6222</v>
      </c>
      <c r="N26" s="742">
        <v>2</v>
      </c>
      <c r="O26" s="714"/>
    </row>
    <row r="27" spans="1:15" s="998" customFormat="1" ht="28.5" customHeight="1">
      <c r="A27" s="741" t="s">
        <v>2928</v>
      </c>
      <c r="B27" s="531" t="s">
        <v>745</v>
      </c>
      <c r="C27" s="257" t="s">
        <v>2930</v>
      </c>
      <c r="D27" s="530" t="s">
        <v>6209</v>
      </c>
      <c r="E27" s="530" t="s">
        <v>2095</v>
      </c>
      <c r="F27" s="530"/>
      <c r="G27" s="530"/>
      <c r="H27" s="530">
        <v>0</v>
      </c>
      <c r="I27" s="530"/>
      <c r="J27" s="530" t="s">
        <v>6216</v>
      </c>
      <c r="K27" s="530" t="s">
        <v>6217</v>
      </c>
      <c r="L27" s="530" t="s">
        <v>6218</v>
      </c>
      <c r="M27" s="228" t="s">
        <v>6222</v>
      </c>
      <c r="N27" s="742">
        <v>2</v>
      </c>
      <c r="O27" s="714"/>
    </row>
    <row r="28" spans="1:15" s="998" customFormat="1" ht="28.5" customHeight="1">
      <c r="A28" s="741" t="s">
        <v>2900</v>
      </c>
      <c r="B28" s="531" t="s">
        <v>745</v>
      </c>
      <c r="C28" s="257" t="s">
        <v>2902</v>
      </c>
      <c r="D28" s="530" t="s">
        <v>6209</v>
      </c>
      <c r="E28" s="530" t="s">
        <v>2095</v>
      </c>
      <c r="F28" s="530"/>
      <c r="G28" s="530"/>
      <c r="H28" s="530">
        <v>0</v>
      </c>
      <c r="I28" s="530"/>
      <c r="J28" s="530" t="s">
        <v>6216</v>
      </c>
      <c r="K28" s="530" t="s">
        <v>6217</v>
      </c>
      <c r="L28" s="530" t="s">
        <v>6218</v>
      </c>
      <c r="M28" s="228" t="s">
        <v>6222</v>
      </c>
      <c r="N28" s="742">
        <v>2</v>
      </c>
      <c r="O28" s="714"/>
    </row>
    <row r="29" spans="1:15" s="998" customFormat="1" ht="28.5" customHeight="1">
      <c r="A29" s="741" t="s">
        <v>2896</v>
      </c>
      <c r="B29" s="531" t="s">
        <v>745</v>
      </c>
      <c r="C29" s="257" t="s">
        <v>2898</v>
      </c>
      <c r="D29" s="530" t="s">
        <v>6209</v>
      </c>
      <c r="E29" s="530" t="s">
        <v>2095</v>
      </c>
      <c r="F29" s="530"/>
      <c r="G29" s="530"/>
      <c r="H29" s="530">
        <v>0</v>
      </c>
      <c r="I29" s="530"/>
      <c r="J29" s="530" t="s">
        <v>6216</v>
      </c>
      <c r="K29" s="530" t="s">
        <v>6217</v>
      </c>
      <c r="L29" s="530" t="s">
        <v>6218</v>
      </c>
      <c r="M29" s="228" t="s">
        <v>6222</v>
      </c>
      <c r="N29" s="742">
        <v>2</v>
      </c>
      <c r="O29" s="714"/>
    </row>
    <row r="30" spans="1:15" ht="28.5">
      <c r="A30" s="257" t="s">
        <v>140</v>
      </c>
      <c r="B30" s="531" t="s">
        <v>132</v>
      </c>
      <c r="C30" s="257" t="s">
        <v>142</v>
      </c>
      <c r="D30" s="530" t="s">
        <v>6214</v>
      </c>
      <c r="E30" s="530" t="s">
        <v>63</v>
      </c>
      <c r="F30" s="530">
        <v>90</v>
      </c>
      <c r="G30" s="530" t="s">
        <v>143</v>
      </c>
      <c r="H30" s="530">
        <v>5</v>
      </c>
      <c r="I30" s="530" t="s">
        <v>144</v>
      </c>
      <c r="J30" s="530" t="s">
        <v>6216</v>
      </c>
      <c r="K30" s="530" t="s">
        <v>6211</v>
      </c>
      <c r="L30" s="530" t="s">
        <v>6218</v>
      </c>
      <c r="M30" s="228" t="s">
        <v>6227</v>
      </c>
      <c r="N30" s="530">
        <v>0</v>
      </c>
      <c r="O30" s="676"/>
    </row>
    <row r="31" spans="1:15" ht="28.5">
      <c r="A31" s="257" t="s">
        <v>140</v>
      </c>
      <c r="B31" s="531" t="s">
        <v>132</v>
      </c>
      <c r="C31" s="257" t="s">
        <v>142</v>
      </c>
      <c r="D31" s="530" t="s">
        <v>6214</v>
      </c>
      <c r="E31" s="530" t="s">
        <v>66</v>
      </c>
      <c r="F31" s="530">
        <v>130</v>
      </c>
      <c r="G31" s="530" t="s">
        <v>143</v>
      </c>
      <c r="H31" s="530">
        <v>5</v>
      </c>
      <c r="I31" s="530" t="s">
        <v>144</v>
      </c>
      <c r="J31" s="530" t="s">
        <v>6216</v>
      </c>
      <c r="K31" s="530" t="s">
        <v>6211</v>
      </c>
      <c r="L31" s="530" t="s">
        <v>6218</v>
      </c>
      <c r="M31" s="228" t="s">
        <v>6228</v>
      </c>
      <c r="N31" s="530">
        <v>0</v>
      </c>
      <c r="O31" s="676"/>
    </row>
    <row r="32" spans="1:15" ht="28.5">
      <c r="A32" s="257" t="s">
        <v>4745</v>
      </c>
      <c r="B32" s="531" t="s">
        <v>132</v>
      </c>
      <c r="C32" s="257" t="s">
        <v>4747</v>
      </c>
      <c r="D32" s="530" t="s">
        <v>6214</v>
      </c>
      <c r="E32" s="530" t="s">
        <v>63</v>
      </c>
      <c r="F32" s="530">
        <v>50</v>
      </c>
      <c r="G32" s="530" t="s">
        <v>778</v>
      </c>
      <c r="H32" s="530">
        <v>5</v>
      </c>
      <c r="I32" s="530"/>
      <c r="J32" s="530" t="s">
        <v>6216</v>
      </c>
      <c r="K32" s="530" t="s">
        <v>6217</v>
      </c>
      <c r="L32" s="530" t="s">
        <v>6218</v>
      </c>
      <c r="M32" s="228" t="s">
        <v>6229</v>
      </c>
      <c r="N32" s="530" t="s">
        <v>184</v>
      </c>
      <c r="O32" s="676"/>
    </row>
    <row r="33" spans="1:15" ht="28.5">
      <c r="A33" s="257" t="s">
        <v>4745</v>
      </c>
      <c r="B33" s="531" t="s">
        <v>132</v>
      </c>
      <c r="C33" s="257" t="s">
        <v>4747</v>
      </c>
      <c r="D33" s="530" t="s">
        <v>6214</v>
      </c>
      <c r="E33" s="530" t="s">
        <v>66</v>
      </c>
      <c r="F33" s="530">
        <v>450</v>
      </c>
      <c r="G33" s="530" t="s">
        <v>778</v>
      </c>
      <c r="H33" s="530">
        <v>5</v>
      </c>
      <c r="I33" s="530"/>
      <c r="J33" s="530" t="s">
        <v>6216</v>
      </c>
      <c r="K33" s="530" t="s">
        <v>6217</v>
      </c>
      <c r="L33" s="530" t="s">
        <v>6218</v>
      </c>
      <c r="M33" s="228" t="s">
        <v>6229</v>
      </c>
      <c r="N33" s="530" t="s">
        <v>184</v>
      </c>
      <c r="O33" s="676"/>
    </row>
    <row r="34" spans="1:15" ht="28.5">
      <c r="A34" s="257" t="s">
        <v>147</v>
      </c>
      <c r="B34" s="531" t="s">
        <v>132</v>
      </c>
      <c r="C34" s="257" t="s">
        <v>149</v>
      </c>
      <c r="D34" s="530" t="s">
        <v>6214</v>
      </c>
      <c r="E34" s="530" t="s">
        <v>66</v>
      </c>
      <c r="F34" s="530">
        <v>80</v>
      </c>
      <c r="G34" s="530" t="s">
        <v>1181</v>
      </c>
      <c r="H34" s="530">
        <v>5</v>
      </c>
      <c r="I34" s="530"/>
      <c r="J34" s="530" t="s">
        <v>6210</v>
      </c>
      <c r="K34" s="530" t="s">
        <v>6211</v>
      </c>
      <c r="L34" s="530" t="s">
        <v>6212</v>
      </c>
      <c r="M34" s="228" t="s">
        <v>6230</v>
      </c>
      <c r="N34" s="530" t="s">
        <v>138</v>
      </c>
      <c r="O34" s="676"/>
    </row>
    <row r="35" spans="1:15" ht="28.5">
      <c r="A35" s="257" t="s">
        <v>147</v>
      </c>
      <c r="B35" s="531" t="s">
        <v>132</v>
      </c>
      <c r="C35" s="257" t="s">
        <v>149</v>
      </c>
      <c r="D35" s="530" t="s">
        <v>6214</v>
      </c>
      <c r="E35" s="530" t="s">
        <v>72</v>
      </c>
      <c r="F35" s="530">
        <v>90</v>
      </c>
      <c r="G35" s="530" t="s">
        <v>1181</v>
      </c>
      <c r="H35" s="530">
        <v>5</v>
      </c>
      <c r="I35" s="530"/>
      <c r="J35" s="530" t="s">
        <v>6210</v>
      </c>
      <c r="K35" s="530" t="s">
        <v>6231</v>
      </c>
      <c r="L35" s="530" t="s">
        <v>6232</v>
      </c>
      <c r="M35" s="228" t="s">
        <v>6233</v>
      </c>
      <c r="N35" s="530" t="s">
        <v>138</v>
      </c>
      <c r="O35" s="676"/>
    </row>
    <row r="36" spans="1:15" ht="28.5">
      <c r="A36" s="257" t="s">
        <v>153</v>
      </c>
      <c r="B36" s="531" t="s">
        <v>132</v>
      </c>
      <c r="C36" s="257" t="s">
        <v>149</v>
      </c>
      <c r="D36" s="530" t="s">
        <v>6214</v>
      </c>
      <c r="E36" s="530" t="s">
        <v>69</v>
      </c>
      <c r="F36" s="530">
        <v>50</v>
      </c>
      <c r="G36" s="530" t="s">
        <v>143</v>
      </c>
      <c r="H36" s="530">
        <v>5</v>
      </c>
      <c r="I36" s="530"/>
      <c r="J36" s="530" t="s">
        <v>6216</v>
      </c>
      <c r="K36" s="530" t="s">
        <v>6231</v>
      </c>
      <c r="L36" s="530" t="s">
        <v>6232</v>
      </c>
      <c r="M36" s="228" t="s">
        <v>6233</v>
      </c>
      <c r="N36" s="530" t="s">
        <v>184</v>
      </c>
      <c r="O36" s="676"/>
    </row>
    <row r="37" spans="1:15" ht="28.5">
      <c r="A37" s="257" t="s">
        <v>153</v>
      </c>
      <c r="B37" s="531" t="s">
        <v>132</v>
      </c>
      <c r="C37" s="257" t="s">
        <v>149</v>
      </c>
      <c r="D37" s="530" t="s">
        <v>6214</v>
      </c>
      <c r="E37" s="530" t="s">
        <v>63</v>
      </c>
      <c r="F37" s="530">
        <v>70</v>
      </c>
      <c r="G37" s="530" t="s">
        <v>143</v>
      </c>
      <c r="H37" s="530">
        <v>5</v>
      </c>
      <c r="I37" s="530"/>
      <c r="J37" s="530" t="s">
        <v>6216</v>
      </c>
      <c r="K37" s="530" t="s">
        <v>6211</v>
      </c>
      <c r="L37" s="530" t="s">
        <v>6218</v>
      </c>
      <c r="M37" s="228" t="s">
        <v>6234</v>
      </c>
      <c r="N37" s="530" t="s">
        <v>138</v>
      </c>
      <c r="O37" s="676"/>
    </row>
    <row r="38" spans="1:15" ht="28.5">
      <c r="A38" s="257" t="s">
        <v>153</v>
      </c>
      <c r="B38" s="531" t="s">
        <v>132</v>
      </c>
      <c r="C38" s="257" t="s">
        <v>149</v>
      </c>
      <c r="D38" s="530" t="s">
        <v>6214</v>
      </c>
      <c r="E38" s="530" t="s">
        <v>66</v>
      </c>
      <c r="F38" s="530">
        <v>800</v>
      </c>
      <c r="G38" s="530" t="s">
        <v>143</v>
      </c>
      <c r="H38" s="530">
        <v>5</v>
      </c>
      <c r="I38" s="530"/>
      <c r="J38" s="530" t="s">
        <v>6216</v>
      </c>
      <c r="K38" s="530" t="s">
        <v>6220</v>
      </c>
      <c r="L38" s="530" t="s">
        <v>6212</v>
      </c>
      <c r="M38" s="228" t="s">
        <v>6235</v>
      </c>
      <c r="N38" s="530" t="s">
        <v>138</v>
      </c>
      <c r="O38" s="676"/>
    </row>
    <row r="39" spans="1:15" ht="28.5">
      <c r="A39" s="257" t="s">
        <v>153</v>
      </c>
      <c r="B39" s="531" t="s">
        <v>132</v>
      </c>
      <c r="C39" s="257" t="s">
        <v>149</v>
      </c>
      <c r="D39" s="530" t="s">
        <v>6214</v>
      </c>
      <c r="E39" s="530" t="s">
        <v>72</v>
      </c>
      <c r="F39" s="530">
        <v>1000</v>
      </c>
      <c r="G39" s="530" t="s">
        <v>143</v>
      </c>
      <c r="H39" s="530">
        <v>5</v>
      </c>
      <c r="I39" s="530"/>
      <c r="J39" s="530" t="s">
        <v>6216</v>
      </c>
      <c r="K39" s="530" t="s">
        <v>6231</v>
      </c>
      <c r="L39" s="530" t="s">
        <v>6232</v>
      </c>
      <c r="M39" s="228" t="s">
        <v>6236</v>
      </c>
      <c r="N39" s="530" t="s">
        <v>138</v>
      </c>
      <c r="O39" s="676"/>
    </row>
    <row r="40" spans="1:15" ht="28.5">
      <c r="A40" s="257" t="s">
        <v>157</v>
      </c>
      <c r="B40" s="531" t="s">
        <v>132</v>
      </c>
      <c r="C40" s="257" t="s">
        <v>159</v>
      </c>
      <c r="D40" s="530" t="s">
        <v>6214</v>
      </c>
      <c r="E40" s="530" t="s">
        <v>72</v>
      </c>
      <c r="F40" s="530">
        <v>500</v>
      </c>
      <c r="G40" s="530" t="s">
        <v>143</v>
      </c>
      <c r="H40" s="530">
        <v>5</v>
      </c>
      <c r="I40" s="530"/>
      <c r="J40" s="530" t="s">
        <v>6210</v>
      </c>
      <c r="K40" s="530" t="s">
        <v>6211</v>
      </c>
      <c r="L40" s="530" t="s">
        <v>6212</v>
      </c>
      <c r="M40" s="228" t="s">
        <v>6237</v>
      </c>
      <c r="N40" s="530" t="s">
        <v>184</v>
      </c>
      <c r="O40" s="676"/>
    </row>
    <row r="41" spans="1:15" ht="42.75">
      <c r="A41" s="257" t="s">
        <v>157</v>
      </c>
      <c r="B41" s="531" t="s">
        <v>132</v>
      </c>
      <c r="C41" s="257" t="s">
        <v>159</v>
      </c>
      <c r="D41" s="530" t="s">
        <v>6214</v>
      </c>
      <c r="E41" s="530" t="s">
        <v>66</v>
      </c>
      <c r="F41" s="530">
        <v>200</v>
      </c>
      <c r="G41" s="530" t="s">
        <v>143</v>
      </c>
      <c r="H41" s="530">
        <v>5</v>
      </c>
      <c r="I41" s="530"/>
      <c r="J41" s="530" t="s">
        <v>6210</v>
      </c>
      <c r="K41" s="530" t="s">
        <v>6217</v>
      </c>
      <c r="L41" s="530" t="s">
        <v>6218</v>
      </c>
      <c r="M41" s="228" t="s">
        <v>6238</v>
      </c>
      <c r="N41" s="530">
        <v>0</v>
      </c>
      <c r="O41" s="676"/>
    </row>
    <row r="42" spans="1:15" ht="28.5">
      <c r="A42" s="257" t="s">
        <v>162</v>
      </c>
      <c r="B42" s="531" t="s">
        <v>132</v>
      </c>
      <c r="C42" s="257" t="s">
        <v>164</v>
      </c>
      <c r="D42" s="530" t="s">
        <v>6214</v>
      </c>
      <c r="E42" s="530" t="s">
        <v>66</v>
      </c>
      <c r="F42" s="530">
        <v>8</v>
      </c>
      <c r="G42" s="530" t="s">
        <v>165</v>
      </c>
      <c r="H42" s="530">
        <v>5</v>
      </c>
      <c r="I42" s="530"/>
      <c r="J42" s="530" t="s">
        <v>6210</v>
      </c>
      <c r="K42" s="530" t="s">
        <v>6211</v>
      </c>
      <c r="L42" s="530" t="s">
        <v>6212</v>
      </c>
      <c r="M42" s="228" t="s">
        <v>6239</v>
      </c>
      <c r="N42" s="530">
        <v>0</v>
      </c>
      <c r="O42" s="676"/>
    </row>
    <row r="43" spans="1:15" ht="28.5">
      <c r="A43" s="257" t="s">
        <v>162</v>
      </c>
      <c r="B43" s="531" t="s">
        <v>132</v>
      </c>
      <c r="C43" s="257" t="s">
        <v>164</v>
      </c>
      <c r="D43" s="530" t="s">
        <v>6214</v>
      </c>
      <c r="E43" s="530" t="s">
        <v>72</v>
      </c>
      <c r="F43" s="530">
        <v>12</v>
      </c>
      <c r="G43" s="530" t="s">
        <v>165</v>
      </c>
      <c r="H43" s="530">
        <v>5</v>
      </c>
      <c r="I43" s="530"/>
      <c r="J43" s="530" t="s">
        <v>6210</v>
      </c>
      <c r="K43" s="530" t="s">
        <v>6231</v>
      </c>
      <c r="L43" s="530" t="s">
        <v>6232</v>
      </c>
      <c r="M43" s="228" t="s">
        <v>6239</v>
      </c>
      <c r="N43" s="530">
        <v>0</v>
      </c>
      <c r="O43" s="676"/>
    </row>
    <row r="44" spans="1:15" ht="28.5">
      <c r="A44" s="257" t="s">
        <v>167</v>
      </c>
      <c r="B44" s="531" t="s">
        <v>132</v>
      </c>
      <c r="C44" s="257" t="s">
        <v>169</v>
      </c>
      <c r="D44" s="530" t="s">
        <v>6214</v>
      </c>
      <c r="E44" s="530" t="s">
        <v>66</v>
      </c>
      <c r="F44" s="530">
        <v>4</v>
      </c>
      <c r="G44" s="530" t="s">
        <v>165</v>
      </c>
      <c r="H44" s="530">
        <v>5</v>
      </c>
      <c r="I44" s="530"/>
      <c r="J44" s="530" t="s">
        <v>6210</v>
      </c>
      <c r="K44" s="530" t="s">
        <v>6211</v>
      </c>
      <c r="L44" s="530" t="s">
        <v>6212</v>
      </c>
      <c r="M44" s="228" t="s">
        <v>6240</v>
      </c>
      <c r="N44" s="530">
        <v>0</v>
      </c>
      <c r="O44" s="676"/>
    </row>
    <row r="45" spans="1:15" ht="28.5">
      <c r="A45" s="257" t="s">
        <v>167</v>
      </c>
      <c r="B45" s="531" t="s">
        <v>132</v>
      </c>
      <c r="C45" s="257" t="s">
        <v>169</v>
      </c>
      <c r="D45" s="530" t="s">
        <v>6214</v>
      </c>
      <c r="E45" s="530" t="s">
        <v>72</v>
      </c>
      <c r="F45" s="530">
        <v>7.1</v>
      </c>
      <c r="G45" s="530" t="s">
        <v>165</v>
      </c>
      <c r="H45" s="530">
        <v>5</v>
      </c>
      <c r="I45" s="530"/>
      <c r="J45" s="530" t="s">
        <v>6210</v>
      </c>
      <c r="K45" s="530" t="s">
        <v>6231</v>
      </c>
      <c r="L45" s="530" t="s">
        <v>6232</v>
      </c>
      <c r="M45" s="228" t="s">
        <v>6240</v>
      </c>
      <c r="N45" s="530">
        <v>0</v>
      </c>
      <c r="O45" s="676"/>
    </row>
    <row r="46" spans="1:15" ht="28.5">
      <c r="A46" s="257" t="s">
        <v>2965</v>
      </c>
      <c r="B46" s="531" t="s">
        <v>132</v>
      </c>
      <c r="C46" s="257" t="s">
        <v>2967</v>
      </c>
      <c r="D46" s="530" t="s">
        <v>6209</v>
      </c>
      <c r="E46" s="530" t="s">
        <v>2095</v>
      </c>
      <c r="F46" s="530"/>
      <c r="G46" s="530"/>
      <c r="H46" s="742">
        <v>3</v>
      </c>
      <c r="I46" s="530"/>
      <c r="J46" s="530" t="s">
        <v>6241</v>
      </c>
      <c r="K46" s="530" t="s">
        <v>6217</v>
      </c>
      <c r="L46" s="530" t="s">
        <v>6218</v>
      </c>
      <c r="M46" s="228" t="s">
        <v>6242</v>
      </c>
      <c r="N46" s="742">
        <v>2</v>
      </c>
      <c r="O46" s="676"/>
    </row>
    <row r="47" spans="1:15" ht="28.5">
      <c r="A47" s="257" t="s">
        <v>3686</v>
      </c>
      <c r="B47" s="531" t="s">
        <v>132</v>
      </c>
      <c r="C47" s="257" t="s">
        <v>3688</v>
      </c>
      <c r="D47" s="530" t="s">
        <v>6209</v>
      </c>
      <c r="E47" s="530" t="s">
        <v>2095</v>
      </c>
      <c r="F47" s="530"/>
      <c r="G47" s="530"/>
      <c r="H47" s="742">
        <v>3</v>
      </c>
      <c r="I47" s="530"/>
      <c r="J47" s="530" t="s">
        <v>6216</v>
      </c>
      <c r="K47" s="530" t="s">
        <v>6231</v>
      </c>
      <c r="L47" s="530" t="s">
        <v>6232</v>
      </c>
      <c r="M47" s="228" t="s">
        <v>6243</v>
      </c>
      <c r="N47" s="742">
        <v>2</v>
      </c>
      <c r="O47" s="676"/>
    </row>
    <row r="48" spans="1:15" ht="28.5">
      <c r="A48" s="257" t="s">
        <v>3690</v>
      </c>
      <c r="B48" s="531" t="s">
        <v>132</v>
      </c>
      <c r="C48" s="257" t="s">
        <v>3692</v>
      </c>
      <c r="D48" s="530" t="s">
        <v>6209</v>
      </c>
      <c r="E48" s="530" t="s">
        <v>2095</v>
      </c>
      <c r="F48" s="530"/>
      <c r="G48" s="530"/>
      <c r="H48" s="742">
        <v>3</v>
      </c>
      <c r="I48" s="530"/>
      <c r="J48" s="530" t="s">
        <v>6216</v>
      </c>
      <c r="K48" s="530" t="s">
        <v>6231</v>
      </c>
      <c r="L48" s="530" t="s">
        <v>6232</v>
      </c>
      <c r="M48" s="228" t="s">
        <v>6243</v>
      </c>
      <c r="N48" s="742">
        <v>2</v>
      </c>
      <c r="O48" s="676"/>
    </row>
    <row r="49" spans="1:15" ht="28.5">
      <c r="A49" s="257" t="s">
        <v>3674</v>
      </c>
      <c r="B49" s="531" t="s">
        <v>172</v>
      </c>
      <c r="C49" s="257" t="s">
        <v>3676</v>
      </c>
      <c r="D49" s="530" t="s">
        <v>6209</v>
      </c>
      <c r="E49" s="530" t="s">
        <v>2095</v>
      </c>
      <c r="F49" s="530"/>
      <c r="G49" s="530"/>
      <c r="H49" s="742">
        <v>3</v>
      </c>
      <c r="I49" s="530"/>
      <c r="J49" s="530" t="s">
        <v>6216</v>
      </c>
      <c r="K49" s="530" t="s">
        <v>6231</v>
      </c>
      <c r="L49" s="530" t="s">
        <v>6232</v>
      </c>
      <c r="M49" s="228" t="s">
        <v>6243</v>
      </c>
      <c r="N49" s="742">
        <v>2</v>
      </c>
      <c r="O49" s="676"/>
    </row>
    <row r="50" spans="1:15" ht="28.5">
      <c r="A50" s="257" t="s">
        <v>3654</v>
      </c>
      <c r="B50" s="531" t="s">
        <v>3650</v>
      </c>
      <c r="C50" s="257" t="s">
        <v>3656</v>
      </c>
      <c r="D50" s="530" t="s">
        <v>6209</v>
      </c>
      <c r="E50" s="530" t="s">
        <v>2095</v>
      </c>
      <c r="F50" s="530"/>
      <c r="G50" s="530"/>
      <c r="H50" s="742">
        <v>3</v>
      </c>
      <c r="I50" s="530"/>
      <c r="J50" s="530" t="s">
        <v>6216</v>
      </c>
      <c r="K50" s="530" t="s">
        <v>6231</v>
      </c>
      <c r="L50" s="530" t="s">
        <v>6232</v>
      </c>
      <c r="M50" s="228" t="s">
        <v>6243</v>
      </c>
      <c r="N50" s="742">
        <v>2</v>
      </c>
      <c r="O50" s="676"/>
    </row>
    <row r="51" spans="1:15" ht="28.5">
      <c r="A51" s="257" t="s">
        <v>3649</v>
      </c>
      <c r="B51" s="531" t="s">
        <v>3650</v>
      </c>
      <c r="C51" s="257" t="s">
        <v>3652</v>
      </c>
      <c r="D51" s="530" t="s">
        <v>6209</v>
      </c>
      <c r="E51" s="530" t="s">
        <v>2095</v>
      </c>
      <c r="F51" s="530"/>
      <c r="G51" s="530"/>
      <c r="H51" s="742">
        <v>3</v>
      </c>
      <c r="I51" s="530"/>
      <c r="J51" s="530" t="s">
        <v>6216</v>
      </c>
      <c r="K51" s="530" t="s">
        <v>6231</v>
      </c>
      <c r="L51" s="530" t="s">
        <v>6232</v>
      </c>
      <c r="M51" s="228" t="s">
        <v>6243</v>
      </c>
      <c r="N51" s="742">
        <v>2</v>
      </c>
      <c r="O51" s="676"/>
    </row>
    <row r="52" spans="1:15" ht="28.5">
      <c r="A52" s="257" t="s">
        <v>4580</v>
      </c>
      <c r="B52" s="531" t="s">
        <v>172</v>
      </c>
      <c r="C52" s="257" t="s">
        <v>4752</v>
      </c>
      <c r="D52" s="530" t="s">
        <v>6214</v>
      </c>
      <c r="E52" s="530" t="s">
        <v>63</v>
      </c>
      <c r="F52" s="738">
        <v>40</v>
      </c>
      <c r="G52" s="530" t="s">
        <v>6225</v>
      </c>
      <c r="H52" s="530">
        <v>5</v>
      </c>
      <c r="I52" s="530"/>
      <c r="J52" s="530" t="s">
        <v>6216</v>
      </c>
      <c r="K52" s="530" t="s">
        <v>6220</v>
      </c>
      <c r="L52" s="530" t="s">
        <v>6212</v>
      </c>
      <c r="M52" s="228" t="s">
        <v>6226</v>
      </c>
      <c r="N52" s="530">
        <v>0</v>
      </c>
      <c r="O52" s="676"/>
    </row>
    <row r="53" spans="1:15" ht="28.5">
      <c r="A53" s="257" t="s">
        <v>4580</v>
      </c>
      <c r="B53" s="531" t="s">
        <v>172</v>
      </c>
      <c r="C53" s="257" t="s">
        <v>4752</v>
      </c>
      <c r="D53" s="530" t="s">
        <v>6214</v>
      </c>
      <c r="E53" s="530" t="s">
        <v>66</v>
      </c>
      <c r="F53" s="738">
        <v>103</v>
      </c>
      <c r="G53" s="530" t="s">
        <v>6225</v>
      </c>
      <c r="H53" s="530">
        <v>5</v>
      </c>
      <c r="I53" s="530"/>
      <c r="J53" s="530" t="s">
        <v>6216</v>
      </c>
      <c r="K53" s="530" t="s">
        <v>6211</v>
      </c>
      <c r="L53" s="530" t="s">
        <v>6218</v>
      </c>
      <c r="M53" s="228" t="s">
        <v>6226</v>
      </c>
      <c r="N53" s="530">
        <v>0</v>
      </c>
      <c r="O53" s="676"/>
    </row>
    <row r="54" spans="1:15" ht="28.5">
      <c r="A54" s="257" t="s">
        <v>171</v>
      </c>
      <c r="B54" s="531" t="s">
        <v>172</v>
      </c>
      <c r="C54" s="257" t="s">
        <v>174</v>
      </c>
      <c r="D54" s="530" t="s">
        <v>6214</v>
      </c>
      <c r="E54" s="530" t="s">
        <v>63</v>
      </c>
      <c r="F54" s="530">
        <v>90</v>
      </c>
      <c r="G54" s="530" t="s">
        <v>143</v>
      </c>
      <c r="H54" s="530">
        <v>5</v>
      </c>
      <c r="I54" s="530" t="s">
        <v>144</v>
      </c>
      <c r="J54" s="530" t="s">
        <v>6216</v>
      </c>
      <c r="K54" s="530" t="s">
        <v>6211</v>
      </c>
      <c r="L54" s="530" t="s">
        <v>6218</v>
      </c>
      <c r="M54" s="228" t="s">
        <v>6227</v>
      </c>
      <c r="N54" s="530">
        <v>0</v>
      </c>
      <c r="O54" s="676"/>
    </row>
    <row r="55" spans="1:15" ht="28.5">
      <c r="A55" s="257" t="s">
        <v>171</v>
      </c>
      <c r="B55" s="531" t="s">
        <v>172</v>
      </c>
      <c r="C55" s="257" t="s">
        <v>174</v>
      </c>
      <c r="D55" s="530" t="s">
        <v>6214</v>
      </c>
      <c r="E55" s="530" t="s">
        <v>66</v>
      </c>
      <c r="F55" s="530">
        <v>130</v>
      </c>
      <c r="G55" s="530" t="s">
        <v>143</v>
      </c>
      <c r="H55" s="530">
        <v>5</v>
      </c>
      <c r="I55" s="530" t="s">
        <v>144</v>
      </c>
      <c r="J55" s="530" t="s">
        <v>6216</v>
      </c>
      <c r="K55" s="530" t="s">
        <v>6211</v>
      </c>
      <c r="L55" s="530" t="s">
        <v>6218</v>
      </c>
      <c r="M55" s="228" t="s">
        <v>6228</v>
      </c>
      <c r="N55" s="530">
        <v>0</v>
      </c>
      <c r="O55" s="676"/>
    </row>
    <row r="56" spans="1:15" ht="28.5">
      <c r="A56" s="257" t="s">
        <v>4754</v>
      </c>
      <c r="B56" s="531" t="s">
        <v>172</v>
      </c>
      <c r="C56" s="257" t="s">
        <v>4756</v>
      </c>
      <c r="D56" s="530" t="s">
        <v>6214</v>
      </c>
      <c r="E56" s="530" t="s">
        <v>63</v>
      </c>
      <c r="F56" s="530">
        <v>50</v>
      </c>
      <c r="G56" s="530" t="s">
        <v>778</v>
      </c>
      <c r="H56" s="530">
        <v>5</v>
      </c>
      <c r="I56" s="530"/>
      <c r="J56" s="530" t="s">
        <v>6216</v>
      </c>
      <c r="K56" s="530" t="s">
        <v>6217</v>
      </c>
      <c r="L56" s="530" t="s">
        <v>6218</v>
      </c>
      <c r="M56" s="228" t="s">
        <v>6229</v>
      </c>
      <c r="N56" s="530" t="s">
        <v>184</v>
      </c>
    </row>
    <row r="57" spans="1:15" ht="28.5">
      <c r="A57" s="257" t="s">
        <v>4754</v>
      </c>
      <c r="B57" s="531" t="s">
        <v>172</v>
      </c>
      <c r="C57" s="257" t="s">
        <v>4756</v>
      </c>
      <c r="D57" s="530" t="s">
        <v>6214</v>
      </c>
      <c r="E57" s="530" t="s">
        <v>66</v>
      </c>
      <c r="F57" s="530">
        <v>450</v>
      </c>
      <c r="G57" s="530" t="s">
        <v>778</v>
      </c>
      <c r="H57" s="530">
        <v>5</v>
      </c>
      <c r="I57" s="530"/>
      <c r="J57" s="530" t="s">
        <v>6216</v>
      </c>
      <c r="K57" s="530" t="s">
        <v>6217</v>
      </c>
      <c r="L57" s="530" t="s">
        <v>6218</v>
      </c>
      <c r="M57" s="228" t="s">
        <v>6229</v>
      </c>
      <c r="N57" s="530" t="s">
        <v>184</v>
      </c>
    </row>
    <row r="58" spans="1:15" ht="28.5">
      <c r="A58" s="257" t="s">
        <v>176</v>
      </c>
      <c r="B58" s="531" t="s">
        <v>132</v>
      </c>
      <c r="C58" s="257" t="s">
        <v>178</v>
      </c>
      <c r="D58" s="530" t="s">
        <v>6214</v>
      </c>
      <c r="E58" s="530" t="s">
        <v>66</v>
      </c>
      <c r="F58" s="530">
        <v>80</v>
      </c>
      <c r="G58" s="530" t="s">
        <v>1181</v>
      </c>
      <c r="H58" s="530">
        <v>5</v>
      </c>
      <c r="I58" s="530"/>
      <c r="J58" s="530" t="s">
        <v>6210</v>
      </c>
      <c r="K58" s="530" t="s">
        <v>6211</v>
      </c>
      <c r="L58" s="530" t="s">
        <v>6212</v>
      </c>
      <c r="M58" s="228" t="s">
        <v>6244</v>
      </c>
      <c r="N58" s="530" t="s">
        <v>184</v>
      </c>
    </row>
    <row r="59" spans="1:15" ht="28.5">
      <c r="A59" s="257" t="s">
        <v>176</v>
      </c>
      <c r="B59" s="531" t="s">
        <v>172</v>
      </c>
      <c r="C59" s="257" t="s">
        <v>178</v>
      </c>
      <c r="D59" s="530" t="s">
        <v>6214</v>
      </c>
      <c r="E59" s="530" t="s">
        <v>72</v>
      </c>
      <c r="F59" s="530">
        <v>90</v>
      </c>
      <c r="G59" s="530" t="s">
        <v>1181</v>
      </c>
      <c r="H59" s="530">
        <v>5</v>
      </c>
      <c r="I59" s="530"/>
      <c r="J59" s="530" t="s">
        <v>6210</v>
      </c>
      <c r="K59" s="530" t="s">
        <v>6231</v>
      </c>
      <c r="L59" s="530" t="s">
        <v>6232</v>
      </c>
      <c r="M59" s="228" t="s">
        <v>6244</v>
      </c>
      <c r="N59" s="530" t="s">
        <v>184</v>
      </c>
    </row>
    <row r="60" spans="1:15" ht="28.5">
      <c r="A60" s="257" t="s">
        <v>181</v>
      </c>
      <c r="B60" s="531" t="s">
        <v>172</v>
      </c>
      <c r="C60" s="257" t="s">
        <v>178</v>
      </c>
      <c r="D60" s="530" t="s">
        <v>6214</v>
      </c>
      <c r="E60" s="530" t="s">
        <v>69</v>
      </c>
      <c r="F60" s="530">
        <v>50</v>
      </c>
      <c r="G60" s="530" t="s">
        <v>143</v>
      </c>
      <c r="H60" s="530">
        <v>5</v>
      </c>
      <c r="I60" s="530"/>
      <c r="J60" s="530" t="s">
        <v>6216</v>
      </c>
      <c r="K60" s="530" t="s">
        <v>6231</v>
      </c>
      <c r="L60" s="530" t="s">
        <v>6232</v>
      </c>
      <c r="M60" s="228" t="s">
        <v>6233</v>
      </c>
      <c r="N60" s="530" t="s">
        <v>184</v>
      </c>
    </row>
    <row r="61" spans="1:15" ht="28.5">
      <c r="A61" s="257" t="s">
        <v>181</v>
      </c>
      <c r="B61" s="531" t="s">
        <v>172</v>
      </c>
      <c r="C61" s="257" t="s">
        <v>178</v>
      </c>
      <c r="D61" s="530" t="s">
        <v>6214</v>
      </c>
      <c r="E61" s="530" t="s">
        <v>63</v>
      </c>
      <c r="F61" s="530">
        <v>70</v>
      </c>
      <c r="G61" s="530" t="s">
        <v>143</v>
      </c>
      <c r="H61" s="530">
        <v>5</v>
      </c>
      <c r="I61" s="530"/>
      <c r="J61" s="530" t="s">
        <v>6216</v>
      </c>
      <c r="K61" s="530" t="s">
        <v>6211</v>
      </c>
      <c r="L61" s="530" t="s">
        <v>6218</v>
      </c>
      <c r="M61" s="228" t="s">
        <v>6245</v>
      </c>
      <c r="N61" s="530" t="s">
        <v>184</v>
      </c>
    </row>
    <row r="62" spans="1:15" ht="28.5">
      <c r="A62" s="257" t="s">
        <v>181</v>
      </c>
      <c r="B62" s="531" t="s">
        <v>172</v>
      </c>
      <c r="C62" s="257" t="s">
        <v>178</v>
      </c>
      <c r="D62" s="530" t="s">
        <v>6214</v>
      </c>
      <c r="E62" s="530" t="s">
        <v>66</v>
      </c>
      <c r="F62" s="530">
        <v>800</v>
      </c>
      <c r="G62" s="530" t="s">
        <v>143</v>
      </c>
      <c r="H62" s="530">
        <v>5</v>
      </c>
      <c r="I62" s="530"/>
      <c r="J62" s="530" t="s">
        <v>6216</v>
      </c>
      <c r="K62" s="530" t="s">
        <v>6220</v>
      </c>
      <c r="L62" s="530" t="s">
        <v>6212</v>
      </c>
      <c r="M62" s="228" t="s">
        <v>6235</v>
      </c>
      <c r="N62" s="530" t="s">
        <v>138</v>
      </c>
    </row>
    <row r="63" spans="1:15" ht="28.5">
      <c r="A63" s="257" t="s">
        <v>181</v>
      </c>
      <c r="B63" s="531" t="s">
        <v>172</v>
      </c>
      <c r="C63" s="257" t="s">
        <v>178</v>
      </c>
      <c r="D63" s="530" t="s">
        <v>6214</v>
      </c>
      <c r="E63" s="530" t="s">
        <v>72</v>
      </c>
      <c r="F63" s="530">
        <v>1000</v>
      </c>
      <c r="G63" s="530" t="s">
        <v>143</v>
      </c>
      <c r="H63" s="530">
        <v>5</v>
      </c>
      <c r="I63" s="530"/>
      <c r="J63" s="530" t="s">
        <v>6216</v>
      </c>
      <c r="K63" s="530" t="s">
        <v>6231</v>
      </c>
      <c r="L63" s="530" t="s">
        <v>6232</v>
      </c>
      <c r="M63" s="228" t="s">
        <v>6236</v>
      </c>
      <c r="N63" s="530" t="s">
        <v>138</v>
      </c>
    </row>
    <row r="64" spans="1:15" ht="28.5">
      <c r="A64" s="257" t="s">
        <v>186</v>
      </c>
      <c r="B64" s="531" t="s">
        <v>172</v>
      </c>
      <c r="C64" s="257" t="s">
        <v>188</v>
      </c>
      <c r="D64" s="530" t="s">
        <v>6214</v>
      </c>
      <c r="E64" s="530" t="s">
        <v>72</v>
      </c>
      <c r="F64" s="530">
        <v>500</v>
      </c>
      <c r="G64" s="530" t="s">
        <v>143</v>
      </c>
      <c r="H64" s="530">
        <v>5</v>
      </c>
      <c r="I64" s="530"/>
      <c r="J64" s="530" t="s">
        <v>6210</v>
      </c>
      <c r="K64" s="530" t="s">
        <v>6211</v>
      </c>
      <c r="L64" s="530" t="s">
        <v>6212</v>
      </c>
      <c r="M64" s="228" t="s">
        <v>6237</v>
      </c>
      <c r="N64" s="530" t="s">
        <v>184</v>
      </c>
    </row>
    <row r="65" spans="1:14" ht="42.75">
      <c r="A65" s="257" t="s">
        <v>186</v>
      </c>
      <c r="B65" s="531" t="s">
        <v>172</v>
      </c>
      <c r="C65" s="257" t="s">
        <v>188</v>
      </c>
      <c r="D65" s="530" t="s">
        <v>6214</v>
      </c>
      <c r="E65" s="530" t="s">
        <v>66</v>
      </c>
      <c r="F65" s="530">
        <v>200</v>
      </c>
      <c r="G65" s="530" t="s">
        <v>143</v>
      </c>
      <c r="H65" s="530">
        <v>5</v>
      </c>
      <c r="I65" s="530"/>
      <c r="J65" s="530" t="s">
        <v>6210</v>
      </c>
      <c r="K65" s="530" t="s">
        <v>6217</v>
      </c>
      <c r="L65" s="530" t="s">
        <v>6218</v>
      </c>
      <c r="M65" s="228" t="s">
        <v>6238</v>
      </c>
      <c r="N65" s="530">
        <v>0</v>
      </c>
    </row>
    <row r="66" spans="1:14" ht="28.5">
      <c r="A66" s="257" t="s">
        <v>190</v>
      </c>
      <c r="B66" s="531" t="s">
        <v>172</v>
      </c>
      <c r="C66" s="257" t="s">
        <v>192</v>
      </c>
      <c r="D66" s="530" t="s">
        <v>6214</v>
      </c>
      <c r="E66" s="530" t="s">
        <v>66</v>
      </c>
      <c r="F66" s="530">
        <v>8</v>
      </c>
      <c r="G66" s="530" t="s">
        <v>165</v>
      </c>
      <c r="H66" s="530">
        <v>5</v>
      </c>
      <c r="I66" s="530"/>
      <c r="J66" s="530" t="s">
        <v>6210</v>
      </c>
      <c r="K66" s="530" t="s">
        <v>6211</v>
      </c>
      <c r="L66" s="530" t="s">
        <v>6212</v>
      </c>
      <c r="M66" s="228" t="s">
        <v>6239</v>
      </c>
      <c r="N66" s="530">
        <v>0</v>
      </c>
    </row>
    <row r="67" spans="1:14" ht="28.5">
      <c r="A67" s="257" t="s">
        <v>190</v>
      </c>
      <c r="B67" s="531" t="s">
        <v>172</v>
      </c>
      <c r="C67" s="257" t="s">
        <v>192</v>
      </c>
      <c r="D67" s="530" t="s">
        <v>6214</v>
      </c>
      <c r="E67" s="530" t="s">
        <v>72</v>
      </c>
      <c r="F67" s="530">
        <v>12</v>
      </c>
      <c r="G67" s="530" t="s">
        <v>165</v>
      </c>
      <c r="H67" s="530">
        <v>5</v>
      </c>
      <c r="I67" s="530"/>
      <c r="J67" s="530" t="s">
        <v>6210</v>
      </c>
      <c r="K67" s="530" t="s">
        <v>6231</v>
      </c>
      <c r="L67" s="530" t="s">
        <v>6232</v>
      </c>
      <c r="M67" s="228" t="s">
        <v>6239</v>
      </c>
      <c r="N67" s="530">
        <v>0</v>
      </c>
    </row>
    <row r="68" spans="1:14" ht="28.5">
      <c r="A68" s="257" t="s">
        <v>194</v>
      </c>
      <c r="B68" s="531" t="s">
        <v>172</v>
      </c>
      <c r="C68" s="257" t="s">
        <v>196</v>
      </c>
      <c r="D68" s="530" t="s">
        <v>6214</v>
      </c>
      <c r="E68" s="530" t="s">
        <v>66</v>
      </c>
      <c r="F68" s="530">
        <v>4</v>
      </c>
      <c r="G68" s="530" t="s">
        <v>165</v>
      </c>
      <c r="H68" s="530">
        <v>5</v>
      </c>
      <c r="I68" s="530"/>
      <c r="J68" s="530" t="s">
        <v>6210</v>
      </c>
      <c r="K68" s="530" t="s">
        <v>6211</v>
      </c>
      <c r="L68" s="530" t="s">
        <v>6212</v>
      </c>
      <c r="M68" s="228" t="s">
        <v>6240</v>
      </c>
      <c r="N68" s="530">
        <v>0</v>
      </c>
    </row>
    <row r="69" spans="1:14" ht="28.5">
      <c r="A69" s="257" t="s">
        <v>194</v>
      </c>
      <c r="B69" s="531" t="s">
        <v>172</v>
      </c>
      <c r="C69" s="257" t="s">
        <v>196</v>
      </c>
      <c r="D69" s="530" t="s">
        <v>6214</v>
      </c>
      <c r="E69" s="530" t="s">
        <v>72</v>
      </c>
      <c r="F69" s="530">
        <v>7.1</v>
      </c>
      <c r="G69" s="530" t="s">
        <v>165</v>
      </c>
      <c r="H69" s="530">
        <v>5</v>
      </c>
      <c r="I69" s="530"/>
      <c r="J69" s="530" t="s">
        <v>6210</v>
      </c>
      <c r="K69" s="530" t="s">
        <v>6231</v>
      </c>
      <c r="L69" s="530" t="s">
        <v>6232</v>
      </c>
      <c r="M69" s="228" t="s">
        <v>6240</v>
      </c>
      <c r="N69" s="530">
        <v>0</v>
      </c>
    </row>
    <row r="70" spans="1:14" ht="28.5">
      <c r="A70" s="257" t="s">
        <v>4593</v>
      </c>
      <c r="B70" s="531" t="s">
        <v>172</v>
      </c>
      <c r="C70" s="257" t="s">
        <v>4759</v>
      </c>
      <c r="D70" s="530" t="s">
        <v>6214</v>
      </c>
      <c r="E70" s="530" t="s">
        <v>63</v>
      </c>
      <c r="F70" s="738">
        <v>40</v>
      </c>
      <c r="G70" s="530" t="s">
        <v>6225</v>
      </c>
      <c r="H70" s="530">
        <v>5</v>
      </c>
      <c r="I70" s="530"/>
      <c r="J70" s="530" t="s">
        <v>6216</v>
      </c>
      <c r="K70" s="530" t="s">
        <v>6220</v>
      </c>
      <c r="L70" s="530" t="s">
        <v>6212</v>
      </c>
      <c r="M70" s="228" t="s">
        <v>6226</v>
      </c>
      <c r="N70" s="530">
        <v>0</v>
      </c>
    </row>
    <row r="71" spans="1:14" ht="28.5">
      <c r="A71" s="257" t="s">
        <v>4593</v>
      </c>
      <c r="B71" s="531" t="s">
        <v>172</v>
      </c>
      <c r="C71" s="257" t="s">
        <v>4759</v>
      </c>
      <c r="D71" s="530" t="s">
        <v>6214</v>
      </c>
      <c r="E71" s="530" t="s">
        <v>66</v>
      </c>
      <c r="F71" s="738">
        <v>103</v>
      </c>
      <c r="G71" s="530" t="s">
        <v>6225</v>
      </c>
      <c r="H71" s="530">
        <v>5</v>
      </c>
      <c r="I71" s="530"/>
      <c r="J71" s="530" t="s">
        <v>6216</v>
      </c>
      <c r="K71" s="530" t="s">
        <v>6211</v>
      </c>
      <c r="L71" s="530" t="s">
        <v>6218</v>
      </c>
      <c r="M71" s="228" t="s">
        <v>6226</v>
      </c>
      <c r="N71" s="530">
        <v>0</v>
      </c>
    </row>
    <row r="72" spans="1:14" ht="28.5">
      <c r="A72" s="257" t="s">
        <v>198</v>
      </c>
      <c r="B72" s="531" t="s">
        <v>172</v>
      </c>
      <c r="C72" s="257" t="s">
        <v>200</v>
      </c>
      <c r="D72" s="530" t="s">
        <v>6214</v>
      </c>
      <c r="E72" s="530" t="s">
        <v>63</v>
      </c>
      <c r="F72" s="530">
        <v>90</v>
      </c>
      <c r="G72" s="530" t="s">
        <v>143</v>
      </c>
      <c r="H72" s="530">
        <v>5</v>
      </c>
      <c r="I72" s="530" t="s">
        <v>144</v>
      </c>
      <c r="J72" s="530" t="s">
        <v>6216</v>
      </c>
      <c r="K72" s="530" t="s">
        <v>6211</v>
      </c>
      <c r="L72" s="530" t="s">
        <v>6218</v>
      </c>
      <c r="M72" s="228" t="s">
        <v>6227</v>
      </c>
      <c r="N72" s="530">
        <v>0</v>
      </c>
    </row>
    <row r="73" spans="1:14" ht="28.5">
      <c r="A73" s="257" t="s">
        <v>198</v>
      </c>
      <c r="B73" s="531" t="s">
        <v>172</v>
      </c>
      <c r="C73" s="257" t="s">
        <v>200</v>
      </c>
      <c r="D73" s="530" t="s">
        <v>6214</v>
      </c>
      <c r="E73" s="530" t="s">
        <v>66</v>
      </c>
      <c r="F73" s="530">
        <v>130</v>
      </c>
      <c r="G73" s="530" t="s">
        <v>143</v>
      </c>
      <c r="H73" s="530">
        <v>5</v>
      </c>
      <c r="I73" s="530" t="s">
        <v>144</v>
      </c>
      <c r="J73" s="530" t="s">
        <v>6216</v>
      </c>
      <c r="K73" s="530" t="s">
        <v>6211</v>
      </c>
      <c r="L73" s="530" t="s">
        <v>6218</v>
      </c>
      <c r="M73" s="228" t="s">
        <v>6228</v>
      </c>
      <c r="N73" s="530">
        <v>0</v>
      </c>
    </row>
    <row r="74" spans="1:14" ht="28.5">
      <c r="A74" s="257" t="s">
        <v>4761</v>
      </c>
      <c r="B74" s="531" t="s">
        <v>172</v>
      </c>
      <c r="C74" s="257" t="s">
        <v>4763</v>
      </c>
      <c r="D74" s="530" t="s">
        <v>6214</v>
      </c>
      <c r="E74" s="530" t="s">
        <v>63</v>
      </c>
      <c r="F74" s="530">
        <v>50</v>
      </c>
      <c r="G74" s="530" t="s">
        <v>778</v>
      </c>
      <c r="H74" s="530">
        <v>5</v>
      </c>
      <c r="I74" s="530"/>
      <c r="J74" s="530" t="s">
        <v>6216</v>
      </c>
      <c r="K74" s="530" t="s">
        <v>6217</v>
      </c>
      <c r="L74" s="530" t="s">
        <v>6218</v>
      </c>
      <c r="M74" s="228" t="s">
        <v>6229</v>
      </c>
      <c r="N74" s="530" t="s">
        <v>184</v>
      </c>
    </row>
    <row r="75" spans="1:14" ht="28.5">
      <c r="A75" s="257" t="s">
        <v>4761</v>
      </c>
      <c r="B75" s="531" t="s">
        <v>172</v>
      </c>
      <c r="C75" s="257" t="s">
        <v>4763</v>
      </c>
      <c r="D75" s="530" t="s">
        <v>6214</v>
      </c>
      <c r="E75" s="530" t="s">
        <v>66</v>
      </c>
      <c r="F75" s="530">
        <v>450</v>
      </c>
      <c r="G75" s="530" t="s">
        <v>778</v>
      </c>
      <c r="H75" s="530">
        <v>5</v>
      </c>
      <c r="I75" s="530"/>
      <c r="J75" s="530" t="s">
        <v>6216</v>
      </c>
      <c r="K75" s="530" t="s">
        <v>6217</v>
      </c>
      <c r="L75" s="530" t="s">
        <v>6218</v>
      </c>
      <c r="M75" s="228" t="s">
        <v>6229</v>
      </c>
      <c r="N75" s="530" t="s">
        <v>184</v>
      </c>
    </row>
    <row r="76" spans="1:14" ht="28.5">
      <c r="A76" s="257" t="s">
        <v>202</v>
      </c>
      <c r="B76" s="531" t="s">
        <v>132</v>
      </c>
      <c r="C76" s="257" t="s">
        <v>204</v>
      </c>
      <c r="D76" s="530" t="s">
        <v>6214</v>
      </c>
      <c r="E76" s="530" t="s">
        <v>66</v>
      </c>
      <c r="F76" s="530">
        <v>80</v>
      </c>
      <c r="G76" s="530" t="s">
        <v>1181</v>
      </c>
      <c r="H76" s="530">
        <v>5</v>
      </c>
      <c r="I76" s="530"/>
      <c r="J76" s="530" t="s">
        <v>6210</v>
      </c>
      <c r="K76" s="530" t="s">
        <v>6211</v>
      </c>
      <c r="L76" s="530" t="s">
        <v>6212</v>
      </c>
      <c r="M76" s="228" t="s">
        <v>6244</v>
      </c>
      <c r="N76" s="530" t="s">
        <v>184</v>
      </c>
    </row>
    <row r="77" spans="1:14" ht="28.5">
      <c r="A77" s="257" t="s">
        <v>202</v>
      </c>
      <c r="B77" s="531" t="s">
        <v>172</v>
      </c>
      <c r="C77" s="257" t="s">
        <v>204</v>
      </c>
      <c r="D77" s="530" t="s">
        <v>6214</v>
      </c>
      <c r="E77" s="530" t="s">
        <v>72</v>
      </c>
      <c r="F77" s="530">
        <v>90</v>
      </c>
      <c r="G77" s="530" t="s">
        <v>1181</v>
      </c>
      <c r="H77" s="530">
        <v>5</v>
      </c>
      <c r="I77" s="530"/>
      <c r="J77" s="530" t="s">
        <v>6210</v>
      </c>
      <c r="K77" s="530" t="s">
        <v>6231</v>
      </c>
      <c r="L77" s="530" t="s">
        <v>6232</v>
      </c>
      <c r="M77" s="228" t="s">
        <v>6244</v>
      </c>
      <c r="N77" s="530" t="s">
        <v>184</v>
      </c>
    </row>
    <row r="78" spans="1:14" ht="28.5">
      <c r="A78" s="257" t="s">
        <v>207</v>
      </c>
      <c r="B78" s="531" t="s">
        <v>172</v>
      </c>
      <c r="C78" s="257" t="s">
        <v>204</v>
      </c>
      <c r="D78" s="530" t="s">
        <v>6214</v>
      </c>
      <c r="E78" s="530" t="s">
        <v>69</v>
      </c>
      <c r="F78" s="530">
        <v>50</v>
      </c>
      <c r="G78" s="530" t="s">
        <v>143</v>
      </c>
      <c r="H78" s="530">
        <v>5</v>
      </c>
      <c r="I78" s="530"/>
      <c r="J78" s="530" t="s">
        <v>6216</v>
      </c>
      <c r="K78" s="530" t="s">
        <v>6231</v>
      </c>
      <c r="L78" s="530" t="s">
        <v>6232</v>
      </c>
      <c r="M78" s="228" t="s">
        <v>6233</v>
      </c>
      <c r="N78" s="530" t="s">
        <v>184</v>
      </c>
    </row>
    <row r="79" spans="1:14" ht="28.5">
      <c r="A79" s="257" t="s">
        <v>207</v>
      </c>
      <c r="B79" s="531" t="s">
        <v>172</v>
      </c>
      <c r="C79" s="257" t="s">
        <v>204</v>
      </c>
      <c r="D79" s="530" t="s">
        <v>6214</v>
      </c>
      <c r="E79" s="530" t="s">
        <v>63</v>
      </c>
      <c r="F79" s="530">
        <v>70</v>
      </c>
      <c r="G79" s="530" t="s">
        <v>143</v>
      </c>
      <c r="H79" s="530">
        <v>5</v>
      </c>
      <c r="I79" s="530"/>
      <c r="J79" s="530" t="s">
        <v>6216</v>
      </c>
      <c r="K79" s="530" t="s">
        <v>6211</v>
      </c>
      <c r="L79" s="530" t="s">
        <v>6218</v>
      </c>
      <c r="M79" s="228" t="s">
        <v>6245</v>
      </c>
      <c r="N79" s="530" t="s">
        <v>184</v>
      </c>
    </row>
    <row r="80" spans="1:14" ht="28.5">
      <c r="A80" s="257" t="s">
        <v>207</v>
      </c>
      <c r="B80" s="531" t="s">
        <v>172</v>
      </c>
      <c r="C80" s="257" t="s">
        <v>204</v>
      </c>
      <c r="D80" s="530" t="s">
        <v>6214</v>
      </c>
      <c r="E80" s="530" t="s">
        <v>66</v>
      </c>
      <c r="F80" s="530">
        <v>800</v>
      </c>
      <c r="G80" s="530" t="s">
        <v>143</v>
      </c>
      <c r="H80" s="530">
        <v>5</v>
      </c>
      <c r="I80" s="530"/>
      <c r="J80" s="530" t="s">
        <v>6216</v>
      </c>
      <c r="K80" s="530" t="s">
        <v>6220</v>
      </c>
      <c r="L80" s="530" t="s">
        <v>6212</v>
      </c>
      <c r="M80" s="228" t="s">
        <v>6235</v>
      </c>
      <c r="N80" s="530" t="s">
        <v>138</v>
      </c>
    </row>
    <row r="81" spans="1:14" ht="28.5">
      <c r="A81" s="257" t="s">
        <v>207</v>
      </c>
      <c r="B81" s="531" t="s">
        <v>172</v>
      </c>
      <c r="C81" s="257" t="s">
        <v>204</v>
      </c>
      <c r="D81" s="530" t="s">
        <v>6214</v>
      </c>
      <c r="E81" s="530" t="s">
        <v>72</v>
      </c>
      <c r="F81" s="530">
        <v>1000</v>
      </c>
      <c r="G81" s="530" t="s">
        <v>143</v>
      </c>
      <c r="H81" s="530">
        <v>5</v>
      </c>
      <c r="I81" s="530"/>
      <c r="J81" s="530" t="s">
        <v>6216</v>
      </c>
      <c r="K81" s="530" t="s">
        <v>6231</v>
      </c>
      <c r="L81" s="530" t="s">
        <v>6232</v>
      </c>
      <c r="M81" s="228" t="s">
        <v>6236</v>
      </c>
      <c r="N81" s="530" t="s">
        <v>138</v>
      </c>
    </row>
    <row r="82" spans="1:14" ht="28.5">
      <c r="A82" s="257" t="s">
        <v>210</v>
      </c>
      <c r="B82" s="531" t="s">
        <v>172</v>
      </c>
      <c r="C82" s="257" t="s">
        <v>212</v>
      </c>
      <c r="D82" s="530" t="s">
        <v>6214</v>
      </c>
      <c r="E82" s="530" t="s">
        <v>72</v>
      </c>
      <c r="F82" s="530">
        <v>500</v>
      </c>
      <c r="G82" s="530" t="s">
        <v>143</v>
      </c>
      <c r="H82" s="530">
        <v>5</v>
      </c>
      <c r="I82" s="530"/>
      <c r="J82" s="530" t="s">
        <v>6210</v>
      </c>
      <c r="K82" s="530" t="s">
        <v>6211</v>
      </c>
      <c r="L82" s="530" t="s">
        <v>6212</v>
      </c>
      <c r="M82" s="228" t="s">
        <v>6237</v>
      </c>
      <c r="N82" s="530" t="s">
        <v>184</v>
      </c>
    </row>
    <row r="83" spans="1:14" ht="42.75">
      <c r="A83" s="257" t="s">
        <v>210</v>
      </c>
      <c r="B83" s="531" t="s">
        <v>172</v>
      </c>
      <c r="C83" s="257" t="s">
        <v>212</v>
      </c>
      <c r="D83" s="530" t="s">
        <v>6214</v>
      </c>
      <c r="E83" s="530" t="s">
        <v>66</v>
      </c>
      <c r="F83" s="530">
        <v>200</v>
      </c>
      <c r="G83" s="530" t="s">
        <v>143</v>
      </c>
      <c r="H83" s="530">
        <v>5</v>
      </c>
      <c r="I83" s="530"/>
      <c r="J83" s="530" t="s">
        <v>6210</v>
      </c>
      <c r="K83" s="530" t="s">
        <v>6217</v>
      </c>
      <c r="L83" s="530" t="s">
        <v>6218</v>
      </c>
      <c r="M83" s="228" t="s">
        <v>6238</v>
      </c>
      <c r="N83" s="530">
        <v>0</v>
      </c>
    </row>
    <row r="84" spans="1:14" ht="28.5">
      <c r="A84" s="257" t="s">
        <v>214</v>
      </c>
      <c r="B84" s="531" t="s">
        <v>172</v>
      </c>
      <c r="C84" s="257" t="s">
        <v>216</v>
      </c>
      <c r="D84" s="530" t="s">
        <v>6214</v>
      </c>
      <c r="E84" s="530" t="s">
        <v>66</v>
      </c>
      <c r="F84" s="530">
        <v>8</v>
      </c>
      <c r="G84" s="530" t="s">
        <v>165</v>
      </c>
      <c r="H84" s="530">
        <v>5</v>
      </c>
      <c r="I84" s="530"/>
      <c r="J84" s="530" t="s">
        <v>6210</v>
      </c>
      <c r="K84" s="530" t="s">
        <v>6211</v>
      </c>
      <c r="L84" s="530" t="s">
        <v>6212</v>
      </c>
      <c r="M84" s="228" t="s">
        <v>6239</v>
      </c>
      <c r="N84" s="530">
        <v>0</v>
      </c>
    </row>
    <row r="85" spans="1:14" ht="28.5">
      <c r="A85" s="257" t="s">
        <v>214</v>
      </c>
      <c r="B85" s="531" t="s">
        <v>172</v>
      </c>
      <c r="C85" s="257" t="s">
        <v>216</v>
      </c>
      <c r="D85" s="530" t="s">
        <v>6214</v>
      </c>
      <c r="E85" s="530" t="s">
        <v>72</v>
      </c>
      <c r="F85" s="530">
        <v>12</v>
      </c>
      <c r="G85" s="530" t="s">
        <v>165</v>
      </c>
      <c r="H85" s="530">
        <v>5</v>
      </c>
      <c r="I85" s="530"/>
      <c r="J85" s="530" t="s">
        <v>6210</v>
      </c>
      <c r="K85" s="530" t="s">
        <v>6231</v>
      </c>
      <c r="L85" s="530" t="s">
        <v>6232</v>
      </c>
      <c r="M85" s="228" t="s">
        <v>6239</v>
      </c>
      <c r="N85" s="530">
        <v>0</v>
      </c>
    </row>
    <row r="86" spans="1:14" ht="28.5">
      <c r="A86" s="257" t="s">
        <v>218</v>
      </c>
      <c r="B86" s="531" t="s">
        <v>172</v>
      </c>
      <c r="C86" s="257" t="s">
        <v>220</v>
      </c>
      <c r="D86" s="530" t="s">
        <v>6214</v>
      </c>
      <c r="E86" s="530" t="s">
        <v>66</v>
      </c>
      <c r="F86" s="530">
        <v>4</v>
      </c>
      <c r="G86" s="530" t="s">
        <v>165</v>
      </c>
      <c r="H86" s="530">
        <v>5</v>
      </c>
      <c r="I86" s="530"/>
      <c r="J86" s="530" t="s">
        <v>6210</v>
      </c>
      <c r="K86" s="530" t="s">
        <v>6211</v>
      </c>
      <c r="L86" s="530" t="s">
        <v>6212</v>
      </c>
      <c r="M86" s="228" t="s">
        <v>6240</v>
      </c>
      <c r="N86" s="530">
        <v>0</v>
      </c>
    </row>
    <row r="87" spans="1:14" ht="28.5">
      <c r="A87" s="257" t="s">
        <v>218</v>
      </c>
      <c r="B87" s="531" t="s">
        <v>172</v>
      </c>
      <c r="C87" s="257" t="s">
        <v>220</v>
      </c>
      <c r="D87" s="530" t="s">
        <v>6214</v>
      </c>
      <c r="E87" s="530" t="s">
        <v>72</v>
      </c>
      <c r="F87" s="530">
        <v>7.1</v>
      </c>
      <c r="G87" s="530" t="s">
        <v>165</v>
      </c>
      <c r="H87" s="530">
        <v>5</v>
      </c>
      <c r="I87" s="530"/>
      <c r="J87" s="530" t="s">
        <v>6210</v>
      </c>
      <c r="K87" s="530" t="s">
        <v>6231</v>
      </c>
      <c r="L87" s="530" t="s">
        <v>6232</v>
      </c>
      <c r="M87" s="228" t="s">
        <v>6240</v>
      </c>
      <c r="N87" s="530">
        <v>0</v>
      </c>
    </row>
    <row r="88" spans="1:14" ht="28.5">
      <c r="A88" s="257" t="s">
        <v>4605</v>
      </c>
      <c r="B88" s="531" t="s">
        <v>223</v>
      </c>
      <c r="C88" s="257" t="s">
        <v>4766</v>
      </c>
      <c r="D88" s="530" t="s">
        <v>6214</v>
      </c>
      <c r="E88" s="530" t="s">
        <v>63</v>
      </c>
      <c r="F88" s="738">
        <v>40</v>
      </c>
      <c r="G88" s="530" t="s">
        <v>6225</v>
      </c>
      <c r="H88" s="530">
        <v>5</v>
      </c>
      <c r="I88" s="530"/>
      <c r="J88" s="530" t="s">
        <v>6216</v>
      </c>
      <c r="K88" s="530" t="s">
        <v>6220</v>
      </c>
      <c r="L88" s="530" t="s">
        <v>6212</v>
      </c>
      <c r="M88" s="228" t="s">
        <v>6226</v>
      </c>
      <c r="N88" s="530">
        <v>0</v>
      </c>
    </row>
    <row r="89" spans="1:14" ht="28.5">
      <c r="A89" s="257" t="s">
        <v>4605</v>
      </c>
      <c r="B89" s="531" t="s">
        <v>223</v>
      </c>
      <c r="C89" s="257" t="s">
        <v>4766</v>
      </c>
      <c r="D89" s="530" t="s">
        <v>6214</v>
      </c>
      <c r="E89" s="530" t="s">
        <v>66</v>
      </c>
      <c r="F89" s="738">
        <v>103</v>
      </c>
      <c r="G89" s="530" t="s">
        <v>6225</v>
      </c>
      <c r="H89" s="530">
        <v>5</v>
      </c>
      <c r="I89" s="530"/>
      <c r="J89" s="530" t="s">
        <v>6216</v>
      </c>
      <c r="K89" s="530" t="s">
        <v>6211</v>
      </c>
      <c r="L89" s="530" t="s">
        <v>6218</v>
      </c>
      <c r="M89" s="228" t="s">
        <v>6226</v>
      </c>
      <c r="N89" s="530">
        <v>0</v>
      </c>
    </row>
    <row r="90" spans="1:14" ht="28.5">
      <c r="A90" s="257" t="s">
        <v>222</v>
      </c>
      <c r="B90" s="531" t="s">
        <v>223</v>
      </c>
      <c r="C90" s="257" t="s">
        <v>225</v>
      </c>
      <c r="D90" s="530" t="s">
        <v>6214</v>
      </c>
      <c r="E90" s="530" t="s">
        <v>63</v>
      </c>
      <c r="F90" s="530">
        <v>90</v>
      </c>
      <c r="G90" s="530" t="s">
        <v>143</v>
      </c>
      <c r="H90" s="530">
        <v>5</v>
      </c>
      <c r="I90" s="530" t="s">
        <v>144</v>
      </c>
      <c r="J90" s="530" t="s">
        <v>6216</v>
      </c>
      <c r="K90" s="530" t="s">
        <v>6211</v>
      </c>
      <c r="L90" s="530" t="s">
        <v>6218</v>
      </c>
      <c r="M90" s="228" t="s">
        <v>6227</v>
      </c>
      <c r="N90" s="530">
        <v>0</v>
      </c>
    </row>
    <row r="91" spans="1:14" ht="28.35" customHeight="1">
      <c r="A91" s="257" t="s">
        <v>222</v>
      </c>
      <c r="B91" s="531" t="s">
        <v>223</v>
      </c>
      <c r="C91" s="257" t="s">
        <v>225</v>
      </c>
      <c r="D91" s="530" t="s">
        <v>6214</v>
      </c>
      <c r="E91" s="530" t="s">
        <v>66</v>
      </c>
      <c r="F91" s="530">
        <v>130</v>
      </c>
      <c r="G91" s="530" t="s">
        <v>143</v>
      </c>
      <c r="H91" s="530">
        <v>5</v>
      </c>
      <c r="I91" s="530" t="s">
        <v>144</v>
      </c>
      <c r="J91" s="530" t="s">
        <v>6216</v>
      </c>
      <c r="K91" s="530" t="s">
        <v>6211</v>
      </c>
      <c r="L91" s="530" t="s">
        <v>6218</v>
      </c>
      <c r="M91" s="228" t="s">
        <v>6228</v>
      </c>
      <c r="N91" s="530">
        <v>0</v>
      </c>
    </row>
    <row r="92" spans="1:14" ht="28.5">
      <c r="A92" s="257" t="s">
        <v>4768</v>
      </c>
      <c r="B92" s="531" t="s">
        <v>223</v>
      </c>
      <c r="C92" s="257" t="s">
        <v>4770</v>
      </c>
      <c r="D92" s="530" t="s">
        <v>6214</v>
      </c>
      <c r="E92" s="530" t="s">
        <v>63</v>
      </c>
      <c r="F92" s="530">
        <v>50</v>
      </c>
      <c r="G92" s="530" t="s">
        <v>778</v>
      </c>
      <c r="H92" s="530">
        <v>5</v>
      </c>
      <c r="I92" s="530"/>
      <c r="J92" s="530" t="s">
        <v>6216</v>
      </c>
      <c r="K92" s="530" t="s">
        <v>6217</v>
      </c>
      <c r="L92" s="530" t="s">
        <v>6218</v>
      </c>
      <c r="M92" s="228" t="s">
        <v>6229</v>
      </c>
      <c r="N92" s="530" t="s">
        <v>184</v>
      </c>
    </row>
    <row r="93" spans="1:14" ht="28.5">
      <c r="A93" s="257" t="s">
        <v>4768</v>
      </c>
      <c r="B93" s="531" t="s">
        <v>223</v>
      </c>
      <c r="C93" s="257" t="s">
        <v>4770</v>
      </c>
      <c r="D93" s="530" t="s">
        <v>6214</v>
      </c>
      <c r="E93" s="530" t="s">
        <v>66</v>
      </c>
      <c r="F93" s="530">
        <v>450</v>
      </c>
      <c r="G93" s="530" t="s">
        <v>778</v>
      </c>
      <c r="H93" s="530">
        <v>5</v>
      </c>
      <c r="I93" s="530"/>
      <c r="J93" s="530" t="s">
        <v>6216</v>
      </c>
      <c r="K93" s="530" t="s">
        <v>6217</v>
      </c>
      <c r="L93" s="530" t="s">
        <v>6218</v>
      </c>
      <c r="M93" s="228" t="s">
        <v>6229</v>
      </c>
      <c r="N93" s="530" t="s">
        <v>184</v>
      </c>
    </row>
    <row r="94" spans="1:14" ht="28.5">
      <c r="A94" s="257" t="s">
        <v>227</v>
      </c>
      <c r="B94" s="531" t="s">
        <v>223</v>
      </c>
      <c r="C94" s="257" t="s">
        <v>229</v>
      </c>
      <c r="D94" s="530" t="s">
        <v>6214</v>
      </c>
      <c r="E94" s="530" t="s">
        <v>66</v>
      </c>
      <c r="F94" s="530">
        <v>80</v>
      </c>
      <c r="G94" s="530" t="s">
        <v>1181</v>
      </c>
      <c r="H94" s="530">
        <v>5</v>
      </c>
      <c r="I94" s="530"/>
      <c r="J94" s="530" t="s">
        <v>6210</v>
      </c>
      <c r="K94" s="530" t="s">
        <v>6211</v>
      </c>
      <c r="L94" s="530" t="s">
        <v>6212</v>
      </c>
      <c r="M94" s="228" t="s">
        <v>6244</v>
      </c>
      <c r="N94" s="530" t="s">
        <v>184</v>
      </c>
    </row>
    <row r="95" spans="1:14" ht="28.5">
      <c r="A95" s="257" t="s">
        <v>227</v>
      </c>
      <c r="B95" s="531" t="s">
        <v>223</v>
      </c>
      <c r="C95" s="257" t="s">
        <v>229</v>
      </c>
      <c r="D95" s="530" t="s">
        <v>6214</v>
      </c>
      <c r="E95" s="530" t="s">
        <v>72</v>
      </c>
      <c r="F95" s="530">
        <v>90</v>
      </c>
      <c r="G95" s="530" t="s">
        <v>1181</v>
      </c>
      <c r="H95" s="530">
        <v>5</v>
      </c>
      <c r="I95" s="530"/>
      <c r="J95" s="530" t="s">
        <v>6210</v>
      </c>
      <c r="K95" s="530" t="s">
        <v>6231</v>
      </c>
      <c r="L95" s="530" t="s">
        <v>6232</v>
      </c>
      <c r="M95" s="228" t="s">
        <v>6244</v>
      </c>
      <c r="N95" s="530" t="s">
        <v>184</v>
      </c>
    </row>
    <row r="96" spans="1:14" ht="28.5">
      <c r="A96" s="257" t="s">
        <v>232</v>
      </c>
      <c r="B96" s="531" t="s">
        <v>223</v>
      </c>
      <c r="C96" s="257" t="s">
        <v>229</v>
      </c>
      <c r="D96" s="530" t="s">
        <v>6214</v>
      </c>
      <c r="E96" s="530" t="s">
        <v>69</v>
      </c>
      <c r="F96" s="530">
        <v>50</v>
      </c>
      <c r="G96" s="530" t="s">
        <v>143</v>
      </c>
      <c r="H96" s="530">
        <v>5</v>
      </c>
      <c r="I96" s="530"/>
      <c r="J96" s="530" t="s">
        <v>6216</v>
      </c>
      <c r="K96" s="530" t="s">
        <v>6231</v>
      </c>
      <c r="L96" s="530" t="s">
        <v>6232</v>
      </c>
      <c r="M96" s="228" t="s">
        <v>6233</v>
      </c>
      <c r="N96" s="530" t="s">
        <v>184</v>
      </c>
    </row>
    <row r="97" spans="1:14" ht="28.5">
      <c r="A97" s="257" t="s">
        <v>232</v>
      </c>
      <c r="B97" s="531" t="s">
        <v>223</v>
      </c>
      <c r="C97" s="257" t="s">
        <v>229</v>
      </c>
      <c r="D97" s="530" t="s">
        <v>6214</v>
      </c>
      <c r="E97" s="530" t="s">
        <v>63</v>
      </c>
      <c r="F97" s="530">
        <v>70</v>
      </c>
      <c r="G97" s="530" t="s">
        <v>143</v>
      </c>
      <c r="H97" s="530">
        <v>5</v>
      </c>
      <c r="I97" s="530"/>
      <c r="J97" s="530" t="s">
        <v>6216</v>
      </c>
      <c r="K97" s="530" t="s">
        <v>6211</v>
      </c>
      <c r="L97" s="530" t="s">
        <v>6218</v>
      </c>
      <c r="M97" s="228" t="s">
        <v>6245</v>
      </c>
      <c r="N97" s="530" t="s">
        <v>184</v>
      </c>
    </row>
    <row r="98" spans="1:14" ht="28.5">
      <c r="A98" s="257" t="s">
        <v>232</v>
      </c>
      <c r="B98" s="531" t="s">
        <v>223</v>
      </c>
      <c r="C98" s="257" t="s">
        <v>229</v>
      </c>
      <c r="D98" s="530" t="s">
        <v>6214</v>
      </c>
      <c r="E98" s="530" t="s">
        <v>66</v>
      </c>
      <c r="F98" s="530">
        <v>800</v>
      </c>
      <c r="G98" s="530" t="s">
        <v>143</v>
      </c>
      <c r="H98" s="530">
        <v>5</v>
      </c>
      <c r="I98" s="530"/>
      <c r="J98" s="530" t="s">
        <v>6216</v>
      </c>
      <c r="K98" s="530" t="s">
        <v>6220</v>
      </c>
      <c r="L98" s="530" t="s">
        <v>6212</v>
      </c>
      <c r="M98" s="228" t="s">
        <v>6235</v>
      </c>
      <c r="N98" s="530" t="s">
        <v>138</v>
      </c>
    </row>
    <row r="99" spans="1:14" ht="28.35" customHeight="1">
      <c r="A99" s="257" t="s">
        <v>232</v>
      </c>
      <c r="B99" s="531" t="s">
        <v>223</v>
      </c>
      <c r="C99" s="257" t="s">
        <v>229</v>
      </c>
      <c r="D99" s="530" t="s">
        <v>6214</v>
      </c>
      <c r="E99" s="530" t="s">
        <v>72</v>
      </c>
      <c r="F99" s="530">
        <v>1000</v>
      </c>
      <c r="G99" s="530" t="s">
        <v>143</v>
      </c>
      <c r="H99" s="530">
        <v>5</v>
      </c>
      <c r="I99" s="530"/>
      <c r="J99" s="530" t="s">
        <v>6216</v>
      </c>
      <c r="K99" s="530" t="s">
        <v>6231</v>
      </c>
      <c r="L99" s="530" t="s">
        <v>6232</v>
      </c>
      <c r="M99" s="228" t="s">
        <v>6236</v>
      </c>
      <c r="N99" s="530" t="s">
        <v>138</v>
      </c>
    </row>
    <row r="100" spans="1:14" ht="28.5">
      <c r="A100" s="257" t="s">
        <v>235</v>
      </c>
      <c r="B100" s="531" t="s">
        <v>223</v>
      </c>
      <c r="C100" s="257" t="s">
        <v>237</v>
      </c>
      <c r="D100" s="530" t="s">
        <v>6214</v>
      </c>
      <c r="E100" s="530" t="s">
        <v>72</v>
      </c>
      <c r="F100" s="530">
        <v>500</v>
      </c>
      <c r="G100" s="530" t="s">
        <v>143</v>
      </c>
      <c r="H100" s="530">
        <v>5</v>
      </c>
      <c r="I100" s="530"/>
      <c r="J100" s="530" t="s">
        <v>6210</v>
      </c>
      <c r="K100" s="530" t="s">
        <v>6211</v>
      </c>
      <c r="L100" s="530" t="s">
        <v>6212</v>
      </c>
      <c r="M100" s="228" t="s">
        <v>6237</v>
      </c>
      <c r="N100" s="530" t="s">
        <v>184</v>
      </c>
    </row>
    <row r="101" spans="1:14" ht="42.75">
      <c r="A101" s="257" t="s">
        <v>235</v>
      </c>
      <c r="B101" s="531" t="s">
        <v>223</v>
      </c>
      <c r="C101" s="257" t="s">
        <v>237</v>
      </c>
      <c r="D101" s="530" t="s">
        <v>6214</v>
      </c>
      <c r="E101" s="530" t="s">
        <v>66</v>
      </c>
      <c r="F101" s="530">
        <v>200</v>
      </c>
      <c r="G101" s="530" t="s">
        <v>143</v>
      </c>
      <c r="H101" s="530">
        <v>5</v>
      </c>
      <c r="I101" s="530"/>
      <c r="J101" s="530" t="s">
        <v>6210</v>
      </c>
      <c r="K101" s="530" t="s">
        <v>6217</v>
      </c>
      <c r="L101" s="530" t="s">
        <v>6218</v>
      </c>
      <c r="M101" s="228" t="s">
        <v>6238</v>
      </c>
      <c r="N101" s="530">
        <v>0</v>
      </c>
    </row>
    <row r="102" spans="1:14" ht="28.5">
      <c r="A102" s="257" t="s">
        <v>239</v>
      </c>
      <c r="B102" s="531" t="s">
        <v>223</v>
      </c>
      <c r="C102" s="257" t="s">
        <v>241</v>
      </c>
      <c r="D102" s="530" t="s">
        <v>6214</v>
      </c>
      <c r="E102" s="530" t="s">
        <v>66</v>
      </c>
      <c r="F102" s="530">
        <v>8</v>
      </c>
      <c r="G102" s="530" t="s">
        <v>165</v>
      </c>
      <c r="H102" s="530">
        <v>5</v>
      </c>
      <c r="I102" s="530"/>
      <c r="J102" s="530" t="s">
        <v>6210</v>
      </c>
      <c r="K102" s="530" t="s">
        <v>6211</v>
      </c>
      <c r="L102" s="530" t="s">
        <v>6212</v>
      </c>
      <c r="M102" s="228" t="s">
        <v>6239</v>
      </c>
      <c r="N102" s="530">
        <v>0</v>
      </c>
    </row>
    <row r="103" spans="1:14" ht="28.5">
      <c r="A103" s="257" t="s">
        <v>239</v>
      </c>
      <c r="B103" s="531" t="s">
        <v>223</v>
      </c>
      <c r="C103" s="257" t="s">
        <v>241</v>
      </c>
      <c r="D103" s="530" t="s">
        <v>6214</v>
      </c>
      <c r="E103" s="530" t="s">
        <v>72</v>
      </c>
      <c r="F103" s="530">
        <v>12</v>
      </c>
      <c r="G103" s="530" t="s">
        <v>165</v>
      </c>
      <c r="H103" s="530">
        <v>5</v>
      </c>
      <c r="I103" s="530"/>
      <c r="J103" s="530" t="s">
        <v>6210</v>
      </c>
      <c r="K103" s="530" t="s">
        <v>6231</v>
      </c>
      <c r="L103" s="530" t="s">
        <v>6232</v>
      </c>
      <c r="M103" s="228" t="s">
        <v>6239</v>
      </c>
      <c r="N103" s="530">
        <v>0</v>
      </c>
    </row>
    <row r="104" spans="1:14" ht="28.5">
      <c r="A104" s="257" t="s">
        <v>243</v>
      </c>
      <c r="B104" s="531" t="s">
        <v>223</v>
      </c>
      <c r="C104" s="257" t="s">
        <v>245</v>
      </c>
      <c r="D104" s="530" t="s">
        <v>6214</v>
      </c>
      <c r="E104" s="530" t="s">
        <v>66</v>
      </c>
      <c r="F104" s="530">
        <v>4</v>
      </c>
      <c r="G104" s="530" t="s">
        <v>165</v>
      </c>
      <c r="H104" s="530">
        <v>5</v>
      </c>
      <c r="I104" s="530"/>
      <c r="J104" s="530" t="s">
        <v>6210</v>
      </c>
      <c r="K104" s="530" t="s">
        <v>6211</v>
      </c>
      <c r="L104" s="530" t="s">
        <v>6212</v>
      </c>
      <c r="M104" s="228" t="s">
        <v>6240</v>
      </c>
      <c r="N104" s="530">
        <v>0</v>
      </c>
    </row>
    <row r="105" spans="1:14" ht="28.5">
      <c r="A105" s="257" t="s">
        <v>243</v>
      </c>
      <c r="B105" s="531" t="s">
        <v>223</v>
      </c>
      <c r="C105" s="257" t="s">
        <v>245</v>
      </c>
      <c r="D105" s="530" t="s">
        <v>6214</v>
      </c>
      <c r="E105" s="530" t="s">
        <v>72</v>
      </c>
      <c r="F105" s="530">
        <v>7.1</v>
      </c>
      <c r="G105" s="530" t="s">
        <v>165</v>
      </c>
      <c r="H105" s="530">
        <v>5</v>
      </c>
      <c r="I105" s="530"/>
      <c r="J105" s="530" t="s">
        <v>6210</v>
      </c>
      <c r="K105" s="530" t="s">
        <v>6231</v>
      </c>
      <c r="L105" s="530" t="s">
        <v>6232</v>
      </c>
      <c r="M105" s="228" t="s">
        <v>6240</v>
      </c>
      <c r="N105" s="530">
        <v>0</v>
      </c>
    </row>
    <row r="106" spans="1:14" ht="28.5">
      <c r="A106" s="257" t="s">
        <v>4616</v>
      </c>
      <c r="B106" s="531" t="s">
        <v>223</v>
      </c>
      <c r="C106" s="257" t="s">
        <v>4773</v>
      </c>
      <c r="D106" s="530" t="s">
        <v>6214</v>
      </c>
      <c r="E106" s="530" t="s">
        <v>63</v>
      </c>
      <c r="F106" s="738">
        <v>40</v>
      </c>
      <c r="G106" s="530" t="s">
        <v>6225</v>
      </c>
      <c r="H106" s="530">
        <v>5</v>
      </c>
      <c r="I106" s="530"/>
      <c r="J106" s="530" t="s">
        <v>6216</v>
      </c>
      <c r="K106" s="530" t="s">
        <v>6220</v>
      </c>
      <c r="L106" s="530" t="s">
        <v>6212</v>
      </c>
      <c r="M106" s="228" t="s">
        <v>6226</v>
      </c>
      <c r="N106" s="530">
        <v>0</v>
      </c>
    </row>
    <row r="107" spans="1:14" ht="28.5">
      <c r="A107" s="257" t="s">
        <v>4616</v>
      </c>
      <c r="B107" s="531" t="s">
        <v>223</v>
      </c>
      <c r="C107" s="257" t="s">
        <v>4773</v>
      </c>
      <c r="D107" s="530" t="s">
        <v>6214</v>
      </c>
      <c r="E107" s="530" t="s">
        <v>66</v>
      </c>
      <c r="F107" s="738">
        <v>103</v>
      </c>
      <c r="G107" s="530" t="s">
        <v>6225</v>
      </c>
      <c r="H107" s="530">
        <v>5</v>
      </c>
      <c r="I107" s="530"/>
      <c r="J107" s="530" t="s">
        <v>6216</v>
      </c>
      <c r="K107" s="530" t="s">
        <v>6211</v>
      </c>
      <c r="L107" s="530" t="s">
        <v>6218</v>
      </c>
      <c r="M107" s="228" t="s">
        <v>6226</v>
      </c>
      <c r="N107" s="530">
        <v>0</v>
      </c>
    </row>
    <row r="108" spans="1:14" ht="28.5">
      <c r="A108" s="257" t="s">
        <v>247</v>
      </c>
      <c r="B108" s="531" t="s">
        <v>223</v>
      </c>
      <c r="C108" s="257" t="s">
        <v>249</v>
      </c>
      <c r="D108" s="530" t="s">
        <v>6214</v>
      </c>
      <c r="E108" s="530" t="s">
        <v>63</v>
      </c>
      <c r="F108" s="530">
        <v>90</v>
      </c>
      <c r="G108" s="530" t="s">
        <v>143</v>
      </c>
      <c r="H108" s="530">
        <v>5</v>
      </c>
      <c r="I108" s="530" t="s">
        <v>144</v>
      </c>
      <c r="J108" s="530" t="s">
        <v>6216</v>
      </c>
      <c r="K108" s="530" t="s">
        <v>6211</v>
      </c>
      <c r="L108" s="530" t="s">
        <v>6218</v>
      </c>
      <c r="M108" s="228" t="s">
        <v>6227</v>
      </c>
      <c r="N108" s="530">
        <v>0</v>
      </c>
    </row>
    <row r="109" spans="1:14" ht="28.5">
      <c r="A109" s="257" t="s">
        <v>247</v>
      </c>
      <c r="B109" s="531" t="s">
        <v>223</v>
      </c>
      <c r="C109" s="257" t="s">
        <v>249</v>
      </c>
      <c r="D109" s="530" t="s">
        <v>6214</v>
      </c>
      <c r="E109" s="530" t="s">
        <v>66</v>
      </c>
      <c r="F109" s="530">
        <v>130</v>
      </c>
      <c r="G109" s="530" t="s">
        <v>143</v>
      </c>
      <c r="H109" s="530">
        <v>5</v>
      </c>
      <c r="I109" s="530" t="s">
        <v>144</v>
      </c>
      <c r="J109" s="530" t="s">
        <v>6216</v>
      </c>
      <c r="K109" s="530" t="s">
        <v>6211</v>
      </c>
      <c r="L109" s="530" t="s">
        <v>6218</v>
      </c>
      <c r="M109" s="228" t="s">
        <v>6228</v>
      </c>
      <c r="N109" s="530">
        <v>0</v>
      </c>
    </row>
    <row r="110" spans="1:14" ht="28.5">
      <c r="A110" s="257" t="s">
        <v>4775</v>
      </c>
      <c r="B110" s="531" t="s">
        <v>223</v>
      </c>
      <c r="C110" s="257" t="s">
        <v>4777</v>
      </c>
      <c r="D110" s="530" t="s">
        <v>6214</v>
      </c>
      <c r="E110" s="530" t="s">
        <v>63</v>
      </c>
      <c r="F110" s="530">
        <v>50</v>
      </c>
      <c r="G110" s="530" t="s">
        <v>778</v>
      </c>
      <c r="H110" s="530">
        <v>5</v>
      </c>
      <c r="I110" s="530"/>
      <c r="J110" s="530" t="s">
        <v>6216</v>
      </c>
      <c r="K110" s="530" t="s">
        <v>6217</v>
      </c>
      <c r="L110" s="530" t="s">
        <v>6218</v>
      </c>
      <c r="M110" s="228" t="s">
        <v>6229</v>
      </c>
      <c r="N110" s="530" t="s">
        <v>184</v>
      </c>
    </row>
    <row r="111" spans="1:14" ht="28.5">
      <c r="A111" s="257" t="s">
        <v>4775</v>
      </c>
      <c r="B111" s="531" t="s">
        <v>223</v>
      </c>
      <c r="C111" s="257" t="s">
        <v>4777</v>
      </c>
      <c r="D111" s="530" t="s">
        <v>6214</v>
      </c>
      <c r="E111" s="530" t="s">
        <v>66</v>
      </c>
      <c r="F111" s="530">
        <v>450</v>
      </c>
      <c r="G111" s="530" t="s">
        <v>778</v>
      </c>
      <c r="H111" s="530">
        <v>5</v>
      </c>
      <c r="I111" s="530"/>
      <c r="J111" s="530" t="s">
        <v>6216</v>
      </c>
      <c r="K111" s="530" t="s">
        <v>6217</v>
      </c>
      <c r="L111" s="530" t="s">
        <v>6218</v>
      </c>
      <c r="M111" s="228" t="s">
        <v>6229</v>
      </c>
      <c r="N111" s="530" t="s">
        <v>184</v>
      </c>
    </row>
    <row r="112" spans="1:14" ht="28.5">
      <c r="A112" s="257" t="s">
        <v>251</v>
      </c>
      <c r="B112" s="531" t="s">
        <v>132</v>
      </c>
      <c r="C112" s="257" t="s">
        <v>253</v>
      </c>
      <c r="D112" s="530" t="s">
        <v>6214</v>
      </c>
      <c r="E112" s="530" t="s">
        <v>66</v>
      </c>
      <c r="F112" s="530">
        <v>80</v>
      </c>
      <c r="G112" s="530" t="s">
        <v>1181</v>
      </c>
      <c r="H112" s="530">
        <v>5</v>
      </c>
      <c r="I112" s="530"/>
      <c r="J112" s="530" t="s">
        <v>6210</v>
      </c>
      <c r="K112" s="530" t="s">
        <v>6211</v>
      </c>
      <c r="L112" s="530" t="s">
        <v>6212</v>
      </c>
      <c r="M112" s="228" t="s">
        <v>6244</v>
      </c>
      <c r="N112" s="530" t="s">
        <v>184</v>
      </c>
    </row>
    <row r="113" spans="1:14" ht="28.5">
      <c r="A113" s="257" t="s">
        <v>251</v>
      </c>
      <c r="B113" s="531" t="s">
        <v>223</v>
      </c>
      <c r="C113" s="257" t="s">
        <v>253</v>
      </c>
      <c r="D113" s="530" t="s">
        <v>6214</v>
      </c>
      <c r="E113" s="530" t="s">
        <v>72</v>
      </c>
      <c r="F113" s="530">
        <v>90</v>
      </c>
      <c r="G113" s="530" t="s">
        <v>1181</v>
      </c>
      <c r="H113" s="530">
        <v>5</v>
      </c>
      <c r="I113" s="530"/>
      <c r="J113" s="530" t="s">
        <v>6210</v>
      </c>
      <c r="K113" s="530" t="s">
        <v>6231</v>
      </c>
      <c r="L113" s="530" t="s">
        <v>6232</v>
      </c>
      <c r="M113" s="228" t="s">
        <v>6244</v>
      </c>
      <c r="N113" s="530" t="s">
        <v>184</v>
      </c>
    </row>
    <row r="114" spans="1:14" ht="28.5">
      <c r="A114" s="257" t="s">
        <v>256</v>
      </c>
      <c r="B114" s="531" t="s">
        <v>223</v>
      </c>
      <c r="C114" s="257" t="s">
        <v>253</v>
      </c>
      <c r="D114" s="530" t="s">
        <v>6214</v>
      </c>
      <c r="E114" s="530" t="s">
        <v>69</v>
      </c>
      <c r="F114" s="530">
        <v>50</v>
      </c>
      <c r="G114" s="530" t="s">
        <v>143</v>
      </c>
      <c r="H114" s="530">
        <v>5</v>
      </c>
      <c r="I114" s="530"/>
      <c r="J114" s="530" t="s">
        <v>6216</v>
      </c>
      <c r="K114" s="530" t="s">
        <v>6231</v>
      </c>
      <c r="L114" s="530" t="s">
        <v>6232</v>
      </c>
      <c r="M114" s="228" t="s">
        <v>6233</v>
      </c>
      <c r="N114" s="530" t="s">
        <v>184</v>
      </c>
    </row>
    <row r="115" spans="1:14" ht="28.5">
      <c r="A115" s="257" t="s">
        <v>256</v>
      </c>
      <c r="B115" s="531" t="s">
        <v>223</v>
      </c>
      <c r="C115" s="257" t="s">
        <v>253</v>
      </c>
      <c r="D115" s="530" t="s">
        <v>6214</v>
      </c>
      <c r="E115" s="530" t="s">
        <v>63</v>
      </c>
      <c r="F115" s="530">
        <v>70</v>
      </c>
      <c r="G115" s="530" t="s">
        <v>143</v>
      </c>
      <c r="H115" s="530">
        <v>5</v>
      </c>
      <c r="I115" s="530"/>
      <c r="J115" s="530" t="s">
        <v>6216</v>
      </c>
      <c r="K115" s="530" t="s">
        <v>6211</v>
      </c>
      <c r="L115" s="530" t="s">
        <v>6218</v>
      </c>
      <c r="M115" s="228" t="s">
        <v>6245</v>
      </c>
      <c r="N115" s="530" t="s">
        <v>184</v>
      </c>
    </row>
    <row r="116" spans="1:14" ht="28.5">
      <c r="A116" s="257" t="s">
        <v>256</v>
      </c>
      <c r="B116" s="531" t="s">
        <v>223</v>
      </c>
      <c r="C116" s="257" t="s">
        <v>253</v>
      </c>
      <c r="D116" s="530" t="s">
        <v>6214</v>
      </c>
      <c r="E116" s="530" t="s">
        <v>66</v>
      </c>
      <c r="F116" s="530">
        <v>800</v>
      </c>
      <c r="G116" s="530" t="s">
        <v>143</v>
      </c>
      <c r="H116" s="530">
        <v>5</v>
      </c>
      <c r="I116" s="530"/>
      <c r="J116" s="530" t="s">
        <v>6216</v>
      </c>
      <c r="K116" s="530" t="s">
        <v>6220</v>
      </c>
      <c r="L116" s="530" t="s">
        <v>6212</v>
      </c>
      <c r="M116" s="228" t="s">
        <v>6235</v>
      </c>
      <c r="N116" s="530" t="s">
        <v>138</v>
      </c>
    </row>
    <row r="117" spans="1:14" ht="28.5">
      <c r="A117" s="257" t="s">
        <v>256</v>
      </c>
      <c r="B117" s="531" t="s">
        <v>223</v>
      </c>
      <c r="C117" s="257" t="s">
        <v>253</v>
      </c>
      <c r="D117" s="530" t="s">
        <v>6214</v>
      </c>
      <c r="E117" s="530" t="s">
        <v>72</v>
      </c>
      <c r="F117" s="530">
        <v>1000</v>
      </c>
      <c r="G117" s="530" t="s">
        <v>143</v>
      </c>
      <c r="H117" s="530">
        <v>5</v>
      </c>
      <c r="I117" s="530"/>
      <c r="J117" s="530" t="s">
        <v>6216</v>
      </c>
      <c r="K117" s="530" t="s">
        <v>6231</v>
      </c>
      <c r="L117" s="530" t="s">
        <v>6232</v>
      </c>
      <c r="M117" s="228" t="s">
        <v>6236</v>
      </c>
      <c r="N117" s="530" t="s">
        <v>138</v>
      </c>
    </row>
    <row r="118" spans="1:14" ht="28.5">
      <c r="A118" s="257" t="s">
        <v>260</v>
      </c>
      <c r="B118" s="531" t="s">
        <v>223</v>
      </c>
      <c r="C118" s="257" t="s">
        <v>262</v>
      </c>
      <c r="D118" s="530" t="s">
        <v>6214</v>
      </c>
      <c r="E118" s="530" t="s">
        <v>72</v>
      </c>
      <c r="F118" s="530">
        <v>500</v>
      </c>
      <c r="G118" s="530" t="s">
        <v>143</v>
      </c>
      <c r="H118" s="530">
        <v>5</v>
      </c>
      <c r="I118" s="530"/>
      <c r="J118" s="530" t="s">
        <v>6210</v>
      </c>
      <c r="K118" s="530" t="s">
        <v>6211</v>
      </c>
      <c r="L118" s="530" t="s">
        <v>6212</v>
      </c>
      <c r="M118" s="228" t="s">
        <v>6237</v>
      </c>
      <c r="N118" s="530" t="s">
        <v>184</v>
      </c>
    </row>
    <row r="119" spans="1:14" ht="42.75">
      <c r="A119" s="257" t="s">
        <v>260</v>
      </c>
      <c r="B119" s="531" t="s">
        <v>223</v>
      </c>
      <c r="C119" s="257" t="s">
        <v>262</v>
      </c>
      <c r="D119" s="530" t="s">
        <v>6214</v>
      </c>
      <c r="E119" s="530" t="s">
        <v>66</v>
      </c>
      <c r="F119" s="530">
        <v>200</v>
      </c>
      <c r="G119" s="530" t="s">
        <v>143</v>
      </c>
      <c r="H119" s="530">
        <v>5</v>
      </c>
      <c r="I119" s="530"/>
      <c r="J119" s="530" t="s">
        <v>6210</v>
      </c>
      <c r="K119" s="530" t="s">
        <v>6217</v>
      </c>
      <c r="L119" s="530" t="s">
        <v>6218</v>
      </c>
      <c r="M119" s="228" t="s">
        <v>6238</v>
      </c>
      <c r="N119" s="530">
        <v>0</v>
      </c>
    </row>
    <row r="120" spans="1:14" ht="28.5">
      <c r="A120" s="257" t="s">
        <v>264</v>
      </c>
      <c r="B120" s="531" t="s">
        <v>223</v>
      </c>
      <c r="C120" s="257" t="s">
        <v>266</v>
      </c>
      <c r="D120" s="530" t="s">
        <v>6214</v>
      </c>
      <c r="E120" s="530" t="s">
        <v>66</v>
      </c>
      <c r="F120" s="530">
        <v>8</v>
      </c>
      <c r="G120" s="530" t="s">
        <v>165</v>
      </c>
      <c r="H120" s="530">
        <v>5</v>
      </c>
      <c r="I120" s="530"/>
      <c r="J120" s="530" t="s">
        <v>6210</v>
      </c>
      <c r="K120" s="530" t="s">
        <v>6211</v>
      </c>
      <c r="L120" s="530" t="s">
        <v>6212</v>
      </c>
      <c r="M120" s="228" t="s">
        <v>6239</v>
      </c>
      <c r="N120" s="530">
        <v>0</v>
      </c>
    </row>
    <row r="121" spans="1:14" ht="28.5">
      <c r="A121" s="257" t="s">
        <v>264</v>
      </c>
      <c r="B121" s="531" t="s">
        <v>223</v>
      </c>
      <c r="C121" s="257" t="s">
        <v>266</v>
      </c>
      <c r="D121" s="530" t="s">
        <v>6214</v>
      </c>
      <c r="E121" s="530" t="s">
        <v>72</v>
      </c>
      <c r="F121" s="530">
        <v>12</v>
      </c>
      <c r="G121" s="530" t="s">
        <v>165</v>
      </c>
      <c r="H121" s="530">
        <v>5</v>
      </c>
      <c r="I121" s="530"/>
      <c r="J121" s="530" t="s">
        <v>6210</v>
      </c>
      <c r="K121" s="530" t="s">
        <v>6231</v>
      </c>
      <c r="L121" s="530" t="s">
        <v>6232</v>
      </c>
      <c r="M121" s="228" t="s">
        <v>6239</v>
      </c>
      <c r="N121" s="530">
        <v>0</v>
      </c>
    </row>
    <row r="122" spans="1:14" ht="28.5">
      <c r="A122" s="257" t="s">
        <v>268</v>
      </c>
      <c r="B122" s="531" t="s">
        <v>223</v>
      </c>
      <c r="C122" s="257" t="s">
        <v>270</v>
      </c>
      <c r="D122" s="530" t="s">
        <v>6214</v>
      </c>
      <c r="E122" s="530" t="s">
        <v>66</v>
      </c>
      <c r="F122" s="530">
        <v>4</v>
      </c>
      <c r="G122" s="530" t="s">
        <v>165</v>
      </c>
      <c r="H122" s="530">
        <v>5</v>
      </c>
      <c r="I122" s="530"/>
      <c r="J122" s="530" t="s">
        <v>6210</v>
      </c>
      <c r="K122" s="530" t="s">
        <v>6211</v>
      </c>
      <c r="L122" s="530" t="s">
        <v>6212</v>
      </c>
      <c r="M122" s="228" t="s">
        <v>6240</v>
      </c>
      <c r="N122" s="530">
        <v>0</v>
      </c>
    </row>
    <row r="123" spans="1:14" ht="28.5">
      <c r="A123" s="257" t="s">
        <v>268</v>
      </c>
      <c r="B123" s="531" t="s">
        <v>223</v>
      </c>
      <c r="C123" s="257" t="s">
        <v>270</v>
      </c>
      <c r="D123" s="530" t="s">
        <v>6214</v>
      </c>
      <c r="E123" s="530" t="s">
        <v>72</v>
      </c>
      <c r="F123" s="530">
        <v>7.1</v>
      </c>
      <c r="G123" s="530" t="s">
        <v>165</v>
      </c>
      <c r="H123" s="530">
        <v>5</v>
      </c>
      <c r="I123" s="530"/>
      <c r="J123" s="530" t="s">
        <v>6210</v>
      </c>
      <c r="K123" s="530" t="s">
        <v>6231</v>
      </c>
      <c r="L123" s="530" t="s">
        <v>6232</v>
      </c>
      <c r="M123" s="228" t="s">
        <v>6240</v>
      </c>
      <c r="N123" s="530">
        <v>0</v>
      </c>
    </row>
    <row r="124" spans="1:14" ht="28.5">
      <c r="A124" s="741" t="s">
        <v>2868</v>
      </c>
      <c r="B124" s="531" t="s">
        <v>745</v>
      </c>
      <c r="C124" s="257" t="s">
        <v>2870</v>
      </c>
      <c r="D124" s="530" t="s">
        <v>6209</v>
      </c>
      <c r="E124" s="530" t="s">
        <v>2095</v>
      </c>
      <c r="F124" s="530"/>
      <c r="G124" s="530"/>
      <c r="H124" s="530">
        <v>0</v>
      </c>
      <c r="I124" s="530"/>
      <c r="J124" s="530" t="s">
        <v>6216</v>
      </c>
      <c r="K124" s="530" t="s">
        <v>6231</v>
      </c>
      <c r="L124" s="530" t="s">
        <v>6232</v>
      </c>
      <c r="M124" s="228" t="s">
        <v>6222</v>
      </c>
      <c r="N124" s="742">
        <v>2</v>
      </c>
    </row>
    <row r="125" spans="1:14" ht="28.5">
      <c r="A125" s="257" t="s">
        <v>4627</v>
      </c>
      <c r="B125" s="531" t="s">
        <v>223</v>
      </c>
      <c r="C125" s="257" t="s">
        <v>4780</v>
      </c>
      <c r="D125" s="530" t="s">
        <v>6214</v>
      </c>
      <c r="E125" s="530" t="s">
        <v>63</v>
      </c>
      <c r="F125" s="738">
        <v>40</v>
      </c>
      <c r="G125" s="530" t="s">
        <v>6225</v>
      </c>
      <c r="H125" s="530">
        <v>5</v>
      </c>
      <c r="I125" s="530"/>
      <c r="J125" s="530" t="s">
        <v>6216</v>
      </c>
      <c r="K125" s="530" t="s">
        <v>6220</v>
      </c>
      <c r="L125" s="530" t="s">
        <v>6212</v>
      </c>
      <c r="M125" s="228" t="s">
        <v>6226</v>
      </c>
      <c r="N125" s="530">
        <v>0</v>
      </c>
    </row>
    <row r="126" spans="1:14" ht="28.5">
      <c r="A126" s="257" t="s">
        <v>4627</v>
      </c>
      <c r="B126" s="531" t="s">
        <v>223</v>
      </c>
      <c r="C126" s="257" t="s">
        <v>4780</v>
      </c>
      <c r="D126" s="530" t="s">
        <v>6214</v>
      </c>
      <c r="E126" s="530" t="s">
        <v>66</v>
      </c>
      <c r="F126" s="738">
        <v>103</v>
      </c>
      <c r="G126" s="530" t="s">
        <v>6225</v>
      </c>
      <c r="H126" s="530">
        <v>5</v>
      </c>
      <c r="I126" s="530"/>
      <c r="J126" s="530" t="s">
        <v>6216</v>
      </c>
      <c r="K126" s="530" t="s">
        <v>6211</v>
      </c>
      <c r="L126" s="530" t="s">
        <v>6218</v>
      </c>
      <c r="M126" s="228" t="s">
        <v>6226</v>
      </c>
      <c r="N126" s="530">
        <v>0</v>
      </c>
    </row>
    <row r="127" spans="1:14" ht="28.5">
      <c r="A127" s="257" t="s">
        <v>272</v>
      </c>
      <c r="B127" s="531" t="s">
        <v>223</v>
      </c>
      <c r="C127" s="257" t="s">
        <v>274</v>
      </c>
      <c r="D127" s="530" t="s">
        <v>6214</v>
      </c>
      <c r="E127" s="530" t="s">
        <v>63</v>
      </c>
      <c r="F127" s="530">
        <v>90</v>
      </c>
      <c r="G127" s="530" t="s">
        <v>143</v>
      </c>
      <c r="H127" s="530">
        <v>5</v>
      </c>
      <c r="I127" s="530" t="s">
        <v>144</v>
      </c>
      <c r="J127" s="530" t="s">
        <v>6216</v>
      </c>
      <c r="K127" s="530" t="s">
        <v>6211</v>
      </c>
      <c r="L127" s="530" t="s">
        <v>6218</v>
      </c>
      <c r="M127" s="228" t="s">
        <v>6227</v>
      </c>
      <c r="N127" s="530">
        <v>0</v>
      </c>
    </row>
    <row r="128" spans="1:14" ht="28.5">
      <c r="A128" s="257" t="s">
        <v>272</v>
      </c>
      <c r="B128" s="531" t="s">
        <v>223</v>
      </c>
      <c r="C128" s="257" t="s">
        <v>274</v>
      </c>
      <c r="D128" s="530" t="s">
        <v>6214</v>
      </c>
      <c r="E128" s="530" t="s">
        <v>66</v>
      </c>
      <c r="F128" s="530">
        <v>130</v>
      </c>
      <c r="G128" s="530" t="s">
        <v>143</v>
      </c>
      <c r="H128" s="530">
        <v>5</v>
      </c>
      <c r="I128" s="530" t="s">
        <v>144</v>
      </c>
      <c r="J128" s="530" t="s">
        <v>6216</v>
      </c>
      <c r="K128" s="530" t="s">
        <v>6211</v>
      </c>
      <c r="L128" s="530" t="s">
        <v>6218</v>
      </c>
      <c r="M128" s="228" t="s">
        <v>6228</v>
      </c>
      <c r="N128" s="530">
        <v>0</v>
      </c>
    </row>
    <row r="129" spans="1:14" ht="28.5">
      <c r="A129" s="257" t="s">
        <v>4782</v>
      </c>
      <c r="B129" s="531" t="s">
        <v>223</v>
      </c>
      <c r="C129" s="257" t="s">
        <v>4784</v>
      </c>
      <c r="D129" s="530" t="s">
        <v>6214</v>
      </c>
      <c r="E129" s="530" t="s">
        <v>63</v>
      </c>
      <c r="F129" s="530">
        <v>50</v>
      </c>
      <c r="G129" s="530" t="s">
        <v>778</v>
      </c>
      <c r="H129" s="530">
        <v>5</v>
      </c>
      <c r="I129" s="530"/>
      <c r="J129" s="530" t="s">
        <v>6216</v>
      </c>
      <c r="K129" s="530" t="s">
        <v>6217</v>
      </c>
      <c r="L129" s="530" t="s">
        <v>6218</v>
      </c>
      <c r="M129" s="228" t="s">
        <v>6229</v>
      </c>
      <c r="N129" s="530" t="s">
        <v>184</v>
      </c>
    </row>
    <row r="130" spans="1:14" ht="28.5">
      <c r="A130" s="257" t="s">
        <v>4782</v>
      </c>
      <c r="B130" s="531" t="s">
        <v>223</v>
      </c>
      <c r="C130" s="257" t="s">
        <v>4784</v>
      </c>
      <c r="D130" s="530" t="s">
        <v>6214</v>
      </c>
      <c r="E130" s="530" t="s">
        <v>66</v>
      </c>
      <c r="F130" s="530">
        <v>450</v>
      </c>
      <c r="G130" s="530" t="s">
        <v>778</v>
      </c>
      <c r="H130" s="530">
        <v>5</v>
      </c>
      <c r="I130" s="530"/>
      <c r="J130" s="530" t="s">
        <v>6216</v>
      </c>
      <c r="K130" s="530" t="s">
        <v>6217</v>
      </c>
      <c r="L130" s="530" t="s">
        <v>6218</v>
      </c>
      <c r="M130" s="228" t="s">
        <v>6229</v>
      </c>
      <c r="N130" s="530" t="s">
        <v>184</v>
      </c>
    </row>
    <row r="131" spans="1:14" ht="28.5">
      <c r="A131" s="257" t="s">
        <v>276</v>
      </c>
      <c r="B131" s="531" t="s">
        <v>132</v>
      </c>
      <c r="C131" s="257" t="s">
        <v>278</v>
      </c>
      <c r="D131" s="530" t="s">
        <v>6214</v>
      </c>
      <c r="E131" s="530" t="s">
        <v>66</v>
      </c>
      <c r="F131" s="530">
        <v>80</v>
      </c>
      <c r="G131" s="530" t="s">
        <v>1181</v>
      </c>
      <c r="H131" s="530">
        <v>5</v>
      </c>
      <c r="I131" s="530"/>
      <c r="J131" s="530" t="s">
        <v>6210</v>
      </c>
      <c r="K131" s="530" t="s">
        <v>6211</v>
      </c>
      <c r="L131" s="530" t="s">
        <v>6212</v>
      </c>
      <c r="M131" s="228" t="s">
        <v>6244</v>
      </c>
      <c r="N131" s="530" t="s">
        <v>184</v>
      </c>
    </row>
    <row r="132" spans="1:14" ht="28.5">
      <c r="A132" s="257" t="s">
        <v>276</v>
      </c>
      <c r="B132" s="531" t="s">
        <v>223</v>
      </c>
      <c r="C132" s="257" t="s">
        <v>278</v>
      </c>
      <c r="D132" s="530" t="s">
        <v>6214</v>
      </c>
      <c r="E132" s="530" t="s">
        <v>72</v>
      </c>
      <c r="F132" s="530">
        <v>90</v>
      </c>
      <c r="G132" s="530" t="s">
        <v>1181</v>
      </c>
      <c r="H132" s="530">
        <v>5</v>
      </c>
      <c r="I132" s="530"/>
      <c r="J132" s="530" t="s">
        <v>6210</v>
      </c>
      <c r="K132" s="530" t="s">
        <v>6231</v>
      </c>
      <c r="L132" s="530" t="s">
        <v>6232</v>
      </c>
      <c r="M132" s="228" t="s">
        <v>6244</v>
      </c>
      <c r="N132" s="530" t="s">
        <v>184</v>
      </c>
    </row>
    <row r="133" spans="1:14" ht="28.5">
      <c r="A133" s="257" t="s">
        <v>281</v>
      </c>
      <c r="B133" s="531" t="s">
        <v>223</v>
      </c>
      <c r="C133" s="257" t="s">
        <v>278</v>
      </c>
      <c r="D133" s="530" t="s">
        <v>6214</v>
      </c>
      <c r="E133" s="530" t="s">
        <v>69</v>
      </c>
      <c r="F133" s="530">
        <v>50</v>
      </c>
      <c r="G133" s="530" t="s">
        <v>143</v>
      </c>
      <c r="H133" s="530">
        <v>5</v>
      </c>
      <c r="I133" s="530"/>
      <c r="J133" s="530" t="s">
        <v>6216</v>
      </c>
      <c r="K133" s="530" t="s">
        <v>6231</v>
      </c>
      <c r="L133" s="530" t="s">
        <v>6232</v>
      </c>
      <c r="M133" s="228" t="s">
        <v>6233</v>
      </c>
      <c r="N133" s="530" t="s">
        <v>184</v>
      </c>
    </row>
    <row r="134" spans="1:14" ht="28.5">
      <c r="A134" s="257" t="s">
        <v>281</v>
      </c>
      <c r="B134" s="531" t="s">
        <v>223</v>
      </c>
      <c r="C134" s="257" t="s">
        <v>278</v>
      </c>
      <c r="D134" s="530" t="s">
        <v>6214</v>
      </c>
      <c r="E134" s="530" t="s">
        <v>63</v>
      </c>
      <c r="F134" s="530">
        <v>70</v>
      </c>
      <c r="G134" s="530" t="s">
        <v>143</v>
      </c>
      <c r="H134" s="530">
        <v>5</v>
      </c>
      <c r="I134" s="530"/>
      <c r="J134" s="530" t="s">
        <v>6216</v>
      </c>
      <c r="K134" s="530" t="s">
        <v>6211</v>
      </c>
      <c r="L134" s="530" t="s">
        <v>6218</v>
      </c>
      <c r="M134" s="228" t="s">
        <v>6245</v>
      </c>
      <c r="N134" s="530" t="s">
        <v>184</v>
      </c>
    </row>
    <row r="135" spans="1:14" ht="28.5">
      <c r="A135" s="257" t="s">
        <v>281</v>
      </c>
      <c r="B135" s="531" t="s">
        <v>223</v>
      </c>
      <c r="C135" s="257" t="s">
        <v>278</v>
      </c>
      <c r="D135" s="530" t="s">
        <v>6214</v>
      </c>
      <c r="E135" s="530" t="s">
        <v>66</v>
      </c>
      <c r="F135" s="530">
        <v>800</v>
      </c>
      <c r="G135" s="530" t="s">
        <v>143</v>
      </c>
      <c r="H135" s="530">
        <v>5</v>
      </c>
      <c r="I135" s="530"/>
      <c r="J135" s="530" t="s">
        <v>6216</v>
      </c>
      <c r="K135" s="530" t="s">
        <v>6220</v>
      </c>
      <c r="L135" s="530" t="s">
        <v>6212</v>
      </c>
      <c r="M135" s="228" t="s">
        <v>6235</v>
      </c>
      <c r="N135" s="530" t="s">
        <v>138</v>
      </c>
    </row>
    <row r="136" spans="1:14" ht="28.5">
      <c r="A136" s="257" t="s">
        <v>281</v>
      </c>
      <c r="B136" s="531" t="s">
        <v>223</v>
      </c>
      <c r="C136" s="257" t="s">
        <v>278</v>
      </c>
      <c r="D136" s="530" t="s">
        <v>6214</v>
      </c>
      <c r="E136" s="530" t="s">
        <v>72</v>
      </c>
      <c r="F136" s="530">
        <v>1000</v>
      </c>
      <c r="G136" s="530" t="s">
        <v>143</v>
      </c>
      <c r="H136" s="530">
        <v>5</v>
      </c>
      <c r="I136" s="530"/>
      <c r="J136" s="530" t="s">
        <v>6216</v>
      </c>
      <c r="K136" s="530" t="s">
        <v>6231</v>
      </c>
      <c r="L136" s="530" t="s">
        <v>6232</v>
      </c>
      <c r="M136" s="228" t="s">
        <v>6236</v>
      </c>
      <c r="N136" s="530" t="s">
        <v>138</v>
      </c>
    </row>
    <row r="137" spans="1:14" ht="28.5">
      <c r="A137" s="257" t="s">
        <v>284</v>
      </c>
      <c r="B137" s="531" t="s">
        <v>223</v>
      </c>
      <c r="C137" s="257" t="s">
        <v>286</v>
      </c>
      <c r="D137" s="530" t="s">
        <v>6214</v>
      </c>
      <c r="E137" s="530" t="s">
        <v>72</v>
      </c>
      <c r="F137" s="530">
        <v>500</v>
      </c>
      <c r="G137" s="530" t="s">
        <v>143</v>
      </c>
      <c r="H137" s="530">
        <v>5</v>
      </c>
      <c r="I137" s="530"/>
      <c r="J137" s="530" t="s">
        <v>6210</v>
      </c>
      <c r="K137" s="530" t="s">
        <v>6211</v>
      </c>
      <c r="L137" s="530" t="s">
        <v>6212</v>
      </c>
      <c r="M137" s="228" t="s">
        <v>6237</v>
      </c>
      <c r="N137" s="530" t="s">
        <v>184</v>
      </c>
    </row>
    <row r="138" spans="1:14" ht="42.75">
      <c r="A138" s="257" t="s">
        <v>284</v>
      </c>
      <c r="B138" s="531" t="s">
        <v>223</v>
      </c>
      <c r="C138" s="257" t="s">
        <v>286</v>
      </c>
      <c r="D138" s="530" t="s">
        <v>6214</v>
      </c>
      <c r="E138" s="530" t="s">
        <v>66</v>
      </c>
      <c r="F138" s="530">
        <v>200</v>
      </c>
      <c r="G138" s="530" t="s">
        <v>143</v>
      </c>
      <c r="H138" s="530">
        <v>5</v>
      </c>
      <c r="I138" s="530"/>
      <c r="J138" s="530" t="s">
        <v>6210</v>
      </c>
      <c r="K138" s="530" t="s">
        <v>6217</v>
      </c>
      <c r="L138" s="530" t="s">
        <v>6218</v>
      </c>
      <c r="M138" s="228" t="s">
        <v>6238</v>
      </c>
      <c r="N138" s="530">
        <v>0</v>
      </c>
    </row>
    <row r="139" spans="1:14" ht="28.5">
      <c r="A139" s="257" t="s">
        <v>288</v>
      </c>
      <c r="B139" s="531" t="s">
        <v>223</v>
      </c>
      <c r="C139" s="257" t="s">
        <v>290</v>
      </c>
      <c r="D139" s="530" t="s">
        <v>6214</v>
      </c>
      <c r="E139" s="530" t="s">
        <v>66</v>
      </c>
      <c r="F139" s="530">
        <v>8</v>
      </c>
      <c r="G139" s="530" t="s">
        <v>165</v>
      </c>
      <c r="H139" s="530">
        <v>5</v>
      </c>
      <c r="I139" s="530"/>
      <c r="J139" s="530" t="s">
        <v>6210</v>
      </c>
      <c r="K139" s="530" t="s">
        <v>6211</v>
      </c>
      <c r="L139" s="530" t="s">
        <v>6212</v>
      </c>
      <c r="M139" s="228" t="s">
        <v>6239</v>
      </c>
      <c r="N139" s="530">
        <v>0</v>
      </c>
    </row>
    <row r="140" spans="1:14" ht="28.5">
      <c r="A140" s="257" t="s">
        <v>288</v>
      </c>
      <c r="B140" s="531" t="s">
        <v>223</v>
      </c>
      <c r="C140" s="257" t="s">
        <v>290</v>
      </c>
      <c r="D140" s="530" t="s">
        <v>6214</v>
      </c>
      <c r="E140" s="530" t="s">
        <v>72</v>
      </c>
      <c r="F140" s="530">
        <v>12</v>
      </c>
      <c r="G140" s="530" t="s">
        <v>165</v>
      </c>
      <c r="H140" s="530">
        <v>5</v>
      </c>
      <c r="I140" s="530"/>
      <c r="J140" s="530" t="s">
        <v>6210</v>
      </c>
      <c r="K140" s="530" t="s">
        <v>6231</v>
      </c>
      <c r="L140" s="530" t="s">
        <v>6232</v>
      </c>
      <c r="M140" s="228" t="s">
        <v>6239</v>
      </c>
      <c r="N140" s="530">
        <v>0</v>
      </c>
    </row>
    <row r="141" spans="1:14" ht="28.5">
      <c r="A141" s="257" t="s">
        <v>292</v>
      </c>
      <c r="B141" s="531" t="s">
        <v>223</v>
      </c>
      <c r="C141" s="257" t="s">
        <v>294</v>
      </c>
      <c r="D141" s="530" t="s">
        <v>6214</v>
      </c>
      <c r="E141" s="530" t="s">
        <v>66</v>
      </c>
      <c r="F141" s="739">
        <v>4</v>
      </c>
      <c r="G141" s="530" t="s">
        <v>165</v>
      </c>
      <c r="H141" s="530">
        <v>5</v>
      </c>
      <c r="I141" s="530"/>
      <c r="J141" s="530" t="s">
        <v>6210</v>
      </c>
      <c r="K141" s="530" t="s">
        <v>6211</v>
      </c>
      <c r="L141" s="530" t="s">
        <v>6212</v>
      </c>
      <c r="M141" s="228" t="s">
        <v>6240</v>
      </c>
      <c r="N141" s="530">
        <v>0</v>
      </c>
    </row>
    <row r="142" spans="1:14" ht="28.5">
      <c r="A142" s="257" t="s">
        <v>292</v>
      </c>
      <c r="B142" s="531" t="s">
        <v>223</v>
      </c>
      <c r="C142" s="257" t="s">
        <v>294</v>
      </c>
      <c r="D142" s="530" t="s">
        <v>6214</v>
      </c>
      <c r="E142" s="530" t="s">
        <v>72</v>
      </c>
      <c r="F142" s="739">
        <v>7.1</v>
      </c>
      <c r="G142" s="530" t="s">
        <v>165</v>
      </c>
      <c r="H142" s="530">
        <v>5</v>
      </c>
      <c r="I142" s="530"/>
      <c r="J142" s="530" t="s">
        <v>6210</v>
      </c>
      <c r="K142" s="530" t="s">
        <v>6231</v>
      </c>
      <c r="L142" s="530" t="s">
        <v>6232</v>
      </c>
      <c r="M142" s="228" t="s">
        <v>6240</v>
      </c>
      <c r="N142" s="530">
        <v>0</v>
      </c>
    </row>
    <row r="143" spans="1:14" ht="28.5">
      <c r="A143" s="257" t="s">
        <v>4638</v>
      </c>
      <c r="B143" s="531" t="s">
        <v>223</v>
      </c>
      <c r="C143" s="257" t="s">
        <v>4787</v>
      </c>
      <c r="D143" s="530" t="s">
        <v>6214</v>
      </c>
      <c r="E143" s="530" t="s">
        <v>63</v>
      </c>
      <c r="F143" s="740">
        <v>40</v>
      </c>
      <c r="G143" s="530" t="s">
        <v>6225</v>
      </c>
      <c r="H143" s="530">
        <v>5</v>
      </c>
      <c r="I143" s="530"/>
      <c r="J143" s="530" t="s">
        <v>6216</v>
      </c>
      <c r="K143" s="530" t="s">
        <v>6220</v>
      </c>
      <c r="L143" s="530" t="s">
        <v>6212</v>
      </c>
      <c r="M143" s="228" t="s">
        <v>6226</v>
      </c>
      <c r="N143" s="530">
        <v>0</v>
      </c>
    </row>
    <row r="144" spans="1:14" ht="28.5">
      <c r="A144" s="257" t="s">
        <v>4638</v>
      </c>
      <c r="B144" s="531" t="s">
        <v>223</v>
      </c>
      <c r="C144" s="257" t="s">
        <v>4787</v>
      </c>
      <c r="D144" s="530" t="s">
        <v>6214</v>
      </c>
      <c r="E144" s="530" t="s">
        <v>66</v>
      </c>
      <c r="F144" s="738">
        <v>103</v>
      </c>
      <c r="G144" s="530" t="s">
        <v>6225</v>
      </c>
      <c r="H144" s="530">
        <v>5</v>
      </c>
      <c r="I144" s="530"/>
      <c r="J144" s="530" t="s">
        <v>6216</v>
      </c>
      <c r="K144" s="530" t="s">
        <v>6211</v>
      </c>
      <c r="L144" s="530" t="s">
        <v>6218</v>
      </c>
      <c r="M144" s="228" t="s">
        <v>6226</v>
      </c>
      <c r="N144" s="530">
        <v>0</v>
      </c>
    </row>
    <row r="145" spans="1:14" ht="28.5">
      <c r="A145" s="257" t="s">
        <v>296</v>
      </c>
      <c r="B145" s="531" t="s">
        <v>223</v>
      </c>
      <c r="C145" s="257" t="s">
        <v>298</v>
      </c>
      <c r="D145" s="530" t="s">
        <v>6214</v>
      </c>
      <c r="E145" s="530" t="s">
        <v>63</v>
      </c>
      <c r="F145" s="530">
        <v>90</v>
      </c>
      <c r="G145" s="530" t="s">
        <v>143</v>
      </c>
      <c r="H145" s="530">
        <v>5</v>
      </c>
      <c r="I145" s="530" t="s">
        <v>144</v>
      </c>
      <c r="J145" s="530" t="s">
        <v>6216</v>
      </c>
      <c r="K145" s="530" t="s">
        <v>6211</v>
      </c>
      <c r="L145" s="530" t="s">
        <v>6218</v>
      </c>
      <c r="M145" s="228" t="s">
        <v>6227</v>
      </c>
      <c r="N145" s="530">
        <v>0</v>
      </c>
    </row>
    <row r="146" spans="1:14" ht="28.5">
      <c r="A146" s="257" t="s">
        <v>296</v>
      </c>
      <c r="B146" s="531" t="s">
        <v>223</v>
      </c>
      <c r="C146" s="257" t="s">
        <v>298</v>
      </c>
      <c r="D146" s="530" t="s">
        <v>6214</v>
      </c>
      <c r="E146" s="530" t="s">
        <v>66</v>
      </c>
      <c r="F146" s="530">
        <v>130</v>
      </c>
      <c r="G146" s="530" t="s">
        <v>143</v>
      </c>
      <c r="H146" s="530">
        <v>5</v>
      </c>
      <c r="I146" s="530" t="s">
        <v>144</v>
      </c>
      <c r="J146" s="530" t="s">
        <v>6216</v>
      </c>
      <c r="K146" s="530" t="s">
        <v>6211</v>
      </c>
      <c r="L146" s="530" t="s">
        <v>6218</v>
      </c>
      <c r="M146" s="228" t="s">
        <v>6228</v>
      </c>
      <c r="N146" s="530">
        <v>0</v>
      </c>
    </row>
    <row r="147" spans="1:14" ht="28.5">
      <c r="A147" s="257" t="s">
        <v>4789</v>
      </c>
      <c r="B147" s="531" t="s">
        <v>223</v>
      </c>
      <c r="C147" s="257" t="s">
        <v>4791</v>
      </c>
      <c r="D147" s="530" t="s">
        <v>6214</v>
      </c>
      <c r="E147" s="530" t="s">
        <v>63</v>
      </c>
      <c r="F147" s="530">
        <v>50</v>
      </c>
      <c r="G147" s="530" t="s">
        <v>778</v>
      </c>
      <c r="H147" s="530">
        <v>5</v>
      </c>
      <c r="I147" s="530"/>
      <c r="J147" s="530" t="s">
        <v>6216</v>
      </c>
      <c r="K147" s="530" t="s">
        <v>6217</v>
      </c>
      <c r="L147" s="530" t="s">
        <v>6218</v>
      </c>
      <c r="M147" s="228" t="s">
        <v>6229</v>
      </c>
      <c r="N147" s="530" t="s">
        <v>184</v>
      </c>
    </row>
    <row r="148" spans="1:14" ht="28.5">
      <c r="A148" s="257" t="s">
        <v>4789</v>
      </c>
      <c r="B148" s="531" t="s">
        <v>223</v>
      </c>
      <c r="C148" s="257" t="s">
        <v>4791</v>
      </c>
      <c r="D148" s="530" t="s">
        <v>6214</v>
      </c>
      <c r="E148" s="530" t="s">
        <v>66</v>
      </c>
      <c r="F148" s="530">
        <v>450</v>
      </c>
      <c r="G148" s="530" t="s">
        <v>778</v>
      </c>
      <c r="H148" s="530">
        <v>5</v>
      </c>
      <c r="I148" s="530"/>
      <c r="J148" s="530" t="s">
        <v>6216</v>
      </c>
      <c r="K148" s="530" t="s">
        <v>6217</v>
      </c>
      <c r="L148" s="530" t="s">
        <v>6218</v>
      </c>
      <c r="M148" s="228" t="s">
        <v>6229</v>
      </c>
      <c r="N148" s="530" t="s">
        <v>184</v>
      </c>
    </row>
    <row r="149" spans="1:14" ht="28.5">
      <c r="A149" s="257" t="s">
        <v>300</v>
      </c>
      <c r="B149" s="531" t="s">
        <v>132</v>
      </c>
      <c r="C149" s="257" t="s">
        <v>302</v>
      </c>
      <c r="D149" s="530" t="s">
        <v>6214</v>
      </c>
      <c r="E149" s="530" t="s">
        <v>66</v>
      </c>
      <c r="F149" s="530">
        <v>80</v>
      </c>
      <c r="G149" s="530" t="s">
        <v>1181</v>
      </c>
      <c r="H149" s="530">
        <v>5</v>
      </c>
      <c r="I149" s="530"/>
      <c r="J149" s="530" t="s">
        <v>6210</v>
      </c>
      <c r="K149" s="530" t="s">
        <v>6211</v>
      </c>
      <c r="L149" s="530" t="s">
        <v>6212</v>
      </c>
      <c r="M149" s="228" t="s">
        <v>6244</v>
      </c>
      <c r="N149" s="530" t="s">
        <v>184</v>
      </c>
    </row>
    <row r="150" spans="1:14" ht="28.5">
      <c r="A150" s="257" t="s">
        <v>300</v>
      </c>
      <c r="B150" s="531" t="s">
        <v>223</v>
      </c>
      <c r="C150" s="257" t="s">
        <v>302</v>
      </c>
      <c r="D150" s="530" t="s">
        <v>6214</v>
      </c>
      <c r="E150" s="530" t="s">
        <v>72</v>
      </c>
      <c r="F150" s="530">
        <v>90</v>
      </c>
      <c r="G150" s="530" t="s">
        <v>1181</v>
      </c>
      <c r="H150" s="530">
        <v>5</v>
      </c>
      <c r="I150" s="530"/>
      <c r="J150" s="530" t="s">
        <v>6210</v>
      </c>
      <c r="K150" s="530" t="s">
        <v>6231</v>
      </c>
      <c r="L150" s="530" t="s">
        <v>6232</v>
      </c>
      <c r="M150" s="228" t="s">
        <v>6244</v>
      </c>
      <c r="N150" s="530" t="s">
        <v>184</v>
      </c>
    </row>
    <row r="151" spans="1:14" ht="28.5">
      <c r="A151" s="257" t="s">
        <v>305</v>
      </c>
      <c r="B151" s="531" t="s">
        <v>223</v>
      </c>
      <c r="C151" s="257" t="s">
        <v>302</v>
      </c>
      <c r="D151" s="530" t="s">
        <v>6214</v>
      </c>
      <c r="E151" s="530" t="s">
        <v>69</v>
      </c>
      <c r="F151" s="530">
        <v>50</v>
      </c>
      <c r="G151" s="530" t="s">
        <v>143</v>
      </c>
      <c r="H151" s="530">
        <v>5</v>
      </c>
      <c r="I151" s="530"/>
      <c r="J151" s="530" t="s">
        <v>6216</v>
      </c>
      <c r="K151" s="530" t="s">
        <v>6231</v>
      </c>
      <c r="L151" s="530" t="s">
        <v>6232</v>
      </c>
      <c r="M151" s="228" t="s">
        <v>6233</v>
      </c>
      <c r="N151" s="530" t="s">
        <v>184</v>
      </c>
    </row>
    <row r="152" spans="1:14" ht="28.5">
      <c r="A152" s="257" t="s">
        <v>305</v>
      </c>
      <c r="B152" s="531" t="s">
        <v>223</v>
      </c>
      <c r="C152" s="257" t="s">
        <v>302</v>
      </c>
      <c r="D152" s="530" t="s">
        <v>6214</v>
      </c>
      <c r="E152" s="530" t="s">
        <v>63</v>
      </c>
      <c r="F152" s="530">
        <v>70</v>
      </c>
      <c r="G152" s="530" t="s">
        <v>143</v>
      </c>
      <c r="H152" s="530">
        <v>5</v>
      </c>
      <c r="I152" s="530"/>
      <c r="J152" s="530" t="s">
        <v>6216</v>
      </c>
      <c r="K152" s="530" t="s">
        <v>6211</v>
      </c>
      <c r="L152" s="530" t="s">
        <v>6218</v>
      </c>
      <c r="M152" s="228" t="s">
        <v>6245</v>
      </c>
      <c r="N152" s="530" t="s">
        <v>184</v>
      </c>
    </row>
    <row r="153" spans="1:14" ht="28.5">
      <c r="A153" s="257" t="s">
        <v>305</v>
      </c>
      <c r="B153" s="531" t="s">
        <v>223</v>
      </c>
      <c r="C153" s="257" t="s">
        <v>302</v>
      </c>
      <c r="D153" s="530" t="s">
        <v>6214</v>
      </c>
      <c r="E153" s="530" t="s">
        <v>66</v>
      </c>
      <c r="F153" s="530">
        <v>800</v>
      </c>
      <c r="G153" s="530" t="s">
        <v>143</v>
      </c>
      <c r="H153" s="530">
        <v>5</v>
      </c>
      <c r="I153" s="530"/>
      <c r="J153" s="530" t="s">
        <v>6216</v>
      </c>
      <c r="K153" s="530" t="s">
        <v>6220</v>
      </c>
      <c r="L153" s="530" t="s">
        <v>6212</v>
      </c>
      <c r="M153" s="228" t="s">
        <v>6235</v>
      </c>
      <c r="N153" s="530" t="s">
        <v>138</v>
      </c>
    </row>
    <row r="154" spans="1:14" ht="28.35" customHeight="1">
      <c r="A154" s="257" t="s">
        <v>305</v>
      </c>
      <c r="B154" s="531" t="s">
        <v>223</v>
      </c>
      <c r="C154" s="257" t="s">
        <v>302</v>
      </c>
      <c r="D154" s="530" t="s">
        <v>6214</v>
      </c>
      <c r="E154" s="530" t="s">
        <v>72</v>
      </c>
      <c r="F154" s="530">
        <v>1000</v>
      </c>
      <c r="G154" s="530" t="s">
        <v>143</v>
      </c>
      <c r="H154" s="530">
        <v>5</v>
      </c>
      <c r="I154" s="530"/>
      <c r="J154" s="530" t="s">
        <v>6216</v>
      </c>
      <c r="K154" s="530" t="s">
        <v>6231</v>
      </c>
      <c r="L154" s="530" t="s">
        <v>6232</v>
      </c>
      <c r="M154" s="228" t="s">
        <v>6236</v>
      </c>
      <c r="N154" s="530" t="s">
        <v>138</v>
      </c>
    </row>
    <row r="155" spans="1:14" ht="28.5">
      <c r="A155" s="257" t="s">
        <v>308</v>
      </c>
      <c r="B155" s="531" t="s">
        <v>223</v>
      </c>
      <c r="C155" s="257" t="s">
        <v>310</v>
      </c>
      <c r="D155" s="530" t="s">
        <v>6214</v>
      </c>
      <c r="E155" s="530" t="s">
        <v>72</v>
      </c>
      <c r="F155" s="530">
        <v>500</v>
      </c>
      <c r="G155" s="530" t="s">
        <v>143</v>
      </c>
      <c r="H155" s="530">
        <v>5</v>
      </c>
      <c r="I155" s="530"/>
      <c r="J155" s="530" t="s">
        <v>6210</v>
      </c>
      <c r="K155" s="530" t="s">
        <v>6211</v>
      </c>
      <c r="L155" s="530" t="s">
        <v>6212</v>
      </c>
      <c r="M155" s="228" t="s">
        <v>6237</v>
      </c>
      <c r="N155" s="530" t="s">
        <v>184</v>
      </c>
    </row>
    <row r="156" spans="1:14" ht="42.75">
      <c r="A156" s="257" t="s">
        <v>308</v>
      </c>
      <c r="B156" s="531" t="s">
        <v>223</v>
      </c>
      <c r="C156" s="257" t="s">
        <v>310</v>
      </c>
      <c r="D156" s="530" t="s">
        <v>6214</v>
      </c>
      <c r="E156" s="530" t="s">
        <v>66</v>
      </c>
      <c r="F156" s="739">
        <v>200</v>
      </c>
      <c r="G156" s="530" t="s">
        <v>143</v>
      </c>
      <c r="H156" s="530">
        <v>5</v>
      </c>
      <c r="I156" s="530"/>
      <c r="J156" s="530" t="s">
        <v>6210</v>
      </c>
      <c r="K156" s="530" t="s">
        <v>6217</v>
      </c>
      <c r="L156" s="530" t="s">
        <v>6218</v>
      </c>
      <c r="M156" s="228" t="s">
        <v>6238</v>
      </c>
      <c r="N156" s="530">
        <v>0</v>
      </c>
    </row>
    <row r="157" spans="1:14" ht="28.5">
      <c r="A157" s="257" t="s">
        <v>312</v>
      </c>
      <c r="B157" s="531" t="s">
        <v>223</v>
      </c>
      <c r="C157" s="257" t="s">
        <v>314</v>
      </c>
      <c r="D157" s="530" t="s">
        <v>6214</v>
      </c>
      <c r="E157" s="530" t="s">
        <v>66</v>
      </c>
      <c r="F157" s="739">
        <v>8</v>
      </c>
      <c r="G157" s="530" t="s">
        <v>165</v>
      </c>
      <c r="H157" s="530">
        <v>5</v>
      </c>
      <c r="I157" s="530"/>
      <c r="J157" s="530" t="s">
        <v>6210</v>
      </c>
      <c r="K157" s="530" t="s">
        <v>6211</v>
      </c>
      <c r="L157" s="530" t="s">
        <v>6212</v>
      </c>
      <c r="M157" s="228" t="s">
        <v>6239</v>
      </c>
      <c r="N157" s="530">
        <v>0</v>
      </c>
    </row>
    <row r="158" spans="1:14" ht="28.5">
      <c r="A158" s="257" t="s">
        <v>312</v>
      </c>
      <c r="B158" s="531" t="s">
        <v>223</v>
      </c>
      <c r="C158" s="257" t="s">
        <v>314</v>
      </c>
      <c r="D158" s="530" t="s">
        <v>6214</v>
      </c>
      <c r="E158" s="530" t="s">
        <v>72</v>
      </c>
      <c r="F158" s="530">
        <v>12</v>
      </c>
      <c r="G158" s="530" t="s">
        <v>165</v>
      </c>
      <c r="H158" s="530">
        <v>5</v>
      </c>
      <c r="I158" s="530"/>
      <c r="J158" s="530" t="s">
        <v>6210</v>
      </c>
      <c r="K158" s="530" t="s">
        <v>6231</v>
      </c>
      <c r="L158" s="530" t="s">
        <v>6232</v>
      </c>
      <c r="M158" s="228" t="s">
        <v>6239</v>
      </c>
      <c r="N158" s="530">
        <v>0</v>
      </c>
    </row>
    <row r="159" spans="1:14" ht="28.5">
      <c r="A159" s="257" t="s">
        <v>316</v>
      </c>
      <c r="B159" s="531" t="s">
        <v>223</v>
      </c>
      <c r="C159" s="257" t="s">
        <v>318</v>
      </c>
      <c r="D159" s="530" t="s">
        <v>6214</v>
      </c>
      <c r="E159" s="530" t="s">
        <v>66</v>
      </c>
      <c r="F159" s="530">
        <v>4</v>
      </c>
      <c r="G159" s="530" t="s">
        <v>165</v>
      </c>
      <c r="H159" s="530">
        <v>5</v>
      </c>
      <c r="I159" s="530"/>
      <c r="J159" s="530" t="s">
        <v>6210</v>
      </c>
      <c r="K159" s="530" t="s">
        <v>6211</v>
      </c>
      <c r="L159" s="530" t="s">
        <v>6212</v>
      </c>
      <c r="M159" s="228" t="s">
        <v>6240</v>
      </c>
      <c r="N159" s="530">
        <v>0</v>
      </c>
    </row>
    <row r="160" spans="1:14" ht="28.5">
      <c r="A160" s="257" t="s">
        <v>316</v>
      </c>
      <c r="B160" s="531" t="s">
        <v>223</v>
      </c>
      <c r="C160" s="257" t="s">
        <v>318</v>
      </c>
      <c r="D160" s="530" t="s">
        <v>6214</v>
      </c>
      <c r="E160" s="530" t="s">
        <v>72</v>
      </c>
      <c r="F160" s="530">
        <v>7.1</v>
      </c>
      <c r="G160" s="530" t="s">
        <v>165</v>
      </c>
      <c r="H160" s="530">
        <v>5</v>
      </c>
      <c r="I160" s="530"/>
      <c r="J160" s="530" t="s">
        <v>6210</v>
      </c>
      <c r="K160" s="530" t="s">
        <v>6231</v>
      </c>
      <c r="L160" s="530" t="s">
        <v>6232</v>
      </c>
      <c r="M160" s="228" t="s">
        <v>6240</v>
      </c>
      <c r="N160" s="530">
        <v>0</v>
      </c>
    </row>
    <row r="161" spans="1:14" ht="28.5">
      <c r="A161" s="257" t="s">
        <v>3666</v>
      </c>
      <c r="B161" s="531" t="s">
        <v>223</v>
      </c>
      <c r="C161" s="257" t="s">
        <v>3668</v>
      </c>
      <c r="D161" s="530" t="s">
        <v>6209</v>
      </c>
      <c r="E161" s="530" t="s">
        <v>2095</v>
      </c>
      <c r="F161" s="530"/>
      <c r="G161" s="530"/>
      <c r="H161" s="742">
        <v>3</v>
      </c>
      <c r="I161" s="530"/>
      <c r="J161" s="530" t="s">
        <v>6241</v>
      </c>
      <c r="K161" s="530" t="s">
        <v>6217</v>
      </c>
      <c r="L161" s="530" t="s">
        <v>6218</v>
      </c>
      <c r="M161" s="228" t="s">
        <v>6242</v>
      </c>
      <c r="N161" s="742">
        <v>2</v>
      </c>
    </row>
    <row r="162" spans="1:14" ht="28.35" customHeight="1">
      <c r="A162" s="257" t="s">
        <v>3670</v>
      </c>
      <c r="B162" s="531" t="s">
        <v>3650</v>
      </c>
      <c r="C162" s="257" t="s">
        <v>3672</v>
      </c>
      <c r="D162" s="530" t="s">
        <v>6209</v>
      </c>
      <c r="E162" s="530" t="s">
        <v>2095</v>
      </c>
      <c r="F162" s="530"/>
      <c r="G162" s="530"/>
      <c r="H162" s="742">
        <v>3</v>
      </c>
      <c r="I162" s="530"/>
      <c r="J162" s="530" t="s">
        <v>6241</v>
      </c>
      <c r="K162" s="530" t="s">
        <v>6217</v>
      </c>
      <c r="L162" s="530" t="s">
        <v>6218</v>
      </c>
      <c r="M162" s="228" t="s">
        <v>6242</v>
      </c>
      <c r="N162" s="742">
        <v>2</v>
      </c>
    </row>
    <row r="163" spans="1:14" ht="28.5">
      <c r="A163" s="257" t="s">
        <v>4802</v>
      </c>
      <c r="B163" s="531" t="s">
        <v>809</v>
      </c>
      <c r="C163" s="257" t="s">
        <v>4804</v>
      </c>
      <c r="D163" s="530" t="s">
        <v>6214</v>
      </c>
      <c r="E163" s="530" t="s">
        <v>69</v>
      </c>
      <c r="F163" s="530">
        <v>20</v>
      </c>
      <c r="G163" s="530" t="s">
        <v>41</v>
      </c>
      <c r="H163" s="530">
        <v>5</v>
      </c>
      <c r="I163" s="530"/>
      <c r="J163" s="530" t="s">
        <v>6216</v>
      </c>
      <c r="K163" s="530" t="s">
        <v>6231</v>
      </c>
      <c r="L163" s="530" t="s">
        <v>6232</v>
      </c>
      <c r="M163" s="228" t="s">
        <v>6246</v>
      </c>
      <c r="N163" s="530" t="s">
        <v>184</v>
      </c>
    </row>
    <row r="164" spans="1:14" ht="28.5">
      <c r="A164" s="257" t="s">
        <v>4802</v>
      </c>
      <c r="B164" s="531" t="s">
        <v>809</v>
      </c>
      <c r="C164" s="257" t="s">
        <v>4804</v>
      </c>
      <c r="D164" s="530" t="s">
        <v>6214</v>
      </c>
      <c r="E164" s="530" t="s">
        <v>63</v>
      </c>
      <c r="F164" s="530">
        <v>30</v>
      </c>
      <c r="G164" s="530" t="s">
        <v>41</v>
      </c>
      <c r="H164" s="530">
        <v>5</v>
      </c>
      <c r="I164" s="530"/>
      <c r="J164" s="530" t="s">
        <v>6216</v>
      </c>
      <c r="K164" s="530" t="s">
        <v>6217</v>
      </c>
      <c r="L164" s="530" t="s">
        <v>6218</v>
      </c>
      <c r="M164" s="228" t="s">
        <v>6247</v>
      </c>
      <c r="N164" s="530" t="s">
        <v>184</v>
      </c>
    </row>
    <row r="165" spans="1:14" ht="28.5">
      <c r="A165" s="257" t="s">
        <v>4802</v>
      </c>
      <c r="B165" s="531" t="s">
        <v>809</v>
      </c>
      <c r="C165" s="257" t="s">
        <v>4804</v>
      </c>
      <c r="D165" s="530" t="s">
        <v>6214</v>
      </c>
      <c r="E165" s="530" t="s">
        <v>66</v>
      </c>
      <c r="F165" s="530">
        <v>85</v>
      </c>
      <c r="G165" s="530" t="s">
        <v>41</v>
      </c>
      <c r="H165" s="530">
        <v>5</v>
      </c>
      <c r="I165" s="530"/>
      <c r="J165" s="530" t="s">
        <v>6216</v>
      </c>
      <c r="K165" s="530" t="s">
        <v>6217</v>
      </c>
      <c r="L165" s="530" t="s">
        <v>6218</v>
      </c>
      <c r="M165" s="228" t="s">
        <v>6248</v>
      </c>
      <c r="N165" s="530">
        <v>0</v>
      </c>
    </row>
    <row r="166" spans="1:14" ht="28.5">
      <c r="A166" s="257" t="s">
        <v>4802</v>
      </c>
      <c r="B166" s="531" t="s">
        <v>809</v>
      </c>
      <c r="C166" s="257" t="s">
        <v>4804</v>
      </c>
      <c r="D166" s="530" t="s">
        <v>6214</v>
      </c>
      <c r="E166" s="530" t="s">
        <v>72</v>
      </c>
      <c r="F166" s="530">
        <v>90</v>
      </c>
      <c r="G166" s="530" t="s">
        <v>41</v>
      </c>
      <c r="H166" s="530">
        <v>5</v>
      </c>
      <c r="I166" s="530"/>
      <c r="J166" s="530" t="s">
        <v>6216</v>
      </c>
      <c r="K166" s="530" t="s">
        <v>6231</v>
      </c>
      <c r="L166" s="530" t="s">
        <v>6232</v>
      </c>
      <c r="M166" s="228" t="s">
        <v>6248</v>
      </c>
      <c r="N166" s="530" t="s">
        <v>184</v>
      </c>
    </row>
    <row r="167" spans="1:14" ht="28.5">
      <c r="A167" s="257" t="s">
        <v>3645</v>
      </c>
      <c r="B167" s="531" t="s">
        <v>525</v>
      </c>
      <c r="C167" s="257" t="s">
        <v>3647</v>
      </c>
      <c r="D167" s="530" t="s">
        <v>6209</v>
      </c>
      <c r="E167" s="530" t="s">
        <v>2095</v>
      </c>
      <c r="F167" s="530"/>
      <c r="G167" s="530"/>
      <c r="H167" s="742">
        <v>3</v>
      </c>
      <c r="I167" s="530"/>
      <c r="J167" s="530" t="s">
        <v>6216</v>
      </c>
      <c r="K167" s="530" t="s">
        <v>6220</v>
      </c>
      <c r="L167" s="530" t="s">
        <v>6212</v>
      </c>
      <c r="M167" s="228" t="s">
        <v>6249</v>
      </c>
      <c r="N167" s="742">
        <v>2</v>
      </c>
    </row>
    <row r="168" spans="1:14" ht="28.5">
      <c r="A168" s="257" t="s">
        <v>4793</v>
      </c>
      <c r="B168" s="531" t="s">
        <v>809</v>
      </c>
      <c r="C168" s="257" t="s">
        <v>4795</v>
      </c>
      <c r="D168" s="530" t="s">
        <v>6214</v>
      </c>
      <c r="E168" s="530" t="s">
        <v>69</v>
      </c>
      <c r="F168" s="530">
        <v>20</v>
      </c>
      <c r="G168" s="530" t="s">
        <v>41</v>
      </c>
      <c r="H168" s="530">
        <v>5</v>
      </c>
      <c r="I168" s="530"/>
      <c r="J168" s="530" t="s">
        <v>6216</v>
      </c>
      <c r="K168" s="530" t="s">
        <v>6231</v>
      </c>
      <c r="L168" s="530" t="s">
        <v>6232</v>
      </c>
      <c r="M168" s="228" t="s">
        <v>6246</v>
      </c>
      <c r="N168" s="530" t="s">
        <v>184</v>
      </c>
    </row>
    <row r="169" spans="1:14" ht="28.5">
      <c r="A169" s="257" t="s">
        <v>4793</v>
      </c>
      <c r="B169" s="531" t="s">
        <v>809</v>
      </c>
      <c r="C169" s="257" t="s">
        <v>4795</v>
      </c>
      <c r="D169" s="530" t="s">
        <v>6214</v>
      </c>
      <c r="E169" s="530" t="s">
        <v>63</v>
      </c>
      <c r="F169" s="530">
        <v>30</v>
      </c>
      <c r="G169" s="530" t="s">
        <v>41</v>
      </c>
      <c r="H169" s="530">
        <v>5</v>
      </c>
      <c r="I169" s="530"/>
      <c r="J169" s="530" t="s">
        <v>6216</v>
      </c>
      <c r="K169" s="530" t="s">
        <v>6217</v>
      </c>
      <c r="L169" s="530" t="s">
        <v>6218</v>
      </c>
      <c r="M169" s="228" t="s">
        <v>6247</v>
      </c>
      <c r="N169" s="530" t="s">
        <v>184</v>
      </c>
    </row>
    <row r="170" spans="1:14" ht="28.5">
      <c r="A170" s="257" t="s">
        <v>4793</v>
      </c>
      <c r="B170" s="531" t="s">
        <v>809</v>
      </c>
      <c r="C170" s="257" t="s">
        <v>4795</v>
      </c>
      <c r="D170" s="530" t="s">
        <v>6214</v>
      </c>
      <c r="E170" s="530" t="s">
        <v>66</v>
      </c>
      <c r="F170" s="530">
        <v>85</v>
      </c>
      <c r="G170" s="530" t="s">
        <v>41</v>
      </c>
      <c r="H170" s="530">
        <v>5</v>
      </c>
      <c r="I170" s="530"/>
      <c r="J170" s="530" t="s">
        <v>6216</v>
      </c>
      <c r="K170" s="530" t="s">
        <v>6217</v>
      </c>
      <c r="L170" s="530" t="s">
        <v>6218</v>
      </c>
      <c r="M170" s="228" t="s">
        <v>6248</v>
      </c>
      <c r="N170" s="530">
        <v>0</v>
      </c>
    </row>
    <row r="171" spans="1:14" ht="28.5">
      <c r="A171" s="257" t="s">
        <v>4793</v>
      </c>
      <c r="B171" s="531" t="s">
        <v>809</v>
      </c>
      <c r="C171" s="257" t="s">
        <v>4795</v>
      </c>
      <c r="D171" s="530" t="s">
        <v>6214</v>
      </c>
      <c r="E171" s="530" t="s">
        <v>72</v>
      </c>
      <c r="F171" s="530">
        <v>90</v>
      </c>
      <c r="G171" s="530" t="s">
        <v>41</v>
      </c>
      <c r="H171" s="530">
        <v>5</v>
      </c>
      <c r="I171" s="530"/>
      <c r="J171" s="530" t="s">
        <v>6216</v>
      </c>
      <c r="K171" s="530" t="s">
        <v>6231</v>
      </c>
      <c r="L171" s="530" t="s">
        <v>6232</v>
      </c>
      <c r="M171" s="228" t="s">
        <v>6248</v>
      </c>
      <c r="N171" s="530" t="s">
        <v>184</v>
      </c>
    </row>
    <row r="172" spans="1:14" ht="28.5">
      <c r="A172" s="257" t="s">
        <v>3658</v>
      </c>
      <c r="B172" s="531" t="s">
        <v>525</v>
      </c>
      <c r="C172" s="257" t="s">
        <v>3660</v>
      </c>
      <c r="D172" s="530" t="s">
        <v>6209</v>
      </c>
      <c r="E172" s="530" t="s">
        <v>2095</v>
      </c>
      <c r="F172" s="530"/>
      <c r="G172" s="530"/>
      <c r="H172" s="742">
        <v>3</v>
      </c>
      <c r="I172" s="530"/>
      <c r="J172" s="530" t="s">
        <v>6216</v>
      </c>
      <c r="K172" s="530" t="s">
        <v>6220</v>
      </c>
      <c r="L172" s="530" t="s">
        <v>6212</v>
      </c>
      <c r="M172" s="228" t="s">
        <v>6249</v>
      </c>
      <c r="N172" s="742">
        <v>2</v>
      </c>
    </row>
    <row r="173" spans="1:14" ht="85.5">
      <c r="A173" s="257" t="s">
        <v>320</v>
      </c>
      <c r="B173" s="531" t="s">
        <v>321</v>
      </c>
      <c r="C173" s="257" t="s">
        <v>323</v>
      </c>
      <c r="D173" s="530" t="s">
        <v>6214</v>
      </c>
      <c r="E173" s="530" t="s">
        <v>63</v>
      </c>
      <c r="F173" s="530">
        <v>600</v>
      </c>
      <c r="G173" s="530" t="s">
        <v>143</v>
      </c>
      <c r="H173" s="530">
        <v>5</v>
      </c>
      <c r="I173" s="530" t="s">
        <v>327</v>
      </c>
      <c r="J173" s="530" t="s">
        <v>6216</v>
      </c>
      <c r="K173" s="530" t="s">
        <v>6211</v>
      </c>
      <c r="L173" s="530" t="s">
        <v>6218</v>
      </c>
      <c r="M173" s="228" t="s">
        <v>6250</v>
      </c>
      <c r="N173" s="530">
        <v>0</v>
      </c>
    </row>
    <row r="174" spans="1:14" ht="85.5">
      <c r="A174" s="257" t="s">
        <v>320</v>
      </c>
      <c r="B174" s="531" t="s">
        <v>321</v>
      </c>
      <c r="C174" s="257" t="s">
        <v>323</v>
      </c>
      <c r="D174" s="530" t="s">
        <v>6214</v>
      </c>
      <c r="E174" s="530" t="s">
        <v>66</v>
      </c>
      <c r="F174" s="530">
        <v>1000</v>
      </c>
      <c r="G174" s="530" t="s">
        <v>143</v>
      </c>
      <c r="H174" s="530">
        <v>5</v>
      </c>
      <c r="I174" s="530" t="s">
        <v>327</v>
      </c>
      <c r="J174" s="530" t="s">
        <v>6216</v>
      </c>
      <c r="K174" s="530" t="s">
        <v>6211</v>
      </c>
      <c r="L174" s="530" t="s">
        <v>6218</v>
      </c>
      <c r="M174" s="228" t="s">
        <v>6251</v>
      </c>
      <c r="N174" s="530">
        <v>0</v>
      </c>
    </row>
    <row r="175" spans="1:14" ht="28.5">
      <c r="A175" s="257" t="s">
        <v>330</v>
      </c>
      <c r="B175" s="531" t="s">
        <v>331</v>
      </c>
      <c r="C175" s="257" t="s">
        <v>333</v>
      </c>
      <c r="D175" s="530" t="s">
        <v>6214</v>
      </c>
      <c r="E175" s="530" t="s">
        <v>66</v>
      </c>
      <c r="F175" s="530">
        <v>130</v>
      </c>
      <c r="G175" s="530" t="s">
        <v>1181</v>
      </c>
      <c r="H175" s="530">
        <v>5</v>
      </c>
      <c r="I175" s="530"/>
      <c r="J175" s="530" t="s">
        <v>6210</v>
      </c>
      <c r="K175" s="530" t="s">
        <v>6211</v>
      </c>
      <c r="L175" s="530" t="s">
        <v>6212</v>
      </c>
      <c r="M175" s="228" t="s">
        <v>6252</v>
      </c>
      <c r="N175" s="530" t="s">
        <v>184</v>
      </c>
    </row>
    <row r="176" spans="1:14" ht="28.5">
      <c r="A176" s="257" t="s">
        <v>330</v>
      </c>
      <c r="B176" s="531" t="s">
        <v>331</v>
      </c>
      <c r="C176" s="257" t="s">
        <v>333</v>
      </c>
      <c r="D176" s="530" t="s">
        <v>6214</v>
      </c>
      <c r="E176" s="530" t="s">
        <v>72</v>
      </c>
      <c r="F176" s="530">
        <v>155</v>
      </c>
      <c r="G176" s="530" t="s">
        <v>1181</v>
      </c>
      <c r="H176" s="530">
        <v>5</v>
      </c>
      <c r="I176" s="530"/>
      <c r="J176" s="530" t="s">
        <v>6210</v>
      </c>
      <c r="K176" s="530" t="s">
        <v>6231</v>
      </c>
      <c r="L176" s="530" t="s">
        <v>6232</v>
      </c>
      <c r="M176" s="228" t="s">
        <v>6252</v>
      </c>
      <c r="N176" s="530" t="s">
        <v>184</v>
      </c>
    </row>
    <row r="177" spans="1:14" ht="28.5">
      <c r="A177" s="257" t="s">
        <v>336</v>
      </c>
      <c r="B177" s="531" t="s">
        <v>331</v>
      </c>
      <c r="C177" s="257" t="s">
        <v>338</v>
      </c>
      <c r="D177" s="530" t="s">
        <v>6214</v>
      </c>
      <c r="E177" s="530" t="s">
        <v>66</v>
      </c>
      <c r="F177" s="530">
        <v>130</v>
      </c>
      <c r="G177" s="530" t="s">
        <v>1181</v>
      </c>
      <c r="H177" s="530">
        <v>5</v>
      </c>
      <c r="I177" s="530"/>
      <c r="J177" s="530" t="s">
        <v>6210</v>
      </c>
      <c r="K177" s="530" t="s">
        <v>6211</v>
      </c>
      <c r="L177" s="530" t="s">
        <v>6212</v>
      </c>
      <c r="M177" s="228" t="s">
        <v>6252</v>
      </c>
      <c r="N177" s="530" t="s">
        <v>184</v>
      </c>
    </row>
    <row r="178" spans="1:14" ht="28.5">
      <c r="A178" s="257" t="s">
        <v>336</v>
      </c>
      <c r="B178" s="531" t="s">
        <v>331</v>
      </c>
      <c r="C178" s="257" t="s">
        <v>338</v>
      </c>
      <c r="D178" s="530" t="s">
        <v>6214</v>
      </c>
      <c r="E178" s="530" t="s">
        <v>72</v>
      </c>
      <c r="F178" s="530">
        <v>155</v>
      </c>
      <c r="G178" s="530" t="s">
        <v>1181</v>
      </c>
      <c r="H178" s="530">
        <v>5</v>
      </c>
      <c r="I178" s="530"/>
      <c r="J178" s="530" t="s">
        <v>6210</v>
      </c>
      <c r="K178" s="530" t="s">
        <v>6231</v>
      </c>
      <c r="L178" s="530" t="s">
        <v>6232</v>
      </c>
      <c r="M178" s="228" t="s">
        <v>6252</v>
      </c>
      <c r="N178" s="530" t="s">
        <v>184</v>
      </c>
    </row>
    <row r="179" spans="1:14" ht="28.5">
      <c r="A179" s="257" t="s">
        <v>340</v>
      </c>
      <c r="B179" s="531" t="s">
        <v>331</v>
      </c>
      <c r="C179" s="257" t="s">
        <v>342</v>
      </c>
      <c r="D179" s="530" t="s">
        <v>6214</v>
      </c>
      <c r="E179" s="530" t="s">
        <v>66</v>
      </c>
      <c r="F179" s="530">
        <v>130</v>
      </c>
      <c r="G179" s="530" t="s">
        <v>1181</v>
      </c>
      <c r="H179" s="530">
        <v>5</v>
      </c>
      <c r="I179" s="530"/>
      <c r="J179" s="530" t="s">
        <v>6210</v>
      </c>
      <c r="K179" s="530" t="s">
        <v>6211</v>
      </c>
      <c r="L179" s="530" t="s">
        <v>6212</v>
      </c>
      <c r="M179" s="228" t="s">
        <v>6252</v>
      </c>
      <c r="N179" s="530" t="s">
        <v>184</v>
      </c>
    </row>
    <row r="180" spans="1:14" ht="28.5">
      <c r="A180" s="257" t="s">
        <v>340</v>
      </c>
      <c r="B180" s="531" t="s">
        <v>331</v>
      </c>
      <c r="C180" s="257" t="s">
        <v>342</v>
      </c>
      <c r="D180" s="530" t="s">
        <v>6214</v>
      </c>
      <c r="E180" s="530" t="s">
        <v>72</v>
      </c>
      <c r="F180" s="530">
        <v>155</v>
      </c>
      <c r="G180" s="530" t="s">
        <v>1181</v>
      </c>
      <c r="H180" s="530">
        <v>5</v>
      </c>
      <c r="I180" s="530"/>
      <c r="J180" s="530" t="s">
        <v>6210</v>
      </c>
      <c r="K180" s="530" t="s">
        <v>6231</v>
      </c>
      <c r="L180" s="530" t="s">
        <v>6232</v>
      </c>
      <c r="M180" s="228" t="s">
        <v>6252</v>
      </c>
      <c r="N180" s="530" t="s">
        <v>184</v>
      </c>
    </row>
    <row r="181" spans="1:14" ht="28.5">
      <c r="A181" s="257" t="s">
        <v>344</v>
      </c>
      <c r="B181" s="531" t="s">
        <v>331</v>
      </c>
      <c r="C181" s="257" t="s">
        <v>346</v>
      </c>
      <c r="D181" s="530" t="s">
        <v>6214</v>
      </c>
      <c r="E181" s="530" t="s">
        <v>66</v>
      </c>
      <c r="F181" s="530">
        <v>90</v>
      </c>
      <c r="G181" s="530" t="s">
        <v>1181</v>
      </c>
      <c r="H181" s="530">
        <v>5</v>
      </c>
      <c r="I181" s="530"/>
      <c r="J181" s="530" t="s">
        <v>6210</v>
      </c>
      <c r="K181" s="530" t="s">
        <v>6211</v>
      </c>
      <c r="L181" s="530" t="s">
        <v>6212</v>
      </c>
      <c r="M181" s="228" t="s">
        <v>6253</v>
      </c>
      <c r="N181" s="530" t="s">
        <v>184</v>
      </c>
    </row>
    <row r="182" spans="1:14" ht="28.5">
      <c r="A182" s="257" t="s">
        <v>344</v>
      </c>
      <c r="B182" s="531" t="s">
        <v>331</v>
      </c>
      <c r="C182" s="257" t="s">
        <v>346</v>
      </c>
      <c r="D182" s="530" t="s">
        <v>6214</v>
      </c>
      <c r="E182" s="530" t="s">
        <v>72</v>
      </c>
      <c r="F182" s="530">
        <v>110</v>
      </c>
      <c r="G182" s="530" t="s">
        <v>1181</v>
      </c>
      <c r="H182" s="530">
        <v>5</v>
      </c>
      <c r="I182" s="530"/>
      <c r="J182" s="530" t="s">
        <v>6210</v>
      </c>
      <c r="K182" s="530" t="s">
        <v>6231</v>
      </c>
      <c r="L182" s="530" t="s">
        <v>6232</v>
      </c>
      <c r="M182" s="228" t="s">
        <v>6252</v>
      </c>
      <c r="N182" s="530" t="s">
        <v>184</v>
      </c>
    </row>
    <row r="183" spans="1:14" ht="28.5">
      <c r="A183" s="257" t="s">
        <v>348</v>
      </c>
      <c r="B183" s="531" t="s">
        <v>331</v>
      </c>
      <c r="C183" s="257" t="s">
        <v>350</v>
      </c>
      <c r="D183" s="530" t="s">
        <v>6214</v>
      </c>
      <c r="E183" s="530" t="s">
        <v>66</v>
      </c>
      <c r="F183" s="530">
        <v>90</v>
      </c>
      <c r="G183" s="530" t="s">
        <v>1181</v>
      </c>
      <c r="H183" s="530">
        <v>5</v>
      </c>
      <c r="I183" s="530"/>
      <c r="J183" s="530" t="s">
        <v>6210</v>
      </c>
      <c r="K183" s="530" t="s">
        <v>6211</v>
      </c>
      <c r="L183" s="530" t="s">
        <v>6212</v>
      </c>
      <c r="M183" s="228" t="s">
        <v>6253</v>
      </c>
      <c r="N183" s="530" t="s">
        <v>184</v>
      </c>
    </row>
    <row r="184" spans="1:14" ht="28.5">
      <c r="A184" s="257" t="s">
        <v>348</v>
      </c>
      <c r="B184" s="531" t="s">
        <v>331</v>
      </c>
      <c r="C184" s="257" t="s">
        <v>350</v>
      </c>
      <c r="D184" s="530" t="s">
        <v>6214</v>
      </c>
      <c r="E184" s="530" t="s">
        <v>72</v>
      </c>
      <c r="F184" s="530">
        <v>110</v>
      </c>
      <c r="G184" s="530" t="s">
        <v>1181</v>
      </c>
      <c r="H184" s="530">
        <v>5</v>
      </c>
      <c r="I184" s="530"/>
      <c r="J184" s="530" t="s">
        <v>6210</v>
      </c>
      <c r="K184" s="530" t="s">
        <v>6231</v>
      </c>
      <c r="L184" s="530" t="s">
        <v>6232</v>
      </c>
      <c r="M184" s="228" t="s">
        <v>6252</v>
      </c>
      <c r="N184" s="530" t="s">
        <v>184</v>
      </c>
    </row>
    <row r="185" spans="1:14" ht="28.5">
      <c r="A185" s="257" t="s">
        <v>4809</v>
      </c>
      <c r="B185" s="531" t="s">
        <v>331</v>
      </c>
      <c r="C185" s="257" t="s">
        <v>4811</v>
      </c>
      <c r="D185" s="530" t="s">
        <v>6214</v>
      </c>
      <c r="E185" s="530" t="s">
        <v>66</v>
      </c>
      <c r="F185" s="530">
        <v>120</v>
      </c>
      <c r="G185" s="530" t="s">
        <v>143</v>
      </c>
      <c r="H185" s="530">
        <v>5</v>
      </c>
      <c r="I185" s="530"/>
      <c r="J185" s="530" t="s">
        <v>6216</v>
      </c>
      <c r="K185" s="530" t="s">
        <v>6211</v>
      </c>
      <c r="L185" s="530" t="s">
        <v>6218</v>
      </c>
      <c r="M185" s="228" t="s">
        <v>6254</v>
      </c>
      <c r="N185" s="530" t="s">
        <v>184</v>
      </c>
    </row>
    <row r="186" spans="1:14" ht="28.5">
      <c r="A186" s="257" t="s">
        <v>4809</v>
      </c>
      <c r="B186" s="531" t="s">
        <v>331</v>
      </c>
      <c r="C186" s="257" t="s">
        <v>4811</v>
      </c>
      <c r="D186" s="530" t="s">
        <v>6214</v>
      </c>
      <c r="E186" s="530" t="s">
        <v>72</v>
      </c>
      <c r="F186" s="530">
        <v>125</v>
      </c>
      <c r="G186" s="530" t="s">
        <v>143</v>
      </c>
      <c r="H186" s="530">
        <v>5</v>
      </c>
      <c r="I186" s="530"/>
      <c r="J186" s="530" t="s">
        <v>6216</v>
      </c>
      <c r="K186" s="530" t="s">
        <v>6231</v>
      </c>
      <c r="L186" s="530" t="s">
        <v>6232</v>
      </c>
      <c r="M186" s="228" t="s">
        <v>6255</v>
      </c>
      <c r="N186" s="530" t="s">
        <v>184</v>
      </c>
    </row>
    <row r="187" spans="1:14" ht="28.5">
      <c r="A187" s="257" t="s">
        <v>373</v>
      </c>
      <c r="B187" s="531" t="s">
        <v>331</v>
      </c>
      <c r="C187" s="257" t="s">
        <v>375</v>
      </c>
      <c r="D187" s="530" t="s">
        <v>6214</v>
      </c>
      <c r="E187" s="530" t="s">
        <v>66</v>
      </c>
      <c r="F187" s="530">
        <v>130</v>
      </c>
      <c r="G187" s="530" t="s">
        <v>1181</v>
      </c>
      <c r="H187" s="530">
        <v>5</v>
      </c>
      <c r="I187" s="530"/>
      <c r="J187" s="530" t="s">
        <v>6210</v>
      </c>
      <c r="K187" s="530" t="s">
        <v>6211</v>
      </c>
      <c r="L187" s="530" t="s">
        <v>6212</v>
      </c>
      <c r="M187" s="228" t="s">
        <v>6252</v>
      </c>
      <c r="N187" s="530" t="s">
        <v>184</v>
      </c>
    </row>
    <row r="188" spans="1:14" ht="28.5">
      <c r="A188" s="257" t="s">
        <v>373</v>
      </c>
      <c r="B188" s="531" t="s">
        <v>331</v>
      </c>
      <c r="C188" s="257" t="s">
        <v>375</v>
      </c>
      <c r="D188" s="530" t="s">
        <v>6214</v>
      </c>
      <c r="E188" s="530" t="s">
        <v>72</v>
      </c>
      <c r="F188" s="530">
        <v>155</v>
      </c>
      <c r="G188" s="530" t="s">
        <v>1181</v>
      </c>
      <c r="H188" s="530">
        <v>5</v>
      </c>
      <c r="I188" s="530"/>
      <c r="J188" s="530" t="s">
        <v>6210</v>
      </c>
      <c r="K188" s="530" t="s">
        <v>6231</v>
      </c>
      <c r="L188" s="530" t="s">
        <v>6232</v>
      </c>
      <c r="M188" s="228" t="s">
        <v>6252</v>
      </c>
      <c r="N188" s="530" t="s">
        <v>184</v>
      </c>
    </row>
    <row r="189" spans="1:14" ht="28.5">
      <c r="A189" s="257" t="s">
        <v>378</v>
      </c>
      <c r="B189" s="531" t="s">
        <v>331</v>
      </c>
      <c r="C189" s="257" t="s">
        <v>380</v>
      </c>
      <c r="D189" s="530" t="s">
        <v>6214</v>
      </c>
      <c r="E189" s="530" t="s">
        <v>66</v>
      </c>
      <c r="F189" s="530">
        <v>130</v>
      </c>
      <c r="G189" s="530" t="s">
        <v>1181</v>
      </c>
      <c r="H189" s="530">
        <v>5</v>
      </c>
      <c r="I189" s="530"/>
      <c r="J189" s="530" t="s">
        <v>6210</v>
      </c>
      <c r="K189" s="530" t="s">
        <v>6211</v>
      </c>
      <c r="L189" s="530" t="s">
        <v>6212</v>
      </c>
      <c r="M189" s="228" t="s">
        <v>6252</v>
      </c>
      <c r="N189" s="530" t="s">
        <v>184</v>
      </c>
    </row>
    <row r="190" spans="1:14" ht="28.5">
      <c r="A190" s="257" t="s">
        <v>378</v>
      </c>
      <c r="B190" s="531" t="s">
        <v>331</v>
      </c>
      <c r="C190" s="257" t="s">
        <v>380</v>
      </c>
      <c r="D190" s="530" t="s">
        <v>6214</v>
      </c>
      <c r="E190" s="530" t="s">
        <v>72</v>
      </c>
      <c r="F190" s="530">
        <v>155</v>
      </c>
      <c r="G190" s="530" t="s">
        <v>1181</v>
      </c>
      <c r="H190" s="530">
        <v>5</v>
      </c>
      <c r="I190" s="530"/>
      <c r="J190" s="530" t="s">
        <v>6210</v>
      </c>
      <c r="K190" s="530" t="s">
        <v>6231</v>
      </c>
      <c r="L190" s="530" t="s">
        <v>6232</v>
      </c>
      <c r="M190" s="228" t="s">
        <v>6252</v>
      </c>
      <c r="N190" s="530" t="s">
        <v>184</v>
      </c>
    </row>
    <row r="191" spans="1:14" ht="28.5">
      <c r="A191" s="257" t="s">
        <v>382</v>
      </c>
      <c r="B191" s="531" t="s">
        <v>331</v>
      </c>
      <c r="C191" s="257" t="s">
        <v>384</v>
      </c>
      <c r="D191" s="530" t="s">
        <v>6214</v>
      </c>
      <c r="E191" s="530" t="s">
        <v>66</v>
      </c>
      <c r="F191" s="530">
        <v>130</v>
      </c>
      <c r="G191" s="530" t="s">
        <v>1181</v>
      </c>
      <c r="H191" s="530">
        <v>5</v>
      </c>
      <c r="I191" s="530"/>
      <c r="J191" s="530" t="s">
        <v>6210</v>
      </c>
      <c r="K191" s="530" t="s">
        <v>6211</v>
      </c>
      <c r="L191" s="530" t="s">
        <v>6212</v>
      </c>
      <c r="M191" s="228" t="s">
        <v>6252</v>
      </c>
      <c r="N191" s="530" t="s">
        <v>184</v>
      </c>
    </row>
    <row r="192" spans="1:14" ht="28.5">
      <c r="A192" s="257" t="s">
        <v>382</v>
      </c>
      <c r="B192" s="531" t="s">
        <v>331</v>
      </c>
      <c r="C192" s="257" t="s">
        <v>384</v>
      </c>
      <c r="D192" s="530" t="s">
        <v>6214</v>
      </c>
      <c r="E192" s="530" t="s">
        <v>72</v>
      </c>
      <c r="F192" s="530">
        <v>155</v>
      </c>
      <c r="G192" s="530" t="s">
        <v>1181</v>
      </c>
      <c r="H192" s="530">
        <v>5</v>
      </c>
      <c r="I192" s="530"/>
      <c r="J192" s="530" t="s">
        <v>6210</v>
      </c>
      <c r="K192" s="530" t="s">
        <v>6231</v>
      </c>
      <c r="L192" s="530" t="s">
        <v>6232</v>
      </c>
      <c r="M192" s="228" t="s">
        <v>6252</v>
      </c>
      <c r="N192" s="530" t="s">
        <v>184</v>
      </c>
    </row>
    <row r="193" spans="1:14" ht="28.5">
      <c r="A193" s="257" t="s">
        <v>386</v>
      </c>
      <c r="B193" s="531" t="s">
        <v>331</v>
      </c>
      <c r="C193" s="257" t="s">
        <v>388</v>
      </c>
      <c r="D193" s="530" t="s">
        <v>6214</v>
      </c>
      <c r="E193" s="530" t="s">
        <v>66</v>
      </c>
      <c r="F193" s="530">
        <v>90</v>
      </c>
      <c r="G193" s="530" t="s">
        <v>1181</v>
      </c>
      <c r="H193" s="530">
        <v>5</v>
      </c>
      <c r="I193" s="530"/>
      <c r="J193" s="530" t="s">
        <v>6210</v>
      </c>
      <c r="K193" s="530" t="s">
        <v>6211</v>
      </c>
      <c r="L193" s="530" t="s">
        <v>6212</v>
      </c>
      <c r="M193" s="228" t="s">
        <v>6253</v>
      </c>
      <c r="N193" s="530" t="s">
        <v>184</v>
      </c>
    </row>
    <row r="194" spans="1:14" ht="28.5">
      <c r="A194" s="257" t="s">
        <v>386</v>
      </c>
      <c r="B194" s="531" t="s">
        <v>331</v>
      </c>
      <c r="C194" s="257" t="s">
        <v>388</v>
      </c>
      <c r="D194" s="530" t="s">
        <v>6214</v>
      </c>
      <c r="E194" s="530" t="s">
        <v>72</v>
      </c>
      <c r="F194" s="530">
        <v>110</v>
      </c>
      <c r="G194" s="530" t="s">
        <v>1181</v>
      </c>
      <c r="H194" s="530">
        <v>5</v>
      </c>
      <c r="I194" s="530"/>
      <c r="J194" s="530" t="s">
        <v>6210</v>
      </c>
      <c r="K194" s="530" t="s">
        <v>6231</v>
      </c>
      <c r="L194" s="530" t="s">
        <v>6232</v>
      </c>
      <c r="M194" s="228" t="s">
        <v>6252</v>
      </c>
      <c r="N194" s="530" t="s">
        <v>184</v>
      </c>
    </row>
    <row r="195" spans="1:14" ht="28.5">
      <c r="A195" s="257" t="s">
        <v>390</v>
      </c>
      <c r="B195" s="531" t="s">
        <v>331</v>
      </c>
      <c r="C195" s="257" t="s">
        <v>392</v>
      </c>
      <c r="D195" s="530" t="s">
        <v>6214</v>
      </c>
      <c r="E195" s="530" t="s">
        <v>66</v>
      </c>
      <c r="F195" s="530">
        <v>90</v>
      </c>
      <c r="G195" s="530" t="s">
        <v>1181</v>
      </c>
      <c r="H195" s="530">
        <v>5</v>
      </c>
      <c r="I195" s="530"/>
      <c r="J195" s="530" t="s">
        <v>6210</v>
      </c>
      <c r="K195" s="530" t="s">
        <v>6211</v>
      </c>
      <c r="L195" s="530" t="s">
        <v>6212</v>
      </c>
      <c r="M195" s="228" t="s">
        <v>6253</v>
      </c>
      <c r="N195" s="530" t="s">
        <v>184</v>
      </c>
    </row>
    <row r="196" spans="1:14" ht="28.5">
      <c r="A196" s="257" t="s">
        <v>390</v>
      </c>
      <c r="B196" s="531" t="s">
        <v>331</v>
      </c>
      <c r="C196" s="257" t="s">
        <v>392</v>
      </c>
      <c r="D196" s="530" t="s">
        <v>6214</v>
      </c>
      <c r="E196" s="530" t="s">
        <v>72</v>
      </c>
      <c r="F196" s="530">
        <v>110</v>
      </c>
      <c r="G196" s="530" t="s">
        <v>1181</v>
      </c>
      <c r="H196" s="530">
        <v>5</v>
      </c>
      <c r="I196" s="530"/>
      <c r="J196" s="530" t="s">
        <v>6210</v>
      </c>
      <c r="K196" s="530" t="s">
        <v>6231</v>
      </c>
      <c r="L196" s="530" t="s">
        <v>6232</v>
      </c>
      <c r="M196" s="228" t="s">
        <v>6252</v>
      </c>
      <c r="N196" s="530" t="s">
        <v>184</v>
      </c>
    </row>
    <row r="197" spans="1:14" ht="28.5">
      <c r="A197" s="257" t="s">
        <v>4816</v>
      </c>
      <c r="B197" s="531" t="s">
        <v>331</v>
      </c>
      <c r="C197" s="257" t="s">
        <v>4818</v>
      </c>
      <c r="D197" s="530" t="s">
        <v>6214</v>
      </c>
      <c r="E197" s="530" t="s">
        <v>66</v>
      </c>
      <c r="F197" s="530">
        <v>120</v>
      </c>
      <c r="G197" s="530" t="s">
        <v>143</v>
      </c>
      <c r="H197" s="530">
        <v>5</v>
      </c>
      <c r="I197" s="530"/>
      <c r="J197" s="530" t="s">
        <v>6216</v>
      </c>
      <c r="K197" s="530" t="s">
        <v>6211</v>
      </c>
      <c r="L197" s="530" t="s">
        <v>6218</v>
      </c>
      <c r="M197" s="228" t="s">
        <v>6254</v>
      </c>
      <c r="N197" s="530" t="s">
        <v>184</v>
      </c>
    </row>
    <row r="198" spans="1:14" ht="28.5">
      <c r="A198" s="257" t="s">
        <v>4816</v>
      </c>
      <c r="B198" s="531" t="s">
        <v>331</v>
      </c>
      <c r="C198" s="257" t="s">
        <v>4818</v>
      </c>
      <c r="D198" s="530" t="s">
        <v>6214</v>
      </c>
      <c r="E198" s="530" t="s">
        <v>72</v>
      </c>
      <c r="F198" s="530">
        <v>125</v>
      </c>
      <c r="G198" s="530" t="s">
        <v>143</v>
      </c>
      <c r="H198" s="530">
        <v>5</v>
      </c>
      <c r="I198" s="530"/>
      <c r="J198" s="530" t="s">
        <v>6216</v>
      </c>
      <c r="K198" s="530" t="s">
        <v>6231</v>
      </c>
      <c r="L198" s="530" t="s">
        <v>6232</v>
      </c>
      <c r="M198" s="228" t="s">
        <v>6255</v>
      </c>
      <c r="N198" s="530" t="s">
        <v>184</v>
      </c>
    </row>
    <row r="199" spans="1:14" ht="28.5">
      <c r="A199" s="257" t="s">
        <v>415</v>
      </c>
      <c r="B199" s="531" t="s">
        <v>331</v>
      </c>
      <c r="C199" s="257" t="s">
        <v>417</v>
      </c>
      <c r="D199" s="530" t="s">
        <v>6214</v>
      </c>
      <c r="E199" s="530" t="s">
        <v>66</v>
      </c>
      <c r="F199" s="530">
        <v>130</v>
      </c>
      <c r="G199" s="530" t="s">
        <v>1181</v>
      </c>
      <c r="H199" s="530">
        <v>5</v>
      </c>
      <c r="I199" s="530"/>
      <c r="J199" s="530" t="s">
        <v>6210</v>
      </c>
      <c r="K199" s="530" t="s">
        <v>6211</v>
      </c>
      <c r="L199" s="530" t="s">
        <v>6212</v>
      </c>
      <c r="M199" s="228" t="s">
        <v>6252</v>
      </c>
      <c r="N199" s="530" t="s">
        <v>184</v>
      </c>
    </row>
    <row r="200" spans="1:14" ht="28.5">
      <c r="A200" s="257" t="s">
        <v>415</v>
      </c>
      <c r="B200" s="531" t="s">
        <v>331</v>
      </c>
      <c r="C200" s="257" t="s">
        <v>417</v>
      </c>
      <c r="D200" s="530" t="s">
        <v>6214</v>
      </c>
      <c r="E200" s="530" t="s">
        <v>72</v>
      </c>
      <c r="F200" s="530">
        <v>155</v>
      </c>
      <c r="G200" s="530" t="s">
        <v>1181</v>
      </c>
      <c r="H200" s="530">
        <v>5</v>
      </c>
      <c r="I200" s="530"/>
      <c r="J200" s="530" t="s">
        <v>6210</v>
      </c>
      <c r="K200" s="530" t="s">
        <v>6231</v>
      </c>
      <c r="L200" s="530" t="s">
        <v>6232</v>
      </c>
      <c r="M200" s="228" t="s">
        <v>6252</v>
      </c>
      <c r="N200" s="530" t="s">
        <v>184</v>
      </c>
    </row>
    <row r="201" spans="1:14" ht="28.5">
      <c r="A201" s="257" t="s">
        <v>420</v>
      </c>
      <c r="B201" s="531" t="s">
        <v>331</v>
      </c>
      <c r="C201" s="257" t="s">
        <v>422</v>
      </c>
      <c r="D201" s="530" t="s">
        <v>6214</v>
      </c>
      <c r="E201" s="530" t="s">
        <v>66</v>
      </c>
      <c r="F201" s="530">
        <v>130</v>
      </c>
      <c r="G201" s="530" t="s">
        <v>1181</v>
      </c>
      <c r="H201" s="530">
        <v>5</v>
      </c>
      <c r="I201" s="530"/>
      <c r="J201" s="530" t="s">
        <v>6210</v>
      </c>
      <c r="K201" s="530" t="s">
        <v>6211</v>
      </c>
      <c r="L201" s="530" t="s">
        <v>6212</v>
      </c>
      <c r="M201" s="228" t="s">
        <v>6252</v>
      </c>
      <c r="N201" s="530" t="s">
        <v>184</v>
      </c>
    </row>
    <row r="202" spans="1:14" ht="28.5">
      <c r="A202" s="257" t="s">
        <v>420</v>
      </c>
      <c r="B202" s="531" t="s">
        <v>331</v>
      </c>
      <c r="C202" s="257" t="s">
        <v>422</v>
      </c>
      <c r="D202" s="530" t="s">
        <v>6214</v>
      </c>
      <c r="E202" s="530" t="s">
        <v>72</v>
      </c>
      <c r="F202" s="530">
        <v>155</v>
      </c>
      <c r="G202" s="530" t="s">
        <v>1181</v>
      </c>
      <c r="H202" s="530">
        <v>5</v>
      </c>
      <c r="I202" s="530"/>
      <c r="J202" s="530" t="s">
        <v>6210</v>
      </c>
      <c r="K202" s="530" t="s">
        <v>6231</v>
      </c>
      <c r="L202" s="530" t="s">
        <v>6232</v>
      </c>
      <c r="M202" s="228" t="s">
        <v>6252</v>
      </c>
      <c r="N202" s="530" t="s">
        <v>184</v>
      </c>
    </row>
    <row r="203" spans="1:14" ht="28.5">
      <c r="A203" s="257" t="s">
        <v>424</v>
      </c>
      <c r="B203" s="531" t="s">
        <v>331</v>
      </c>
      <c r="C203" s="257" t="s">
        <v>426</v>
      </c>
      <c r="D203" s="530" t="s">
        <v>6214</v>
      </c>
      <c r="E203" s="530" t="s">
        <v>66</v>
      </c>
      <c r="F203" s="530">
        <v>130</v>
      </c>
      <c r="G203" s="530" t="s">
        <v>1181</v>
      </c>
      <c r="H203" s="530">
        <v>5</v>
      </c>
      <c r="I203" s="530"/>
      <c r="J203" s="530" t="s">
        <v>6210</v>
      </c>
      <c r="K203" s="530" t="s">
        <v>6211</v>
      </c>
      <c r="L203" s="530" t="s">
        <v>6212</v>
      </c>
      <c r="M203" s="228" t="s">
        <v>6252</v>
      </c>
      <c r="N203" s="530" t="s">
        <v>184</v>
      </c>
    </row>
    <row r="204" spans="1:14" ht="28.5">
      <c r="A204" s="257" t="s">
        <v>424</v>
      </c>
      <c r="B204" s="531" t="s">
        <v>331</v>
      </c>
      <c r="C204" s="257" t="s">
        <v>426</v>
      </c>
      <c r="D204" s="530" t="s">
        <v>6214</v>
      </c>
      <c r="E204" s="530" t="s">
        <v>72</v>
      </c>
      <c r="F204" s="530">
        <v>155</v>
      </c>
      <c r="G204" s="530" t="s">
        <v>1181</v>
      </c>
      <c r="H204" s="530">
        <v>5</v>
      </c>
      <c r="I204" s="530"/>
      <c r="J204" s="530" t="s">
        <v>6210</v>
      </c>
      <c r="K204" s="530" t="s">
        <v>6231</v>
      </c>
      <c r="L204" s="530" t="s">
        <v>6232</v>
      </c>
      <c r="M204" s="228" t="s">
        <v>6252</v>
      </c>
      <c r="N204" s="530" t="s">
        <v>184</v>
      </c>
    </row>
    <row r="205" spans="1:14" ht="28.5">
      <c r="A205" s="257" t="s">
        <v>428</v>
      </c>
      <c r="B205" s="531" t="s">
        <v>331</v>
      </c>
      <c r="C205" s="257" t="s">
        <v>430</v>
      </c>
      <c r="D205" s="530" t="s">
        <v>6214</v>
      </c>
      <c r="E205" s="530" t="s">
        <v>66</v>
      </c>
      <c r="F205" s="530">
        <v>90</v>
      </c>
      <c r="G205" s="530" t="s">
        <v>1181</v>
      </c>
      <c r="H205" s="530">
        <v>5</v>
      </c>
      <c r="I205" s="530"/>
      <c r="J205" s="530" t="s">
        <v>6210</v>
      </c>
      <c r="K205" s="530" t="s">
        <v>6211</v>
      </c>
      <c r="L205" s="530" t="s">
        <v>6212</v>
      </c>
      <c r="M205" s="228" t="s">
        <v>6253</v>
      </c>
      <c r="N205" s="530" t="s">
        <v>184</v>
      </c>
    </row>
    <row r="206" spans="1:14" ht="28.5">
      <c r="A206" s="257" t="s">
        <v>428</v>
      </c>
      <c r="B206" s="531" t="s">
        <v>331</v>
      </c>
      <c r="C206" s="257" t="s">
        <v>430</v>
      </c>
      <c r="D206" s="530" t="s">
        <v>6214</v>
      </c>
      <c r="E206" s="530" t="s">
        <v>72</v>
      </c>
      <c r="F206" s="530">
        <v>110</v>
      </c>
      <c r="G206" s="530" t="s">
        <v>1181</v>
      </c>
      <c r="H206" s="530">
        <v>5</v>
      </c>
      <c r="I206" s="530"/>
      <c r="J206" s="530" t="s">
        <v>6210</v>
      </c>
      <c r="K206" s="530" t="s">
        <v>6231</v>
      </c>
      <c r="L206" s="530" t="s">
        <v>6232</v>
      </c>
      <c r="M206" s="228" t="s">
        <v>6252</v>
      </c>
      <c r="N206" s="530" t="s">
        <v>184</v>
      </c>
    </row>
    <row r="207" spans="1:14" ht="28.5">
      <c r="A207" s="257" t="s">
        <v>432</v>
      </c>
      <c r="B207" s="531" t="s">
        <v>331</v>
      </c>
      <c r="C207" s="257" t="s">
        <v>434</v>
      </c>
      <c r="D207" s="530" t="s">
        <v>6214</v>
      </c>
      <c r="E207" s="530" t="s">
        <v>66</v>
      </c>
      <c r="F207" s="530">
        <v>90</v>
      </c>
      <c r="G207" s="530" t="s">
        <v>1181</v>
      </c>
      <c r="H207" s="530">
        <v>5</v>
      </c>
      <c r="I207" s="530"/>
      <c r="J207" s="530" t="s">
        <v>6210</v>
      </c>
      <c r="K207" s="530" t="s">
        <v>6211</v>
      </c>
      <c r="L207" s="530" t="s">
        <v>6212</v>
      </c>
      <c r="M207" s="228" t="s">
        <v>6253</v>
      </c>
      <c r="N207" s="530" t="s">
        <v>184</v>
      </c>
    </row>
    <row r="208" spans="1:14" ht="28.5">
      <c r="A208" s="257" t="s">
        <v>432</v>
      </c>
      <c r="B208" s="531" t="s">
        <v>331</v>
      </c>
      <c r="C208" s="257" t="s">
        <v>434</v>
      </c>
      <c r="D208" s="530" t="s">
        <v>6214</v>
      </c>
      <c r="E208" s="530" t="s">
        <v>72</v>
      </c>
      <c r="F208" s="530">
        <v>110</v>
      </c>
      <c r="G208" s="530" t="s">
        <v>1181</v>
      </c>
      <c r="H208" s="530">
        <v>5</v>
      </c>
      <c r="I208" s="530"/>
      <c r="J208" s="530" t="s">
        <v>6210</v>
      </c>
      <c r="K208" s="530" t="s">
        <v>6231</v>
      </c>
      <c r="L208" s="530" t="s">
        <v>6232</v>
      </c>
      <c r="M208" s="228" t="s">
        <v>6252</v>
      </c>
      <c r="N208" s="530" t="s">
        <v>184</v>
      </c>
    </row>
    <row r="209" spans="1:14" ht="28.5">
      <c r="A209" s="257" t="s">
        <v>4823</v>
      </c>
      <c r="B209" s="531" t="s">
        <v>331</v>
      </c>
      <c r="C209" s="257" t="s">
        <v>4825</v>
      </c>
      <c r="D209" s="530" t="s">
        <v>6214</v>
      </c>
      <c r="E209" s="530" t="s">
        <v>66</v>
      </c>
      <c r="F209" s="530">
        <v>120</v>
      </c>
      <c r="G209" s="530" t="s">
        <v>143</v>
      </c>
      <c r="H209" s="530">
        <v>5</v>
      </c>
      <c r="I209" s="530"/>
      <c r="J209" s="530" t="s">
        <v>6216</v>
      </c>
      <c r="K209" s="530" t="s">
        <v>6211</v>
      </c>
      <c r="L209" s="530" t="s">
        <v>6218</v>
      </c>
      <c r="M209" s="228" t="s">
        <v>6254</v>
      </c>
      <c r="N209" s="530" t="s">
        <v>184</v>
      </c>
    </row>
    <row r="210" spans="1:14" ht="28.5">
      <c r="A210" s="257" t="s">
        <v>4823</v>
      </c>
      <c r="B210" s="531" t="s">
        <v>331</v>
      </c>
      <c r="C210" s="257" t="s">
        <v>4825</v>
      </c>
      <c r="D210" s="530" t="s">
        <v>6214</v>
      </c>
      <c r="E210" s="530" t="s">
        <v>72</v>
      </c>
      <c r="F210" s="530">
        <v>125</v>
      </c>
      <c r="G210" s="530" t="s">
        <v>143</v>
      </c>
      <c r="H210" s="530">
        <v>5</v>
      </c>
      <c r="I210" s="530"/>
      <c r="J210" s="530" t="s">
        <v>6216</v>
      </c>
      <c r="K210" s="530" t="s">
        <v>6231</v>
      </c>
      <c r="L210" s="530" t="s">
        <v>6232</v>
      </c>
      <c r="M210" s="228" t="s">
        <v>6255</v>
      </c>
      <c r="N210" s="530" t="s">
        <v>184</v>
      </c>
    </row>
    <row r="211" spans="1:14" ht="28.5">
      <c r="A211" s="257" t="s">
        <v>462</v>
      </c>
      <c r="B211" s="531" t="s">
        <v>331</v>
      </c>
      <c r="C211" s="257" t="s">
        <v>464</v>
      </c>
      <c r="D211" s="530" t="s">
        <v>6214</v>
      </c>
      <c r="E211" s="530" t="s">
        <v>66</v>
      </c>
      <c r="F211" s="530">
        <v>130</v>
      </c>
      <c r="G211" s="530" t="s">
        <v>1181</v>
      </c>
      <c r="H211" s="530">
        <v>5</v>
      </c>
      <c r="I211" s="530"/>
      <c r="J211" s="530" t="s">
        <v>6210</v>
      </c>
      <c r="K211" s="530" t="s">
        <v>6211</v>
      </c>
      <c r="L211" s="530" t="s">
        <v>6212</v>
      </c>
      <c r="M211" s="228" t="s">
        <v>6252</v>
      </c>
      <c r="N211" s="530" t="s">
        <v>184</v>
      </c>
    </row>
    <row r="212" spans="1:14" ht="28.5">
      <c r="A212" s="257" t="s">
        <v>462</v>
      </c>
      <c r="B212" s="531" t="s">
        <v>331</v>
      </c>
      <c r="C212" s="257" t="s">
        <v>464</v>
      </c>
      <c r="D212" s="530" t="s">
        <v>6214</v>
      </c>
      <c r="E212" s="530" t="s">
        <v>72</v>
      </c>
      <c r="F212" s="530">
        <v>155</v>
      </c>
      <c r="G212" s="530" t="s">
        <v>1181</v>
      </c>
      <c r="H212" s="530">
        <v>5</v>
      </c>
      <c r="I212" s="530"/>
      <c r="J212" s="530" t="s">
        <v>6210</v>
      </c>
      <c r="K212" s="530" t="s">
        <v>6231</v>
      </c>
      <c r="L212" s="530" t="s">
        <v>6232</v>
      </c>
      <c r="M212" s="228" t="s">
        <v>6252</v>
      </c>
      <c r="N212" s="530" t="s">
        <v>184</v>
      </c>
    </row>
    <row r="213" spans="1:14" ht="28.5">
      <c r="A213" s="257" t="s">
        <v>466</v>
      </c>
      <c r="B213" s="531" t="s">
        <v>331</v>
      </c>
      <c r="C213" s="257" t="s">
        <v>468</v>
      </c>
      <c r="D213" s="530" t="s">
        <v>6214</v>
      </c>
      <c r="E213" s="530" t="s">
        <v>66</v>
      </c>
      <c r="F213" s="530">
        <v>130</v>
      </c>
      <c r="G213" s="530" t="s">
        <v>1181</v>
      </c>
      <c r="H213" s="530">
        <v>5</v>
      </c>
      <c r="I213" s="530"/>
      <c r="J213" s="530" t="s">
        <v>6210</v>
      </c>
      <c r="K213" s="530" t="s">
        <v>6211</v>
      </c>
      <c r="L213" s="530" t="s">
        <v>6212</v>
      </c>
      <c r="M213" s="228" t="s">
        <v>6252</v>
      </c>
      <c r="N213" s="530" t="s">
        <v>184</v>
      </c>
    </row>
    <row r="214" spans="1:14" ht="28.5">
      <c r="A214" s="257" t="s">
        <v>466</v>
      </c>
      <c r="B214" s="531" t="s">
        <v>331</v>
      </c>
      <c r="C214" s="257" t="s">
        <v>468</v>
      </c>
      <c r="D214" s="530" t="s">
        <v>6214</v>
      </c>
      <c r="E214" s="530" t="s">
        <v>72</v>
      </c>
      <c r="F214" s="530">
        <v>155</v>
      </c>
      <c r="G214" s="530" t="s">
        <v>1181</v>
      </c>
      <c r="H214" s="530">
        <v>5</v>
      </c>
      <c r="I214" s="530"/>
      <c r="J214" s="530" t="s">
        <v>6210</v>
      </c>
      <c r="K214" s="530" t="s">
        <v>6231</v>
      </c>
      <c r="L214" s="530" t="s">
        <v>6232</v>
      </c>
      <c r="M214" s="228" t="s">
        <v>6252</v>
      </c>
      <c r="N214" s="530" t="s">
        <v>184</v>
      </c>
    </row>
    <row r="215" spans="1:14" ht="28.5">
      <c r="A215" s="257" t="s">
        <v>470</v>
      </c>
      <c r="B215" s="531" t="s">
        <v>331</v>
      </c>
      <c r="C215" s="257" t="s">
        <v>472</v>
      </c>
      <c r="D215" s="530" t="s">
        <v>6214</v>
      </c>
      <c r="E215" s="530" t="s">
        <v>66</v>
      </c>
      <c r="F215" s="530">
        <v>90</v>
      </c>
      <c r="G215" s="530" t="s">
        <v>1181</v>
      </c>
      <c r="H215" s="530">
        <v>5</v>
      </c>
      <c r="I215" s="530"/>
      <c r="J215" s="530" t="s">
        <v>6210</v>
      </c>
      <c r="K215" s="530" t="s">
        <v>6211</v>
      </c>
      <c r="L215" s="530" t="s">
        <v>6212</v>
      </c>
      <c r="M215" s="228" t="s">
        <v>6253</v>
      </c>
      <c r="N215" s="530" t="s">
        <v>184</v>
      </c>
    </row>
    <row r="216" spans="1:14" ht="28.5">
      <c r="A216" s="257" t="s">
        <v>470</v>
      </c>
      <c r="B216" s="531" t="s">
        <v>331</v>
      </c>
      <c r="C216" s="257" t="s">
        <v>472</v>
      </c>
      <c r="D216" s="530" t="s">
        <v>6214</v>
      </c>
      <c r="E216" s="530" t="s">
        <v>72</v>
      </c>
      <c r="F216" s="530">
        <v>110</v>
      </c>
      <c r="G216" s="530" t="s">
        <v>1181</v>
      </c>
      <c r="H216" s="530">
        <v>5</v>
      </c>
      <c r="I216" s="530"/>
      <c r="J216" s="530" t="s">
        <v>6210</v>
      </c>
      <c r="K216" s="530" t="s">
        <v>6231</v>
      </c>
      <c r="L216" s="530" t="s">
        <v>6232</v>
      </c>
      <c r="M216" s="228" t="s">
        <v>6252</v>
      </c>
      <c r="N216" s="530" t="s">
        <v>184</v>
      </c>
    </row>
    <row r="217" spans="1:14" ht="28.5">
      <c r="A217" s="257" t="s">
        <v>474</v>
      </c>
      <c r="B217" s="531" t="s">
        <v>331</v>
      </c>
      <c r="C217" s="257" t="s">
        <v>476</v>
      </c>
      <c r="D217" s="530" t="s">
        <v>6214</v>
      </c>
      <c r="E217" s="530" t="s">
        <v>66</v>
      </c>
      <c r="F217" s="530">
        <v>90</v>
      </c>
      <c r="G217" s="530" t="s">
        <v>1181</v>
      </c>
      <c r="H217" s="530">
        <v>5</v>
      </c>
      <c r="I217" s="530"/>
      <c r="J217" s="530" t="s">
        <v>6210</v>
      </c>
      <c r="K217" s="530" t="s">
        <v>6211</v>
      </c>
      <c r="L217" s="530" t="s">
        <v>6212</v>
      </c>
      <c r="M217" s="228" t="s">
        <v>6253</v>
      </c>
      <c r="N217" s="530" t="s">
        <v>184</v>
      </c>
    </row>
    <row r="218" spans="1:14" ht="28.5">
      <c r="A218" s="257" t="s">
        <v>474</v>
      </c>
      <c r="B218" s="531" t="s">
        <v>331</v>
      </c>
      <c r="C218" s="257" t="s">
        <v>476</v>
      </c>
      <c r="D218" s="530" t="s">
        <v>6214</v>
      </c>
      <c r="E218" s="530" t="s">
        <v>72</v>
      </c>
      <c r="F218" s="530">
        <v>110</v>
      </c>
      <c r="G218" s="530" t="s">
        <v>1181</v>
      </c>
      <c r="H218" s="530">
        <v>5</v>
      </c>
      <c r="I218" s="530"/>
      <c r="J218" s="530" t="s">
        <v>6210</v>
      </c>
      <c r="K218" s="530" t="s">
        <v>6231</v>
      </c>
      <c r="L218" s="530" t="s">
        <v>6232</v>
      </c>
      <c r="M218" s="228" t="s">
        <v>6252</v>
      </c>
      <c r="N218" s="530" t="s">
        <v>184</v>
      </c>
    </row>
    <row r="219" spans="1:14" ht="28.5">
      <c r="A219" s="257" t="s">
        <v>457</v>
      </c>
      <c r="B219" s="531" t="s">
        <v>331</v>
      </c>
      <c r="C219" s="257" t="s">
        <v>459</v>
      </c>
      <c r="D219" s="530" t="s">
        <v>6214</v>
      </c>
      <c r="E219" s="530" t="s">
        <v>66</v>
      </c>
      <c r="F219" s="530">
        <v>130</v>
      </c>
      <c r="G219" s="530" t="s">
        <v>1181</v>
      </c>
      <c r="H219" s="530">
        <v>5</v>
      </c>
      <c r="I219" s="530"/>
      <c r="J219" s="530" t="s">
        <v>6210</v>
      </c>
      <c r="K219" s="530" t="s">
        <v>6211</v>
      </c>
      <c r="L219" s="530" t="s">
        <v>6212</v>
      </c>
      <c r="M219" s="228" t="s">
        <v>6253</v>
      </c>
      <c r="N219" s="530" t="s">
        <v>184</v>
      </c>
    </row>
    <row r="220" spans="1:14" ht="28.5">
      <c r="A220" s="257" t="s">
        <v>457</v>
      </c>
      <c r="B220" s="531" t="s">
        <v>331</v>
      </c>
      <c r="C220" s="257" t="s">
        <v>459</v>
      </c>
      <c r="D220" s="530" t="s">
        <v>6214</v>
      </c>
      <c r="E220" s="530" t="s">
        <v>72</v>
      </c>
      <c r="F220" s="530">
        <v>155</v>
      </c>
      <c r="G220" s="530" t="s">
        <v>1181</v>
      </c>
      <c r="H220" s="530">
        <v>5</v>
      </c>
      <c r="I220" s="530"/>
      <c r="J220" s="530" t="s">
        <v>6210</v>
      </c>
      <c r="K220" s="530" t="s">
        <v>6231</v>
      </c>
      <c r="L220" s="530" t="s">
        <v>6232</v>
      </c>
      <c r="M220" s="228" t="s">
        <v>6252</v>
      </c>
      <c r="N220" s="530" t="s">
        <v>184</v>
      </c>
    </row>
    <row r="221" spans="1:14" ht="28.5">
      <c r="A221" s="257" t="s">
        <v>4830</v>
      </c>
      <c r="B221" s="531" t="s">
        <v>331</v>
      </c>
      <c r="C221" s="257" t="s">
        <v>4832</v>
      </c>
      <c r="D221" s="530" t="s">
        <v>6214</v>
      </c>
      <c r="E221" s="530" t="s">
        <v>66</v>
      </c>
      <c r="F221" s="530">
        <v>120</v>
      </c>
      <c r="G221" s="530" t="s">
        <v>143</v>
      </c>
      <c r="H221" s="530">
        <v>5</v>
      </c>
      <c r="I221" s="530"/>
      <c r="J221" s="530" t="s">
        <v>6216</v>
      </c>
      <c r="K221" s="530" t="s">
        <v>6211</v>
      </c>
      <c r="L221" s="530" t="s">
        <v>6218</v>
      </c>
      <c r="M221" s="228" t="s">
        <v>6254</v>
      </c>
      <c r="N221" s="530" t="s">
        <v>184</v>
      </c>
    </row>
    <row r="222" spans="1:14" ht="28.5">
      <c r="A222" s="257" t="s">
        <v>4830</v>
      </c>
      <c r="B222" s="531" t="s">
        <v>331</v>
      </c>
      <c r="C222" s="257" t="s">
        <v>4832</v>
      </c>
      <c r="D222" s="530" t="s">
        <v>6214</v>
      </c>
      <c r="E222" s="530" t="s">
        <v>72</v>
      </c>
      <c r="F222" s="530">
        <v>125</v>
      </c>
      <c r="G222" s="530" t="s">
        <v>143</v>
      </c>
      <c r="H222" s="530">
        <v>5</v>
      </c>
      <c r="I222" s="530"/>
      <c r="J222" s="530" t="s">
        <v>6216</v>
      </c>
      <c r="K222" s="530" t="s">
        <v>6231</v>
      </c>
      <c r="L222" s="530" t="s">
        <v>6232</v>
      </c>
      <c r="M222" s="228" t="s">
        <v>6255</v>
      </c>
      <c r="N222" s="530" t="s">
        <v>184</v>
      </c>
    </row>
    <row r="223" spans="1:14" ht="28.5">
      <c r="A223" s="257" t="s">
        <v>352</v>
      </c>
      <c r="B223" s="531" t="s">
        <v>331</v>
      </c>
      <c r="C223" s="257" t="s">
        <v>354</v>
      </c>
      <c r="D223" s="530" t="s">
        <v>6214</v>
      </c>
      <c r="E223" s="530" t="s">
        <v>69</v>
      </c>
      <c r="F223" s="530">
        <v>-8</v>
      </c>
      <c r="G223" s="530" t="s">
        <v>143</v>
      </c>
      <c r="H223" s="530">
        <v>5</v>
      </c>
      <c r="I223" s="530" t="s">
        <v>355</v>
      </c>
      <c r="J223" s="530" t="s">
        <v>6216</v>
      </c>
      <c r="K223" s="530" t="s">
        <v>6231</v>
      </c>
      <c r="L223" s="530" t="s">
        <v>6232</v>
      </c>
      <c r="M223" s="228" t="s">
        <v>6256</v>
      </c>
      <c r="N223" s="530" t="s">
        <v>184</v>
      </c>
    </row>
    <row r="224" spans="1:14" ht="28.5">
      <c r="A224" s="257" t="s">
        <v>352</v>
      </c>
      <c r="B224" s="531" t="s">
        <v>331</v>
      </c>
      <c r="C224" s="257" t="s">
        <v>354</v>
      </c>
      <c r="D224" s="530" t="s">
        <v>6214</v>
      </c>
      <c r="E224" s="530" t="s">
        <v>63</v>
      </c>
      <c r="F224" s="530">
        <v>-6</v>
      </c>
      <c r="G224" s="530" t="s">
        <v>143</v>
      </c>
      <c r="H224" s="530">
        <v>5</v>
      </c>
      <c r="I224" s="530" t="s">
        <v>355</v>
      </c>
      <c r="J224" s="530" t="s">
        <v>6216</v>
      </c>
      <c r="K224" s="530" t="s">
        <v>6211</v>
      </c>
      <c r="L224" s="530" t="s">
        <v>6218</v>
      </c>
      <c r="M224" s="228" t="s">
        <v>6256</v>
      </c>
      <c r="N224" s="530" t="s">
        <v>184</v>
      </c>
    </row>
    <row r="225" spans="1:14" ht="28.5">
      <c r="A225" s="257" t="s">
        <v>358</v>
      </c>
      <c r="B225" s="531" t="s">
        <v>331</v>
      </c>
      <c r="C225" s="257" t="s">
        <v>360</v>
      </c>
      <c r="D225" s="530" t="s">
        <v>6214</v>
      </c>
      <c r="E225" s="530" t="s">
        <v>66</v>
      </c>
      <c r="F225" s="530">
        <v>172</v>
      </c>
      <c r="G225" s="530" t="s">
        <v>1181</v>
      </c>
      <c r="H225" s="530">
        <v>5</v>
      </c>
      <c r="I225" s="530"/>
      <c r="J225" s="530" t="s">
        <v>6216</v>
      </c>
      <c r="K225" s="530" t="s">
        <v>6220</v>
      </c>
      <c r="L225" s="530" t="s">
        <v>6212</v>
      </c>
      <c r="M225" s="228" t="s">
        <v>6255</v>
      </c>
      <c r="N225" s="530" t="s">
        <v>184</v>
      </c>
    </row>
    <row r="226" spans="1:14" ht="28.5">
      <c r="A226" s="257" t="s">
        <v>358</v>
      </c>
      <c r="B226" s="531" t="s">
        <v>331</v>
      </c>
      <c r="C226" s="257" t="s">
        <v>360</v>
      </c>
      <c r="D226" s="530" t="s">
        <v>6214</v>
      </c>
      <c r="E226" s="530" t="s">
        <v>72</v>
      </c>
      <c r="F226" s="530">
        <v>177</v>
      </c>
      <c r="G226" s="530" t="s">
        <v>1181</v>
      </c>
      <c r="H226" s="530">
        <v>5</v>
      </c>
      <c r="I226" s="530"/>
      <c r="J226" s="530" t="s">
        <v>6216</v>
      </c>
      <c r="K226" s="530" t="s">
        <v>6231</v>
      </c>
      <c r="L226" s="530" t="s">
        <v>6232</v>
      </c>
      <c r="M226" s="228" t="s">
        <v>6255</v>
      </c>
      <c r="N226" s="530" t="s">
        <v>184</v>
      </c>
    </row>
    <row r="227" spans="1:14" ht="28.5">
      <c r="A227" s="257" t="s">
        <v>363</v>
      </c>
      <c r="B227" s="531" t="s">
        <v>331</v>
      </c>
      <c r="C227" s="257" t="s">
        <v>365</v>
      </c>
      <c r="D227" s="530" t="s">
        <v>6214</v>
      </c>
      <c r="E227" s="530" t="s">
        <v>72</v>
      </c>
      <c r="F227" s="530">
        <v>118</v>
      </c>
      <c r="G227" s="530" t="s">
        <v>1181</v>
      </c>
      <c r="H227" s="530">
        <v>5</v>
      </c>
      <c r="I227" s="530"/>
      <c r="J227" s="530" t="s">
        <v>6216</v>
      </c>
      <c r="K227" s="530" t="s">
        <v>6231</v>
      </c>
      <c r="L227" s="530" t="s">
        <v>6232</v>
      </c>
      <c r="M227" s="228" t="s">
        <v>6255</v>
      </c>
      <c r="N227" s="530" t="s">
        <v>184</v>
      </c>
    </row>
    <row r="228" spans="1:14" ht="28.5">
      <c r="A228" s="257" t="s">
        <v>363</v>
      </c>
      <c r="B228" s="531" t="s">
        <v>331</v>
      </c>
      <c r="C228" s="257" t="s">
        <v>365</v>
      </c>
      <c r="D228" s="530" t="s">
        <v>6214</v>
      </c>
      <c r="E228" s="530" t="s">
        <v>66</v>
      </c>
      <c r="F228" s="530">
        <v>113</v>
      </c>
      <c r="G228" s="530" t="s">
        <v>1181</v>
      </c>
      <c r="H228" s="530">
        <v>5</v>
      </c>
      <c r="I228" s="530"/>
      <c r="J228" s="530" t="s">
        <v>6216</v>
      </c>
      <c r="K228" s="530" t="s">
        <v>6211</v>
      </c>
      <c r="L228" s="530" t="s">
        <v>6218</v>
      </c>
      <c r="M228" s="228" t="s">
        <v>6255</v>
      </c>
      <c r="N228" s="530" t="s">
        <v>184</v>
      </c>
    </row>
    <row r="229" spans="1:14" ht="28.5">
      <c r="A229" s="257" t="s">
        <v>368</v>
      </c>
      <c r="B229" s="531" t="s">
        <v>331</v>
      </c>
      <c r="C229" s="257" t="s">
        <v>370</v>
      </c>
      <c r="D229" s="530" t="s">
        <v>6214</v>
      </c>
      <c r="E229" s="530" t="s">
        <v>66</v>
      </c>
      <c r="F229" s="530">
        <v>50</v>
      </c>
      <c r="G229" s="530" t="s">
        <v>1181</v>
      </c>
      <c r="H229" s="530">
        <v>5</v>
      </c>
      <c r="I229" s="530"/>
      <c r="J229" s="530" t="s">
        <v>6216</v>
      </c>
      <c r="K229" s="530" t="s">
        <v>6211</v>
      </c>
      <c r="L229" s="530" t="s">
        <v>6218</v>
      </c>
      <c r="M229" s="228" t="s">
        <v>6255</v>
      </c>
      <c r="N229" s="530" t="s">
        <v>184</v>
      </c>
    </row>
    <row r="230" spans="1:14" ht="28.5">
      <c r="A230" s="257" t="s">
        <v>368</v>
      </c>
      <c r="B230" s="531" t="s">
        <v>331</v>
      </c>
      <c r="C230" s="257" t="s">
        <v>370</v>
      </c>
      <c r="D230" s="530" t="s">
        <v>6214</v>
      </c>
      <c r="E230" s="530" t="s">
        <v>72</v>
      </c>
      <c r="F230" s="530">
        <v>52</v>
      </c>
      <c r="G230" s="530" t="s">
        <v>1181</v>
      </c>
      <c r="H230" s="530">
        <v>5</v>
      </c>
      <c r="I230" s="530"/>
      <c r="J230" s="530" t="s">
        <v>6216</v>
      </c>
      <c r="K230" s="530" t="s">
        <v>6231</v>
      </c>
      <c r="L230" s="530" t="s">
        <v>6232</v>
      </c>
      <c r="M230" s="228" t="s">
        <v>6255</v>
      </c>
      <c r="N230" s="530" t="s">
        <v>184</v>
      </c>
    </row>
    <row r="231" spans="1:14" ht="28.5">
      <c r="A231" s="257" t="s">
        <v>394</v>
      </c>
      <c r="B231" s="531" t="s">
        <v>331</v>
      </c>
      <c r="C231" s="257" t="s">
        <v>396</v>
      </c>
      <c r="D231" s="530" t="s">
        <v>6214</v>
      </c>
      <c r="E231" s="530" t="s">
        <v>69</v>
      </c>
      <c r="F231" s="530">
        <v>-8</v>
      </c>
      <c r="G231" s="530" t="s">
        <v>143</v>
      </c>
      <c r="H231" s="530">
        <v>5</v>
      </c>
      <c r="I231" s="530" t="s">
        <v>397</v>
      </c>
      <c r="J231" s="530" t="s">
        <v>6216</v>
      </c>
      <c r="K231" s="530" t="s">
        <v>6231</v>
      </c>
      <c r="L231" s="530" t="s">
        <v>6232</v>
      </c>
      <c r="M231" s="228" t="s">
        <v>6256</v>
      </c>
      <c r="N231" s="530" t="s">
        <v>184</v>
      </c>
    </row>
    <row r="232" spans="1:14" ht="28.5">
      <c r="A232" s="257" t="s">
        <v>394</v>
      </c>
      <c r="B232" s="531" t="s">
        <v>331</v>
      </c>
      <c r="C232" s="257" t="s">
        <v>396</v>
      </c>
      <c r="D232" s="530" t="s">
        <v>6214</v>
      </c>
      <c r="E232" s="530" t="s">
        <v>63</v>
      </c>
      <c r="F232" s="530">
        <v>-6</v>
      </c>
      <c r="G232" s="530" t="s">
        <v>143</v>
      </c>
      <c r="H232" s="530">
        <v>5</v>
      </c>
      <c r="I232" s="530" t="s">
        <v>397</v>
      </c>
      <c r="J232" s="530" t="s">
        <v>6216</v>
      </c>
      <c r="K232" s="530" t="s">
        <v>6211</v>
      </c>
      <c r="L232" s="530" t="s">
        <v>6218</v>
      </c>
      <c r="M232" s="228" t="s">
        <v>6256</v>
      </c>
      <c r="N232" s="530" t="s">
        <v>184</v>
      </c>
    </row>
    <row r="233" spans="1:14" ht="28.5">
      <c r="A233" s="257" t="s">
        <v>400</v>
      </c>
      <c r="B233" s="531" t="s">
        <v>331</v>
      </c>
      <c r="C233" s="257" t="s">
        <v>402</v>
      </c>
      <c r="D233" s="530" t="s">
        <v>6214</v>
      </c>
      <c r="E233" s="530" t="s">
        <v>66</v>
      </c>
      <c r="F233" s="530">
        <v>172</v>
      </c>
      <c r="G233" s="530" t="s">
        <v>1181</v>
      </c>
      <c r="H233" s="530">
        <v>5</v>
      </c>
      <c r="I233" s="530"/>
      <c r="J233" s="530" t="s">
        <v>6216</v>
      </c>
      <c r="K233" s="530" t="s">
        <v>6220</v>
      </c>
      <c r="L233" s="530" t="s">
        <v>6212</v>
      </c>
      <c r="M233" s="228" t="s">
        <v>6255</v>
      </c>
      <c r="N233" s="530" t="s">
        <v>184</v>
      </c>
    </row>
    <row r="234" spans="1:14" ht="28.5">
      <c r="A234" s="257" t="s">
        <v>400</v>
      </c>
      <c r="B234" s="531" t="s">
        <v>331</v>
      </c>
      <c r="C234" s="257" t="s">
        <v>402</v>
      </c>
      <c r="D234" s="530" t="s">
        <v>6214</v>
      </c>
      <c r="E234" s="530" t="s">
        <v>72</v>
      </c>
      <c r="F234" s="530">
        <v>177</v>
      </c>
      <c r="G234" s="530" t="s">
        <v>1181</v>
      </c>
      <c r="H234" s="530">
        <v>5</v>
      </c>
      <c r="I234" s="530"/>
      <c r="J234" s="530" t="s">
        <v>6216</v>
      </c>
      <c r="K234" s="530" t="s">
        <v>6231</v>
      </c>
      <c r="L234" s="530" t="s">
        <v>6232</v>
      </c>
      <c r="M234" s="228" t="s">
        <v>6255</v>
      </c>
      <c r="N234" s="530" t="s">
        <v>184</v>
      </c>
    </row>
    <row r="235" spans="1:14" ht="28.5">
      <c r="A235" s="257" t="s">
        <v>405</v>
      </c>
      <c r="B235" s="531" t="s">
        <v>331</v>
      </c>
      <c r="C235" s="257" t="s">
        <v>407</v>
      </c>
      <c r="D235" s="530" t="s">
        <v>6214</v>
      </c>
      <c r="E235" s="530" t="s">
        <v>72</v>
      </c>
      <c r="F235" s="530">
        <v>118</v>
      </c>
      <c r="G235" s="530" t="s">
        <v>1181</v>
      </c>
      <c r="H235" s="530">
        <v>5</v>
      </c>
      <c r="I235" s="530"/>
      <c r="J235" s="530" t="s">
        <v>6216</v>
      </c>
      <c r="K235" s="530" t="s">
        <v>6231</v>
      </c>
      <c r="L235" s="530" t="s">
        <v>6232</v>
      </c>
      <c r="M235" s="228" t="s">
        <v>6255</v>
      </c>
      <c r="N235" s="530" t="s">
        <v>184</v>
      </c>
    </row>
    <row r="236" spans="1:14" ht="28.5">
      <c r="A236" s="257" t="s">
        <v>405</v>
      </c>
      <c r="B236" s="531" t="s">
        <v>331</v>
      </c>
      <c r="C236" s="257" t="s">
        <v>407</v>
      </c>
      <c r="D236" s="530" t="s">
        <v>6214</v>
      </c>
      <c r="E236" s="530" t="s">
        <v>66</v>
      </c>
      <c r="F236" s="530">
        <v>113</v>
      </c>
      <c r="G236" s="530" t="s">
        <v>1181</v>
      </c>
      <c r="H236" s="530">
        <v>5</v>
      </c>
      <c r="I236" s="530"/>
      <c r="J236" s="530" t="s">
        <v>6216</v>
      </c>
      <c r="K236" s="530" t="s">
        <v>6211</v>
      </c>
      <c r="L236" s="530" t="s">
        <v>6218</v>
      </c>
      <c r="M236" s="228" t="s">
        <v>6255</v>
      </c>
      <c r="N236" s="530" t="s">
        <v>184</v>
      </c>
    </row>
    <row r="237" spans="1:14" ht="28.5">
      <c r="A237" s="257" t="s">
        <v>410</v>
      </c>
      <c r="B237" s="531" t="s">
        <v>331</v>
      </c>
      <c r="C237" s="257" t="s">
        <v>412</v>
      </c>
      <c r="D237" s="530" t="s">
        <v>6214</v>
      </c>
      <c r="E237" s="530" t="s">
        <v>66</v>
      </c>
      <c r="F237" s="530">
        <v>50</v>
      </c>
      <c r="G237" s="530" t="s">
        <v>1181</v>
      </c>
      <c r="H237" s="530">
        <v>5</v>
      </c>
      <c r="I237" s="530"/>
      <c r="J237" s="530" t="s">
        <v>6216</v>
      </c>
      <c r="K237" s="530" t="s">
        <v>6211</v>
      </c>
      <c r="L237" s="530" t="s">
        <v>6218</v>
      </c>
      <c r="M237" s="228" t="s">
        <v>6255</v>
      </c>
      <c r="N237" s="530" t="s">
        <v>184</v>
      </c>
    </row>
    <row r="238" spans="1:14" ht="28.5">
      <c r="A238" s="257" t="s">
        <v>410</v>
      </c>
      <c r="B238" s="531" t="s">
        <v>331</v>
      </c>
      <c r="C238" s="257" t="s">
        <v>412</v>
      </c>
      <c r="D238" s="530" t="s">
        <v>6214</v>
      </c>
      <c r="E238" s="530" t="s">
        <v>72</v>
      </c>
      <c r="F238" s="530">
        <v>52</v>
      </c>
      <c r="G238" s="530" t="s">
        <v>1181</v>
      </c>
      <c r="H238" s="530">
        <v>5</v>
      </c>
      <c r="I238" s="530"/>
      <c r="J238" s="530" t="s">
        <v>6216</v>
      </c>
      <c r="K238" s="530" t="s">
        <v>6231</v>
      </c>
      <c r="L238" s="530" t="s">
        <v>6232</v>
      </c>
      <c r="M238" s="228" t="s">
        <v>6255</v>
      </c>
      <c r="N238" s="530" t="s">
        <v>184</v>
      </c>
    </row>
    <row r="239" spans="1:14" ht="28.5">
      <c r="A239" s="257" t="s">
        <v>436</v>
      </c>
      <c r="B239" s="531" t="s">
        <v>331</v>
      </c>
      <c r="C239" s="257" t="s">
        <v>438</v>
      </c>
      <c r="D239" s="530" t="s">
        <v>6214</v>
      </c>
      <c r="E239" s="530" t="s">
        <v>69</v>
      </c>
      <c r="F239" s="530">
        <v>-8</v>
      </c>
      <c r="G239" s="530" t="s">
        <v>143</v>
      </c>
      <c r="H239" s="530">
        <v>5</v>
      </c>
      <c r="I239" s="530" t="s">
        <v>439</v>
      </c>
      <c r="J239" s="530" t="s">
        <v>6216</v>
      </c>
      <c r="K239" s="530" t="s">
        <v>6231</v>
      </c>
      <c r="L239" s="530" t="s">
        <v>6232</v>
      </c>
      <c r="M239" s="228" t="s">
        <v>6256</v>
      </c>
      <c r="N239" s="530" t="s">
        <v>184</v>
      </c>
    </row>
    <row r="240" spans="1:14" ht="28.5">
      <c r="A240" s="257" t="s">
        <v>436</v>
      </c>
      <c r="B240" s="531" t="s">
        <v>331</v>
      </c>
      <c r="C240" s="257" t="s">
        <v>438</v>
      </c>
      <c r="D240" s="530" t="s">
        <v>6214</v>
      </c>
      <c r="E240" s="530" t="s">
        <v>63</v>
      </c>
      <c r="F240" s="530">
        <v>-6</v>
      </c>
      <c r="G240" s="530" t="s">
        <v>143</v>
      </c>
      <c r="H240" s="530">
        <v>5</v>
      </c>
      <c r="I240" s="530" t="s">
        <v>439</v>
      </c>
      <c r="J240" s="530" t="s">
        <v>6216</v>
      </c>
      <c r="K240" s="530" t="s">
        <v>6211</v>
      </c>
      <c r="L240" s="530" t="s">
        <v>6218</v>
      </c>
      <c r="M240" s="228" t="s">
        <v>6256</v>
      </c>
      <c r="N240" s="530" t="s">
        <v>184</v>
      </c>
    </row>
    <row r="241" spans="1:14" ht="28.5">
      <c r="A241" s="257" t="s">
        <v>442</v>
      </c>
      <c r="B241" s="531" t="s">
        <v>331</v>
      </c>
      <c r="C241" s="257" t="s">
        <v>444</v>
      </c>
      <c r="D241" s="530" t="s">
        <v>6214</v>
      </c>
      <c r="E241" s="530" t="s">
        <v>66</v>
      </c>
      <c r="F241" s="530">
        <v>172</v>
      </c>
      <c r="G241" s="530" t="s">
        <v>1181</v>
      </c>
      <c r="H241" s="530">
        <v>5</v>
      </c>
      <c r="I241" s="530"/>
      <c r="J241" s="530" t="s">
        <v>6216</v>
      </c>
      <c r="K241" s="530" t="s">
        <v>6220</v>
      </c>
      <c r="L241" s="530" t="s">
        <v>6212</v>
      </c>
      <c r="M241" s="228" t="s">
        <v>6255</v>
      </c>
      <c r="N241" s="530" t="s">
        <v>184</v>
      </c>
    </row>
    <row r="242" spans="1:14" ht="28.5">
      <c r="A242" s="257" t="s">
        <v>442</v>
      </c>
      <c r="B242" s="531" t="s">
        <v>331</v>
      </c>
      <c r="C242" s="257" t="s">
        <v>444</v>
      </c>
      <c r="D242" s="530" t="s">
        <v>6214</v>
      </c>
      <c r="E242" s="530" t="s">
        <v>72</v>
      </c>
      <c r="F242" s="530">
        <v>177</v>
      </c>
      <c r="G242" s="530" t="s">
        <v>1181</v>
      </c>
      <c r="H242" s="530">
        <v>5</v>
      </c>
      <c r="I242" s="530"/>
      <c r="J242" s="530" t="s">
        <v>6216</v>
      </c>
      <c r="K242" s="530" t="s">
        <v>6231</v>
      </c>
      <c r="L242" s="530" t="s">
        <v>6232</v>
      </c>
      <c r="M242" s="228" t="s">
        <v>6255</v>
      </c>
      <c r="N242" s="530" t="s">
        <v>184</v>
      </c>
    </row>
    <row r="243" spans="1:14" ht="28.5">
      <c r="A243" s="257" t="s">
        <v>447</v>
      </c>
      <c r="B243" s="531" t="s">
        <v>331</v>
      </c>
      <c r="C243" s="257" t="s">
        <v>449</v>
      </c>
      <c r="D243" s="530" t="s">
        <v>6214</v>
      </c>
      <c r="E243" s="530" t="s">
        <v>72</v>
      </c>
      <c r="F243" s="530">
        <v>118</v>
      </c>
      <c r="G243" s="530" t="s">
        <v>1181</v>
      </c>
      <c r="H243" s="530">
        <v>5</v>
      </c>
      <c r="I243" s="530"/>
      <c r="J243" s="530" t="s">
        <v>6216</v>
      </c>
      <c r="K243" s="530" t="s">
        <v>6231</v>
      </c>
      <c r="L243" s="530" t="s">
        <v>6232</v>
      </c>
      <c r="M243" s="228" t="s">
        <v>6255</v>
      </c>
      <c r="N243" s="530" t="s">
        <v>184</v>
      </c>
    </row>
    <row r="244" spans="1:14" ht="28.5">
      <c r="A244" s="257" t="s">
        <v>447</v>
      </c>
      <c r="B244" s="531" t="s">
        <v>331</v>
      </c>
      <c r="C244" s="257" t="s">
        <v>449</v>
      </c>
      <c r="D244" s="530" t="s">
        <v>6214</v>
      </c>
      <c r="E244" s="530" t="s">
        <v>66</v>
      </c>
      <c r="F244" s="530">
        <v>113</v>
      </c>
      <c r="G244" s="530" t="s">
        <v>1181</v>
      </c>
      <c r="H244" s="530">
        <v>5</v>
      </c>
      <c r="I244" s="530"/>
      <c r="J244" s="530" t="s">
        <v>6216</v>
      </c>
      <c r="K244" s="530" t="s">
        <v>6211</v>
      </c>
      <c r="L244" s="530" t="s">
        <v>6218</v>
      </c>
      <c r="M244" s="228" t="s">
        <v>6255</v>
      </c>
      <c r="N244" s="530" t="s">
        <v>184</v>
      </c>
    </row>
    <row r="245" spans="1:14" ht="28.5">
      <c r="A245" s="257" t="s">
        <v>452</v>
      </c>
      <c r="B245" s="531" t="s">
        <v>331</v>
      </c>
      <c r="C245" s="257" t="s">
        <v>454</v>
      </c>
      <c r="D245" s="530" t="s">
        <v>6214</v>
      </c>
      <c r="E245" s="530" t="s">
        <v>66</v>
      </c>
      <c r="F245" s="530">
        <v>50</v>
      </c>
      <c r="G245" s="530" t="s">
        <v>1181</v>
      </c>
      <c r="H245" s="530">
        <v>5</v>
      </c>
      <c r="I245" s="530"/>
      <c r="J245" s="530" t="s">
        <v>6216</v>
      </c>
      <c r="K245" s="530" t="s">
        <v>6211</v>
      </c>
      <c r="L245" s="530" t="s">
        <v>6218</v>
      </c>
      <c r="M245" s="228" t="s">
        <v>6255</v>
      </c>
      <c r="N245" s="530" t="s">
        <v>184</v>
      </c>
    </row>
    <row r="246" spans="1:14" ht="28.5">
      <c r="A246" s="257" t="s">
        <v>452</v>
      </c>
      <c r="B246" s="531" t="s">
        <v>331</v>
      </c>
      <c r="C246" s="257" t="s">
        <v>454</v>
      </c>
      <c r="D246" s="530" t="s">
        <v>6214</v>
      </c>
      <c r="E246" s="530" t="s">
        <v>72</v>
      </c>
      <c r="F246" s="530">
        <v>52</v>
      </c>
      <c r="G246" s="530" t="s">
        <v>1181</v>
      </c>
      <c r="H246" s="530">
        <v>5</v>
      </c>
      <c r="I246" s="530"/>
      <c r="J246" s="530" t="s">
        <v>6216</v>
      </c>
      <c r="K246" s="530" t="s">
        <v>6231</v>
      </c>
      <c r="L246" s="530" t="s">
        <v>6232</v>
      </c>
      <c r="M246" s="228" t="s">
        <v>6255</v>
      </c>
      <c r="N246" s="530" t="s">
        <v>184</v>
      </c>
    </row>
    <row r="247" spans="1:14" ht="28.5">
      <c r="A247" s="257" t="s">
        <v>478</v>
      </c>
      <c r="B247" s="531" t="s">
        <v>331</v>
      </c>
      <c r="C247" s="257" t="s">
        <v>480</v>
      </c>
      <c r="D247" s="530" t="s">
        <v>6214</v>
      </c>
      <c r="E247" s="530" t="s">
        <v>69</v>
      </c>
      <c r="F247" s="530">
        <v>-8</v>
      </c>
      <c r="G247" s="530" t="s">
        <v>143</v>
      </c>
      <c r="H247" s="530">
        <v>5</v>
      </c>
      <c r="I247" s="530" t="s">
        <v>481</v>
      </c>
      <c r="J247" s="530" t="s">
        <v>6216</v>
      </c>
      <c r="K247" s="530" t="s">
        <v>6231</v>
      </c>
      <c r="L247" s="530" t="s">
        <v>6232</v>
      </c>
      <c r="M247" s="228" t="s">
        <v>6256</v>
      </c>
      <c r="N247" s="530" t="s">
        <v>184</v>
      </c>
    </row>
    <row r="248" spans="1:14" ht="28.5">
      <c r="A248" s="257" t="s">
        <v>478</v>
      </c>
      <c r="B248" s="531" t="s">
        <v>331</v>
      </c>
      <c r="C248" s="257" t="s">
        <v>480</v>
      </c>
      <c r="D248" s="530" t="s">
        <v>6214</v>
      </c>
      <c r="E248" s="530" t="s">
        <v>63</v>
      </c>
      <c r="F248" s="530">
        <v>-6</v>
      </c>
      <c r="G248" s="530" t="s">
        <v>143</v>
      </c>
      <c r="H248" s="530">
        <v>5</v>
      </c>
      <c r="I248" s="530" t="s">
        <v>481</v>
      </c>
      <c r="J248" s="530" t="s">
        <v>6216</v>
      </c>
      <c r="K248" s="530" t="s">
        <v>6211</v>
      </c>
      <c r="L248" s="530" t="s">
        <v>6218</v>
      </c>
      <c r="M248" s="228" t="s">
        <v>6256</v>
      </c>
      <c r="N248" s="530" t="s">
        <v>184</v>
      </c>
    </row>
    <row r="249" spans="1:14" ht="28.5">
      <c r="A249" s="257" t="s">
        <v>484</v>
      </c>
      <c r="B249" s="531" t="s">
        <v>331</v>
      </c>
      <c r="C249" s="257" t="s">
        <v>486</v>
      </c>
      <c r="D249" s="530" t="s">
        <v>6214</v>
      </c>
      <c r="E249" s="530" t="s">
        <v>66</v>
      </c>
      <c r="F249" s="530">
        <v>172</v>
      </c>
      <c r="G249" s="530" t="s">
        <v>1181</v>
      </c>
      <c r="H249" s="530">
        <v>5</v>
      </c>
      <c r="I249" s="530"/>
      <c r="J249" s="530" t="s">
        <v>6216</v>
      </c>
      <c r="K249" s="530" t="s">
        <v>6220</v>
      </c>
      <c r="L249" s="530" t="s">
        <v>6212</v>
      </c>
      <c r="M249" s="228" t="s">
        <v>6255</v>
      </c>
      <c r="N249" s="530" t="s">
        <v>184</v>
      </c>
    </row>
    <row r="250" spans="1:14" ht="28.5">
      <c r="A250" s="257" t="s">
        <v>484</v>
      </c>
      <c r="B250" s="531" t="s">
        <v>331</v>
      </c>
      <c r="C250" s="257" t="s">
        <v>486</v>
      </c>
      <c r="D250" s="530" t="s">
        <v>6214</v>
      </c>
      <c r="E250" s="530" t="s">
        <v>72</v>
      </c>
      <c r="F250" s="530">
        <v>177</v>
      </c>
      <c r="G250" s="530" t="s">
        <v>1181</v>
      </c>
      <c r="H250" s="530">
        <v>5</v>
      </c>
      <c r="I250" s="530"/>
      <c r="J250" s="530" t="s">
        <v>6216</v>
      </c>
      <c r="K250" s="530" t="s">
        <v>6231</v>
      </c>
      <c r="L250" s="530" t="s">
        <v>6232</v>
      </c>
      <c r="M250" s="228" t="s">
        <v>6255</v>
      </c>
      <c r="N250" s="530" t="s">
        <v>184</v>
      </c>
    </row>
    <row r="251" spans="1:14" ht="28.5">
      <c r="A251" s="257" t="s">
        <v>489</v>
      </c>
      <c r="B251" s="531" t="s">
        <v>331</v>
      </c>
      <c r="C251" s="257" t="s">
        <v>491</v>
      </c>
      <c r="D251" s="530" t="s">
        <v>6214</v>
      </c>
      <c r="E251" s="530" t="s">
        <v>72</v>
      </c>
      <c r="F251" s="530">
        <v>118</v>
      </c>
      <c r="G251" s="530" t="s">
        <v>1181</v>
      </c>
      <c r="H251" s="530">
        <v>5</v>
      </c>
      <c r="I251" s="530"/>
      <c r="J251" s="530" t="s">
        <v>6216</v>
      </c>
      <c r="K251" s="530" t="s">
        <v>6231</v>
      </c>
      <c r="L251" s="530" t="s">
        <v>6232</v>
      </c>
      <c r="M251" s="228" t="s">
        <v>6255</v>
      </c>
      <c r="N251" s="530" t="s">
        <v>184</v>
      </c>
    </row>
    <row r="252" spans="1:14" ht="28.5">
      <c r="A252" s="257" t="s">
        <v>489</v>
      </c>
      <c r="B252" s="531" t="s">
        <v>331</v>
      </c>
      <c r="C252" s="257" t="s">
        <v>491</v>
      </c>
      <c r="D252" s="530" t="s">
        <v>6214</v>
      </c>
      <c r="E252" s="530" t="s">
        <v>66</v>
      </c>
      <c r="F252" s="530">
        <v>113</v>
      </c>
      <c r="G252" s="530" t="s">
        <v>1181</v>
      </c>
      <c r="H252" s="530">
        <v>5</v>
      </c>
      <c r="I252" s="530"/>
      <c r="J252" s="530" t="s">
        <v>6216</v>
      </c>
      <c r="K252" s="530" t="s">
        <v>6211</v>
      </c>
      <c r="L252" s="530" t="s">
        <v>6218</v>
      </c>
      <c r="M252" s="228" t="s">
        <v>6255</v>
      </c>
      <c r="N252" s="530" t="s">
        <v>184</v>
      </c>
    </row>
    <row r="253" spans="1:14" ht="28.5">
      <c r="A253" s="257" t="s">
        <v>494</v>
      </c>
      <c r="B253" s="531" t="s">
        <v>331</v>
      </c>
      <c r="C253" s="257" t="s">
        <v>496</v>
      </c>
      <c r="D253" s="530" t="s">
        <v>6214</v>
      </c>
      <c r="E253" s="530" t="s">
        <v>66</v>
      </c>
      <c r="F253" s="530">
        <v>50</v>
      </c>
      <c r="G253" s="530" t="s">
        <v>1181</v>
      </c>
      <c r="H253" s="530">
        <v>5</v>
      </c>
      <c r="I253" s="530"/>
      <c r="J253" s="530" t="s">
        <v>6216</v>
      </c>
      <c r="K253" s="530" t="s">
        <v>6211</v>
      </c>
      <c r="L253" s="530" t="s">
        <v>6218</v>
      </c>
      <c r="M253" s="228" t="s">
        <v>6255</v>
      </c>
      <c r="N253" s="530" t="s">
        <v>184</v>
      </c>
    </row>
    <row r="254" spans="1:14" ht="28.5">
      <c r="A254" s="257" t="s">
        <v>494</v>
      </c>
      <c r="B254" s="531" t="s">
        <v>331</v>
      </c>
      <c r="C254" s="257" t="s">
        <v>496</v>
      </c>
      <c r="D254" s="530" t="s">
        <v>6214</v>
      </c>
      <c r="E254" s="530" t="s">
        <v>72</v>
      </c>
      <c r="F254" s="530">
        <v>52</v>
      </c>
      <c r="G254" s="530" t="s">
        <v>1181</v>
      </c>
      <c r="H254" s="530">
        <v>5</v>
      </c>
      <c r="I254" s="530"/>
      <c r="J254" s="530" t="s">
        <v>6216</v>
      </c>
      <c r="K254" s="530" t="s">
        <v>6231</v>
      </c>
      <c r="L254" s="530" t="s">
        <v>6232</v>
      </c>
      <c r="M254" s="228" t="s">
        <v>6255</v>
      </c>
      <c r="N254" s="530" t="s">
        <v>184</v>
      </c>
    </row>
    <row r="255" spans="1:14" ht="28.5">
      <c r="A255" s="257" t="s">
        <v>3662</v>
      </c>
      <c r="B255" s="531" t="s">
        <v>525</v>
      </c>
      <c r="C255" s="257" t="s">
        <v>3664</v>
      </c>
      <c r="D255" s="530" t="s">
        <v>6209</v>
      </c>
      <c r="E255" s="530" t="s">
        <v>2095</v>
      </c>
      <c r="F255" s="530"/>
      <c r="G255" s="530"/>
      <c r="H255" s="742">
        <v>3</v>
      </c>
      <c r="I255" s="530"/>
      <c r="J255" s="530" t="s">
        <v>6216</v>
      </c>
      <c r="K255" s="530" t="s">
        <v>6220</v>
      </c>
      <c r="L255" s="530" t="s">
        <v>6212</v>
      </c>
      <c r="M255" s="228" t="s">
        <v>6249</v>
      </c>
      <c r="N255" s="742">
        <v>2</v>
      </c>
    </row>
    <row r="256" spans="1:14" s="997" customFormat="1" ht="28.5">
      <c r="A256" s="257" t="s">
        <v>4659</v>
      </c>
      <c r="B256" s="531" t="s">
        <v>500</v>
      </c>
      <c r="C256" s="257" t="s">
        <v>4838</v>
      </c>
      <c r="D256" s="530" t="s">
        <v>6214</v>
      </c>
      <c r="E256" s="530" t="s">
        <v>63</v>
      </c>
      <c r="F256" s="530">
        <v>70</v>
      </c>
      <c r="G256" s="530" t="s">
        <v>6215</v>
      </c>
      <c r="H256" s="530">
        <v>5</v>
      </c>
      <c r="I256" s="530" t="s">
        <v>4841</v>
      </c>
      <c r="J256" s="530" t="s">
        <v>6216</v>
      </c>
      <c r="K256" s="530" t="s">
        <v>6211</v>
      </c>
      <c r="L256" s="530" t="s">
        <v>6218</v>
      </c>
      <c r="M256" s="228" t="s">
        <v>6257</v>
      </c>
      <c r="N256" s="530">
        <v>0</v>
      </c>
    </row>
    <row r="257" spans="1:14" s="997" customFormat="1" ht="28.5">
      <c r="A257" s="257" t="s">
        <v>4659</v>
      </c>
      <c r="B257" s="531" t="s">
        <v>500</v>
      </c>
      <c r="C257" s="257" t="s">
        <v>4838</v>
      </c>
      <c r="D257" s="530" t="s">
        <v>6214</v>
      </c>
      <c r="E257" s="530" t="s">
        <v>66</v>
      </c>
      <c r="F257" s="530">
        <v>200</v>
      </c>
      <c r="G257" s="530" t="s">
        <v>6215</v>
      </c>
      <c r="H257" s="530">
        <v>5</v>
      </c>
      <c r="I257" s="530" t="s">
        <v>4841</v>
      </c>
      <c r="J257" s="530" t="s">
        <v>6216</v>
      </c>
      <c r="K257" s="530" t="s">
        <v>6217</v>
      </c>
      <c r="L257" s="530" t="s">
        <v>6218</v>
      </c>
      <c r="M257" s="228" t="s">
        <v>6258</v>
      </c>
      <c r="N257" s="530">
        <v>0</v>
      </c>
    </row>
    <row r="258" spans="1:14" ht="28.5">
      <c r="A258" s="257" t="s">
        <v>4844</v>
      </c>
      <c r="B258" s="531" t="s">
        <v>500</v>
      </c>
      <c r="C258" s="257" t="s">
        <v>4846</v>
      </c>
      <c r="D258" s="530" t="s">
        <v>6214</v>
      </c>
      <c r="E258" s="530" t="s">
        <v>63</v>
      </c>
      <c r="F258" s="530">
        <v>10</v>
      </c>
      <c r="G258" s="530" t="s">
        <v>6215</v>
      </c>
      <c r="H258" s="530">
        <v>5</v>
      </c>
      <c r="I258" s="530" t="s">
        <v>4841</v>
      </c>
      <c r="J258" s="530" t="s">
        <v>6210</v>
      </c>
      <c r="K258" s="530" t="s">
        <v>6211</v>
      </c>
      <c r="L258" s="530" t="s">
        <v>6212</v>
      </c>
      <c r="M258" s="228" t="s">
        <v>6259</v>
      </c>
      <c r="N258" s="530" t="s">
        <v>184</v>
      </c>
    </row>
    <row r="259" spans="1:14" ht="28.5">
      <c r="A259" s="257" t="s">
        <v>4844</v>
      </c>
      <c r="B259" s="531" t="s">
        <v>500</v>
      </c>
      <c r="C259" s="257" t="s">
        <v>4846</v>
      </c>
      <c r="D259" s="530" t="s">
        <v>6214</v>
      </c>
      <c r="E259" s="530" t="s">
        <v>66</v>
      </c>
      <c r="F259" s="530">
        <v>30</v>
      </c>
      <c r="G259" s="530" t="s">
        <v>6215</v>
      </c>
      <c r="H259" s="530">
        <v>5</v>
      </c>
      <c r="I259" s="530" t="s">
        <v>4841</v>
      </c>
      <c r="J259" s="530" t="s">
        <v>6210</v>
      </c>
      <c r="K259" s="530" t="s">
        <v>6217</v>
      </c>
      <c r="L259" s="530" t="s">
        <v>6218</v>
      </c>
      <c r="M259" s="228" t="s">
        <v>6260</v>
      </c>
      <c r="N259" s="530" t="s">
        <v>184</v>
      </c>
    </row>
    <row r="260" spans="1:14" ht="28.5">
      <c r="A260" s="257" t="s">
        <v>4864</v>
      </c>
      <c r="B260" s="531" t="s">
        <v>500</v>
      </c>
      <c r="C260" s="257" t="s">
        <v>4866</v>
      </c>
      <c r="D260" s="530" t="s">
        <v>6214</v>
      </c>
      <c r="E260" s="530" t="s">
        <v>69</v>
      </c>
      <c r="F260" s="530">
        <v>20</v>
      </c>
      <c r="G260" s="530" t="s">
        <v>41</v>
      </c>
      <c r="H260" s="530">
        <v>5</v>
      </c>
      <c r="I260" s="530"/>
      <c r="J260" s="530" t="s">
        <v>6216</v>
      </c>
      <c r="K260" s="530" t="s">
        <v>6231</v>
      </c>
      <c r="L260" s="530" t="s">
        <v>6232</v>
      </c>
      <c r="M260" s="228" t="s">
        <v>6246</v>
      </c>
      <c r="N260" s="530" t="s">
        <v>184</v>
      </c>
    </row>
    <row r="261" spans="1:14" ht="28.5">
      <c r="A261" s="257" t="s">
        <v>4864</v>
      </c>
      <c r="B261" s="531" t="s">
        <v>500</v>
      </c>
      <c r="C261" s="257" t="s">
        <v>4866</v>
      </c>
      <c r="D261" s="530" t="s">
        <v>6214</v>
      </c>
      <c r="E261" s="530" t="s">
        <v>63</v>
      </c>
      <c r="F261" s="530">
        <v>30</v>
      </c>
      <c r="G261" s="530" t="s">
        <v>41</v>
      </c>
      <c r="H261" s="530">
        <v>5</v>
      </c>
      <c r="I261" s="530"/>
      <c r="J261" s="530" t="s">
        <v>6216</v>
      </c>
      <c r="K261" s="530" t="s">
        <v>6217</v>
      </c>
      <c r="L261" s="530" t="s">
        <v>6218</v>
      </c>
      <c r="M261" s="228" t="s">
        <v>6247</v>
      </c>
      <c r="N261" s="530" t="s">
        <v>184</v>
      </c>
    </row>
    <row r="262" spans="1:14" ht="28.5">
      <c r="A262" s="257" t="s">
        <v>4864</v>
      </c>
      <c r="B262" s="531" t="s">
        <v>500</v>
      </c>
      <c r="C262" s="257" t="s">
        <v>4866</v>
      </c>
      <c r="D262" s="530" t="s">
        <v>6214</v>
      </c>
      <c r="E262" s="530" t="s">
        <v>66</v>
      </c>
      <c r="F262" s="530">
        <v>80</v>
      </c>
      <c r="G262" s="530" t="s">
        <v>41</v>
      </c>
      <c r="H262" s="530">
        <v>5</v>
      </c>
      <c r="I262" s="530"/>
      <c r="J262" s="530" t="s">
        <v>6216</v>
      </c>
      <c r="K262" s="530" t="s">
        <v>6217</v>
      </c>
      <c r="L262" s="530" t="s">
        <v>6218</v>
      </c>
      <c r="M262" s="228" t="s">
        <v>6248</v>
      </c>
      <c r="N262" s="530" t="s">
        <v>184</v>
      </c>
    </row>
    <row r="263" spans="1:14" ht="28.5">
      <c r="A263" s="257" t="s">
        <v>4864</v>
      </c>
      <c r="B263" s="531" t="s">
        <v>500</v>
      </c>
      <c r="C263" s="257" t="s">
        <v>4866</v>
      </c>
      <c r="D263" s="530" t="s">
        <v>6214</v>
      </c>
      <c r="E263" s="530" t="s">
        <v>72</v>
      </c>
      <c r="F263" s="530">
        <v>90</v>
      </c>
      <c r="G263" s="530" t="s">
        <v>41</v>
      </c>
      <c r="H263" s="530">
        <v>5</v>
      </c>
      <c r="I263" s="530"/>
      <c r="J263" s="530" t="s">
        <v>6216</v>
      </c>
      <c r="K263" s="530" t="s">
        <v>6231</v>
      </c>
      <c r="L263" s="530" t="s">
        <v>6232</v>
      </c>
      <c r="M263" s="228" t="s">
        <v>6248</v>
      </c>
      <c r="N263" s="530" t="s">
        <v>184</v>
      </c>
    </row>
    <row r="264" spans="1:14" ht="28.5">
      <c r="A264" s="257" t="s">
        <v>3631</v>
      </c>
      <c r="B264" s="531" t="s">
        <v>500</v>
      </c>
      <c r="C264" s="257" t="s">
        <v>3633</v>
      </c>
      <c r="D264" s="530" t="s">
        <v>6209</v>
      </c>
      <c r="E264" s="530" t="s">
        <v>2095</v>
      </c>
      <c r="F264" s="739"/>
      <c r="G264" s="530"/>
      <c r="H264" s="742">
        <v>3</v>
      </c>
      <c r="I264" s="530"/>
      <c r="J264" s="530" t="s">
        <v>6216</v>
      </c>
      <c r="K264" s="530" t="s">
        <v>6231</v>
      </c>
      <c r="L264" s="530" t="s">
        <v>6232</v>
      </c>
      <c r="M264" s="228" t="s">
        <v>6243</v>
      </c>
      <c r="N264" s="742">
        <v>2</v>
      </c>
    </row>
    <row r="265" spans="1:14" ht="28.5">
      <c r="A265" s="257" t="s">
        <v>4857</v>
      </c>
      <c r="B265" s="531" t="s">
        <v>500</v>
      </c>
      <c r="C265" s="257" t="s">
        <v>4859</v>
      </c>
      <c r="D265" s="530" t="s">
        <v>6214</v>
      </c>
      <c r="E265" s="530" t="s">
        <v>63</v>
      </c>
      <c r="F265" s="530">
        <v>94.01</v>
      </c>
      <c r="G265" s="530" t="s">
        <v>143</v>
      </c>
      <c r="H265" s="530">
        <v>5</v>
      </c>
      <c r="I265" s="530"/>
      <c r="J265" s="530" t="s">
        <v>6216</v>
      </c>
      <c r="K265" s="530" t="s">
        <v>6217</v>
      </c>
      <c r="L265" s="530" t="s">
        <v>6218</v>
      </c>
      <c r="M265" s="228" t="s">
        <v>6261</v>
      </c>
      <c r="N265" s="530" t="s">
        <v>184</v>
      </c>
    </row>
    <row r="266" spans="1:14" ht="28.5">
      <c r="A266" s="257" t="s">
        <v>4857</v>
      </c>
      <c r="B266" s="531" t="s">
        <v>500</v>
      </c>
      <c r="C266" s="257" t="s">
        <v>4859</v>
      </c>
      <c r="D266" s="530" t="s">
        <v>6214</v>
      </c>
      <c r="E266" s="530" t="s">
        <v>66</v>
      </c>
      <c r="F266" s="530">
        <v>95.91</v>
      </c>
      <c r="G266" s="530" t="s">
        <v>143</v>
      </c>
      <c r="H266" s="530">
        <v>5</v>
      </c>
      <c r="I266" s="530"/>
      <c r="J266" s="530" t="s">
        <v>6216</v>
      </c>
      <c r="K266" s="530" t="s">
        <v>6217</v>
      </c>
      <c r="L266" s="530" t="s">
        <v>6218</v>
      </c>
      <c r="M266" s="228" t="s">
        <v>6261</v>
      </c>
      <c r="N266" s="530" t="s">
        <v>184</v>
      </c>
    </row>
    <row r="267" spans="1:14" ht="28.5">
      <c r="A267" s="257" t="s">
        <v>4857</v>
      </c>
      <c r="B267" s="531" t="s">
        <v>500</v>
      </c>
      <c r="C267" s="257" t="s">
        <v>4859</v>
      </c>
      <c r="D267" s="530" t="s">
        <v>6214</v>
      </c>
      <c r="E267" s="530" t="s">
        <v>72</v>
      </c>
      <c r="F267" s="530">
        <v>97.31</v>
      </c>
      <c r="G267" s="530" t="s">
        <v>143</v>
      </c>
      <c r="H267" s="530">
        <v>5</v>
      </c>
      <c r="I267" s="530"/>
      <c r="J267" s="530" t="s">
        <v>6216</v>
      </c>
      <c r="K267" s="530" t="s">
        <v>6220</v>
      </c>
      <c r="L267" s="530" t="s">
        <v>6212</v>
      </c>
      <c r="M267" s="228" t="s">
        <v>6262</v>
      </c>
      <c r="N267" s="530" t="s">
        <v>184</v>
      </c>
    </row>
    <row r="268" spans="1:14" ht="28.5">
      <c r="A268" s="257" t="s">
        <v>4850</v>
      </c>
      <c r="B268" s="531" t="s">
        <v>500</v>
      </c>
      <c r="C268" s="257" t="s">
        <v>4852</v>
      </c>
      <c r="D268" s="530" t="s">
        <v>6214</v>
      </c>
      <c r="E268" s="530" t="s">
        <v>69</v>
      </c>
      <c r="F268" s="530">
        <v>2.81</v>
      </c>
      <c r="G268" s="530" t="s">
        <v>4853</v>
      </c>
      <c r="H268" s="530">
        <v>5</v>
      </c>
      <c r="I268" s="530"/>
      <c r="J268" s="530" t="s">
        <v>6216</v>
      </c>
      <c r="K268" s="530" t="s">
        <v>6217</v>
      </c>
      <c r="L268" s="530" t="s">
        <v>6218</v>
      </c>
      <c r="M268" s="228" t="s">
        <v>6263</v>
      </c>
      <c r="N268" s="530" t="s">
        <v>184</v>
      </c>
    </row>
    <row r="269" spans="1:14" ht="28.5">
      <c r="A269" s="257" t="s">
        <v>4850</v>
      </c>
      <c r="B269" s="531" t="s">
        <v>500</v>
      </c>
      <c r="C269" s="257" t="s">
        <v>4852</v>
      </c>
      <c r="D269" s="530" t="s">
        <v>6214</v>
      </c>
      <c r="E269" s="530" t="s">
        <v>63</v>
      </c>
      <c r="F269" s="530">
        <v>4.4800000000000004</v>
      </c>
      <c r="G269" s="530" t="s">
        <v>4853</v>
      </c>
      <c r="H269" s="530">
        <v>5</v>
      </c>
      <c r="I269" s="530"/>
      <c r="J269" s="530" t="s">
        <v>6216</v>
      </c>
      <c r="K269" s="530" t="s">
        <v>6217</v>
      </c>
      <c r="L269" s="530" t="s">
        <v>6218</v>
      </c>
      <c r="M269" s="228" t="s">
        <v>6263</v>
      </c>
      <c r="N269" s="530" t="s">
        <v>184</v>
      </c>
    </row>
    <row r="270" spans="1:14" ht="28.5">
      <c r="A270" s="257" t="s">
        <v>4850</v>
      </c>
      <c r="B270" s="531" t="s">
        <v>500</v>
      </c>
      <c r="C270" s="257" t="s">
        <v>4852</v>
      </c>
      <c r="D270" s="530" t="s">
        <v>6214</v>
      </c>
      <c r="E270" s="530" t="s">
        <v>66</v>
      </c>
      <c r="F270" s="530">
        <v>5.14</v>
      </c>
      <c r="G270" s="530" t="s">
        <v>4853</v>
      </c>
      <c r="H270" s="530">
        <v>5</v>
      </c>
      <c r="I270" s="530"/>
      <c r="J270" s="530" t="s">
        <v>6210</v>
      </c>
      <c r="K270" s="530" t="s">
        <v>6211</v>
      </c>
      <c r="L270" s="530" t="s">
        <v>6212</v>
      </c>
      <c r="M270" s="228" t="s">
        <v>6264</v>
      </c>
      <c r="N270" s="530" t="s">
        <v>184</v>
      </c>
    </row>
    <row r="271" spans="1:14" ht="28.5">
      <c r="A271" s="257" t="s">
        <v>4850</v>
      </c>
      <c r="B271" s="531" t="s">
        <v>500</v>
      </c>
      <c r="C271" s="257" t="s">
        <v>4852</v>
      </c>
      <c r="D271" s="530" t="s">
        <v>6214</v>
      </c>
      <c r="E271" s="530" t="s">
        <v>72</v>
      </c>
      <c r="F271" s="530">
        <v>5.5</v>
      </c>
      <c r="G271" s="530" t="s">
        <v>4853</v>
      </c>
      <c r="H271" s="530">
        <v>5</v>
      </c>
      <c r="I271" s="530"/>
      <c r="J271" s="530" t="s">
        <v>6210</v>
      </c>
      <c r="K271" s="530" t="s">
        <v>6220</v>
      </c>
      <c r="L271" s="530" t="s">
        <v>6221</v>
      </c>
      <c r="M271" s="228" t="s">
        <v>6264</v>
      </c>
      <c r="N271" s="530" t="s">
        <v>184</v>
      </c>
    </row>
    <row r="272" spans="1:14" ht="28.5">
      <c r="A272" s="257" t="s">
        <v>3606</v>
      </c>
      <c r="B272" s="531" t="s">
        <v>500</v>
      </c>
      <c r="C272" s="257" t="s">
        <v>3608</v>
      </c>
      <c r="D272" s="530" t="s">
        <v>6209</v>
      </c>
      <c r="E272" s="530" t="s">
        <v>2095</v>
      </c>
      <c r="F272" s="530"/>
      <c r="G272" s="530"/>
      <c r="H272" s="742">
        <v>3</v>
      </c>
      <c r="I272" s="530"/>
      <c r="J272" s="530" t="s">
        <v>6216</v>
      </c>
      <c r="K272" s="530" t="s">
        <v>6220</v>
      </c>
      <c r="L272" s="530" t="s">
        <v>6212</v>
      </c>
      <c r="M272" s="228" t="s">
        <v>6265</v>
      </c>
      <c r="N272" s="742">
        <v>2</v>
      </c>
    </row>
    <row r="273" spans="1:14" ht="57">
      <c r="A273" s="257" t="s">
        <v>3621</v>
      </c>
      <c r="B273" s="531" t="s">
        <v>500</v>
      </c>
      <c r="C273" s="257" t="s">
        <v>3623</v>
      </c>
      <c r="D273" s="530" t="s">
        <v>6209</v>
      </c>
      <c r="E273" s="530" t="s">
        <v>2095</v>
      </c>
      <c r="F273" s="530"/>
      <c r="G273" s="530"/>
      <c r="H273" s="742">
        <v>3</v>
      </c>
      <c r="I273" s="530"/>
      <c r="J273" s="530" t="s">
        <v>6216</v>
      </c>
      <c r="K273" s="530" t="s">
        <v>6266</v>
      </c>
      <c r="L273" s="530" t="s">
        <v>6267</v>
      </c>
      <c r="M273" s="228" t="s">
        <v>6268</v>
      </c>
      <c r="N273" s="742">
        <v>2</v>
      </c>
    </row>
    <row r="274" spans="1:14" ht="31.5" customHeight="1">
      <c r="A274" s="257" t="s">
        <v>3626</v>
      </c>
      <c r="B274" s="531" t="s">
        <v>500</v>
      </c>
      <c r="C274" s="257" t="s">
        <v>3628</v>
      </c>
      <c r="D274" s="530" t="s">
        <v>6209</v>
      </c>
      <c r="E274" s="530" t="s">
        <v>2095</v>
      </c>
      <c r="F274" s="530"/>
      <c r="G274" s="530"/>
      <c r="H274" s="742">
        <v>3</v>
      </c>
      <c r="I274" s="530" t="s">
        <v>3534</v>
      </c>
      <c r="J274" s="530" t="s">
        <v>6210</v>
      </c>
      <c r="K274" s="530" t="s">
        <v>6231</v>
      </c>
      <c r="L274" s="530" t="s">
        <v>6232</v>
      </c>
      <c r="M274" s="228" t="s">
        <v>6269</v>
      </c>
      <c r="N274" s="742">
        <v>2</v>
      </c>
    </row>
    <row r="275" spans="1:14" ht="28.5">
      <c r="A275" s="257" t="s">
        <v>3597</v>
      </c>
      <c r="B275" s="531" t="s">
        <v>500</v>
      </c>
      <c r="C275" s="257" t="s">
        <v>3599</v>
      </c>
      <c r="D275" s="530" t="s">
        <v>6209</v>
      </c>
      <c r="E275" s="530" t="s">
        <v>2095</v>
      </c>
      <c r="F275" s="530"/>
      <c r="G275" s="530"/>
      <c r="H275" s="742">
        <v>3</v>
      </c>
      <c r="I275" s="530"/>
      <c r="J275" s="530" t="s">
        <v>6210</v>
      </c>
      <c r="K275" s="530" t="s">
        <v>6211</v>
      </c>
      <c r="L275" s="530" t="s">
        <v>6212</v>
      </c>
      <c r="M275" s="228" t="s">
        <v>6270</v>
      </c>
      <c r="N275" s="742">
        <v>2</v>
      </c>
    </row>
    <row r="276" spans="1:14" ht="28.5">
      <c r="A276" s="257" t="s">
        <v>3602</v>
      </c>
      <c r="B276" s="531" t="s">
        <v>500</v>
      </c>
      <c r="C276" s="257" t="s">
        <v>3604</v>
      </c>
      <c r="D276" s="530" t="s">
        <v>6209</v>
      </c>
      <c r="E276" s="530" t="s">
        <v>2095</v>
      </c>
      <c r="F276" s="530"/>
      <c r="G276" s="530"/>
      <c r="H276" s="742">
        <v>3</v>
      </c>
      <c r="I276" s="530"/>
      <c r="J276" s="530" t="s">
        <v>6210</v>
      </c>
      <c r="K276" s="530" t="s">
        <v>6211</v>
      </c>
      <c r="L276" s="530" t="s">
        <v>6212</v>
      </c>
      <c r="M276" s="228" t="s">
        <v>6270</v>
      </c>
      <c r="N276" s="742">
        <v>2</v>
      </c>
    </row>
    <row r="277" spans="1:14" ht="28.5">
      <c r="A277" s="257" t="s">
        <v>518</v>
      </c>
      <c r="B277" s="531" t="s">
        <v>500</v>
      </c>
      <c r="C277" s="257" t="s">
        <v>520</v>
      </c>
      <c r="D277" s="530" t="s">
        <v>6214</v>
      </c>
      <c r="E277" s="530" t="s">
        <v>66</v>
      </c>
      <c r="F277" s="530">
        <v>180</v>
      </c>
      <c r="G277" s="530" t="s">
        <v>521</v>
      </c>
      <c r="H277" s="530">
        <v>5</v>
      </c>
      <c r="I277" s="530"/>
      <c r="J277" s="530" t="s">
        <v>6216</v>
      </c>
      <c r="K277" s="530" t="s">
        <v>6217</v>
      </c>
      <c r="L277" s="530" t="s">
        <v>6218</v>
      </c>
      <c r="M277" s="228" t="s">
        <v>6271</v>
      </c>
      <c r="N277" s="530" t="s">
        <v>184</v>
      </c>
    </row>
    <row r="278" spans="1:14" ht="28.5">
      <c r="A278" s="257" t="s">
        <v>518</v>
      </c>
      <c r="B278" s="531" t="s">
        <v>500</v>
      </c>
      <c r="C278" s="257" t="s">
        <v>520</v>
      </c>
      <c r="D278" s="530" t="s">
        <v>6214</v>
      </c>
      <c r="E278" s="530" t="s">
        <v>72</v>
      </c>
      <c r="F278" s="530">
        <v>200</v>
      </c>
      <c r="G278" s="530" t="s">
        <v>521</v>
      </c>
      <c r="H278" s="530">
        <v>5</v>
      </c>
      <c r="I278" s="530"/>
      <c r="J278" s="530" t="s">
        <v>6216</v>
      </c>
      <c r="K278" s="530" t="s">
        <v>6220</v>
      </c>
      <c r="L278" s="530" t="s">
        <v>6212</v>
      </c>
      <c r="M278" s="228" t="s">
        <v>6271</v>
      </c>
      <c r="N278" s="530" t="s">
        <v>184</v>
      </c>
    </row>
    <row r="279" spans="1:14" ht="28.5">
      <c r="A279" s="257" t="s">
        <v>3555</v>
      </c>
      <c r="B279" s="531" t="s">
        <v>500</v>
      </c>
      <c r="C279" s="257" t="s">
        <v>3549</v>
      </c>
      <c r="D279" s="530" t="s">
        <v>6209</v>
      </c>
      <c r="E279" s="530" t="s">
        <v>2095</v>
      </c>
      <c r="F279" s="530"/>
      <c r="G279" s="530"/>
      <c r="H279" s="742">
        <v>3</v>
      </c>
      <c r="I279" s="530"/>
      <c r="J279" s="530" t="s">
        <v>6210</v>
      </c>
      <c r="K279" s="530" t="s">
        <v>6211</v>
      </c>
      <c r="L279" s="530" t="s">
        <v>6212</v>
      </c>
      <c r="M279" s="228" t="s">
        <v>6270</v>
      </c>
      <c r="N279" s="742">
        <v>2</v>
      </c>
    </row>
    <row r="280" spans="1:14" ht="28.5">
      <c r="A280" s="257" t="s">
        <v>3552</v>
      </c>
      <c r="B280" s="531" t="s">
        <v>500</v>
      </c>
      <c r="C280" s="257" t="s">
        <v>3549</v>
      </c>
      <c r="D280" s="530" t="s">
        <v>6209</v>
      </c>
      <c r="E280" s="530" t="s">
        <v>2095</v>
      </c>
      <c r="F280" s="530"/>
      <c r="G280" s="530"/>
      <c r="H280" s="742">
        <v>3</v>
      </c>
      <c r="I280" s="530"/>
      <c r="J280" s="530" t="s">
        <v>6210</v>
      </c>
      <c r="K280" s="530" t="s">
        <v>6211</v>
      </c>
      <c r="L280" s="530" t="s">
        <v>6212</v>
      </c>
      <c r="M280" s="228" t="s">
        <v>6272</v>
      </c>
      <c r="N280" s="742">
        <v>2</v>
      </c>
    </row>
    <row r="281" spans="1:14" ht="28.5">
      <c r="A281" s="257" t="s">
        <v>3547</v>
      </c>
      <c r="B281" s="531" t="s">
        <v>500</v>
      </c>
      <c r="C281" s="257" t="s">
        <v>3549</v>
      </c>
      <c r="D281" s="530" t="s">
        <v>6209</v>
      </c>
      <c r="E281" s="530" t="s">
        <v>2095</v>
      </c>
      <c r="F281" s="530"/>
      <c r="G281" s="530"/>
      <c r="H281" s="742">
        <v>3</v>
      </c>
      <c r="I281" s="530"/>
      <c r="J281" s="530" t="s">
        <v>6210</v>
      </c>
      <c r="K281" s="530" t="s">
        <v>6231</v>
      </c>
      <c r="L281" s="530" t="s">
        <v>6232</v>
      </c>
      <c r="M281" s="228" t="s">
        <v>6273</v>
      </c>
      <c r="N281" s="742">
        <v>2</v>
      </c>
    </row>
    <row r="282" spans="1:14" ht="28.5">
      <c r="A282" s="257" t="s">
        <v>3558</v>
      </c>
      <c r="B282" s="531" t="s">
        <v>500</v>
      </c>
      <c r="C282" s="257" t="s">
        <v>3549</v>
      </c>
      <c r="D282" s="530" t="s">
        <v>6209</v>
      </c>
      <c r="E282" s="530" t="s">
        <v>2095</v>
      </c>
      <c r="F282" s="530"/>
      <c r="G282" s="530"/>
      <c r="H282" s="742">
        <v>3</v>
      </c>
      <c r="I282" s="530"/>
      <c r="J282" s="530" t="s">
        <v>6210</v>
      </c>
      <c r="K282" s="530" t="s">
        <v>6231</v>
      </c>
      <c r="L282" s="530" t="s">
        <v>6232</v>
      </c>
      <c r="M282" s="228" t="s">
        <v>6274</v>
      </c>
      <c r="N282" s="742">
        <v>2</v>
      </c>
    </row>
    <row r="283" spans="1:14" ht="57">
      <c r="A283" s="257" t="s">
        <v>3561</v>
      </c>
      <c r="B283" s="531" t="s">
        <v>500</v>
      </c>
      <c r="C283" s="257" t="s">
        <v>3563</v>
      </c>
      <c r="D283" s="530" t="s">
        <v>6209</v>
      </c>
      <c r="E283" s="530" t="s">
        <v>2095</v>
      </c>
      <c r="F283" s="530"/>
      <c r="G283" s="530"/>
      <c r="H283" s="530">
        <v>330</v>
      </c>
      <c r="I283" s="530"/>
      <c r="J283" s="530" t="s">
        <v>6216</v>
      </c>
      <c r="K283" s="530" t="s">
        <v>6266</v>
      </c>
      <c r="L283" s="530" t="s">
        <v>6267</v>
      </c>
      <c r="M283" s="228" t="s">
        <v>6275</v>
      </c>
      <c r="N283" s="530" t="s">
        <v>184</v>
      </c>
    </row>
    <row r="284" spans="1:14" ht="42.75">
      <c r="A284" s="257" t="s">
        <v>3529</v>
      </c>
      <c r="B284" s="531" t="s">
        <v>500</v>
      </c>
      <c r="C284" s="257" t="s">
        <v>3531</v>
      </c>
      <c r="D284" s="530" t="s">
        <v>6209</v>
      </c>
      <c r="E284" s="530" t="s">
        <v>3533</v>
      </c>
      <c r="F284" s="530"/>
      <c r="G284" s="530"/>
      <c r="H284" s="742">
        <v>3</v>
      </c>
      <c r="I284" s="530" t="s">
        <v>3534</v>
      </c>
      <c r="J284" s="530" t="s">
        <v>6216</v>
      </c>
      <c r="K284" s="530" t="s">
        <v>6220</v>
      </c>
      <c r="L284" s="530" t="s">
        <v>6212</v>
      </c>
      <c r="M284" s="228" t="s">
        <v>6276</v>
      </c>
      <c r="N284" s="742">
        <v>2</v>
      </c>
    </row>
    <row r="285" spans="1:14" ht="28.5">
      <c r="A285" s="257" t="s">
        <v>3540</v>
      </c>
      <c r="B285" s="531" t="s">
        <v>500</v>
      </c>
      <c r="C285" s="257" t="s">
        <v>3542</v>
      </c>
      <c r="D285" s="530" t="s">
        <v>6209</v>
      </c>
      <c r="E285" s="530" t="s">
        <v>2095</v>
      </c>
      <c r="F285" s="530"/>
      <c r="G285" s="530"/>
      <c r="H285" s="742">
        <v>3</v>
      </c>
      <c r="I285" s="530"/>
      <c r="J285" s="530" t="s">
        <v>6216</v>
      </c>
      <c r="K285" s="530" t="s">
        <v>6217</v>
      </c>
      <c r="L285" s="530" t="s">
        <v>6218</v>
      </c>
      <c r="M285" s="228" t="s">
        <v>6277</v>
      </c>
      <c r="N285" s="742">
        <v>2</v>
      </c>
    </row>
    <row r="286" spans="1:14" ht="64.5" customHeight="1">
      <c r="A286" s="257" t="s">
        <v>508</v>
      </c>
      <c r="B286" s="531" t="s">
        <v>500</v>
      </c>
      <c r="C286" s="257" t="s">
        <v>510</v>
      </c>
      <c r="D286" s="530" t="s">
        <v>6214</v>
      </c>
      <c r="E286" s="530" t="s">
        <v>78</v>
      </c>
      <c r="F286" s="13" t="s">
        <v>513</v>
      </c>
      <c r="G286" s="530" t="s">
        <v>511</v>
      </c>
      <c r="H286" s="530">
        <v>5</v>
      </c>
      <c r="I286" s="530"/>
      <c r="J286" s="530" t="s">
        <v>6216</v>
      </c>
      <c r="K286" s="530" t="s">
        <v>6266</v>
      </c>
      <c r="L286" s="530" t="s">
        <v>6267</v>
      </c>
      <c r="M286" s="228" t="s">
        <v>6278</v>
      </c>
      <c r="N286" s="530" t="s">
        <v>138</v>
      </c>
    </row>
    <row r="287" spans="1:14" ht="28.5">
      <c r="A287" s="257" t="s">
        <v>508</v>
      </c>
      <c r="B287" s="531" t="s">
        <v>500</v>
      </c>
      <c r="C287" s="257" t="s">
        <v>510</v>
      </c>
      <c r="D287" s="530" t="s">
        <v>6214</v>
      </c>
      <c r="E287" s="530" t="s">
        <v>66</v>
      </c>
      <c r="F287" s="12" t="s">
        <v>514</v>
      </c>
      <c r="G287" s="530" t="s">
        <v>511</v>
      </c>
      <c r="H287" s="530">
        <v>5</v>
      </c>
      <c r="I287" s="530"/>
      <c r="J287" s="530" t="s">
        <v>6279</v>
      </c>
      <c r="K287" s="530" t="s">
        <v>6211</v>
      </c>
      <c r="L287" s="530" t="s">
        <v>6221</v>
      </c>
      <c r="M287" s="228" t="s">
        <v>6280</v>
      </c>
      <c r="N287" s="530" t="s">
        <v>184</v>
      </c>
    </row>
    <row r="288" spans="1:14" ht="28.5">
      <c r="A288" s="257" t="s">
        <v>508</v>
      </c>
      <c r="B288" s="531" t="s">
        <v>500</v>
      </c>
      <c r="C288" s="257" t="s">
        <v>510</v>
      </c>
      <c r="D288" s="530" t="s">
        <v>6214</v>
      </c>
      <c r="E288" s="530" t="s">
        <v>72</v>
      </c>
      <c r="F288" s="12" t="s">
        <v>515</v>
      </c>
      <c r="G288" s="530" t="s">
        <v>511</v>
      </c>
      <c r="H288" s="530">
        <v>5</v>
      </c>
      <c r="I288" s="530"/>
      <c r="J288" s="530" t="s">
        <v>6279</v>
      </c>
      <c r="K288" s="530" t="s">
        <v>6231</v>
      </c>
      <c r="L288" s="530" t="s">
        <v>6232</v>
      </c>
      <c r="M288" s="228" t="s">
        <v>6281</v>
      </c>
      <c r="N288" s="530" t="s">
        <v>184</v>
      </c>
    </row>
    <row r="289" spans="1:14" ht="28.5">
      <c r="A289" s="257" t="s">
        <v>3521</v>
      </c>
      <c r="B289" s="531" t="s">
        <v>500</v>
      </c>
      <c r="C289" s="257" t="s">
        <v>3523</v>
      </c>
      <c r="D289" s="530" t="s">
        <v>6209</v>
      </c>
      <c r="E289" s="530" t="s">
        <v>2095</v>
      </c>
      <c r="F289" s="530"/>
      <c r="G289" s="530"/>
      <c r="H289" s="742">
        <v>3</v>
      </c>
      <c r="I289" s="530"/>
      <c r="J289" s="530" t="s">
        <v>6216</v>
      </c>
      <c r="K289" s="530" t="s">
        <v>6217</v>
      </c>
      <c r="L289" s="530" t="s">
        <v>6218</v>
      </c>
      <c r="M289" s="228" t="s">
        <v>6277</v>
      </c>
      <c r="N289" s="742">
        <v>2</v>
      </c>
    </row>
    <row r="290" spans="1:14" ht="28.5">
      <c r="A290" s="257" t="s">
        <v>3544</v>
      </c>
      <c r="B290" s="531" t="s">
        <v>500</v>
      </c>
      <c r="C290" s="257" t="s">
        <v>3527</v>
      </c>
      <c r="D290" s="530" t="s">
        <v>6209</v>
      </c>
      <c r="E290" s="530" t="s">
        <v>2095</v>
      </c>
      <c r="F290" s="530"/>
      <c r="G290" s="530"/>
      <c r="H290" s="742">
        <v>3</v>
      </c>
      <c r="I290" s="530"/>
      <c r="J290" s="530" t="s">
        <v>6216</v>
      </c>
      <c r="K290" s="530" t="s">
        <v>6217</v>
      </c>
      <c r="L290" s="530" t="s">
        <v>6218</v>
      </c>
      <c r="M290" s="228" t="s">
        <v>6277</v>
      </c>
      <c r="N290" s="742">
        <v>2</v>
      </c>
    </row>
    <row r="291" spans="1:14" ht="28.5">
      <c r="A291" s="257" t="s">
        <v>3525</v>
      </c>
      <c r="B291" s="531" t="s">
        <v>500</v>
      </c>
      <c r="C291" s="257" t="s">
        <v>3527</v>
      </c>
      <c r="D291" s="530" t="s">
        <v>6209</v>
      </c>
      <c r="E291" s="530" t="s">
        <v>2095</v>
      </c>
      <c r="F291" s="530"/>
      <c r="G291" s="530"/>
      <c r="H291" s="742">
        <v>3</v>
      </c>
      <c r="I291" s="530"/>
      <c r="J291" s="530" t="s">
        <v>6216</v>
      </c>
      <c r="K291" s="530" t="s">
        <v>6217</v>
      </c>
      <c r="L291" s="530" t="s">
        <v>6218</v>
      </c>
      <c r="M291" s="228" t="s">
        <v>6277</v>
      </c>
      <c r="N291" s="742">
        <v>2</v>
      </c>
    </row>
    <row r="292" spans="1:14" ht="28.5">
      <c r="A292" s="257" t="s">
        <v>3611</v>
      </c>
      <c r="B292" s="531" t="s">
        <v>500</v>
      </c>
      <c r="C292" s="257" t="s">
        <v>3921</v>
      </c>
      <c r="D292" s="530" t="s">
        <v>6209</v>
      </c>
      <c r="E292" s="530" t="s">
        <v>2095</v>
      </c>
      <c r="F292" s="530"/>
      <c r="G292" s="530"/>
      <c r="H292" s="742">
        <v>3</v>
      </c>
      <c r="I292" s="530"/>
      <c r="J292" s="530" t="s">
        <v>6210</v>
      </c>
      <c r="K292" s="530" t="s">
        <v>6220</v>
      </c>
      <c r="L292" s="530" t="s">
        <v>6221</v>
      </c>
      <c r="M292" s="228" t="s">
        <v>6282</v>
      </c>
      <c r="N292" s="742">
        <v>2</v>
      </c>
    </row>
    <row r="293" spans="1:14" ht="28.5">
      <c r="A293" s="257" t="s">
        <v>3616</v>
      </c>
      <c r="B293" s="531" t="s">
        <v>500</v>
      </c>
      <c r="C293" s="257" t="s">
        <v>4024</v>
      </c>
      <c r="D293" s="530" t="s">
        <v>6209</v>
      </c>
      <c r="E293" s="530" t="s">
        <v>2095</v>
      </c>
      <c r="F293" s="530"/>
      <c r="G293" s="530"/>
      <c r="H293" s="742">
        <v>3</v>
      </c>
      <c r="I293" s="530"/>
      <c r="J293" s="530" t="s">
        <v>6216</v>
      </c>
      <c r="K293" s="530" t="s">
        <v>6211</v>
      </c>
      <c r="L293" s="530" t="s">
        <v>6218</v>
      </c>
      <c r="M293" s="228" t="s">
        <v>6283</v>
      </c>
      <c r="N293" s="742">
        <v>2</v>
      </c>
    </row>
    <row r="294" spans="1:14" ht="28.5">
      <c r="A294" s="257" t="s">
        <v>3537</v>
      </c>
      <c r="B294" s="531" t="s">
        <v>500</v>
      </c>
      <c r="C294" s="257" t="s">
        <v>3513</v>
      </c>
      <c r="D294" s="530" t="s">
        <v>6209</v>
      </c>
      <c r="E294" s="530" t="s">
        <v>2095</v>
      </c>
      <c r="F294" s="530"/>
      <c r="G294" s="530"/>
      <c r="H294" s="742">
        <v>3</v>
      </c>
      <c r="I294" s="530"/>
      <c r="J294" s="530" t="s">
        <v>6210</v>
      </c>
      <c r="K294" s="530" t="s">
        <v>6211</v>
      </c>
      <c r="L294" s="530" t="s">
        <v>6212</v>
      </c>
      <c r="M294" s="228" t="s">
        <v>6270</v>
      </c>
      <c r="N294" s="742">
        <v>2</v>
      </c>
    </row>
    <row r="295" spans="1:14" ht="28.5">
      <c r="A295" s="257" t="s">
        <v>3518</v>
      </c>
      <c r="B295" s="531" t="s">
        <v>500</v>
      </c>
      <c r="C295" s="257" t="s">
        <v>3513</v>
      </c>
      <c r="D295" s="530" t="s">
        <v>6209</v>
      </c>
      <c r="E295" s="530" t="s">
        <v>2095</v>
      </c>
      <c r="F295" s="530"/>
      <c r="G295" s="530"/>
      <c r="H295" s="742">
        <v>3</v>
      </c>
      <c r="I295" s="530"/>
      <c r="J295" s="530" t="s">
        <v>6210</v>
      </c>
      <c r="K295" s="530" t="s">
        <v>6211</v>
      </c>
      <c r="L295" s="530" t="s">
        <v>6212</v>
      </c>
      <c r="M295" s="228" t="s">
        <v>6272</v>
      </c>
      <c r="N295" s="742">
        <v>2</v>
      </c>
    </row>
    <row r="296" spans="1:14" ht="28.5">
      <c r="A296" s="257" t="s">
        <v>3511</v>
      </c>
      <c r="B296" s="531" t="s">
        <v>500</v>
      </c>
      <c r="C296" s="257" t="s">
        <v>3513</v>
      </c>
      <c r="D296" s="530" t="s">
        <v>6209</v>
      </c>
      <c r="E296" s="530" t="s">
        <v>2095</v>
      </c>
      <c r="F296" s="530"/>
      <c r="G296" s="530"/>
      <c r="H296" s="742">
        <v>3</v>
      </c>
      <c r="I296" s="530"/>
      <c r="J296" s="530" t="s">
        <v>6210</v>
      </c>
      <c r="K296" s="530" t="s">
        <v>6231</v>
      </c>
      <c r="L296" s="530" t="s">
        <v>6232</v>
      </c>
      <c r="M296" s="228" t="s">
        <v>6273</v>
      </c>
      <c r="N296" s="742">
        <v>2</v>
      </c>
    </row>
    <row r="297" spans="1:14" ht="28.5">
      <c r="A297" s="257" t="s">
        <v>3515</v>
      </c>
      <c r="B297" s="531" t="s">
        <v>500</v>
      </c>
      <c r="C297" s="257" t="s">
        <v>3513</v>
      </c>
      <c r="D297" s="530" t="s">
        <v>6209</v>
      </c>
      <c r="E297" s="530" t="s">
        <v>2095</v>
      </c>
      <c r="F297" s="530"/>
      <c r="G297" s="530"/>
      <c r="H297" s="742">
        <v>3</v>
      </c>
      <c r="I297" s="530"/>
      <c r="J297" s="530" t="s">
        <v>6216</v>
      </c>
      <c r="K297" s="530" t="s">
        <v>6217</v>
      </c>
      <c r="L297" s="530" t="s">
        <v>6218</v>
      </c>
      <c r="M297" s="228" t="s">
        <v>6277</v>
      </c>
      <c r="N297" s="742">
        <v>2</v>
      </c>
    </row>
    <row r="298" spans="1:14" ht="28.5">
      <c r="A298" s="257" t="s">
        <v>3498</v>
      </c>
      <c r="B298" s="531" t="s">
        <v>500</v>
      </c>
      <c r="C298" s="257" t="s">
        <v>3500</v>
      </c>
      <c r="D298" s="530" t="s">
        <v>6209</v>
      </c>
      <c r="E298" s="530" t="s">
        <v>2095</v>
      </c>
      <c r="F298" s="530"/>
      <c r="G298" s="530"/>
      <c r="H298" s="742">
        <v>3</v>
      </c>
      <c r="I298" s="530"/>
      <c r="J298" s="530" t="s">
        <v>6216</v>
      </c>
      <c r="K298" s="530" t="s">
        <v>6217</v>
      </c>
      <c r="L298" s="530" t="s">
        <v>6218</v>
      </c>
      <c r="M298" s="228" t="s">
        <v>6277</v>
      </c>
      <c r="N298" s="742">
        <v>2</v>
      </c>
    </row>
    <row r="299" spans="1:14" ht="42.75">
      <c r="A299" s="257" t="s">
        <v>3582</v>
      </c>
      <c r="B299" s="531" t="s">
        <v>500</v>
      </c>
      <c r="C299" s="257" t="s">
        <v>3584</v>
      </c>
      <c r="D299" s="530" t="s">
        <v>6209</v>
      </c>
      <c r="E299" s="530" t="s">
        <v>2095</v>
      </c>
      <c r="F299" s="530"/>
      <c r="G299" s="530"/>
      <c r="H299" s="530">
        <v>0</v>
      </c>
      <c r="I299" s="530"/>
      <c r="J299" s="530" t="s">
        <v>6284</v>
      </c>
      <c r="K299" s="530" t="s">
        <v>6220</v>
      </c>
      <c r="L299" s="530" t="s">
        <v>6221</v>
      </c>
      <c r="M299" s="228" t="s">
        <v>6285</v>
      </c>
      <c r="N299" s="530" t="s">
        <v>138</v>
      </c>
    </row>
    <row r="300" spans="1:14" ht="57">
      <c r="A300" s="741" t="s">
        <v>3587</v>
      </c>
      <c r="B300" s="531" t="s">
        <v>500</v>
      </c>
      <c r="C300" s="257" t="s">
        <v>3589</v>
      </c>
      <c r="D300" s="530" t="s">
        <v>6209</v>
      </c>
      <c r="E300" s="530" t="s">
        <v>2095</v>
      </c>
      <c r="F300" s="530"/>
      <c r="G300" s="530"/>
      <c r="H300" s="742">
        <v>3</v>
      </c>
      <c r="I300" s="530"/>
      <c r="J300" s="530" t="s">
        <v>6216</v>
      </c>
      <c r="K300" s="530" t="s">
        <v>6266</v>
      </c>
      <c r="L300" s="530" t="s">
        <v>6267</v>
      </c>
      <c r="M300" s="228" t="s">
        <v>6286</v>
      </c>
      <c r="N300" s="742">
        <v>2</v>
      </c>
    </row>
    <row r="301" spans="1:14" ht="57">
      <c r="A301" s="741" t="s">
        <v>3592</v>
      </c>
      <c r="B301" s="531" t="s">
        <v>500</v>
      </c>
      <c r="C301" s="257" t="s">
        <v>3594</v>
      </c>
      <c r="D301" s="530" t="s">
        <v>6209</v>
      </c>
      <c r="E301" s="530" t="s">
        <v>2095</v>
      </c>
      <c r="F301" s="530"/>
      <c r="G301" s="530"/>
      <c r="H301" s="742">
        <v>3</v>
      </c>
      <c r="I301" s="530"/>
      <c r="J301" s="530" t="s">
        <v>6216</v>
      </c>
      <c r="K301" s="530" t="s">
        <v>6266</v>
      </c>
      <c r="L301" s="530" t="s">
        <v>6267</v>
      </c>
      <c r="M301" s="228" t="s">
        <v>6287</v>
      </c>
      <c r="N301" s="742">
        <v>2</v>
      </c>
    </row>
    <row r="302" spans="1:14" ht="28.5">
      <c r="A302" s="257" t="s">
        <v>3494</v>
      </c>
      <c r="B302" s="531" t="s">
        <v>500</v>
      </c>
      <c r="C302" s="257" t="s">
        <v>3496</v>
      </c>
      <c r="D302" s="530" t="s">
        <v>6209</v>
      </c>
      <c r="E302" s="530" t="s">
        <v>2095</v>
      </c>
      <c r="F302" s="530"/>
      <c r="G302" s="530"/>
      <c r="H302" s="742">
        <v>3</v>
      </c>
      <c r="I302" s="530"/>
      <c r="J302" s="530" t="s">
        <v>6241</v>
      </c>
      <c r="K302" s="530" t="s">
        <v>6217</v>
      </c>
      <c r="L302" s="530" t="s">
        <v>6218</v>
      </c>
      <c r="M302" s="228" t="s">
        <v>6242</v>
      </c>
      <c r="N302" s="742">
        <v>2</v>
      </c>
    </row>
    <row r="303" spans="1:14" ht="28.5">
      <c r="A303" s="257" t="s">
        <v>524</v>
      </c>
      <c r="B303" s="531" t="s">
        <v>525</v>
      </c>
      <c r="C303" s="257" t="s">
        <v>527</v>
      </c>
      <c r="D303" s="530" t="s">
        <v>6214</v>
      </c>
      <c r="E303" s="530" t="s">
        <v>69</v>
      </c>
      <c r="F303" s="530">
        <v>1000</v>
      </c>
      <c r="G303" s="530" t="s">
        <v>528</v>
      </c>
      <c r="H303" s="530">
        <v>5</v>
      </c>
      <c r="I303" s="530" t="s">
        <v>529</v>
      </c>
      <c r="J303" s="530" t="s">
        <v>6216</v>
      </c>
      <c r="K303" s="530" t="s">
        <v>6231</v>
      </c>
      <c r="L303" s="530" t="s">
        <v>6232</v>
      </c>
      <c r="M303" s="228" t="s">
        <v>6288</v>
      </c>
      <c r="N303" s="530" t="s">
        <v>184</v>
      </c>
    </row>
    <row r="304" spans="1:14" ht="28.5">
      <c r="A304" s="257" t="s">
        <v>524</v>
      </c>
      <c r="B304" s="531" t="s">
        <v>525</v>
      </c>
      <c r="C304" s="257" t="s">
        <v>527</v>
      </c>
      <c r="D304" s="530" t="s">
        <v>6214</v>
      </c>
      <c r="E304" s="530" t="s">
        <v>63</v>
      </c>
      <c r="F304" s="530">
        <v>1400</v>
      </c>
      <c r="G304" s="530" t="s">
        <v>528</v>
      </c>
      <c r="H304" s="530">
        <v>5</v>
      </c>
      <c r="I304" s="530" t="s">
        <v>529</v>
      </c>
      <c r="J304" s="530" t="s">
        <v>6216</v>
      </c>
      <c r="K304" s="530" t="s">
        <v>6220</v>
      </c>
      <c r="L304" s="530" t="s">
        <v>6212</v>
      </c>
      <c r="M304" s="228" t="s">
        <v>6289</v>
      </c>
      <c r="N304" s="530" t="s">
        <v>138</v>
      </c>
    </row>
    <row r="305" spans="1:14" ht="28.5">
      <c r="A305" s="257" t="s">
        <v>532</v>
      </c>
      <c r="B305" s="531" t="s">
        <v>525</v>
      </c>
      <c r="C305" s="257" t="s">
        <v>534</v>
      </c>
      <c r="D305" s="530" t="s">
        <v>6214</v>
      </c>
      <c r="E305" s="530" t="s">
        <v>69</v>
      </c>
      <c r="F305" s="530">
        <v>1000</v>
      </c>
      <c r="G305" s="530" t="s">
        <v>528</v>
      </c>
      <c r="H305" s="530">
        <v>5</v>
      </c>
      <c r="I305" s="530" t="s">
        <v>535</v>
      </c>
      <c r="J305" s="530" t="s">
        <v>6216</v>
      </c>
      <c r="K305" s="530" t="s">
        <v>6231</v>
      </c>
      <c r="L305" s="530" t="s">
        <v>6232</v>
      </c>
      <c r="M305" s="228" t="s">
        <v>6288</v>
      </c>
      <c r="N305" s="530" t="s">
        <v>184</v>
      </c>
    </row>
    <row r="306" spans="1:14" ht="28.5">
      <c r="A306" s="257" t="s">
        <v>532</v>
      </c>
      <c r="B306" s="531" t="s">
        <v>525</v>
      </c>
      <c r="C306" s="257" t="s">
        <v>534</v>
      </c>
      <c r="D306" s="530" t="s">
        <v>6214</v>
      </c>
      <c r="E306" s="530" t="s">
        <v>63</v>
      </c>
      <c r="F306" s="530">
        <v>1400</v>
      </c>
      <c r="G306" s="530" t="s">
        <v>528</v>
      </c>
      <c r="H306" s="530">
        <v>5</v>
      </c>
      <c r="I306" s="530" t="s">
        <v>535</v>
      </c>
      <c r="J306" s="530" t="s">
        <v>6216</v>
      </c>
      <c r="K306" s="530" t="s">
        <v>6220</v>
      </c>
      <c r="L306" s="530" t="s">
        <v>6212</v>
      </c>
      <c r="M306" s="228" t="s">
        <v>6289</v>
      </c>
      <c r="N306" s="530" t="s">
        <v>138</v>
      </c>
    </row>
    <row r="307" spans="1:14" ht="28.5">
      <c r="A307" s="257" t="s">
        <v>4870</v>
      </c>
      <c r="B307" s="531" t="s">
        <v>538</v>
      </c>
      <c r="C307" s="257" t="s">
        <v>4872</v>
      </c>
      <c r="D307" s="530" t="s">
        <v>6214</v>
      </c>
      <c r="E307" s="530" t="s">
        <v>69</v>
      </c>
      <c r="F307" s="739">
        <v>40</v>
      </c>
      <c r="G307" s="530" t="s">
        <v>574</v>
      </c>
      <c r="H307" s="530">
        <v>5</v>
      </c>
      <c r="I307" s="530" t="s">
        <v>4873</v>
      </c>
      <c r="J307" s="530" t="s">
        <v>6216</v>
      </c>
      <c r="K307" s="530" t="s">
        <v>6211</v>
      </c>
      <c r="L307" s="530" t="s">
        <v>6218</v>
      </c>
      <c r="M307" s="228" t="s">
        <v>6290</v>
      </c>
      <c r="N307" s="530" t="s">
        <v>184</v>
      </c>
    </row>
    <row r="308" spans="1:14" ht="28.5">
      <c r="A308" s="257" t="s">
        <v>4870</v>
      </c>
      <c r="B308" s="531" t="s">
        <v>538</v>
      </c>
      <c r="C308" s="257" t="s">
        <v>4872</v>
      </c>
      <c r="D308" s="530" t="s">
        <v>6214</v>
      </c>
      <c r="E308" s="530" t="s">
        <v>63</v>
      </c>
      <c r="F308" s="739">
        <v>42</v>
      </c>
      <c r="G308" s="530" t="s">
        <v>574</v>
      </c>
      <c r="H308" s="530">
        <v>5</v>
      </c>
      <c r="I308" s="530" t="s">
        <v>4873</v>
      </c>
      <c r="J308" s="530" t="s">
        <v>6216</v>
      </c>
      <c r="K308" s="530" t="s">
        <v>6211</v>
      </c>
      <c r="L308" s="530" t="s">
        <v>6218</v>
      </c>
      <c r="M308" s="228" t="s">
        <v>6290</v>
      </c>
      <c r="N308" s="530" t="s">
        <v>184</v>
      </c>
    </row>
    <row r="309" spans="1:14" ht="28.5">
      <c r="A309" s="257" t="s">
        <v>4870</v>
      </c>
      <c r="B309" s="531" t="s">
        <v>538</v>
      </c>
      <c r="C309" s="257" t="s">
        <v>4872</v>
      </c>
      <c r="D309" s="530" t="s">
        <v>6214</v>
      </c>
      <c r="E309" s="530" t="s">
        <v>66</v>
      </c>
      <c r="F309" s="530">
        <v>60</v>
      </c>
      <c r="G309" s="530" t="s">
        <v>574</v>
      </c>
      <c r="H309" s="530">
        <v>5</v>
      </c>
      <c r="I309" s="530" t="s">
        <v>4873</v>
      </c>
      <c r="J309" s="530" t="s">
        <v>6210</v>
      </c>
      <c r="K309" s="530" t="s">
        <v>6211</v>
      </c>
      <c r="L309" s="530" t="s">
        <v>6212</v>
      </c>
      <c r="M309" s="228" t="s">
        <v>6291</v>
      </c>
      <c r="N309" s="530" t="s">
        <v>184</v>
      </c>
    </row>
    <row r="310" spans="1:14" ht="28.5">
      <c r="A310" s="257" t="s">
        <v>4870</v>
      </c>
      <c r="B310" s="531" t="s">
        <v>538</v>
      </c>
      <c r="C310" s="257" t="s">
        <v>4872</v>
      </c>
      <c r="D310" s="530" t="s">
        <v>6214</v>
      </c>
      <c r="E310" s="530" t="s">
        <v>72</v>
      </c>
      <c r="F310" s="530">
        <v>62</v>
      </c>
      <c r="G310" s="530" t="s">
        <v>574</v>
      </c>
      <c r="H310" s="530">
        <v>5</v>
      </c>
      <c r="I310" s="530" t="s">
        <v>4873</v>
      </c>
      <c r="J310" s="530" t="s">
        <v>6210</v>
      </c>
      <c r="K310" s="530" t="s">
        <v>6220</v>
      </c>
      <c r="L310" s="530" t="s">
        <v>6221</v>
      </c>
      <c r="M310" s="228" t="s">
        <v>6291</v>
      </c>
      <c r="N310" s="530" t="s">
        <v>184</v>
      </c>
    </row>
    <row r="311" spans="1:14" ht="28.5">
      <c r="A311" s="257" t="s">
        <v>4861</v>
      </c>
      <c r="B311" s="531" t="s">
        <v>538</v>
      </c>
      <c r="C311" s="257" t="s">
        <v>4878</v>
      </c>
      <c r="D311" s="530" t="s">
        <v>6214</v>
      </c>
      <c r="E311" s="530" t="s">
        <v>69</v>
      </c>
      <c r="F311" s="530">
        <v>200</v>
      </c>
      <c r="G311" s="530" t="s">
        <v>6215</v>
      </c>
      <c r="H311" s="530">
        <v>5</v>
      </c>
      <c r="I311" s="530" t="s">
        <v>4873</v>
      </c>
      <c r="J311" s="530" t="s">
        <v>6216</v>
      </c>
      <c r="K311" s="530" t="s">
        <v>6231</v>
      </c>
      <c r="L311" s="530" t="s">
        <v>6232</v>
      </c>
      <c r="M311" s="228" t="s">
        <v>6292</v>
      </c>
      <c r="N311" s="530" t="s">
        <v>184</v>
      </c>
    </row>
    <row r="312" spans="1:14" ht="28.5">
      <c r="A312" s="257" t="s">
        <v>4861</v>
      </c>
      <c r="B312" s="531" t="s">
        <v>538</v>
      </c>
      <c r="C312" s="257" t="s">
        <v>4878</v>
      </c>
      <c r="D312" s="530" t="s">
        <v>6214</v>
      </c>
      <c r="E312" s="530" t="s">
        <v>63</v>
      </c>
      <c r="F312" s="13" t="s">
        <v>4879</v>
      </c>
      <c r="G312" s="530" t="s">
        <v>6215</v>
      </c>
      <c r="H312" s="530">
        <v>5</v>
      </c>
      <c r="I312" s="530" t="s">
        <v>4873</v>
      </c>
      <c r="J312" s="530" t="s">
        <v>6216</v>
      </c>
      <c r="K312" s="530" t="s">
        <v>6220</v>
      </c>
      <c r="L312" s="530" t="s">
        <v>6212</v>
      </c>
      <c r="M312" s="228" t="s">
        <v>6293</v>
      </c>
      <c r="N312" s="530">
        <v>0</v>
      </c>
    </row>
    <row r="313" spans="1:14" ht="28.5">
      <c r="A313" s="257" t="s">
        <v>4861</v>
      </c>
      <c r="B313" s="531" t="s">
        <v>538</v>
      </c>
      <c r="C313" s="257" t="s">
        <v>4878</v>
      </c>
      <c r="D313" s="530" t="s">
        <v>6214</v>
      </c>
      <c r="E313" s="530" t="s">
        <v>66</v>
      </c>
      <c r="F313" s="13" t="s">
        <v>4880</v>
      </c>
      <c r="G313" s="530" t="s">
        <v>6215</v>
      </c>
      <c r="H313" s="530">
        <v>5</v>
      </c>
      <c r="I313" s="530" t="s">
        <v>4873</v>
      </c>
      <c r="J313" s="530" t="s">
        <v>6216</v>
      </c>
      <c r="K313" s="530" t="s">
        <v>6211</v>
      </c>
      <c r="L313" s="530" t="s">
        <v>6218</v>
      </c>
      <c r="M313" s="228" t="s">
        <v>6290</v>
      </c>
      <c r="N313" s="530">
        <v>0</v>
      </c>
    </row>
    <row r="314" spans="1:14" ht="28.5">
      <c r="A314" s="257" t="s">
        <v>544</v>
      </c>
      <c r="B314" s="531" t="s">
        <v>538</v>
      </c>
      <c r="C314" s="257" t="s">
        <v>546</v>
      </c>
      <c r="D314" s="530" t="s">
        <v>6214</v>
      </c>
      <c r="E314" s="530" t="s">
        <v>66</v>
      </c>
      <c r="F314" s="530">
        <v>330</v>
      </c>
      <c r="G314" s="530" t="s">
        <v>143</v>
      </c>
      <c r="H314" s="530">
        <v>5</v>
      </c>
      <c r="I314" s="530" t="s">
        <v>547</v>
      </c>
      <c r="J314" s="530" t="s">
        <v>6216</v>
      </c>
      <c r="K314" s="530" t="s">
        <v>6220</v>
      </c>
      <c r="L314" s="530" t="s">
        <v>6212</v>
      </c>
      <c r="M314" s="228" t="s">
        <v>6294</v>
      </c>
      <c r="N314" s="530" t="s">
        <v>184</v>
      </c>
    </row>
    <row r="315" spans="1:14" ht="28.5">
      <c r="A315" s="257" t="s">
        <v>544</v>
      </c>
      <c r="B315" s="531" t="s">
        <v>538</v>
      </c>
      <c r="C315" s="257" t="s">
        <v>546</v>
      </c>
      <c r="D315" s="530" t="s">
        <v>6214</v>
      </c>
      <c r="E315" s="530" t="s">
        <v>72</v>
      </c>
      <c r="F315" s="530">
        <v>350</v>
      </c>
      <c r="G315" s="530" t="s">
        <v>143</v>
      </c>
      <c r="H315" s="530">
        <v>5</v>
      </c>
      <c r="I315" s="530" t="s">
        <v>547</v>
      </c>
      <c r="J315" s="530" t="s">
        <v>6216</v>
      </c>
      <c r="K315" s="530" t="s">
        <v>6231</v>
      </c>
      <c r="L315" s="530" t="s">
        <v>6232</v>
      </c>
      <c r="M315" s="228" t="s">
        <v>6295</v>
      </c>
      <c r="N315" s="530" t="s">
        <v>184</v>
      </c>
    </row>
    <row r="316" spans="1:14" ht="28.5">
      <c r="A316" s="257" t="s">
        <v>550</v>
      </c>
      <c r="B316" s="531" t="s">
        <v>538</v>
      </c>
      <c r="C316" s="257" t="s">
        <v>552</v>
      </c>
      <c r="D316" s="530" t="s">
        <v>6214</v>
      </c>
      <c r="E316" s="530" t="s">
        <v>69</v>
      </c>
      <c r="F316" s="530">
        <v>200</v>
      </c>
      <c r="G316" s="530" t="s">
        <v>541</v>
      </c>
      <c r="H316" s="530">
        <v>5</v>
      </c>
      <c r="I316" s="530" t="s">
        <v>547</v>
      </c>
      <c r="J316" s="530" t="s">
        <v>6216</v>
      </c>
      <c r="K316" s="530" t="s">
        <v>6220</v>
      </c>
      <c r="L316" s="530" t="s">
        <v>6212</v>
      </c>
      <c r="M316" s="228" t="s">
        <v>6296</v>
      </c>
      <c r="N316" s="530" t="s">
        <v>184</v>
      </c>
    </row>
    <row r="317" spans="1:14" ht="28.5">
      <c r="A317" s="257" t="s">
        <v>550</v>
      </c>
      <c r="B317" s="531" t="s">
        <v>538</v>
      </c>
      <c r="C317" s="257" t="s">
        <v>552</v>
      </c>
      <c r="D317" s="530" t="s">
        <v>6214</v>
      </c>
      <c r="E317" s="530" t="s">
        <v>63</v>
      </c>
      <c r="F317" s="530">
        <v>400</v>
      </c>
      <c r="G317" s="530" t="s">
        <v>541</v>
      </c>
      <c r="H317" s="530">
        <v>5</v>
      </c>
      <c r="I317" s="530" t="s">
        <v>547</v>
      </c>
      <c r="J317" s="530" t="s">
        <v>6216</v>
      </c>
      <c r="K317" s="530" t="s">
        <v>6211</v>
      </c>
      <c r="L317" s="530" t="s">
        <v>6218</v>
      </c>
      <c r="M317" s="228" t="s">
        <v>6296</v>
      </c>
      <c r="N317" s="530" t="s">
        <v>184</v>
      </c>
    </row>
    <row r="318" spans="1:14" ht="28.5">
      <c r="A318" s="257" t="s">
        <v>4664</v>
      </c>
      <c r="B318" s="531" t="s">
        <v>538</v>
      </c>
      <c r="C318" s="257" t="s">
        <v>4667</v>
      </c>
      <c r="D318" s="530" t="s">
        <v>6214</v>
      </c>
      <c r="E318" s="530" t="s">
        <v>69</v>
      </c>
      <c r="F318" s="530">
        <v>400</v>
      </c>
      <c r="G318" s="530" t="s">
        <v>6215</v>
      </c>
      <c r="H318" s="530">
        <v>5</v>
      </c>
      <c r="I318" s="530" t="s">
        <v>4873</v>
      </c>
      <c r="J318" s="530" t="s">
        <v>6210</v>
      </c>
      <c r="K318" s="530" t="s">
        <v>6220</v>
      </c>
      <c r="L318" s="530" t="s">
        <v>6221</v>
      </c>
      <c r="M318" s="228" t="s">
        <v>6297</v>
      </c>
      <c r="N318" s="530" t="s">
        <v>184</v>
      </c>
    </row>
    <row r="319" spans="1:14" ht="28.5">
      <c r="A319" s="257" t="s">
        <v>4664</v>
      </c>
      <c r="B319" s="531" t="s">
        <v>538</v>
      </c>
      <c r="C319" s="257" t="s">
        <v>4667</v>
      </c>
      <c r="D319" s="530" t="s">
        <v>6214</v>
      </c>
      <c r="E319" s="530" t="s">
        <v>63</v>
      </c>
      <c r="F319" s="530">
        <v>700</v>
      </c>
      <c r="G319" s="530" t="s">
        <v>6215</v>
      </c>
      <c r="H319" s="530">
        <v>5</v>
      </c>
      <c r="I319" s="530" t="s">
        <v>4873</v>
      </c>
      <c r="J319" s="530" t="s">
        <v>6210</v>
      </c>
      <c r="K319" s="530" t="s">
        <v>6211</v>
      </c>
      <c r="L319" s="530" t="s">
        <v>6212</v>
      </c>
      <c r="M319" s="228" t="s">
        <v>6297</v>
      </c>
      <c r="N319" s="530" t="s">
        <v>184</v>
      </c>
    </row>
    <row r="320" spans="1:14" ht="28.5">
      <c r="A320" s="257" t="s">
        <v>4668</v>
      </c>
      <c r="B320" s="531" t="s">
        <v>538</v>
      </c>
      <c r="C320" s="257" t="s">
        <v>4662</v>
      </c>
      <c r="D320" s="530" t="s">
        <v>6214</v>
      </c>
      <c r="E320" s="530" t="s">
        <v>69</v>
      </c>
      <c r="F320" s="530">
        <v>400</v>
      </c>
      <c r="G320" s="530" t="s">
        <v>6215</v>
      </c>
      <c r="H320" s="530">
        <v>5</v>
      </c>
      <c r="I320" s="530" t="s">
        <v>4873</v>
      </c>
      <c r="J320" s="530" t="s">
        <v>6210</v>
      </c>
      <c r="K320" s="530" t="s">
        <v>6220</v>
      </c>
      <c r="L320" s="530" t="s">
        <v>6221</v>
      </c>
      <c r="M320" s="228" t="s">
        <v>6298</v>
      </c>
      <c r="N320" s="530" t="s">
        <v>184</v>
      </c>
    </row>
    <row r="321" spans="1:14" ht="28.5">
      <c r="A321" s="257" t="s">
        <v>4668</v>
      </c>
      <c r="B321" s="531" t="s">
        <v>538</v>
      </c>
      <c r="C321" s="257" t="s">
        <v>4662</v>
      </c>
      <c r="D321" s="530" t="s">
        <v>6214</v>
      </c>
      <c r="E321" s="530" t="s">
        <v>63</v>
      </c>
      <c r="F321" s="530">
        <v>700</v>
      </c>
      <c r="G321" s="530" t="s">
        <v>6215</v>
      </c>
      <c r="H321" s="530">
        <v>5</v>
      </c>
      <c r="I321" s="530" t="s">
        <v>4873</v>
      </c>
      <c r="J321" s="530" t="s">
        <v>6210</v>
      </c>
      <c r="K321" s="530" t="s">
        <v>6211</v>
      </c>
      <c r="L321" s="530" t="s">
        <v>6212</v>
      </c>
      <c r="M321" s="228" t="s">
        <v>6299</v>
      </c>
      <c r="N321" s="530" t="s">
        <v>184</v>
      </c>
    </row>
    <row r="322" spans="1:14" ht="28.5">
      <c r="A322" s="257" t="s">
        <v>554</v>
      </c>
      <c r="B322" s="531" t="s">
        <v>538</v>
      </c>
      <c r="C322" s="257" t="s">
        <v>556</v>
      </c>
      <c r="D322" s="530" t="s">
        <v>6214</v>
      </c>
      <c r="E322" s="530" t="s">
        <v>69</v>
      </c>
      <c r="F322" s="530">
        <v>200</v>
      </c>
      <c r="G322" s="530" t="s">
        <v>541</v>
      </c>
      <c r="H322" s="530">
        <v>5</v>
      </c>
      <c r="I322" s="530" t="s">
        <v>547</v>
      </c>
      <c r="J322" s="530" t="s">
        <v>6216</v>
      </c>
      <c r="K322" s="530" t="s">
        <v>6220</v>
      </c>
      <c r="L322" s="530" t="s">
        <v>6212</v>
      </c>
      <c r="M322" s="228" t="s">
        <v>6296</v>
      </c>
      <c r="N322" s="530" t="s">
        <v>184</v>
      </c>
    </row>
    <row r="323" spans="1:14" ht="28.5">
      <c r="A323" s="257" t="s">
        <v>554</v>
      </c>
      <c r="B323" s="531" t="s">
        <v>538</v>
      </c>
      <c r="C323" s="257" t="s">
        <v>556</v>
      </c>
      <c r="D323" s="530" t="s">
        <v>6214</v>
      </c>
      <c r="E323" s="530" t="s">
        <v>63</v>
      </c>
      <c r="F323" s="530">
        <v>400</v>
      </c>
      <c r="G323" s="530" t="s">
        <v>541</v>
      </c>
      <c r="H323" s="530">
        <v>5</v>
      </c>
      <c r="I323" s="530" t="s">
        <v>547</v>
      </c>
      <c r="J323" s="530" t="s">
        <v>6216</v>
      </c>
      <c r="K323" s="530" t="s">
        <v>6211</v>
      </c>
      <c r="L323" s="530" t="s">
        <v>6218</v>
      </c>
      <c r="M323" s="228" t="s">
        <v>6296</v>
      </c>
      <c r="N323" s="530" t="s">
        <v>184</v>
      </c>
    </row>
    <row r="324" spans="1:14" ht="28.5">
      <c r="A324" s="257" t="s">
        <v>558</v>
      </c>
      <c r="B324" s="531" t="s">
        <v>538</v>
      </c>
      <c r="C324" s="257" t="s">
        <v>559</v>
      </c>
      <c r="D324" s="530" t="s">
        <v>6214</v>
      </c>
      <c r="E324" s="530" t="s">
        <v>69</v>
      </c>
      <c r="F324" s="530">
        <v>800</v>
      </c>
      <c r="G324" s="530" t="s">
        <v>135</v>
      </c>
      <c r="H324" s="530">
        <v>5</v>
      </c>
      <c r="I324" s="530" t="s">
        <v>547</v>
      </c>
      <c r="J324" s="530" t="s">
        <v>6216</v>
      </c>
      <c r="K324" s="530" t="s">
        <v>6220</v>
      </c>
      <c r="L324" s="530" t="s">
        <v>6212</v>
      </c>
      <c r="M324" s="228" t="s">
        <v>6300</v>
      </c>
      <c r="N324" s="530" t="s">
        <v>184</v>
      </c>
    </row>
    <row r="325" spans="1:14" ht="28.5">
      <c r="A325" s="257" t="s">
        <v>558</v>
      </c>
      <c r="B325" s="531" t="s">
        <v>538</v>
      </c>
      <c r="C325" s="257" t="s">
        <v>559</v>
      </c>
      <c r="D325" s="530" t="s">
        <v>6214</v>
      </c>
      <c r="E325" s="530" t="s">
        <v>63</v>
      </c>
      <c r="F325" s="530">
        <v>1200</v>
      </c>
      <c r="G325" s="530" t="s">
        <v>135</v>
      </c>
      <c r="H325" s="530">
        <v>5</v>
      </c>
      <c r="I325" s="530" t="s">
        <v>547</v>
      </c>
      <c r="J325" s="530" t="s">
        <v>6216</v>
      </c>
      <c r="K325" s="530" t="s">
        <v>6211</v>
      </c>
      <c r="L325" s="530" t="s">
        <v>6218</v>
      </c>
      <c r="M325" s="228" t="s">
        <v>6300</v>
      </c>
      <c r="N325" s="530" t="s">
        <v>184</v>
      </c>
    </row>
    <row r="326" spans="1:14" ht="28.5">
      <c r="A326" s="257" t="s">
        <v>561</v>
      </c>
      <c r="B326" s="531" t="s">
        <v>538</v>
      </c>
      <c r="C326" s="257" t="s">
        <v>559</v>
      </c>
      <c r="D326" s="530" t="s">
        <v>6214</v>
      </c>
      <c r="E326" s="530" t="s">
        <v>69</v>
      </c>
      <c r="F326" s="530">
        <v>200</v>
      </c>
      <c r="G326" s="530" t="s">
        <v>541</v>
      </c>
      <c r="H326" s="530">
        <v>5</v>
      </c>
      <c r="I326" s="530" t="s">
        <v>547</v>
      </c>
      <c r="J326" s="530" t="s">
        <v>6216</v>
      </c>
      <c r="K326" s="530" t="s">
        <v>6220</v>
      </c>
      <c r="L326" s="530" t="s">
        <v>6212</v>
      </c>
      <c r="M326" s="228" t="s">
        <v>6296</v>
      </c>
      <c r="N326" s="530" t="s">
        <v>184</v>
      </c>
    </row>
    <row r="327" spans="1:14" ht="28.5">
      <c r="A327" s="257" t="s">
        <v>561</v>
      </c>
      <c r="B327" s="531" t="s">
        <v>538</v>
      </c>
      <c r="C327" s="257" t="s">
        <v>559</v>
      </c>
      <c r="D327" s="530" t="s">
        <v>6214</v>
      </c>
      <c r="E327" s="530" t="s">
        <v>63</v>
      </c>
      <c r="F327" s="530">
        <v>500</v>
      </c>
      <c r="G327" s="530" t="s">
        <v>541</v>
      </c>
      <c r="H327" s="530">
        <v>5</v>
      </c>
      <c r="I327" s="530" t="s">
        <v>547</v>
      </c>
      <c r="J327" s="530" t="s">
        <v>6216</v>
      </c>
      <c r="K327" s="530" t="s">
        <v>6211</v>
      </c>
      <c r="L327" s="530" t="s">
        <v>6218</v>
      </c>
      <c r="M327" s="228" t="s">
        <v>6296</v>
      </c>
      <c r="N327" s="530" t="s">
        <v>184</v>
      </c>
    </row>
    <row r="328" spans="1:14" ht="28.5">
      <c r="A328" s="257" t="s">
        <v>4895</v>
      </c>
      <c r="B328" s="531" t="s">
        <v>566</v>
      </c>
      <c r="C328" s="257" t="s">
        <v>4896</v>
      </c>
      <c r="D328" s="530" t="s">
        <v>6214</v>
      </c>
      <c r="E328" s="530" t="s">
        <v>69</v>
      </c>
      <c r="F328" s="530">
        <v>20</v>
      </c>
      <c r="G328" s="530" t="s">
        <v>41</v>
      </c>
      <c r="H328" s="530">
        <v>5</v>
      </c>
      <c r="I328" s="530"/>
      <c r="J328" s="530" t="s">
        <v>6216</v>
      </c>
      <c r="K328" s="530" t="s">
        <v>6211</v>
      </c>
      <c r="L328" s="530" t="s">
        <v>6218</v>
      </c>
      <c r="M328" s="228" t="s">
        <v>6301</v>
      </c>
      <c r="N328" s="530">
        <v>1</v>
      </c>
    </row>
    <row r="329" spans="1:14" ht="28.5">
      <c r="A329" s="257" t="s">
        <v>4895</v>
      </c>
      <c r="B329" s="531" t="s">
        <v>566</v>
      </c>
      <c r="C329" s="257" t="s">
        <v>4896</v>
      </c>
      <c r="D329" s="530" t="s">
        <v>6214</v>
      </c>
      <c r="E329" s="530" t="s">
        <v>63</v>
      </c>
      <c r="F329" s="530">
        <v>30</v>
      </c>
      <c r="G329" s="530" t="s">
        <v>41</v>
      </c>
      <c r="H329" s="530">
        <v>5</v>
      </c>
      <c r="I329" s="530"/>
      <c r="J329" s="530" t="s">
        <v>6216</v>
      </c>
      <c r="K329" s="530" t="s">
        <v>6211</v>
      </c>
      <c r="L329" s="530" t="s">
        <v>6218</v>
      </c>
      <c r="M329" s="228" t="s">
        <v>6302</v>
      </c>
      <c r="N329" s="530">
        <v>1</v>
      </c>
    </row>
    <row r="330" spans="1:14" ht="28.5">
      <c r="A330" s="257" t="s">
        <v>4895</v>
      </c>
      <c r="B330" s="531" t="s">
        <v>566</v>
      </c>
      <c r="C330" s="257" t="s">
        <v>4896</v>
      </c>
      <c r="D330" s="530" t="s">
        <v>6214</v>
      </c>
      <c r="E330" s="530" t="s">
        <v>66</v>
      </c>
      <c r="F330" s="530">
        <v>80</v>
      </c>
      <c r="G330" s="530" t="s">
        <v>41</v>
      </c>
      <c r="H330" s="530">
        <v>5</v>
      </c>
      <c r="I330" s="530"/>
      <c r="J330" s="530" t="s">
        <v>6241</v>
      </c>
      <c r="K330" s="530" t="s">
        <v>6211</v>
      </c>
      <c r="L330" s="530" t="s">
        <v>6218</v>
      </c>
      <c r="M330" s="228" t="s">
        <v>6303</v>
      </c>
      <c r="N330" s="530">
        <v>1</v>
      </c>
    </row>
    <row r="331" spans="1:14" ht="28.5">
      <c r="A331" s="257" t="s">
        <v>4895</v>
      </c>
      <c r="B331" s="531" t="s">
        <v>566</v>
      </c>
      <c r="C331" s="257" t="s">
        <v>4896</v>
      </c>
      <c r="D331" s="530" t="s">
        <v>6214</v>
      </c>
      <c r="E331" s="530" t="s">
        <v>72</v>
      </c>
      <c r="F331" s="530">
        <v>90</v>
      </c>
      <c r="G331" s="530" t="s">
        <v>41</v>
      </c>
      <c r="H331" s="530">
        <v>5</v>
      </c>
      <c r="I331" s="530"/>
      <c r="J331" s="530" t="s">
        <v>6241</v>
      </c>
      <c r="K331" s="530" t="s">
        <v>6211</v>
      </c>
      <c r="L331" s="530" t="s">
        <v>6218</v>
      </c>
      <c r="M331" s="228" t="s">
        <v>6303</v>
      </c>
      <c r="N331" s="530">
        <v>1</v>
      </c>
    </row>
    <row r="332" spans="1:14" ht="28.5">
      <c r="A332" s="257" t="s">
        <v>4899</v>
      </c>
      <c r="B332" s="531" t="s">
        <v>566</v>
      </c>
      <c r="C332" s="257" t="s">
        <v>4901</v>
      </c>
      <c r="D332" s="530" t="s">
        <v>6214</v>
      </c>
      <c r="E332" s="530" t="s">
        <v>69</v>
      </c>
      <c r="F332" s="530">
        <v>20</v>
      </c>
      <c r="G332" s="530" t="s">
        <v>41</v>
      </c>
      <c r="H332" s="530">
        <v>5</v>
      </c>
      <c r="I332" s="530"/>
      <c r="J332" s="530" t="s">
        <v>6210</v>
      </c>
      <c r="K332" s="530" t="s">
        <v>6211</v>
      </c>
      <c r="L332" s="530" t="s">
        <v>6212</v>
      </c>
      <c r="M332" s="228" t="s">
        <v>6304</v>
      </c>
      <c r="N332" s="530">
        <v>1</v>
      </c>
    </row>
    <row r="333" spans="1:14" ht="28.5">
      <c r="A333" s="257" t="s">
        <v>4899</v>
      </c>
      <c r="B333" s="531" t="s">
        <v>566</v>
      </c>
      <c r="C333" s="257" t="s">
        <v>4901</v>
      </c>
      <c r="D333" s="530" t="s">
        <v>6214</v>
      </c>
      <c r="E333" s="530" t="s">
        <v>63</v>
      </c>
      <c r="F333" s="530">
        <v>30</v>
      </c>
      <c r="G333" s="530" t="s">
        <v>41</v>
      </c>
      <c r="H333" s="530">
        <v>5</v>
      </c>
      <c r="I333" s="530"/>
      <c r="J333" s="530" t="s">
        <v>6210</v>
      </c>
      <c r="K333" s="530" t="s">
        <v>6211</v>
      </c>
      <c r="L333" s="530" t="s">
        <v>6212</v>
      </c>
      <c r="M333" s="228" t="s">
        <v>6305</v>
      </c>
      <c r="N333" s="530">
        <v>1</v>
      </c>
    </row>
    <row r="334" spans="1:14" ht="28.5">
      <c r="A334" s="257" t="s">
        <v>4899</v>
      </c>
      <c r="B334" s="531" t="s">
        <v>566</v>
      </c>
      <c r="C334" s="257" t="s">
        <v>4901</v>
      </c>
      <c r="D334" s="530" t="s">
        <v>6214</v>
      </c>
      <c r="E334" s="530" t="s">
        <v>66</v>
      </c>
      <c r="F334" s="530">
        <v>80</v>
      </c>
      <c r="G334" s="530" t="s">
        <v>41</v>
      </c>
      <c r="H334" s="530">
        <v>5</v>
      </c>
      <c r="I334" s="530"/>
      <c r="J334" s="530" t="s">
        <v>6241</v>
      </c>
      <c r="K334" s="530" t="s">
        <v>6211</v>
      </c>
      <c r="L334" s="530" t="s">
        <v>6218</v>
      </c>
      <c r="M334" s="228" t="s">
        <v>6306</v>
      </c>
      <c r="N334" s="530">
        <v>1</v>
      </c>
    </row>
    <row r="335" spans="1:14" ht="28.5">
      <c r="A335" s="257" t="s">
        <v>4899</v>
      </c>
      <c r="B335" s="531" t="s">
        <v>566</v>
      </c>
      <c r="C335" s="257" t="s">
        <v>4901</v>
      </c>
      <c r="D335" s="530" t="s">
        <v>6214</v>
      </c>
      <c r="E335" s="530" t="s">
        <v>72</v>
      </c>
      <c r="F335" s="530">
        <v>90</v>
      </c>
      <c r="G335" s="530" t="s">
        <v>41</v>
      </c>
      <c r="H335" s="530">
        <v>5</v>
      </c>
      <c r="I335" s="530"/>
      <c r="J335" s="530" t="s">
        <v>6241</v>
      </c>
      <c r="K335" s="530" t="s">
        <v>6211</v>
      </c>
      <c r="L335" s="530" t="s">
        <v>6218</v>
      </c>
      <c r="M335" s="228" t="s">
        <v>6306</v>
      </c>
      <c r="N335" s="530">
        <v>1</v>
      </c>
    </row>
    <row r="336" spans="1:14" ht="28.5">
      <c r="A336" s="257" t="s">
        <v>565</v>
      </c>
      <c r="B336" s="531" t="s">
        <v>566</v>
      </c>
      <c r="C336" s="257" t="s">
        <v>568</v>
      </c>
      <c r="D336" s="530" t="s">
        <v>6214</v>
      </c>
      <c r="E336" s="530" t="s">
        <v>69</v>
      </c>
      <c r="F336" s="739">
        <v>50</v>
      </c>
      <c r="G336" s="530" t="s">
        <v>135</v>
      </c>
      <c r="H336" s="530">
        <v>5</v>
      </c>
      <c r="I336" s="530" t="s">
        <v>569</v>
      </c>
      <c r="J336" s="530" t="s">
        <v>6210</v>
      </c>
      <c r="K336" s="530" t="s">
        <v>6231</v>
      </c>
      <c r="L336" s="530" t="s">
        <v>6232</v>
      </c>
      <c r="M336" s="228" t="s">
        <v>6295</v>
      </c>
      <c r="N336" s="530" t="s">
        <v>184</v>
      </c>
    </row>
    <row r="337" spans="1:14" ht="28.5">
      <c r="A337" s="257" t="s">
        <v>565</v>
      </c>
      <c r="B337" s="531" t="s">
        <v>566</v>
      </c>
      <c r="C337" s="257" t="s">
        <v>568</v>
      </c>
      <c r="D337" s="530" t="s">
        <v>6214</v>
      </c>
      <c r="E337" s="530" t="s">
        <v>63</v>
      </c>
      <c r="F337" s="739">
        <v>90</v>
      </c>
      <c r="G337" s="530" t="s">
        <v>135</v>
      </c>
      <c r="H337" s="530">
        <v>5</v>
      </c>
      <c r="I337" s="530" t="s">
        <v>569</v>
      </c>
      <c r="J337" s="530" t="s">
        <v>6210</v>
      </c>
      <c r="K337" s="530" t="s">
        <v>6211</v>
      </c>
      <c r="L337" s="530" t="s">
        <v>6212</v>
      </c>
      <c r="M337" s="228" t="s">
        <v>6307</v>
      </c>
      <c r="N337" s="530" t="s">
        <v>184</v>
      </c>
    </row>
    <row r="338" spans="1:14" ht="28.5">
      <c r="A338" s="257" t="s">
        <v>565</v>
      </c>
      <c r="B338" s="531" t="s">
        <v>566</v>
      </c>
      <c r="C338" s="257" t="s">
        <v>568</v>
      </c>
      <c r="D338" s="530" t="s">
        <v>6214</v>
      </c>
      <c r="E338" s="530" t="s">
        <v>66</v>
      </c>
      <c r="F338" s="530">
        <v>380</v>
      </c>
      <c r="G338" s="530" t="s">
        <v>135</v>
      </c>
      <c r="H338" s="530">
        <v>5</v>
      </c>
      <c r="I338" s="530" t="s">
        <v>569</v>
      </c>
      <c r="J338" s="530" t="s">
        <v>6216</v>
      </c>
      <c r="K338" s="530" t="s">
        <v>6217</v>
      </c>
      <c r="L338" s="530" t="s">
        <v>6218</v>
      </c>
      <c r="M338" s="228" t="s">
        <v>6307</v>
      </c>
      <c r="N338" s="530" t="s">
        <v>184</v>
      </c>
    </row>
    <row r="339" spans="1:14" ht="28.5">
      <c r="A339" s="257" t="s">
        <v>571</v>
      </c>
      <c r="B339" s="531" t="s">
        <v>566</v>
      </c>
      <c r="C339" s="257" t="s">
        <v>573</v>
      </c>
      <c r="D339" s="530" t="s">
        <v>6214</v>
      </c>
      <c r="E339" s="530" t="s">
        <v>72</v>
      </c>
      <c r="F339" s="530">
        <v>40</v>
      </c>
      <c r="G339" s="530" t="s">
        <v>574</v>
      </c>
      <c r="H339" s="530">
        <v>5</v>
      </c>
      <c r="I339" s="530" t="s">
        <v>575</v>
      </c>
      <c r="J339" s="530" t="s">
        <v>6210</v>
      </c>
      <c r="K339" s="530" t="s">
        <v>6220</v>
      </c>
      <c r="L339" s="530" t="s">
        <v>6221</v>
      </c>
      <c r="M339" s="228" t="s">
        <v>6308</v>
      </c>
      <c r="N339" s="530">
        <v>1</v>
      </c>
    </row>
    <row r="340" spans="1:14" ht="28.5">
      <c r="A340" s="257" t="s">
        <v>571</v>
      </c>
      <c r="B340" s="531" t="s">
        <v>566</v>
      </c>
      <c r="C340" s="257" t="s">
        <v>573</v>
      </c>
      <c r="D340" s="530" t="s">
        <v>6214</v>
      </c>
      <c r="E340" s="530" t="s">
        <v>66</v>
      </c>
      <c r="F340" s="530">
        <v>35</v>
      </c>
      <c r="G340" s="530" t="s">
        <v>574</v>
      </c>
      <c r="H340" s="530">
        <v>5</v>
      </c>
      <c r="I340" s="530" t="s">
        <v>575</v>
      </c>
      <c r="J340" s="530" t="s">
        <v>6210</v>
      </c>
      <c r="K340" s="530" t="s">
        <v>6211</v>
      </c>
      <c r="L340" s="530" t="s">
        <v>6212</v>
      </c>
      <c r="M340" s="228" t="s">
        <v>6308</v>
      </c>
      <c r="N340" s="530">
        <v>1</v>
      </c>
    </row>
    <row r="341" spans="1:14" ht="28.5">
      <c r="A341" s="257" t="s">
        <v>4905</v>
      </c>
      <c r="B341" s="531" t="s">
        <v>566</v>
      </c>
      <c r="C341" s="257" t="s">
        <v>4907</v>
      </c>
      <c r="D341" s="530" t="s">
        <v>6214</v>
      </c>
      <c r="E341" s="530" t="s">
        <v>69</v>
      </c>
      <c r="F341" s="530">
        <v>400</v>
      </c>
      <c r="G341" s="530" t="s">
        <v>6215</v>
      </c>
      <c r="H341" s="530">
        <v>5</v>
      </c>
      <c r="I341" s="530" t="s">
        <v>4908</v>
      </c>
      <c r="J341" s="530" t="s">
        <v>6216</v>
      </c>
      <c r="K341" s="530" t="s">
        <v>6231</v>
      </c>
      <c r="L341" s="530" t="s">
        <v>6232</v>
      </c>
      <c r="M341" s="228" t="s">
        <v>6295</v>
      </c>
      <c r="N341" s="530" t="s">
        <v>184</v>
      </c>
    </row>
    <row r="342" spans="1:14" ht="28.5">
      <c r="A342" s="257" t="s">
        <v>4905</v>
      </c>
      <c r="B342" s="531" t="s">
        <v>566</v>
      </c>
      <c r="C342" s="257" t="s">
        <v>4907</v>
      </c>
      <c r="D342" s="530" t="s">
        <v>6214</v>
      </c>
      <c r="E342" s="530" t="s">
        <v>63</v>
      </c>
      <c r="F342" s="530">
        <v>1950</v>
      </c>
      <c r="G342" s="530" t="s">
        <v>6215</v>
      </c>
      <c r="H342" s="530">
        <v>5</v>
      </c>
      <c r="I342" s="530" t="s">
        <v>4908</v>
      </c>
      <c r="J342" s="530" t="s">
        <v>6210</v>
      </c>
      <c r="K342" s="530" t="s">
        <v>6211</v>
      </c>
      <c r="L342" s="530" t="s">
        <v>6212</v>
      </c>
      <c r="M342" s="228" t="s">
        <v>6307</v>
      </c>
      <c r="N342" s="530">
        <v>0</v>
      </c>
    </row>
    <row r="343" spans="1:14" ht="28.5">
      <c r="A343" s="257" t="s">
        <v>4905</v>
      </c>
      <c r="B343" s="531" t="s">
        <v>566</v>
      </c>
      <c r="C343" s="257" t="s">
        <v>4907</v>
      </c>
      <c r="D343" s="530" t="s">
        <v>6214</v>
      </c>
      <c r="E343" s="530" t="s">
        <v>66</v>
      </c>
      <c r="F343" s="530">
        <v>2050</v>
      </c>
      <c r="G343" s="530" t="s">
        <v>6215</v>
      </c>
      <c r="H343" s="530">
        <v>5</v>
      </c>
      <c r="I343" s="530" t="s">
        <v>4908</v>
      </c>
      <c r="J343" s="530" t="s">
        <v>6216</v>
      </c>
      <c r="K343" s="530" t="s">
        <v>6217</v>
      </c>
      <c r="L343" s="530" t="s">
        <v>6218</v>
      </c>
      <c r="M343" s="228" t="s">
        <v>6307</v>
      </c>
      <c r="N343" s="530">
        <v>0</v>
      </c>
    </row>
    <row r="344" spans="1:14" ht="28.5">
      <c r="A344" s="257" t="s">
        <v>3503</v>
      </c>
      <c r="B344" s="531" t="s">
        <v>566</v>
      </c>
      <c r="C344" s="257" t="s">
        <v>3505</v>
      </c>
      <c r="D344" s="530" t="s">
        <v>6209</v>
      </c>
      <c r="E344" s="530" t="s">
        <v>2095</v>
      </c>
      <c r="F344" s="530"/>
      <c r="G344" s="530"/>
      <c r="H344" s="742">
        <v>3</v>
      </c>
      <c r="I344" s="530"/>
      <c r="J344" s="530" t="s">
        <v>6241</v>
      </c>
      <c r="K344" s="530" t="s">
        <v>6217</v>
      </c>
      <c r="L344" s="530" t="s">
        <v>6218</v>
      </c>
      <c r="M344" s="228" t="s">
        <v>6242</v>
      </c>
      <c r="N344" s="742">
        <v>2</v>
      </c>
    </row>
    <row r="345" spans="1:14" ht="28.5">
      <c r="A345" s="257" t="s">
        <v>4683</v>
      </c>
      <c r="B345" s="531" t="s">
        <v>584</v>
      </c>
      <c r="C345" s="257" t="s">
        <v>4923</v>
      </c>
      <c r="D345" s="530" t="s">
        <v>6214</v>
      </c>
      <c r="E345" s="530" t="s">
        <v>66</v>
      </c>
      <c r="F345" s="13" t="s">
        <v>4921</v>
      </c>
      <c r="G345" s="530" t="s">
        <v>778</v>
      </c>
      <c r="H345" s="530">
        <v>5</v>
      </c>
      <c r="I345" s="530"/>
      <c r="J345" s="530" t="s">
        <v>6210</v>
      </c>
      <c r="K345" s="530" t="s">
        <v>6211</v>
      </c>
      <c r="L345" s="530" t="s">
        <v>6212</v>
      </c>
      <c r="M345" s="228" t="s">
        <v>6309</v>
      </c>
      <c r="N345" s="530" t="s">
        <v>138</v>
      </c>
    </row>
    <row r="346" spans="1:14" ht="28.5">
      <c r="A346" s="257" t="s">
        <v>4683</v>
      </c>
      <c r="B346" s="531" t="s">
        <v>584</v>
      </c>
      <c r="C346" s="257" t="s">
        <v>4923</v>
      </c>
      <c r="D346" s="530" t="s">
        <v>6214</v>
      </c>
      <c r="E346" s="530" t="s">
        <v>63</v>
      </c>
      <c r="F346" s="530" t="s">
        <v>4921</v>
      </c>
      <c r="G346" s="530" t="s">
        <v>778</v>
      </c>
      <c r="H346" s="530">
        <v>5</v>
      </c>
      <c r="I346" s="530"/>
      <c r="J346" s="530" t="s">
        <v>6216</v>
      </c>
      <c r="K346" s="530" t="s">
        <v>6211</v>
      </c>
      <c r="L346" s="530" t="s">
        <v>6218</v>
      </c>
      <c r="M346" s="228" t="s">
        <v>6310</v>
      </c>
      <c r="N346" s="530" t="s">
        <v>138</v>
      </c>
    </row>
    <row r="347" spans="1:14" ht="28.5">
      <c r="A347" s="257" t="s">
        <v>4683</v>
      </c>
      <c r="B347" s="531" t="s">
        <v>584</v>
      </c>
      <c r="C347" s="257" t="s">
        <v>4923</v>
      </c>
      <c r="D347" s="530" t="s">
        <v>6214</v>
      </c>
      <c r="E347" s="530" t="s">
        <v>72</v>
      </c>
      <c r="F347" s="530">
        <v>700</v>
      </c>
      <c r="G347" s="530" t="s">
        <v>778</v>
      </c>
      <c r="H347" s="530">
        <v>5</v>
      </c>
      <c r="I347" s="530"/>
      <c r="J347" s="530" t="s">
        <v>6210</v>
      </c>
      <c r="K347" s="530" t="s">
        <v>6231</v>
      </c>
      <c r="L347" s="530" t="s">
        <v>6232</v>
      </c>
      <c r="M347" s="228" t="s">
        <v>6309</v>
      </c>
      <c r="N347" s="530" t="s">
        <v>184</v>
      </c>
    </row>
    <row r="348" spans="1:14" ht="28.5">
      <c r="A348" s="257" t="s">
        <v>583</v>
      </c>
      <c r="B348" s="531" t="s">
        <v>584</v>
      </c>
      <c r="C348" s="257" t="s">
        <v>586</v>
      </c>
      <c r="D348" s="530" t="s">
        <v>6214</v>
      </c>
      <c r="E348" s="530" t="s">
        <v>63</v>
      </c>
      <c r="F348" s="530">
        <v>80</v>
      </c>
      <c r="G348" s="530" t="s">
        <v>143</v>
      </c>
      <c r="H348" s="530">
        <v>5</v>
      </c>
      <c r="I348" s="530" t="s">
        <v>587</v>
      </c>
      <c r="J348" s="530" t="s">
        <v>6210</v>
      </c>
      <c r="K348" s="530" t="s">
        <v>6211</v>
      </c>
      <c r="L348" s="530" t="s">
        <v>6212</v>
      </c>
      <c r="M348" s="228" t="s">
        <v>6307</v>
      </c>
      <c r="N348" s="530" t="s">
        <v>184</v>
      </c>
    </row>
    <row r="349" spans="1:14" ht="28.5">
      <c r="A349" s="257" t="s">
        <v>583</v>
      </c>
      <c r="B349" s="531" t="s">
        <v>584</v>
      </c>
      <c r="C349" s="257" t="s">
        <v>586</v>
      </c>
      <c r="D349" s="530" t="s">
        <v>6214</v>
      </c>
      <c r="E349" s="530" t="s">
        <v>66</v>
      </c>
      <c r="F349" s="530">
        <v>200</v>
      </c>
      <c r="G349" s="530" t="s">
        <v>143</v>
      </c>
      <c r="H349" s="530">
        <v>5</v>
      </c>
      <c r="I349" s="530" t="s">
        <v>587</v>
      </c>
      <c r="J349" s="530" t="s">
        <v>6216</v>
      </c>
      <c r="K349" s="530" t="s">
        <v>6211</v>
      </c>
      <c r="L349" s="530" t="s">
        <v>6218</v>
      </c>
      <c r="M349" s="228" t="s">
        <v>6307</v>
      </c>
      <c r="N349" s="530" t="s">
        <v>184</v>
      </c>
    </row>
    <row r="350" spans="1:14" ht="42.75">
      <c r="A350" s="257" t="s">
        <v>583</v>
      </c>
      <c r="B350" s="531" t="s">
        <v>584</v>
      </c>
      <c r="C350" s="257" t="s">
        <v>586</v>
      </c>
      <c r="D350" s="530" t="s">
        <v>6214</v>
      </c>
      <c r="E350" s="530" t="s">
        <v>72</v>
      </c>
      <c r="F350" s="530">
        <v>250</v>
      </c>
      <c r="G350" s="530" t="s">
        <v>143</v>
      </c>
      <c r="H350" s="530">
        <v>5</v>
      </c>
      <c r="I350" s="530" t="s">
        <v>587</v>
      </c>
      <c r="J350" s="530" t="s">
        <v>6210</v>
      </c>
      <c r="K350" s="530" t="s">
        <v>6220</v>
      </c>
      <c r="L350" s="530" t="s">
        <v>6221</v>
      </c>
      <c r="M350" s="228" t="s">
        <v>6311</v>
      </c>
      <c r="N350" s="530" t="s">
        <v>184</v>
      </c>
    </row>
    <row r="351" spans="1:14" ht="28.5">
      <c r="A351" s="257" t="s">
        <v>583</v>
      </c>
      <c r="B351" s="531" t="s">
        <v>584</v>
      </c>
      <c r="C351" s="257" t="s">
        <v>586</v>
      </c>
      <c r="D351" s="530" t="s">
        <v>6214</v>
      </c>
      <c r="E351" s="530" t="s">
        <v>69</v>
      </c>
      <c r="F351" s="530">
        <v>50</v>
      </c>
      <c r="G351" s="530" t="s">
        <v>143</v>
      </c>
      <c r="H351" s="530">
        <v>5</v>
      </c>
      <c r="I351" s="530" t="s">
        <v>587</v>
      </c>
      <c r="J351" s="530" t="s">
        <v>6210</v>
      </c>
      <c r="K351" s="530" t="s">
        <v>6231</v>
      </c>
      <c r="L351" s="530" t="s">
        <v>6232</v>
      </c>
      <c r="M351" s="228" t="s">
        <v>6312</v>
      </c>
      <c r="N351" s="530" t="s">
        <v>184</v>
      </c>
    </row>
    <row r="352" spans="1:14" ht="42.75">
      <c r="A352" s="257" t="s">
        <v>590</v>
      </c>
      <c r="B352" s="531" t="s">
        <v>584</v>
      </c>
      <c r="C352" s="257" t="s">
        <v>592</v>
      </c>
      <c r="D352" s="530" t="s">
        <v>6214</v>
      </c>
      <c r="E352" s="530" t="s">
        <v>63</v>
      </c>
      <c r="F352" s="530">
        <v>-30</v>
      </c>
      <c r="G352" s="530" t="s">
        <v>143</v>
      </c>
      <c r="H352" s="530">
        <v>5</v>
      </c>
      <c r="I352" s="530" t="s">
        <v>587</v>
      </c>
      <c r="J352" s="530" t="s">
        <v>6216</v>
      </c>
      <c r="K352" s="530" t="s">
        <v>6211</v>
      </c>
      <c r="L352" s="530" t="s">
        <v>6218</v>
      </c>
      <c r="M352" s="228" t="s">
        <v>6313</v>
      </c>
      <c r="N352" s="530" t="s">
        <v>138</v>
      </c>
    </row>
    <row r="353" spans="1:14" ht="42.75">
      <c r="A353" s="257" t="s">
        <v>590</v>
      </c>
      <c r="B353" s="531" t="s">
        <v>584</v>
      </c>
      <c r="C353" s="257" t="s">
        <v>592</v>
      </c>
      <c r="D353" s="530" t="s">
        <v>6214</v>
      </c>
      <c r="E353" s="530" t="s">
        <v>66</v>
      </c>
      <c r="F353" s="530">
        <v>-10</v>
      </c>
      <c r="G353" s="530" t="s">
        <v>143</v>
      </c>
      <c r="H353" s="530">
        <v>5</v>
      </c>
      <c r="I353" s="530" t="s">
        <v>587</v>
      </c>
      <c r="J353" s="530" t="s">
        <v>6216</v>
      </c>
      <c r="K353" s="530" t="s">
        <v>6211</v>
      </c>
      <c r="L353" s="530" t="s">
        <v>6218</v>
      </c>
      <c r="M353" s="228" t="s">
        <v>6314</v>
      </c>
      <c r="N353" s="530" t="s">
        <v>138</v>
      </c>
    </row>
    <row r="354" spans="1:14" ht="42.75">
      <c r="A354" s="257" t="s">
        <v>4687</v>
      </c>
      <c r="B354" s="531" t="s">
        <v>584</v>
      </c>
      <c r="C354" s="257" t="s">
        <v>4919</v>
      </c>
      <c r="D354" s="530" t="s">
        <v>6214</v>
      </c>
      <c r="E354" s="530" t="s">
        <v>63</v>
      </c>
      <c r="F354" s="13" t="s">
        <v>4921</v>
      </c>
      <c r="G354" s="530" t="s">
        <v>6315</v>
      </c>
      <c r="H354" s="530">
        <v>5</v>
      </c>
      <c r="I354" s="530" t="s">
        <v>4915</v>
      </c>
      <c r="J354" s="530" t="s">
        <v>6216</v>
      </c>
      <c r="K354" s="530" t="s">
        <v>6220</v>
      </c>
      <c r="L354" s="530" t="s">
        <v>6212</v>
      </c>
      <c r="M354" s="228" t="s">
        <v>6316</v>
      </c>
      <c r="N354" s="530">
        <v>0</v>
      </c>
    </row>
    <row r="355" spans="1:14" ht="28.5" customHeight="1">
      <c r="A355" s="257" t="s">
        <v>4687</v>
      </c>
      <c r="B355" s="531" t="s">
        <v>584</v>
      </c>
      <c r="C355" s="257" t="s">
        <v>4919</v>
      </c>
      <c r="D355" s="530" t="s">
        <v>6214</v>
      </c>
      <c r="E355" s="530" t="s">
        <v>69</v>
      </c>
      <c r="F355" s="13">
        <v>200</v>
      </c>
      <c r="G355" s="530" t="s">
        <v>6315</v>
      </c>
      <c r="H355" s="530">
        <v>5</v>
      </c>
      <c r="I355" s="530" t="s">
        <v>4915</v>
      </c>
      <c r="J355" s="530" t="s">
        <v>6216</v>
      </c>
      <c r="K355" s="530" t="s">
        <v>6211</v>
      </c>
      <c r="L355" s="530" t="s">
        <v>6218</v>
      </c>
      <c r="M355" s="228" t="s">
        <v>6316</v>
      </c>
      <c r="N355" s="530">
        <v>0</v>
      </c>
    </row>
    <row r="356" spans="1:14" ht="28.5" customHeight="1">
      <c r="A356" s="257" t="s">
        <v>4687</v>
      </c>
      <c r="B356" s="531" t="s">
        <v>584</v>
      </c>
      <c r="C356" s="257" t="s">
        <v>4919</v>
      </c>
      <c r="D356" s="530" t="s">
        <v>6214</v>
      </c>
      <c r="E356" s="530" t="s">
        <v>66</v>
      </c>
      <c r="F356" s="13" t="s">
        <v>4921</v>
      </c>
      <c r="G356" s="530" t="s">
        <v>6315</v>
      </c>
      <c r="H356" s="530">
        <v>5</v>
      </c>
      <c r="I356" s="530" t="s">
        <v>4915</v>
      </c>
      <c r="J356" s="530" t="s">
        <v>6216</v>
      </c>
      <c r="K356" s="530" t="s">
        <v>6211</v>
      </c>
      <c r="L356" s="530" t="s">
        <v>6218</v>
      </c>
      <c r="M356" s="228" t="s">
        <v>6316</v>
      </c>
      <c r="N356" s="530" t="s">
        <v>184</v>
      </c>
    </row>
    <row r="357" spans="1:14" ht="28.5" customHeight="1">
      <c r="A357" s="257" t="s">
        <v>4691</v>
      </c>
      <c r="B357" s="531" t="s">
        <v>584</v>
      </c>
      <c r="C357" s="257" t="s">
        <v>4914</v>
      </c>
      <c r="D357" s="530" t="s">
        <v>6214</v>
      </c>
      <c r="E357" s="530" t="s">
        <v>69</v>
      </c>
      <c r="F357" s="530">
        <v>5</v>
      </c>
      <c r="G357" s="530" t="s">
        <v>6215</v>
      </c>
      <c r="H357" s="530">
        <v>5</v>
      </c>
      <c r="I357" s="530" t="s">
        <v>4915</v>
      </c>
      <c r="J357" s="530" t="s">
        <v>6216</v>
      </c>
      <c r="K357" s="530" t="s">
        <v>6231</v>
      </c>
      <c r="L357" s="530" t="s">
        <v>6232</v>
      </c>
      <c r="M357" s="228" t="s">
        <v>6317</v>
      </c>
      <c r="N357" s="530" t="s">
        <v>138</v>
      </c>
    </row>
    <row r="358" spans="1:14" ht="28.5" customHeight="1">
      <c r="A358" s="257" t="s">
        <v>4691</v>
      </c>
      <c r="B358" s="531" t="s">
        <v>584</v>
      </c>
      <c r="C358" s="257" t="s">
        <v>4914</v>
      </c>
      <c r="D358" s="530" t="s">
        <v>6214</v>
      </c>
      <c r="E358" s="530" t="s">
        <v>63</v>
      </c>
      <c r="F358" s="530">
        <v>106</v>
      </c>
      <c r="G358" s="530" t="s">
        <v>6215</v>
      </c>
      <c r="H358" s="530">
        <v>5</v>
      </c>
      <c r="I358" s="530" t="s">
        <v>4915</v>
      </c>
      <c r="J358" s="530" t="s">
        <v>6216</v>
      </c>
      <c r="K358" s="530" t="s">
        <v>6211</v>
      </c>
      <c r="L358" s="530" t="s">
        <v>6218</v>
      </c>
      <c r="M358" s="228" t="s">
        <v>6318</v>
      </c>
      <c r="N358" s="530" t="s">
        <v>138</v>
      </c>
    </row>
    <row r="359" spans="1:14" ht="28.5" customHeight="1">
      <c r="A359" s="257" t="s">
        <v>4691</v>
      </c>
      <c r="B359" s="531" t="s">
        <v>584</v>
      </c>
      <c r="C359" s="257" t="s">
        <v>4914</v>
      </c>
      <c r="D359" s="530" t="s">
        <v>6214</v>
      </c>
      <c r="E359" s="530" t="s">
        <v>66</v>
      </c>
      <c r="F359" s="530">
        <v>350</v>
      </c>
      <c r="G359" s="530" t="s">
        <v>6215</v>
      </c>
      <c r="H359" s="530">
        <v>5</v>
      </c>
      <c r="I359" s="530" t="s">
        <v>4915</v>
      </c>
      <c r="J359" s="530" t="s">
        <v>6216</v>
      </c>
      <c r="K359" s="530" t="s">
        <v>6211</v>
      </c>
      <c r="L359" s="530" t="s">
        <v>6218</v>
      </c>
      <c r="M359" s="228" t="s">
        <v>6319</v>
      </c>
      <c r="N359" s="530" t="s">
        <v>138</v>
      </c>
    </row>
    <row r="360" spans="1:14" ht="28.5" customHeight="1">
      <c r="A360" s="257" t="s">
        <v>4698</v>
      </c>
      <c r="B360" s="531" t="s">
        <v>596</v>
      </c>
      <c r="C360" s="530" t="s">
        <v>4927</v>
      </c>
      <c r="D360" s="530" t="s">
        <v>6214</v>
      </c>
      <c r="E360" s="530" t="s">
        <v>69</v>
      </c>
      <c r="F360" s="530">
        <v>20</v>
      </c>
      <c r="G360" s="530" t="s">
        <v>41</v>
      </c>
      <c r="H360" s="530">
        <v>5</v>
      </c>
      <c r="I360" s="530"/>
      <c r="J360" s="530" t="s">
        <v>6210</v>
      </c>
      <c r="K360" s="530" t="s">
        <v>6211</v>
      </c>
      <c r="L360" s="530" t="s">
        <v>6212</v>
      </c>
      <c r="M360" s="228" t="s">
        <v>6320</v>
      </c>
      <c r="N360" s="530">
        <v>1</v>
      </c>
    </row>
    <row r="361" spans="1:14" ht="28.5" customHeight="1">
      <c r="A361" s="257" t="s">
        <v>4698</v>
      </c>
      <c r="B361" s="531" t="s">
        <v>596</v>
      </c>
      <c r="C361" s="530" t="s">
        <v>4927</v>
      </c>
      <c r="D361" s="530" t="s">
        <v>6214</v>
      </c>
      <c r="E361" s="530" t="s">
        <v>63</v>
      </c>
      <c r="F361" s="530">
        <v>30</v>
      </c>
      <c r="G361" s="530" t="s">
        <v>41</v>
      </c>
      <c r="H361" s="530">
        <v>5</v>
      </c>
      <c r="I361" s="530"/>
      <c r="J361" s="530" t="s">
        <v>6210</v>
      </c>
      <c r="K361" s="530" t="s">
        <v>6211</v>
      </c>
      <c r="L361" s="530" t="s">
        <v>6212</v>
      </c>
      <c r="M361" s="228" t="s">
        <v>6321</v>
      </c>
      <c r="N361" s="530">
        <v>1</v>
      </c>
    </row>
    <row r="362" spans="1:14" ht="28.5" customHeight="1">
      <c r="A362" s="257" t="s">
        <v>4698</v>
      </c>
      <c r="B362" s="531" t="s">
        <v>596</v>
      </c>
      <c r="C362" s="530" t="s">
        <v>4927</v>
      </c>
      <c r="D362" s="530" t="s">
        <v>6214</v>
      </c>
      <c r="E362" s="530" t="s">
        <v>66</v>
      </c>
      <c r="F362" s="530">
        <v>80</v>
      </c>
      <c r="G362" s="530" t="s">
        <v>41</v>
      </c>
      <c r="H362" s="530">
        <v>5</v>
      </c>
      <c r="I362" s="530"/>
      <c r="J362" s="530" t="s">
        <v>6241</v>
      </c>
      <c r="K362" s="530" t="s">
        <v>6211</v>
      </c>
      <c r="L362" s="530" t="s">
        <v>6218</v>
      </c>
      <c r="M362" s="228" t="s">
        <v>6322</v>
      </c>
      <c r="N362" s="530">
        <v>1</v>
      </c>
    </row>
    <row r="363" spans="1:14" ht="28.5" customHeight="1">
      <c r="A363" s="257" t="s">
        <v>4698</v>
      </c>
      <c r="B363" s="531" t="s">
        <v>596</v>
      </c>
      <c r="C363" s="530" t="s">
        <v>4927</v>
      </c>
      <c r="D363" s="530" t="s">
        <v>6214</v>
      </c>
      <c r="E363" s="530" t="s">
        <v>72</v>
      </c>
      <c r="F363" s="530">
        <v>90</v>
      </c>
      <c r="G363" s="530" t="s">
        <v>41</v>
      </c>
      <c r="H363" s="530">
        <v>5</v>
      </c>
      <c r="I363" s="530"/>
      <c r="J363" s="530" t="s">
        <v>6241</v>
      </c>
      <c r="K363" s="530" t="s">
        <v>6211</v>
      </c>
      <c r="L363" s="530" t="s">
        <v>6218</v>
      </c>
      <c r="M363" s="228" t="s">
        <v>6322</v>
      </c>
      <c r="N363" s="530">
        <v>1</v>
      </c>
    </row>
    <row r="364" spans="1:14" ht="28.5" customHeight="1">
      <c r="A364" s="257" t="s">
        <v>4702</v>
      </c>
      <c r="B364" s="531" t="s">
        <v>596</v>
      </c>
      <c r="C364" s="257" t="s">
        <v>4945</v>
      </c>
      <c r="D364" s="530" t="s">
        <v>6214</v>
      </c>
      <c r="E364" s="530" t="s">
        <v>69</v>
      </c>
      <c r="F364" s="530">
        <v>20</v>
      </c>
      <c r="G364" s="530" t="s">
        <v>41</v>
      </c>
      <c r="H364" s="530">
        <v>5</v>
      </c>
      <c r="I364" s="530"/>
      <c r="J364" s="530" t="s">
        <v>6210</v>
      </c>
      <c r="K364" s="530" t="s">
        <v>6211</v>
      </c>
      <c r="L364" s="530" t="s">
        <v>6212</v>
      </c>
      <c r="M364" s="228" t="s">
        <v>6323</v>
      </c>
      <c r="N364" s="530">
        <v>1</v>
      </c>
    </row>
    <row r="365" spans="1:14" ht="28.5" customHeight="1">
      <c r="A365" s="257" t="s">
        <v>4702</v>
      </c>
      <c r="B365" s="531" t="s">
        <v>596</v>
      </c>
      <c r="C365" s="257" t="s">
        <v>4945</v>
      </c>
      <c r="D365" s="530" t="s">
        <v>6214</v>
      </c>
      <c r="E365" s="530" t="s">
        <v>63</v>
      </c>
      <c r="F365" s="530">
        <v>30</v>
      </c>
      <c r="G365" s="530" t="s">
        <v>41</v>
      </c>
      <c r="H365" s="530">
        <v>5</v>
      </c>
      <c r="I365" s="530"/>
      <c r="J365" s="530" t="s">
        <v>6210</v>
      </c>
      <c r="K365" s="530" t="s">
        <v>6211</v>
      </c>
      <c r="L365" s="530" t="s">
        <v>6212</v>
      </c>
      <c r="M365" s="228" t="s">
        <v>6324</v>
      </c>
      <c r="N365" s="530">
        <v>1</v>
      </c>
    </row>
    <row r="366" spans="1:14" ht="28.5" customHeight="1">
      <c r="A366" s="257" t="s">
        <v>4702</v>
      </c>
      <c r="B366" s="531" t="s">
        <v>596</v>
      </c>
      <c r="C366" s="257" t="s">
        <v>4945</v>
      </c>
      <c r="D366" s="530" t="s">
        <v>6214</v>
      </c>
      <c r="E366" s="530" t="s">
        <v>66</v>
      </c>
      <c r="F366" s="530">
        <v>80</v>
      </c>
      <c r="G366" s="530" t="s">
        <v>41</v>
      </c>
      <c r="H366" s="530">
        <v>5</v>
      </c>
      <c r="I366" s="530"/>
      <c r="J366" s="530" t="s">
        <v>6241</v>
      </c>
      <c r="K366" s="530" t="s">
        <v>6211</v>
      </c>
      <c r="L366" s="530" t="s">
        <v>6218</v>
      </c>
      <c r="M366" s="228" t="s">
        <v>6325</v>
      </c>
      <c r="N366" s="530">
        <v>1</v>
      </c>
    </row>
    <row r="367" spans="1:14" ht="28.5" customHeight="1">
      <c r="A367" s="257" t="s">
        <v>4702</v>
      </c>
      <c r="B367" s="531" t="s">
        <v>596</v>
      </c>
      <c r="C367" s="257" t="s">
        <v>4945</v>
      </c>
      <c r="D367" s="530" t="s">
        <v>6214</v>
      </c>
      <c r="E367" s="530" t="s">
        <v>72</v>
      </c>
      <c r="F367" s="530">
        <v>90</v>
      </c>
      <c r="G367" s="530" t="s">
        <v>41</v>
      </c>
      <c r="H367" s="530">
        <v>5</v>
      </c>
      <c r="I367" s="530"/>
      <c r="J367" s="530" t="s">
        <v>6241</v>
      </c>
      <c r="K367" s="530" t="s">
        <v>6211</v>
      </c>
      <c r="L367" s="530" t="s">
        <v>6218</v>
      </c>
      <c r="M367" s="228" t="s">
        <v>6325</v>
      </c>
      <c r="N367" s="530">
        <v>1</v>
      </c>
    </row>
    <row r="368" spans="1:14" ht="28.5" customHeight="1">
      <c r="A368" s="257" t="s">
        <v>4933</v>
      </c>
      <c r="B368" s="531" t="s">
        <v>596</v>
      </c>
      <c r="C368" s="257" t="s">
        <v>4935</v>
      </c>
      <c r="D368" s="530" t="s">
        <v>6214</v>
      </c>
      <c r="E368" s="530" t="s">
        <v>69</v>
      </c>
      <c r="F368" s="530">
        <v>400</v>
      </c>
      <c r="G368" s="530" t="s">
        <v>6215</v>
      </c>
      <c r="H368" s="530">
        <v>5</v>
      </c>
      <c r="I368" s="530"/>
      <c r="J368" s="530" t="s">
        <v>6210</v>
      </c>
      <c r="K368" s="530" t="s">
        <v>6231</v>
      </c>
      <c r="L368" s="530" t="s">
        <v>6232</v>
      </c>
      <c r="M368" s="228" t="s">
        <v>6326</v>
      </c>
      <c r="N368" s="530" t="s">
        <v>184</v>
      </c>
    </row>
    <row r="369" spans="1:14" ht="28.5" customHeight="1">
      <c r="A369" s="257" t="s">
        <v>4933</v>
      </c>
      <c r="B369" s="531" t="s">
        <v>596</v>
      </c>
      <c r="C369" s="257" t="s">
        <v>4935</v>
      </c>
      <c r="D369" s="530" t="s">
        <v>6214</v>
      </c>
      <c r="E369" s="530" t="s">
        <v>63</v>
      </c>
      <c r="F369" s="530">
        <v>1990</v>
      </c>
      <c r="G369" s="530" t="s">
        <v>6215</v>
      </c>
      <c r="H369" s="530">
        <v>5</v>
      </c>
      <c r="I369" s="530"/>
      <c r="J369" s="530" t="s">
        <v>6210</v>
      </c>
      <c r="K369" s="530" t="s">
        <v>6211</v>
      </c>
      <c r="L369" s="530" t="s">
        <v>6212</v>
      </c>
      <c r="M369" s="228" t="s">
        <v>6327</v>
      </c>
      <c r="N369" s="530" t="s">
        <v>184</v>
      </c>
    </row>
    <row r="370" spans="1:14" ht="28.5" customHeight="1">
      <c r="A370" s="257" t="s">
        <v>4933</v>
      </c>
      <c r="B370" s="531" t="s">
        <v>596</v>
      </c>
      <c r="C370" s="257" t="s">
        <v>4935</v>
      </c>
      <c r="D370" s="530" t="s">
        <v>6214</v>
      </c>
      <c r="E370" s="530" t="s">
        <v>66</v>
      </c>
      <c r="F370" s="530">
        <v>2050</v>
      </c>
      <c r="G370" s="530" t="s">
        <v>6215</v>
      </c>
      <c r="H370" s="530">
        <v>5</v>
      </c>
      <c r="I370" s="530"/>
      <c r="J370" s="530" t="s">
        <v>6216</v>
      </c>
      <c r="K370" s="530" t="s">
        <v>6211</v>
      </c>
      <c r="L370" s="530" t="s">
        <v>6218</v>
      </c>
      <c r="M370" s="228" t="s">
        <v>6328</v>
      </c>
      <c r="N370" s="530" t="s">
        <v>184</v>
      </c>
    </row>
    <row r="371" spans="1:14" ht="28.5" customHeight="1">
      <c r="A371" s="257" t="s">
        <v>595</v>
      </c>
      <c r="B371" s="531" t="s">
        <v>596</v>
      </c>
      <c r="C371" s="257" t="s">
        <v>598</v>
      </c>
      <c r="D371" s="530" t="s">
        <v>6214</v>
      </c>
      <c r="E371" s="530" t="s">
        <v>69</v>
      </c>
      <c r="F371" s="530">
        <v>300</v>
      </c>
      <c r="G371" s="530" t="s">
        <v>135</v>
      </c>
      <c r="H371" s="530">
        <v>5</v>
      </c>
      <c r="I371" s="530" t="s">
        <v>599</v>
      </c>
      <c r="J371" s="530" t="s">
        <v>6210</v>
      </c>
      <c r="K371" s="530" t="s">
        <v>6231</v>
      </c>
      <c r="L371" s="530" t="s">
        <v>6232</v>
      </c>
      <c r="M371" s="228" t="s">
        <v>6295</v>
      </c>
      <c r="N371" s="530" t="s">
        <v>184</v>
      </c>
    </row>
    <row r="372" spans="1:14" ht="28.5" customHeight="1">
      <c r="A372" s="257" t="s">
        <v>595</v>
      </c>
      <c r="B372" s="531" t="s">
        <v>596</v>
      </c>
      <c r="C372" s="257" t="s">
        <v>598</v>
      </c>
      <c r="D372" s="530" t="s">
        <v>6214</v>
      </c>
      <c r="E372" s="530" t="s">
        <v>63</v>
      </c>
      <c r="F372" s="530">
        <v>400</v>
      </c>
      <c r="G372" s="530" t="s">
        <v>135</v>
      </c>
      <c r="H372" s="530">
        <v>5</v>
      </c>
      <c r="I372" s="530" t="s">
        <v>599</v>
      </c>
      <c r="J372" s="530" t="s">
        <v>6210</v>
      </c>
      <c r="K372" s="530" t="s">
        <v>6211</v>
      </c>
      <c r="L372" s="530" t="s">
        <v>6212</v>
      </c>
      <c r="M372" s="228" t="s">
        <v>6307</v>
      </c>
      <c r="N372" s="530" t="s">
        <v>184</v>
      </c>
    </row>
    <row r="373" spans="1:14" ht="28.5" customHeight="1">
      <c r="A373" s="257" t="s">
        <v>595</v>
      </c>
      <c r="B373" s="531" t="s">
        <v>596</v>
      </c>
      <c r="C373" s="257" t="s">
        <v>598</v>
      </c>
      <c r="D373" s="530" t="s">
        <v>6214</v>
      </c>
      <c r="E373" s="530" t="s">
        <v>66</v>
      </c>
      <c r="F373" s="530">
        <v>1400</v>
      </c>
      <c r="G373" s="530" t="s">
        <v>135</v>
      </c>
      <c r="H373" s="530">
        <v>5</v>
      </c>
      <c r="I373" s="530" t="s">
        <v>599</v>
      </c>
      <c r="J373" s="530" t="s">
        <v>6216</v>
      </c>
      <c r="K373" s="530" t="s">
        <v>6217</v>
      </c>
      <c r="L373" s="530" t="s">
        <v>6218</v>
      </c>
      <c r="M373" s="228" t="s">
        <v>6307</v>
      </c>
      <c r="N373" s="530" t="s">
        <v>184</v>
      </c>
    </row>
    <row r="374" spans="1:14" ht="28.5" customHeight="1">
      <c r="A374" s="257" t="s">
        <v>602</v>
      </c>
      <c r="B374" s="531" t="s">
        <v>596</v>
      </c>
      <c r="C374" s="257" t="s">
        <v>604</v>
      </c>
      <c r="D374" s="530" t="s">
        <v>6214</v>
      </c>
      <c r="E374" s="530" t="s">
        <v>63</v>
      </c>
      <c r="F374" s="530">
        <v>5</v>
      </c>
      <c r="G374" s="530" t="s">
        <v>574</v>
      </c>
      <c r="H374" s="530">
        <v>5</v>
      </c>
      <c r="I374" s="530" t="s">
        <v>599</v>
      </c>
      <c r="J374" s="530" t="s">
        <v>6216</v>
      </c>
      <c r="K374" s="530" t="s">
        <v>6211</v>
      </c>
      <c r="L374" s="530" t="s">
        <v>6218</v>
      </c>
      <c r="M374" s="228" t="s">
        <v>6307</v>
      </c>
      <c r="N374" s="530">
        <v>1</v>
      </c>
    </row>
    <row r="375" spans="1:14" ht="28.5" customHeight="1">
      <c r="A375" s="257" t="s">
        <v>602</v>
      </c>
      <c r="B375" s="531" t="s">
        <v>596</v>
      </c>
      <c r="C375" s="257" t="s">
        <v>604</v>
      </c>
      <c r="D375" s="530" t="s">
        <v>6214</v>
      </c>
      <c r="E375" s="530" t="s">
        <v>66</v>
      </c>
      <c r="F375" s="530">
        <v>30</v>
      </c>
      <c r="G375" s="530" t="s">
        <v>574</v>
      </c>
      <c r="H375" s="530">
        <v>5</v>
      </c>
      <c r="I375" s="530" t="s">
        <v>599</v>
      </c>
      <c r="J375" s="530" t="s">
        <v>6216</v>
      </c>
      <c r="K375" s="530" t="s">
        <v>6211</v>
      </c>
      <c r="L375" s="530" t="s">
        <v>6218</v>
      </c>
      <c r="M375" s="228" t="s">
        <v>6329</v>
      </c>
      <c r="N375" s="530">
        <v>1</v>
      </c>
    </row>
    <row r="376" spans="1:14" ht="28.5" customHeight="1">
      <c r="A376" s="257" t="s">
        <v>4706</v>
      </c>
      <c r="B376" s="531" t="s">
        <v>584</v>
      </c>
      <c r="C376" s="257" t="s">
        <v>4957</v>
      </c>
      <c r="D376" s="530" t="s">
        <v>6214</v>
      </c>
      <c r="E376" s="530" t="s">
        <v>66</v>
      </c>
      <c r="F376" s="530">
        <v>600</v>
      </c>
      <c r="G376" s="530" t="s">
        <v>778</v>
      </c>
      <c r="H376" s="530">
        <v>5</v>
      </c>
      <c r="I376" s="530"/>
      <c r="J376" s="530" t="s">
        <v>6210</v>
      </c>
      <c r="K376" s="530" t="s">
        <v>6211</v>
      </c>
      <c r="L376" s="530" t="s">
        <v>6212</v>
      </c>
      <c r="M376" s="228" t="s">
        <v>6309</v>
      </c>
      <c r="N376" s="530">
        <v>0</v>
      </c>
    </row>
    <row r="377" spans="1:14" ht="28.5" customHeight="1">
      <c r="A377" s="257" t="s">
        <v>4706</v>
      </c>
      <c r="B377" s="531" t="s">
        <v>584</v>
      </c>
      <c r="C377" s="257" t="s">
        <v>4957</v>
      </c>
      <c r="D377" s="530" t="s">
        <v>6214</v>
      </c>
      <c r="E377" s="530" t="s">
        <v>63</v>
      </c>
      <c r="F377" s="530">
        <v>200</v>
      </c>
      <c r="G377" s="530" t="s">
        <v>778</v>
      </c>
      <c r="H377" s="530">
        <v>5</v>
      </c>
      <c r="I377" s="530"/>
      <c r="J377" s="530" t="s">
        <v>6216</v>
      </c>
      <c r="K377" s="530" t="s">
        <v>6211</v>
      </c>
      <c r="L377" s="530" t="s">
        <v>6218</v>
      </c>
      <c r="M377" s="228" t="s">
        <v>6330</v>
      </c>
      <c r="N377" s="530">
        <v>0</v>
      </c>
    </row>
    <row r="378" spans="1:14" ht="28.5" customHeight="1">
      <c r="A378" s="257" t="s">
        <v>4706</v>
      </c>
      <c r="B378" s="531" t="s">
        <v>584</v>
      </c>
      <c r="C378" s="257" t="s">
        <v>4957</v>
      </c>
      <c r="D378" s="530" t="s">
        <v>6214</v>
      </c>
      <c r="E378" s="530" t="s">
        <v>72</v>
      </c>
      <c r="F378" s="530">
        <v>700</v>
      </c>
      <c r="G378" s="530" t="s">
        <v>778</v>
      </c>
      <c r="H378" s="530">
        <v>5</v>
      </c>
      <c r="I378" s="530"/>
      <c r="J378" s="530" t="s">
        <v>6210</v>
      </c>
      <c r="K378" s="530" t="s">
        <v>6231</v>
      </c>
      <c r="L378" s="530" t="s">
        <v>6232</v>
      </c>
      <c r="M378" s="228" t="s">
        <v>6331</v>
      </c>
      <c r="N378" s="530" t="s">
        <v>138</v>
      </c>
    </row>
    <row r="379" spans="1:14" ht="28.5" customHeight="1">
      <c r="A379" s="257" t="s">
        <v>612</v>
      </c>
      <c r="B379" s="531" t="s">
        <v>613</v>
      </c>
      <c r="C379" s="257" t="s">
        <v>615</v>
      </c>
      <c r="D379" s="530" t="s">
        <v>6214</v>
      </c>
      <c r="E379" s="530" t="s">
        <v>63</v>
      </c>
      <c r="F379" s="530">
        <v>80</v>
      </c>
      <c r="G379" s="530" t="s">
        <v>143</v>
      </c>
      <c r="H379" s="530">
        <v>5</v>
      </c>
      <c r="I379" s="530" t="s">
        <v>616</v>
      </c>
      <c r="J379" s="530" t="s">
        <v>6210</v>
      </c>
      <c r="K379" s="530" t="s">
        <v>6211</v>
      </c>
      <c r="L379" s="530" t="s">
        <v>6212</v>
      </c>
      <c r="M379" s="228" t="s">
        <v>6307</v>
      </c>
      <c r="N379" s="530" t="s">
        <v>184</v>
      </c>
    </row>
    <row r="380" spans="1:14" ht="28.5" customHeight="1">
      <c r="A380" s="257" t="s">
        <v>612</v>
      </c>
      <c r="B380" s="531" t="s">
        <v>613</v>
      </c>
      <c r="C380" s="257" t="s">
        <v>615</v>
      </c>
      <c r="D380" s="530" t="s">
        <v>6214</v>
      </c>
      <c r="E380" s="530" t="s">
        <v>66</v>
      </c>
      <c r="F380" s="530">
        <v>200</v>
      </c>
      <c r="G380" s="530" t="s">
        <v>143</v>
      </c>
      <c r="H380" s="530">
        <v>5</v>
      </c>
      <c r="I380" s="530" t="s">
        <v>616</v>
      </c>
      <c r="J380" s="530" t="s">
        <v>6216</v>
      </c>
      <c r="K380" s="530" t="s">
        <v>6211</v>
      </c>
      <c r="L380" s="530" t="s">
        <v>6218</v>
      </c>
      <c r="M380" s="228" t="s">
        <v>6307</v>
      </c>
      <c r="N380" s="530" t="s">
        <v>184</v>
      </c>
    </row>
    <row r="381" spans="1:14" ht="28.5" customHeight="1">
      <c r="A381" s="257" t="s">
        <v>612</v>
      </c>
      <c r="B381" s="531" t="s">
        <v>613</v>
      </c>
      <c r="C381" s="257" t="s">
        <v>615</v>
      </c>
      <c r="D381" s="530" t="s">
        <v>6214</v>
      </c>
      <c r="E381" s="530" t="s">
        <v>72</v>
      </c>
      <c r="F381" s="530">
        <v>250</v>
      </c>
      <c r="G381" s="530" t="s">
        <v>143</v>
      </c>
      <c r="H381" s="530">
        <v>5</v>
      </c>
      <c r="I381" s="530" t="s">
        <v>616</v>
      </c>
      <c r="J381" s="530" t="s">
        <v>6210</v>
      </c>
      <c r="K381" s="530" t="s">
        <v>6220</v>
      </c>
      <c r="L381" s="530" t="s">
        <v>6221</v>
      </c>
      <c r="M381" s="228" t="s">
        <v>6311</v>
      </c>
      <c r="N381" s="530" t="s">
        <v>184</v>
      </c>
    </row>
    <row r="382" spans="1:14" ht="28.5" customHeight="1">
      <c r="A382" s="257" t="s">
        <v>612</v>
      </c>
      <c r="B382" s="531" t="s">
        <v>613</v>
      </c>
      <c r="C382" s="257" t="s">
        <v>615</v>
      </c>
      <c r="D382" s="530" t="s">
        <v>6214</v>
      </c>
      <c r="E382" s="530" t="s">
        <v>69</v>
      </c>
      <c r="F382" s="530">
        <v>50</v>
      </c>
      <c r="G382" s="530" t="s">
        <v>143</v>
      </c>
      <c r="H382" s="530">
        <v>5</v>
      </c>
      <c r="I382" s="530" t="s">
        <v>616</v>
      </c>
      <c r="J382" s="530" t="s">
        <v>6210</v>
      </c>
      <c r="K382" s="530" t="s">
        <v>6231</v>
      </c>
      <c r="L382" s="530" t="s">
        <v>6232</v>
      </c>
      <c r="M382" s="228" t="s">
        <v>6312</v>
      </c>
      <c r="N382" s="530" t="s">
        <v>184</v>
      </c>
    </row>
    <row r="383" spans="1:14" ht="28.5" customHeight="1">
      <c r="A383" s="257" t="s">
        <v>619</v>
      </c>
      <c r="B383" s="531" t="s">
        <v>613</v>
      </c>
      <c r="C383" s="257" t="s">
        <v>592</v>
      </c>
      <c r="D383" s="530" t="s">
        <v>6214</v>
      </c>
      <c r="E383" s="530" t="s">
        <v>63</v>
      </c>
      <c r="F383" s="530">
        <v>-30</v>
      </c>
      <c r="G383" s="530" t="s">
        <v>143</v>
      </c>
      <c r="H383" s="530">
        <v>5</v>
      </c>
      <c r="I383" s="530" t="s">
        <v>616</v>
      </c>
      <c r="J383" s="530" t="s">
        <v>6216</v>
      </c>
      <c r="K383" s="530" t="s">
        <v>6211</v>
      </c>
      <c r="L383" s="530" t="s">
        <v>6218</v>
      </c>
      <c r="M383" s="228" t="s">
        <v>6313</v>
      </c>
      <c r="N383" s="530">
        <v>0</v>
      </c>
    </row>
    <row r="384" spans="1:14" ht="28.5" customHeight="1">
      <c r="A384" s="257" t="s">
        <v>619</v>
      </c>
      <c r="B384" s="531" t="s">
        <v>613</v>
      </c>
      <c r="C384" s="257" t="s">
        <v>592</v>
      </c>
      <c r="D384" s="530" t="s">
        <v>6214</v>
      </c>
      <c r="E384" s="530" t="s">
        <v>66</v>
      </c>
      <c r="F384" s="530">
        <v>-10</v>
      </c>
      <c r="G384" s="530" t="s">
        <v>143</v>
      </c>
      <c r="H384" s="530">
        <v>5</v>
      </c>
      <c r="I384" s="530" t="s">
        <v>616</v>
      </c>
      <c r="J384" s="530" t="s">
        <v>6216</v>
      </c>
      <c r="K384" s="530" t="s">
        <v>6211</v>
      </c>
      <c r="L384" s="530" t="s">
        <v>6218</v>
      </c>
      <c r="M384" s="228" t="s">
        <v>6314</v>
      </c>
      <c r="N384" s="530">
        <v>0</v>
      </c>
    </row>
    <row r="385" spans="1:14" ht="28.5" customHeight="1">
      <c r="A385" s="257" t="s">
        <v>4710</v>
      </c>
      <c r="B385" s="531" t="s">
        <v>613</v>
      </c>
      <c r="C385" s="257" t="s">
        <v>4954</v>
      </c>
      <c r="D385" s="530" t="s">
        <v>6214</v>
      </c>
      <c r="E385" s="530" t="s">
        <v>69</v>
      </c>
      <c r="F385" s="530">
        <v>200</v>
      </c>
      <c r="G385" s="530" t="s">
        <v>6315</v>
      </c>
      <c r="H385" s="530">
        <v>5</v>
      </c>
      <c r="I385" s="530" t="s">
        <v>4955</v>
      </c>
      <c r="J385" s="530" t="s">
        <v>6216</v>
      </c>
      <c r="K385" s="530" t="s">
        <v>6220</v>
      </c>
      <c r="L385" s="530" t="s">
        <v>6212</v>
      </c>
      <c r="M385" s="228" t="s">
        <v>6316</v>
      </c>
      <c r="N385" s="530" t="s">
        <v>184</v>
      </c>
    </row>
    <row r="386" spans="1:14" ht="28.5" customHeight="1">
      <c r="A386" s="257" t="s">
        <v>4710</v>
      </c>
      <c r="B386" s="531" t="s">
        <v>613</v>
      </c>
      <c r="C386" s="257" t="s">
        <v>4954</v>
      </c>
      <c r="D386" s="530" t="s">
        <v>6214</v>
      </c>
      <c r="E386" s="530" t="s">
        <v>63</v>
      </c>
      <c r="F386" s="13" t="s">
        <v>4921</v>
      </c>
      <c r="G386" s="530" t="s">
        <v>6315</v>
      </c>
      <c r="H386" s="530">
        <v>5</v>
      </c>
      <c r="I386" s="530" t="s">
        <v>4955</v>
      </c>
      <c r="J386" s="530" t="s">
        <v>6216</v>
      </c>
      <c r="K386" s="530" t="s">
        <v>6211</v>
      </c>
      <c r="L386" s="530" t="s">
        <v>6218</v>
      </c>
      <c r="M386" s="228" t="s">
        <v>6316</v>
      </c>
      <c r="N386" s="530" t="s">
        <v>184</v>
      </c>
    </row>
    <row r="387" spans="1:14" ht="28.5" customHeight="1">
      <c r="A387" s="257" t="s">
        <v>4710</v>
      </c>
      <c r="B387" s="531" t="s">
        <v>613</v>
      </c>
      <c r="C387" s="257" t="s">
        <v>4954</v>
      </c>
      <c r="D387" s="530" t="s">
        <v>6214</v>
      </c>
      <c r="E387" s="530" t="s">
        <v>66</v>
      </c>
      <c r="F387" s="13" t="s">
        <v>4921</v>
      </c>
      <c r="G387" s="530" t="s">
        <v>6315</v>
      </c>
      <c r="H387" s="530">
        <v>5</v>
      </c>
      <c r="I387" s="530" t="s">
        <v>4955</v>
      </c>
      <c r="J387" s="530" t="s">
        <v>6216</v>
      </c>
      <c r="K387" s="530" t="s">
        <v>6211</v>
      </c>
      <c r="L387" s="530" t="s">
        <v>6218</v>
      </c>
      <c r="M387" s="228" t="s">
        <v>6316</v>
      </c>
      <c r="N387" s="530" t="s">
        <v>184</v>
      </c>
    </row>
    <row r="388" spans="1:14" ht="28.5" customHeight="1">
      <c r="A388" s="257" t="s">
        <v>4714</v>
      </c>
      <c r="B388" s="531" t="s">
        <v>613</v>
      </c>
      <c r="C388" s="257" t="s">
        <v>4949</v>
      </c>
      <c r="D388" s="530" t="s">
        <v>6214</v>
      </c>
      <c r="E388" s="530" t="s">
        <v>69</v>
      </c>
      <c r="F388" s="530">
        <v>5</v>
      </c>
      <c r="G388" s="530" t="s">
        <v>6215</v>
      </c>
      <c r="H388" s="530">
        <v>5</v>
      </c>
      <c r="I388" s="530" t="s">
        <v>4950</v>
      </c>
      <c r="J388" s="530" t="s">
        <v>6216</v>
      </c>
      <c r="K388" s="530" t="s">
        <v>6220</v>
      </c>
      <c r="L388" s="530" t="s">
        <v>6212</v>
      </c>
      <c r="M388" s="228" t="s">
        <v>6332</v>
      </c>
      <c r="N388" s="530" t="s">
        <v>184</v>
      </c>
    </row>
    <row r="389" spans="1:14" ht="28.5" customHeight="1">
      <c r="A389" s="257" t="s">
        <v>4714</v>
      </c>
      <c r="B389" s="531" t="s">
        <v>613</v>
      </c>
      <c r="C389" s="257" t="s">
        <v>4949</v>
      </c>
      <c r="D389" s="530" t="s">
        <v>6214</v>
      </c>
      <c r="E389" s="530" t="s">
        <v>63</v>
      </c>
      <c r="F389" s="530">
        <v>19</v>
      </c>
      <c r="G389" s="530" t="s">
        <v>6215</v>
      </c>
      <c r="H389" s="530">
        <v>5</v>
      </c>
      <c r="I389" s="530" t="s">
        <v>4950</v>
      </c>
      <c r="J389" s="530" t="s">
        <v>6216</v>
      </c>
      <c r="K389" s="530" t="s">
        <v>6220</v>
      </c>
      <c r="L389" s="530" t="s">
        <v>6212</v>
      </c>
      <c r="M389" s="228" t="s">
        <v>6333</v>
      </c>
      <c r="N389" s="530" t="s">
        <v>184</v>
      </c>
    </row>
    <row r="390" spans="1:14" ht="28.5" customHeight="1">
      <c r="A390" s="257" t="s">
        <v>4714</v>
      </c>
      <c r="B390" s="531" t="s">
        <v>613</v>
      </c>
      <c r="C390" s="257" t="s">
        <v>4949</v>
      </c>
      <c r="D390" s="530" t="s">
        <v>6214</v>
      </c>
      <c r="E390" s="530" t="s">
        <v>66</v>
      </c>
      <c r="F390" s="530">
        <v>64</v>
      </c>
      <c r="G390" s="530" t="s">
        <v>6215</v>
      </c>
      <c r="H390" s="530">
        <v>5</v>
      </c>
      <c r="I390" s="530" t="s">
        <v>4950</v>
      </c>
      <c r="J390" s="530" t="s">
        <v>6216</v>
      </c>
      <c r="K390" s="530" t="s">
        <v>6220</v>
      </c>
      <c r="L390" s="530" t="s">
        <v>6212</v>
      </c>
      <c r="M390" s="228" t="s">
        <v>6334</v>
      </c>
      <c r="N390" s="530" t="s">
        <v>184</v>
      </c>
    </row>
    <row r="391" spans="1:14" ht="28.5" customHeight="1">
      <c r="A391" s="257" t="s">
        <v>3490</v>
      </c>
      <c r="B391" s="531" t="s">
        <v>525</v>
      </c>
      <c r="C391" s="257" t="s">
        <v>3492</v>
      </c>
      <c r="D391" s="530" t="s">
        <v>6209</v>
      </c>
      <c r="E391" s="530" t="s">
        <v>2095</v>
      </c>
      <c r="F391" s="530"/>
      <c r="G391" s="530"/>
      <c r="H391" s="742">
        <v>3</v>
      </c>
      <c r="I391" s="530"/>
      <c r="J391" s="530" t="s">
        <v>6216</v>
      </c>
      <c r="K391" s="530" t="s">
        <v>6220</v>
      </c>
      <c r="L391" s="530" t="s">
        <v>6212</v>
      </c>
      <c r="M391" s="228" t="s">
        <v>6249</v>
      </c>
      <c r="N391" s="742">
        <v>2</v>
      </c>
    </row>
    <row r="392" spans="1:14" ht="28.5" customHeight="1">
      <c r="A392" s="257" t="s">
        <v>3473</v>
      </c>
      <c r="B392" s="531" t="s">
        <v>525</v>
      </c>
      <c r="C392" s="257" t="s">
        <v>3475</v>
      </c>
      <c r="D392" s="530" t="s">
        <v>6209</v>
      </c>
      <c r="E392" s="530" t="s">
        <v>2095</v>
      </c>
      <c r="F392" s="530"/>
      <c r="G392" s="530"/>
      <c r="H392" s="742">
        <v>3</v>
      </c>
      <c r="I392" s="530"/>
      <c r="J392" s="530" t="s">
        <v>6216</v>
      </c>
      <c r="K392" s="530" t="s">
        <v>6220</v>
      </c>
      <c r="L392" s="530" t="s">
        <v>6212</v>
      </c>
      <c r="M392" s="228" t="s">
        <v>6249</v>
      </c>
      <c r="N392" s="742">
        <v>2</v>
      </c>
    </row>
    <row r="393" spans="1:14" ht="28.5" customHeight="1">
      <c r="A393" s="257" t="s">
        <v>3469</v>
      </c>
      <c r="B393" s="531" t="s">
        <v>525</v>
      </c>
      <c r="C393" s="257" t="s">
        <v>3471</v>
      </c>
      <c r="D393" s="530" t="s">
        <v>6209</v>
      </c>
      <c r="E393" s="530" t="s">
        <v>2095</v>
      </c>
      <c r="F393" s="530"/>
      <c r="G393" s="530"/>
      <c r="H393" s="742">
        <v>3</v>
      </c>
      <c r="I393" s="530"/>
      <c r="J393" s="530" t="s">
        <v>6216</v>
      </c>
      <c r="K393" s="530" t="s">
        <v>6220</v>
      </c>
      <c r="L393" s="530" t="s">
        <v>6212</v>
      </c>
      <c r="M393" s="228" t="s">
        <v>6249</v>
      </c>
      <c r="N393" s="742">
        <v>2</v>
      </c>
    </row>
    <row r="394" spans="1:14" ht="28.5" customHeight="1">
      <c r="A394" s="257" t="s">
        <v>3477</v>
      </c>
      <c r="B394" s="531" t="s">
        <v>525</v>
      </c>
      <c r="C394" s="257" t="s">
        <v>3479</v>
      </c>
      <c r="D394" s="530" t="s">
        <v>6209</v>
      </c>
      <c r="E394" s="530" t="s">
        <v>2095</v>
      </c>
      <c r="F394" s="530"/>
      <c r="G394" s="530"/>
      <c r="H394" s="742">
        <v>3</v>
      </c>
      <c r="I394" s="530"/>
      <c r="J394" s="530" t="s">
        <v>6216</v>
      </c>
      <c r="K394" s="530" t="s">
        <v>6220</v>
      </c>
      <c r="L394" s="530" t="s">
        <v>6212</v>
      </c>
      <c r="M394" s="228" t="s">
        <v>6249</v>
      </c>
      <c r="N394" s="742">
        <v>2</v>
      </c>
    </row>
    <row r="395" spans="1:14" ht="28.5" customHeight="1">
      <c r="A395" s="257" t="s">
        <v>3481</v>
      </c>
      <c r="B395" s="531" t="s">
        <v>525</v>
      </c>
      <c r="C395" s="257" t="s">
        <v>3483</v>
      </c>
      <c r="D395" s="530" t="s">
        <v>6209</v>
      </c>
      <c r="E395" s="530" t="s">
        <v>2095</v>
      </c>
      <c r="F395" s="530"/>
      <c r="G395" s="530"/>
      <c r="H395" s="742">
        <v>3</v>
      </c>
      <c r="I395" s="530"/>
      <c r="J395" s="530" t="s">
        <v>6216</v>
      </c>
      <c r="K395" s="530" t="s">
        <v>6220</v>
      </c>
      <c r="L395" s="530" t="s">
        <v>6212</v>
      </c>
      <c r="M395" s="228" t="s">
        <v>6249</v>
      </c>
      <c r="N395" s="742">
        <v>2</v>
      </c>
    </row>
    <row r="396" spans="1:14" ht="28.5" customHeight="1">
      <c r="A396" s="257" t="s">
        <v>3465</v>
      </c>
      <c r="B396" s="531" t="s">
        <v>525</v>
      </c>
      <c r="C396" s="257" t="s">
        <v>3467</v>
      </c>
      <c r="D396" s="530" t="s">
        <v>6209</v>
      </c>
      <c r="E396" s="530" t="s">
        <v>2095</v>
      </c>
      <c r="F396" s="530"/>
      <c r="G396" s="530"/>
      <c r="H396" s="742">
        <v>3</v>
      </c>
      <c r="I396" s="530"/>
      <c r="J396" s="530" t="s">
        <v>6216</v>
      </c>
      <c r="K396" s="530" t="s">
        <v>6220</v>
      </c>
      <c r="L396" s="530" t="s">
        <v>6212</v>
      </c>
      <c r="M396" s="228" t="s">
        <v>6249</v>
      </c>
      <c r="N396" s="742">
        <v>2</v>
      </c>
    </row>
    <row r="397" spans="1:14" ht="28.5" customHeight="1">
      <c r="A397" s="257" t="s">
        <v>3455</v>
      </c>
      <c r="B397" s="531" t="s">
        <v>525</v>
      </c>
      <c r="C397" s="257" t="s">
        <v>3457</v>
      </c>
      <c r="D397" s="530" t="s">
        <v>6209</v>
      </c>
      <c r="E397" s="530" t="s">
        <v>2095</v>
      </c>
      <c r="F397" s="530"/>
      <c r="G397" s="530"/>
      <c r="H397" s="742">
        <v>3</v>
      </c>
      <c r="I397" s="530"/>
      <c r="J397" s="530" t="s">
        <v>6216</v>
      </c>
      <c r="K397" s="530" t="s">
        <v>6220</v>
      </c>
      <c r="L397" s="530" t="s">
        <v>6212</v>
      </c>
      <c r="M397" s="228" t="s">
        <v>6249</v>
      </c>
      <c r="N397" s="742">
        <v>2</v>
      </c>
    </row>
    <row r="398" spans="1:14" ht="28.5" customHeight="1">
      <c r="A398" s="257" t="s">
        <v>3461</v>
      </c>
      <c r="B398" s="531" t="s">
        <v>525</v>
      </c>
      <c r="C398" s="257" t="s">
        <v>3463</v>
      </c>
      <c r="D398" s="530" t="s">
        <v>6209</v>
      </c>
      <c r="E398" s="530" t="s">
        <v>2095</v>
      </c>
      <c r="F398" s="530"/>
      <c r="G398" s="530"/>
      <c r="H398" s="742">
        <v>3</v>
      </c>
      <c r="I398" s="530"/>
      <c r="J398" s="530" t="s">
        <v>6216</v>
      </c>
      <c r="K398" s="530" t="s">
        <v>6220</v>
      </c>
      <c r="L398" s="530" t="s">
        <v>6212</v>
      </c>
      <c r="M398" s="228" t="s">
        <v>6249</v>
      </c>
      <c r="N398" s="742">
        <v>2</v>
      </c>
    </row>
    <row r="399" spans="1:14" ht="28.5" customHeight="1">
      <c r="A399" s="257" t="s">
        <v>623</v>
      </c>
      <c r="B399" s="531" t="s">
        <v>566</v>
      </c>
      <c r="C399" s="257" t="s">
        <v>625</v>
      </c>
      <c r="D399" s="530" t="s">
        <v>6214</v>
      </c>
      <c r="E399" s="530" t="s">
        <v>66</v>
      </c>
      <c r="F399" s="530">
        <v>140</v>
      </c>
      <c r="G399" s="530" t="s">
        <v>1181</v>
      </c>
      <c r="H399" s="530">
        <v>5</v>
      </c>
      <c r="I399" s="530"/>
      <c r="J399" s="530" t="s">
        <v>6210</v>
      </c>
      <c r="K399" s="530" t="s">
        <v>6211</v>
      </c>
      <c r="L399" s="530" t="s">
        <v>6212</v>
      </c>
      <c r="M399" s="228" t="s">
        <v>6252</v>
      </c>
      <c r="N399" s="530">
        <v>1</v>
      </c>
    </row>
    <row r="400" spans="1:14" ht="28.5" customHeight="1">
      <c r="A400" s="257" t="s">
        <v>623</v>
      </c>
      <c r="B400" s="531" t="s">
        <v>566</v>
      </c>
      <c r="C400" s="257" t="s">
        <v>625</v>
      </c>
      <c r="D400" s="530" t="s">
        <v>6214</v>
      </c>
      <c r="E400" s="530" t="s">
        <v>72</v>
      </c>
      <c r="F400" s="530">
        <v>150</v>
      </c>
      <c r="G400" s="530" t="s">
        <v>1181</v>
      </c>
      <c r="H400" s="530">
        <v>5</v>
      </c>
      <c r="I400" s="530"/>
      <c r="J400" s="530" t="s">
        <v>6210</v>
      </c>
      <c r="K400" s="530" t="s">
        <v>6231</v>
      </c>
      <c r="L400" s="530" t="s">
        <v>6232</v>
      </c>
      <c r="M400" s="228" t="s">
        <v>6252</v>
      </c>
      <c r="N400" s="530">
        <v>1</v>
      </c>
    </row>
    <row r="401" spans="1:14" ht="28.5" customHeight="1">
      <c r="A401" s="257" t="s">
        <v>628</v>
      </c>
      <c r="B401" s="531" t="s">
        <v>566</v>
      </c>
      <c r="C401" s="257" t="s">
        <v>630</v>
      </c>
      <c r="D401" s="530" t="s">
        <v>6214</v>
      </c>
      <c r="E401" s="530" t="s">
        <v>66</v>
      </c>
      <c r="F401" s="530">
        <v>140</v>
      </c>
      <c r="G401" s="530" t="s">
        <v>1181</v>
      </c>
      <c r="H401" s="530">
        <v>5</v>
      </c>
      <c r="I401" s="530"/>
      <c r="J401" s="530" t="s">
        <v>6210</v>
      </c>
      <c r="K401" s="530" t="s">
        <v>6211</v>
      </c>
      <c r="L401" s="530" t="s">
        <v>6212</v>
      </c>
      <c r="M401" s="228" t="s">
        <v>6252</v>
      </c>
      <c r="N401" s="530">
        <v>1</v>
      </c>
    </row>
    <row r="402" spans="1:14" ht="28.5" customHeight="1">
      <c r="A402" s="257" t="s">
        <v>628</v>
      </c>
      <c r="B402" s="531" t="s">
        <v>566</v>
      </c>
      <c r="C402" s="257" t="s">
        <v>630</v>
      </c>
      <c r="D402" s="530" t="s">
        <v>6214</v>
      </c>
      <c r="E402" s="530" t="s">
        <v>72</v>
      </c>
      <c r="F402" s="530">
        <v>150</v>
      </c>
      <c r="G402" s="530" t="s">
        <v>1181</v>
      </c>
      <c r="H402" s="530">
        <v>5</v>
      </c>
      <c r="I402" s="530"/>
      <c r="J402" s="530" t="s">
        <v>6210</v>
      </c>
      <c r="K402" s="530" t="s">
        <v>6231</v>
      </c>
      <c r="L402" s="530" t="s">
        <v>6232</v>
      </c>
      <c r="M402" s="228" t="s">
        <v>6252</v>
      </c>
      <c r="N402" s="530">
        <v>1</v>
      </c>
    </row>
    <row r="403" spans="1:14" ht="28.5" customHeight="1">
      <c r="A403" s="257" t="s">
        <v>632</v>
      </c>
      <c r="B403" s="531" t="s">
        <v>566</v>
      </c>
      <c r="C403" s="257" t="s">
        <v>634</v>
      </c>
      <c r="D403" s="530" t="s">
        <v>6214</v>
      </c>
      <c r="E403" s="530" t="s">
        <v>66</v>
      </c>
      <c r="F403" s="530">
        <v>140</v>
      </c>
      <c r="G403" s="530" t="s">
        <v>1181</v>
      </c>
      <c r="H403" s="530">
        <v>5</v>
      </c>
      <c r="I403" s="530"/>
      <c r="J403" s="530" t="s">
        <v>6210</v>
      </c>
      <c r="K403" s="530" t="s">
        <v>6211</v>
      </c>
      <c r="L403" s="530" t="s">
        <v>6212</v>
      </c>
      <c r="M403" s="228" t="s">
        <v>6252</v>
      </c>
      <c r="N403" s="530">
        <v>1</v>
      </c>
    </row>
    <row r="404" spans="1:14" ht="28.5" customHeight="1">
      <c r="A404" s="257" t="s">
        <v>632</v>
      </c>
      <c r="B404" s="531" t="s">
        <v>566</v>
      </c>
      <c r="C404" s="257" t="s">
        <v>634</v>
      </c>
      <c r="D404" s="530" t="s">
        <v>6214</v>
      </c>
      <c r="E404" s="530" t="s">
        <v>72</v>
      </c>
      <c r="F404" s="530">
        <v>150</v>
      </c>
      <c r="G404" s="530" t="s">
        <v>1181</v>
      </c>
      <c r="H404" s="530">
        <v>5</v>
      </c>
      <c r="I404" s="530"/>
      <c r="J404" s="530" t="s">
        <v>6210</v>
      </c>
      <c r="K404" s="530" t="s">
        <v>6231</v>
      </c>
      <c r="L404" s="530" t="s">
        <v>6232</v>
      </c>
      <c r="M404" s="228" t="s">
        <v>6252</v>
      </c>
      <c r="N404" s="530">
        <v>1</v>
      </c>
    </row>
    <row r="405" spans="1:14" ht="28.5" customHeight="1">
      <c r="A405" s="257" t="s">
        <v>636</v>
      </c>
      <c r="B405" s="531" t="s">
        <v>566</v>
      </c>
      <c r="C405" s="257" t="s">
        <v>638</v>
      </c>
      <c r="D405" s="530" t="s">
        <v>6214</v>
      </c>
      <c r="E405" s="530" t="s">
        <v>66</v>
      </c>
      <c r="F405" s="530">
        <v>95</v>
      </c>
      <c r="G405" s="530" t="s">
        <v>1181</v>
      </c>
      <c r="H405" s="530">
        <v>5</v>
      </c>
      <c r="I405" s="530"/>
      <c r="J405" s="530" t="s">
        <v>6210</v>
      </c>
      <c r="K405" s="530" t="s">
        <v>6211</v>
      </c>
      <c r="L405" s="530" t="s">
        <v>6212</v>
      </c>
      <c r="M405" s="228" t="s">
        <v>6253</v>
      </c>
      <c r="N405" s="530" t="s">
        <v>138</v>
      </c>
    </row>
    <row r="406" spans="1:14" ht="28.5" customHeight="1">
      <c r="A406" s="257" t="s">
        <v>636</v>
      </c>
      <c r="B406" s="531" t="s">
        <v>566</v>
      </c>
      <c r="C406" s="257" t="s">
        <v>638</v>
      </c>
      <c r="D406" s="530" t="s">
        <v>6214</v>
      </c>
      <c r="E406" s="530" t="s">
        <v>72</v>
      </c>
      <c r="F406" s="530">
        <v>100</v>
      </c>
      <c r="G406" s="530" t="s">
        <v>1181</v>
      </c>
      <c r="H406" s="530">
        <v>5</v>
      </c>
      <c r="I406" s="530"/>
      <c r="J406" s="530" t="s">
        <v>6210</v>
      </c>
      <c r="K406" s="530" t="s">
        <v>6231</v>
      </c>
      <c r="L406" s="530" t="s">
        <v>6232</v>
      </c>
      <c r="M406" s="228" t="s">
        <v>6252</v>
      </c>
      <c r="N406" s="530" t="s">
        <v>138</v>
      </c>
    </row>
    <row r="407" spans="1:14" ht="28.5" customHeight="1">
      <c r="A407" s="257" t="s">
        <v>640</v>
      </c>
      <c r="B407" s="531" t="s">
        <v>566</v>
      </c>
      <c r="C407" s="257" t="s">
        <v>642</v>
      </c>
      <c r="D407" s="530" t="s">
        <v>6214</v>
      </c>
      <c r="E407" s="530" t="s">
        <v>66</v>
      </c>
      <c r="F407" s="530">
        <v>95</v>
      </c>
      <c r="G407" s="530" t="s">
        <v>1181</v>
      </c>
      <c r="H407" s="530">
        <v>5</v>
      </c>
      <c r="I407" s="530"/>
      <c r="J407" s="530" t="s">
        <v>6210</v>
      </c>
      <c r="K407" s="530" t="s">
        <v>6211</v>
      </c>
      <c r="L407" s="530" t="s">
        <v>6212</v>
      </c>
      <c r="M407" s="228" t="s">
        <v>6253</v>
      </c>
      <c r="N407" s="530" t="s">
        <v>138</v>
      </c>
    </row>
    <row r="408" spans="1:14" ht="28.5" customHeight="1">
      <c r="A408" s="257" t="s">
        <v>640</v>
      </c>
      <c r="B408" s="531" t="s">
        <v>566</v>
      </c>
      <c r="C408" s="257" t="s">
        <v>642</v>
      </c>
      <c r="D408" s="530" t="s">
        <v>6214</v>
      </c>
      <c r="E408" s="530" t="s">
        <v>72</v>
      </c>
      <c r="F408" s="530">
        <v>100</v>
      </c>
      <c r="G408" s="530" t="s">
        <v>1181</v>
      </c>
      <c r="H408" s="530">
        <v>5</v>
      </c>
      <c r="I408" s="530"/>
      <c r="J408" s="530" t="s">
        <v>6210</v>
      </c>
      <c r="K408" s="530" t="s">
        <v>6231</v>
      </c>
      <c r="L408" s="530" t="s">
        <v>6232</v>
      </c>
      <c r="M408" s="228" t="s">
        <v>6252</v>
      </c>
      <c r="N408" s="530" t="s">
        <v>138</v>
      </c>
    </row>
    <row r="409" spans="1:14" ht="28.5" customHeight="1">
      <c r="A409" s="257" t="s">
        <v>644</v>
      </c>
      <c r="B409" s="531" t="s">
        <v>566</v>
      </c>
      <c r="C409" s="257" t="s">
        <v>646</v>
      </c>
      <c r="D409" s="530" t="s">
        <v>6214</v>
      </c>
      <c r="E409" s="530" t="s">
        <v>66</v>
      </c>
      <c r="F409" s="530">
        <v>140</v>
      </c>
      <c r="G409" s="530" t="s">
        <v>1181</v>
      </c>
      <c r="H409" s="530">
        <v>5</v>
      </c>
      <c r="I409" s="530"/>
      <c r="J409" s="530" t="s">
        <v>6210</v>
      </c>
      <c r="K409" s="530" t="s">
        <v>6211</v>
      </c>
      <c r="L409" s="530" t="s">
        <v>6212</v>
      </c>
      <c r="M409" s="228" t="s">
        <v>6252</v>
      </c>
      <c r="N409" s="530">
        <v>1</v>
      </c>
    </row>
    <row r="410" spans="1:14" ht="28.5" customHeight="1">
      <c r="A410" s="257" t="s">
        <v>644</v>
      </c>
      <c r="B410" s="531" t="s">
        <v>566</v>
      </c>
      <c r="C410" s="257" t="s">
        <v>646</v>
      </c>
      <c r="D410" s="530" t="s">
        <v>6214</v>
      </c>
      <c r="E410" s="530" t="s">
        <v>72</v>
      </c>
      <c r="F410" s="530">
        <v>150</v>
      </c>
      <c r="G410" s="530" t="s">
        <v>1181</v>
      </c>
      <c r="H410" s="530">
        <v>5</v>
      </c>
      <c r="I410" s="530"/>
      <c r="J410" s="530" t="s">
        <v>6210</v>
      </c>
      <c r="K410" s="530" t="s">
        <v>6231</v>
      </c>
      <c r="L410" s="530" t="s">
        <v>6232</v>
      </c>
      <c r="M410" s="228" t="s">
        <v>6252</v>
      </c>
      <c r="N410" s="530">
        <v>1</v>
      </c>
    </row>
    <row r="411" spans="1:14" ht="28.5" customHeight="1">
      <c r="A411" s="257" t="s">
        <v>648</v>
      </c>
      <c r="B411" s="531" t="s">
        <v>566</v>
      </c>
      <c r="C411" s="257" t="s">
        <v>650</v>
      </c>
      <c r="D411" s="530" t="s">
        <v>6214</v>
      </c>
      <c r="E411" s="530" t="s">
        <v>66</v>
      </c>
      <c r="F411" s="530">
        <v>140</v>
      </c>
      <c r="G411" s="530" t="s">
        <v>1181</v>
      </c>
      <c r="H411" s="530">
        <v>5</v>
      </c>
      <c r="I411" s="530"/>
      <c r="J411" s="530" t="s">
        <v>6210</v>
      </c>
      <c r="K411" s="530" t="s">
        <v>6211</v>
      </c>
      <c r="L411" s="530" t="s">
        <v>6212</v>
      </c>
      <c r="M411" s="228" t="s">
        <v>6252</v>
      </c>
      <c r="N411" s="530">
        <v>1</v>
      </c>
    </row>
    <row r="412" spans="1:14" ht="28.5" customHeight="1">
      <c r="A412" s="257" t="s">
        <v>648</v>
      </c>
      <c r="B412" s="531" t="s">
        <v>566</v>
      </c>
      <c r="C412" s="257" t="s">
        <v>650</v>
      </c>
      <c r="D412" s="530" t="s">
        <v>6214</v>
      </c>
      <c r="E412" s="530" t="s">
        <v>72</v>
      </c>
      <c r="F412" s="530">
        <v>150</v>
      </c>
      <c r="G412" s="530" t="s">
        <v>1181</v>
      </c>
      <c r="H412" s="530">
        <v>5</v>
      </c>
      <c r="I412" s="530"/>
      <c r="J412" s="530" t="s">
        <v>6210</v>
      </c>
      <c r="K412" s="530" t="s">
        <v>6231</v>
      </c>
      <c r="L412" s="530" t="s">
        <v>6232</v>
      </c>
      <c r="M412" s="228" t="s">
        <v>6252</v>
      </c>
      <c r="N412" s="530">
        <v>1</v>
      </c>
    </row>
    <row r="413" spans="1:14" ht="28.5" customHeight="1">
      <c r="A413" s="257" t="s">
        <v>652</v>
      </c>
      <c r="B413" s="531" t="s">
        <v>566</v>
      </c>
      <c r="C413" s="257" t="s">
        <v>654</v>
      </c>
      <c r="D413" s="530" t="s">
        <v>6214</v>
      </c>
      <c r="E413" s="530" t="s">
        <v>66</v>
      </c>
      <c r="F413" s="530">
        <v>140</v>
      </c>
      <c r="G413" s="530" t="s">
        <v>1181</v>
      </c>
      <c r="H413" s="530">
        <v>5</v>
      </c>
      <c r="I413" s="530"/>
      <c r="J413" s="530" t="s">
        <v>6210</v>
      </c>
      <c r="K413" s="530" t="s">
        <v>6211</v>
      </c>
      <c r="L413" s="530" t="s">
        <v>6212</v>
      </c>
      <c r="M413" s="228" t="s">
        <v>6252</v>
      </c>
      <c r="N413" s="530">
        <v>1</v>
      </c>
    </row>
    <row r="414" spans="1:14" ht="28.5" customHeight="1">
      <c r="A414" s="257" t="s">
        <v>652</v>
      </c>
      <c r="B414" s="531" t="s">
        <v>566</v>
      </c>
      <c r="C414" s="257" t="s">
        <v>654</v>
      </c>
      <c r="D414" s="530" t="s">
        <v>6214</v>
      </c>
      <c r="E414" s="530" t="s">
        <v>72</v>
      </c>
      <c r="F414" s="530">
        <v>150</v>
      </c>
      <c r="G414" s="530" t="s">
        <v>1181</v>
      </c>
      <c r="H414" s="530">
        <v>5</v>
      </c>
      <c r="I414" s="530"/>
      <c r="J414" s="530" t="s">
        <v>6210</v>
      </c>
      <c r="K414" s="530" t="s">
        <v>6231</v>
      </c>
      <c r="L414" s="530" t="s">
        <v>6232</v>
      </c>
      <c r="M414" s="228" t="s">
        <v>6252</v>
      </c>
      <c r="N414" s="530">
        <v>1</v>
      </c>
    </row>
    <row r="415" spans="1:14" ht="28.5" customHeight="1">
      <c r="A415" s="257" t="s">
        <v>656</v>
      </c>
      <c r="B415" s="531" t="s">
        <v>566</v>
      </c>
      <c r="C415" s="257" t="s">
        <v>658</v>
      </c>
      <c r="D415" s="530" t="s">
        <v>6214</v>
      </c>
      <c r="E415" s="530" t="s">
        <v>66</v>
      </c>
      <c r="F415" s="530">
        <v>95</v>
      </c>
      <c r="G415" s="530" t="s">
        <v>1181</v>
      </c>
      <c r="H415" s="530">
        <v>5</v>
      </c>
      <c r="I415" s="530"/>
      <c r="J415" s="530" t="s">
        <v>6210</v>
      </c>
      <c r="K415" s="530" t="s">
        <v>6211</v>
      </c>
      <c r="L415" s="530" t="s">
        <v>6212</v>
      </c>
      <c r="M415" s="228" t="s">
        <v>6253</v>
      </c>
      <c r="N415" s="530" t="s">
        <v>138</v>
      </c>
    </row>
    <row r="416" spans="1:14" ht="28.5" customHeight="1">
      <c r="A416" s="257" t="s">
        <v>656</v>
      </c>
      <c r="B416" s="531" t="s">
        <v>566</v>
      </c>
      <c r="C416" s="257" t="s">
        <v>658</v>
      </c>
      <c r="D416" s="530" t="s">
        <v>6214</v>
      </c>
      <c r="E416" s="530" t="s">
        <v>72</v>
      </c>
      <c r="F416" s="530">
        <v>100</v>
      </c>
      <c r="G416" s="530" t="s">
        <v>1181</v>
      </c>
      <c r="H416" s="530">
        <v>5</v>
      </c>
      <c r="I416" s="530"/>
      <c r="J416" s="530" t="s">
        <v>6210</v>
      </c>
      <c r="K416" s="530" t="s">
        <v>6231</v>
      </c>
      <c r="L416" s="530" t="s">
        <v>6232</v>
      </c>
      <c r="M416" s="228" t="s">
        <v>6252</v>
      </c>
      <c r="N416" s="530" t="s">
        <v>138</v>
      </c>
    </row>
    <row r="417" spans="1:14" ht="28.5" customHeight="1">
      <c r="A417" s="257" t="s">
        <v>660</v>
      </c>
      <c r="B417" s="531" t="s">
        <v>566</v>
      </c>
      <c r="C417" s="257" t="s">
        <v>662</v>
      </c>
      <c r="D417" s="530" t="s">
        <v>6214</v>
      </c>
      <c r="E417" s="530" t="s">
        <v>66</v>
      </c>
      <c r="F417" s="530">
        <v>95</v>
      </c>
      <c r="G417" s="530" t="s">
        <v>1181</v>
      </c>
      <c r="H417" s="530">
        <v>5</v>
      </c>
      <c r="I417" s="530"/>
      <c r="J417" s="530" t="s">
        <v>6210</v>
      </c>
      <c r="K417" s="530" t="s">
        <v>6211</v>
      </c>
      <c r="L417" s="530" t="s">
        <v>6212</v>
      </c>
      <c r="M417" s="228" t="s">
        <v>6253</v>
      </c>
      <c r="N417" s="530" t="s">
        <v>138</v>
      </c>
    </row>
    <row r="418" spans="1:14" ht="28.5" customHeight="1">
      <c r="A418" s="257" t="s">
        <v>660</v>
      </c>
      <c r="B418" s="531" t="s">
        <v>566</v>
      </c>
      <c r="C418" s="257" t="s">
        <v>662</v>
      </c>
      <c r="D418" s="530" t="s">
        <v>6214</v>
      </c>
      <c r="E418" s="530" t="s">
        <v>72</v>
      </c>
      <c r="F418" s="530">
        <v>100</v>
      </c>
      <c r="G418" s="530" t="s">
        <v>1181</v>
      </c>
      <c r="H418" s="530">
        <v>5</v>
      </c>
      <c r="I418" s="530"/>
      <c r="J418" s="530" t="s">
        <v>6210</v>
      </c>
      <c r="K418" s="530" t="s">
        <v>6231</v>
      </c>
      <c r="L418" s="530" t="s">
        <v>6232</v>
      </c>
      <c r="M418" s="228" t="s">
        <v>6252</v>
      </c>
      <c r="N418" s="530" t="s">
        <v>138</v>
      </c>
    </row>
    <row r="419" spans="1:14" ht="28.5" customHeight="1">
      <c r="A419" s="257" t="s">
        <v>664</v>
      </c>
      <c r="B419" s="531" t="s">
        <v>566</v>
      </c>
      <c r="C419" s="257" t="s">
        <v>666</v>
      </c>
      <c r="D419" s="530" t="s">
        <v>6214</v>
      </c>
      <c r="E419" s="530" t="s">
        <v>66</v>
      </c>
      <c r="F419" s="530">
        <v>140</v>
      </c>
      <c r="G419" s="530" t="s">
        <v>1181</v>
      </c>
      <c r="H419" s="530">
        <v>5</v>
      </c>
      <c r="I419" s="530"/>
      <c r="J419" s="530" t="s">
        <v>6210</v>
      </c>
      <c r="K419" s="530" t="s">
        <v>6211</v>
      </c>
      <c r="L419" s="530" t="s">
        <v>6212</v>
      </c>
      <c r="M419" s="228" t="s">
        <v>6252</v>
      </c>
      <c r="N419" s="530">
        <v>1</v>
      </c>
    </row>
    <row r="420" spans="1:14" ht="28.5" customHeight="1">
      <c r="A420" s="257" t="s">
        <v>664</v>
      </c>
      <c r="B420" s="531" t="s">
        <v>566</v>
      </c>
      <c r="C420" s="257" t="s">
        <v>666</v>
      </c>
      <c r="D420" s="530" t="s">
        <v>6214</v>
      </c>
      <c r="E420" s="530" t="s">
        <v>72</v>
      </c>
      <c r="F420" s="530">
        <v>150</v>
      </c>
      <c r="G420" s="530" t="s">
        <v>1181</v>
      </c>
      <c r="H420" s="530">
        <v>5</v>
      </c>
      <c r="I420" s="530"/>
      <c r="J420" s="530" t="s">
        <v>6210</v>
      </c>
      <c r="K420" s="530" t="s">
        <v>6231</v>
      </c>
      <c r="L420" s="530" t="s">
        <v>6232</v>
      </c>
      <c r="M420" s="228" t="s">
        <v>6252</v>
      </c>
      <c r="N420" s="530">
        <v>1</v>
      </c>
    </row>
    <row r="421" spans="1:14" ht="40.5" customHeight="1">
      <c r="A421" s="257" t="s">
        <v>668</v>
      </c>
      <c r="B421" s="531" t="s">
        <v>566</v>
      </c>
      <c r="C421" s="257" t="s">
        <v>670</v>
      </c>
      <c r="D421" s="530" t="s">
        <v>6214</v>
      </c>
      <c r="E421" s="530" t="s">
        <v>66</v>
      </c>
      <c r="F421" s="530">
        <v>140</v>
      </c>
      <c r="G421" s="530" t="s">
        <v>1181</v>
      </c>
      <c r="H421" s="530">
        <v>5</v>
      </c>
      <c r="I421" s="530"/>
      <c r="J421" s="530" t="s">
        <v>6210</v>
      </c>
      <c r="K421" s="530" t="s">
        <v>6211</v>
      </c>
      <c r="L421" s="530" t="s">
        <v>6212</v>
      </c>
      <c r="M421" s="228" t="s">
        <v>6252</v>
      </c>
      <c r="N421" s="530">
        <v>1</v>
      </c>
    </row>
    <row r="422" spans="1:14" ht="28.5">
      <c r="A422" s="257" t="s">
        <v>668</v>
      </c>
      <c r="B422" s="531" t="s">
        <v>566</v>
      </c>
      <c r="C422" s="257" t="s">
        <v>670</v>
      </c>
      <c r="D422" s="530" t="s">
        <v>6214</v>
      </c>
      <c r="E422" s="530" t="s">
        <v>72</v>
      </c>
      <c r="F422" s="530">
        <v>150</v>
      </c>
      <c r="G422" s="530" t="s">
        <v>1181</v>
      </c>
      <c r="H422" s="530">
        <v>5</v>
      </c>
      <c r="I422" s="530"/>
      <c r="J422" s="530" t="s">
        <v>6210</v>
      </c>
      <c r="K422" s="530" t="s">
        <v>6231</v>
      </c>
      <c r="L422" s="530" t="s">
        <v>6232</v>
      </c>
      <c r="M422" s="228" t="s">
        <v>6252</v>
      </c>
      <c r="N422" s="530">
        <v>1</v>
      </c>
    </row>
    <row r="423" spans="1:14" ht="28.5" customHeight="1">
      <c r="A423" s="257" t="s">
        <v>672</v>
      </c>
      <c r="B423" s="531" t="s">
        <v>566</v>
      </c>
      <c r="C423" s="257" t="s">
        <v>674</v>
      </c>
      <c r="D423" s="530" t="s">
        <v>6214</v>
      </c>
      <c r="E423" s="530" t="s">
        <v>66</v>
      </c>
      <c r="F423" s="530">
        <v>140</v>
      </c>
      <c r="G423" s="530" t="s">
        <v>1181</v>
      </c>
      <c r="H423" s="530">
        <v>5</v>
      </c>
      <c r="I423" s="530"/>
      <c r="J423" s="530" t="s">
        <v>6210</v>
      </c>
      <c r="K423" s="530" t="s">
        <v>6211</v>
      </c>
      <c r="L423" s="530" t="s">
        <v>6212</v>
      </c>
      <c r="M423" s="228" t="s">
        <v>6252</v>
      </c>
      <c r="N423" s="530">
        <v>1</v>
      </c>
    </row>
    <row r="424" spans="1:14" ht="28.5" customHeight="1">
      <c r="A424" s="257" t="s">
        <v>672</v>
      </c>
      <c r="B424" s="531" t="s">
        <v>566</v>
      </c>
      <c r="C424" s="257" t="s">
        <v>674</v>
      </c>
      <c r="D424" s="530" t="s">
        <v>6214</v>
      </c>
      <c r="E424" s="530" t="s">
        <v>72</v>
      </c>
      <c r="F424" s="530">
        <v>150</v>
      </c>
      <c r="G424" s="530" t="s">
        <v>1181</v>
      </c>
      <c r="H424" s="530">
        <v>5</v>
      </c>
      <c r="I424" s="530"/>
      <c r="J424" s="530" t="s">
        <v>6210</v>
      </c>
      <c r="K424" s="530" t="s">
        <v>6231</v>
      </c>
      <c r="L424" s="530" t="s">
        <v>6232</v>
      </c>
      <c r="M424" s="228" t="s">
        <v>6252</v>
      </c>
      <c r="N424" s="530">
        <v>1</v>
      </c>
    </row>
    <row r="425" spans="1:14" ht="28.5" customHeight="1">
      <c r="A425" s="257" t="s">
        <v>676</v>
      </c>
      <c r="B425" s="531" t="s">
        <v>566</v>
      </c>
      <c r="C425" s="257" t="s">
        <v>678</v>
      </c>
      <c r="D425" s="530" t="s">
        <v>6214</v>
      </c>
      <c r="E425" s="530" t="s">
        <v>66</v>
      </c>
      <c r="F425" s="530">
        <v>95</v>
      </c>
      <c r="G425" s="530" t="s">
        <v>1181</v>
      </c>
      <c r="H425" s="530">
        <v>5</v>
      </c>
      <c r="I425" s="530"/>
      <c r="J425" s="530" t="s">
        <v>6210</v>
      </c>
      <c r="K425" s="530" t="s">
        <v>6211</v>
      </c>
      <c r="L425" s="530" t="s">
        <v>6212</v>
      </c>
      <c r="M425" s="228" t="s">
        <v>6253</v>
      </c>
      <c r="N425" s="530" t="s">
        <v>138</v>
      </c>
    </row>
    <row r="426" spans="1:14" ht="28.5" customHeight="1">
      <c r="A426" s="257" t="s">
        <v>676</v>
      </c>
      <c r="B426" s="531" t="s">
        <v>566</v>
      </c>
      <c r="C426" s="257" t="s">
        <v>678</v>
      </c>
      <c r="D426" s="530" t="s">
        <v>6214</v>
      </c>
      <c r="E426" s="530" t="s">
        <v>72</v>
      </c>
      <c r="F426" s="530">
        <v>100</v>
      </c>
      <c r="G426" s="530" t="s">
        <v>1181</v>
      </c>
      <c r="H426" s="530">
        <v>5</v>
      </c>
      <c r="I426" s="530"/>
      <c r="J426" s="530" t="s">
        <v>6210</v>
      </c>
      <c r="K426" s="530" t="s">
        <v>6231</v>
      </c>
      <c r="L426" s="530" t="s">
        <v>6232</v>
      </c>
      <c r="M426" s="228" t="s">
        <v>6252</v>
      </c>
      <c r="N426" s="530" t="s">
        <v>138</v>
      </c>
    </row>
    <row r="427" spans="1:14" ht="28.5" customHeight="1">
      <c r="A427" s="257" t="s">
        <v>680</v>
      </c>
      <c r="B427" s="531" t="s">
        <v>566</v>
      </c>
      <c r="C427" s="257" t="s">
        <v>682</v>
      </c>
      <c r="D427" s="530" t="s">
        <v>6214</v>
      </c>
      <c r="E427" s="530" t="s">
        <v>66</v>
      </c>
      <c r="F427" s="530">
        <v>95</v>
      </c>
      <c r="G427" s="530" t="s">
        <v>1181</v>
      </c>
      <c r="H427" s="530">
        <v>5</v>
      </c>
      <c r="I427" s="530"/>
      <c r="J427" s="530" t="s">
        <v>6210</v>
      </c>
      <c r="K427" s="530" t="s">
        <v>6211</v>
      </c>
      <c r="L427" s="530" t="s">
        <v>6212</v>
      </c>
      <c r="M427" s="228" t="s">
        <v>6253</v>
      </c>
      <c r="N427" s="530" t="s">
        <v>138</v>
      </c>
    </row>
    <row r="428" spans="1:14" ht="28.5" customHeight="1">
      <c r="A428" s="257" t="s">
        <v>680</v>
      </c>
      <c r="B428" s="531" t="s">
        <v>566</v>
      </c>
      <c r="C428" s="257" t="s">
        <v>682</v>
      </c>
      <c r="D428" s="530" t="s">
        <v>6214</v>
      </c>
      <c r="E428" s="530" t="s">
        <v>72</v>
      </c>
      <c r="F428" s="530">
        <v>100</v>
      </c>
      <c r="G428" s="530" t="s">
        <v>1181</v>
      </c>
      <c r="H428" s="530">
        <v>5</v>
      </c>
      <c r="I428" s="530"/>
      <c r="J428" s="530" t="s">
        <v>6210</v>
      </c>
      <c r="K428" s="530" t="s">
        <v>6231</v>
      </c>
      <c r="L428" s="530" t="s">
        <v>6232</v>
      </c>
      <c r="M428" s="228" t="s">
        <v>6252</v>
      </c>
      <c r="N428" s="530" t="s">
        <v>138</v>
      </c>
    </row>
    <row r="429" spans="1:14" ht="28.5" customHeight="1">
      <c r="A429" s="257" t="s">
        <v>684</v>
      </c>
      <c r="B429" s="531" t="s">
        <v>566</v>
      </c>
      <c r="C429" s="257" t="s">
        <v>686</v>
      </c>
      <c r="D429" s="530" t="s">
        <v>6214</v>
      </c>
      <c r="E429" s="530" t="s">
        <v>66</v>
      </c>
      <c r="F429" s="530">
        <v>140</v>
      </c>
      <c r="G429" s="530" t="s">
        <v>1181</v>
      </c>
      <c r="H429" s="530">
        <v>5</v>
      </c>
      <c r="I429" s="530"/>
      <c r="J429" s="530" t="s">
        <v>6210</v>
      </c>
      <c r="K429" s="530" t="s">
        <v>6211</v>
      </c>
      <c r="L429" s="530" t="s">
        <v>6212</v>
      </c>
      <c r="M429" s="228" t="s">
        <v>6252</v>
      </c>
      <c r="N429" s="530">
        <v>1</v>
      </c>
    </row>
    <row r="430" spans="1:14" ht="28.5" customHeight="1">
      <c r="A430" s="257" t="s">
        <v>684</v>
      </c>
      <c r="B430" s="531" t="s">
        <v>566</v>
      </c>
      <c r="C430" s="257" t="s">
        <v>686</v>
      </c>
      <c r="D430" s="530" t="s">
        <v>6214</v>
      </c>
      <c r="E430" s="530" t="s">
        <v>72</v>
      </c>
      <c r="F430" s="530">
        <v>150</v>
      </c>
      <c r="G430" s="530" t="s">
        <v>1181</v>
      </c>
      <c r="H430" s="530">
        <v>5</v>
      </c>
      <c r="I430" s="530"/>
      <c r="J430" s="530" t="s">
        <v>6210</v>
      </c>
      <c r="K430" s="530" t="s">
        <v>6231</v>
      </c>
      <c r="L430" s="530" t="s">
        <v>6232</v>
      </c>
      <c r="M430" s="228" t="s">
        <v>6252</v>
      </c>
      <c r="N430" s="530">
        <v>1</v>
      </c>
    </row>
    <row r="431" spans="1:14" ht="28.5" customHeight="1">
      <c r="A431" s="257" t="s">
        <v>688</v>
      </c>
      <c r="B431" s="531" t="s">
        <v>566</v>
      </c>
      <c r="C431" s="257" t="s">
        <v>690</v>
      </c>
      <c r="D431" s="530" t="s">
        <v>6214</v>
      </c>
      <c r="E431" s="530" t="s">
        <v>66</v>
      </c>
      <c r="F431" s="530">
        <v>140</v>
      </c>
      <c r="G431" s="530" t="s">
        <v>1181</v>
      </c>
      <c r="H431" s="530">
        <v>5</v>
      </c>
      <c r="I431" s="530"/>
      <c r="J431" s="530" t="s">
        <v>6210</v>
      </c>
      <c r="K431" s="530" t="s">
        <v>6211</v>
      </c>
      <c r="L431" s="530" t="s">
        <v>6212</v>
      </c>
      <c r="M431" s="228" t="s">
        <v>6252</v>
      </c>
      <c r="N431" s="530">
        <v>1</v>
      </c>
    </row>
    <row r="432" spans="1:14" ht="28.5" customHeight="1">
      <c r="A432" s="257" t="s">
        <v>688</v>
      </c>
      <c r="B432" s="531" t="s">
        <v>566</v>
      </c>
      <c r="C432" s="257" t="s">
        <v>690</v>
      </c>
      <c r="D432" s="530" t="s">
        <v>6214</v>
      </c>
      <c r="E432" s="530" t="s">
        <v>72</v>
      </c>
      <c r="F432" s="530">
        <v>150</v>
      </c>
      <c r="G432" s="530" t="s">
        <v>1181</v>
      </c>
      <c r="H432" s="530">
        <v>5</v>
      </c>
      <c r="I432" s="530"/>
      <c r="J432" s="530" t="s">
        <v>6210</v>
      </c>
      <c r="K432" s="530" t="s">
        <v>6231</v>
      </c>
      <c r="L432" s="530" t="s">
        <v>6232</v>
      </c>
      <c r="M432" s="228" t="s">
        <v>6252</v>
      </c>
      <c r="N432" s="530">
        <v>1</v>
      </c>
    </row>
    <row r="433" spans="1:14" ht="28.5" customHeight="1">
      <c r="A433" s="257" t="s">
        <v>692</v>
      </c>
      <c r="B433" s="531" t="s">
        <v>566</v>
      </c>
      <c r="C433" s="257" t="s">
        <v>694</v>
      </c>
      <c r="D433" s="530" t="s">
        <v>6214</v>
      </c>
      <c r="E433" s="530" t="s">
        <v>66</v>
      </c>
      <c r="F433" s="530">
        <v>140</v>
      </c>
      <c r="G433" s="530" t="s">
        <v>1181</v>
      </c>
      <c r="H433" s="530">
        <v>5</v>
      </c>
      <c r="I433" s="530"/>
      <c r="J433" s="530" t="s">
        <v>6210</v>
      </c>
      <c r="K433" s="530" t="s">
        <v>6211</v>
      </c>
      <c r="L433" s="530" t="s">
        <v>6212</v>
      </c>
      <c r="M433" s="228" t="s">
        <v>6252</v>
      </c>
      <c r="N433" s="530">
        <v>1</v>
      </c>
    </row>
    <row r="434" spans="1:14" ht="28.5" customHeight="1">
      <c r="A434" s="257" t="s">
        <v>692</v>
      </c>
      <c r="B434" s="531" t="s">
        <v>566</v>
      </c>
      <c r="C434" s="257" t="s">
        <v>694</v>
      </c>
      <c r="D434" s="530" t="s">
        <v>6214</v>
      </c>
      <c r="E434" s="530" t="s">
        <v>72</v>
      </c>
      <c r="F434" s="530">
        <v>150</v>
      </c>
      <c r="G434" s="530" t="s">
        <v>1181</v>
      </c>
      <c r="H434" s="530">
        <v>5</v>
      </c>
      <c r="I434" s="530"/>
      <c r="J434" s="530" t="s">
        <v>6210</v>
      </c>
      <c r="K434" s="530" t="s">
        <v>6231</v>
      </c>
      <c r="L434" s="530" t="s">
        <v>6232</v>
      </c>
      <c r="M434" s="228" t="s">
        <v>6252</v>
      </c>
      <c r="N434" s="530">
        <v>1</v>
      </c>
    </row>
    <row r="435" spans="1:14" ht="28.5" customHeight="1">
      <c r="A435" s="257" t="s">
        <v>696</v>
      </c>
      <c r="B435" s="531" t="s">
        <v>566</v>
      </c>
      <c r="C435" s="257" t="s">
        <v>698</v>
      </c>
      <c r="D435" s="530" t="s">
        <v>6214</v>
      </c>
      <c r="E435" s="530" t="s">
        <v>66</v>
      </c>
      <c r="F435" s="530">
        <v>95</v>
      </c>
      <c r="G435" s="530" t="s">
        <v>1181</v>
      </c>
      <c r="H435" s="530">
        <v>5</v>
      </c>
      <c r="I435" s="530"/>
      <c r="J435" s="530" t="s">
        <v>6210</v>
      </c>
      <c r="K435" s="530" t="s">
        <v>6211</v>
      </c>
      <c r="L435" s="530" t="s">
        <v>6212</v>
      </c>
      <c r="M435" s="228" t="s">
        <v>6253</v>
      </c>
      <c r="N435" s="530" t="s">
        <v>138</v>
      </c>
    </row>
    <row r="436" spans="1:14" ht="28.5" customHeight="1">
      <c r="A436" s="257" t="s">
        <v>696</v>
      </c>
      <c r="B436" s="531" t="s">
        <v>566</v>
      </c>
      <c r="C436" s="257" t="s">
        <v>698</v>
      </c>
      <c r="D436" s="530" t="s">
        <v>6214</v>
      </c>
      <c r="E436" s="530" t="s">
        <v>72</v>
      </c>
      <c r="F436" s="530">
        <v>100</v>
      </c>
      <c r="G436" s="530" t="s">
        <v>1181</v>
      </c>
      <c r="H436" s="530">
        <v>5</v>
      </c>
      <c r="I436" s="530"/>
      <c r="J436" s="530" t="s">
        <v>6210</v>
      </c>
      <c r="K436" s="530" t="s">
        <v>6231</v>
      </c>
      <c r="L436" s="530" t="s">
        <v>6232</v>
      </c>
      <c r="M436" s="228" t="s">
        <v>6252</v>
      </c>
      <c r="N436" s="530" t="s">
        <v>138</v>
      </c>
    </row>
    <row r="437" spans="1:14" ht="28.5" customHeight="1">
      <c r="A437" s="257" t="s">
        <v>700</v>
      </c>
      <c r="B437" s="531" t="s">
        <v>566</v>
      </c>
      <c r="C437" s="257" t="s">
        <v>702</v>
      </c>
      <c r="D437" s="530" t="s">
        <v>6214</v>
      </c>
      <c r="E437" s="530" t="s">
        <v>66</v>
      </c>
      <c r="F437" s="530">
        <v>95</v>
      </c>
      <c r="G437" s="530" t="s">
        <v>1181</v>
      </c>
      <c r="H437" s="530">
        <v>5</v>
      </c>
      <c r="I437" s="530"/>
      <c r="J437" s="530" t="s">
        <v>6210</v>
      </c>
      <c r="K437" s="530" t="s">
        <v>6211</v>
      </c>
      <c r="L437" s="530" t="s">
        <v>6212</v>
      </c>
      <c r="M437" s="228" t="s">
        <v>6253</v>
      </c>
      <c r="N437" s="530" t="s">
        <v>138</v>
      </c>
    </row>
    <row r="438" spans="1:14" ht="28.5" customHeight="1">
      <c r="A438" s="257" t="s">
        <v>700</v>
      </c>
      <c r="B438" s="531" t="s">
        <v>566</v>
      </c>
      <c r="C438" s="257" t="s">
        <v>702</v>
      </c>
      <c r="D438" s="530" t="s">
        <v>6214</v>
      </c>
      <c r="E438" s="530" t="s">
        <v>72</v>
      </c>
      <c r="F438" s="530">
        <v>100</v>
      </c>
      <c r="G438" s="530" t="s">
        <v>1181</v>
      </c>
      <c r="H438" s="530">
        <v>5</v>
      </c>
      <c r="I438" s="530"/>
      <c r="J438" s="530" t="s">
        <v>6210</v>
      </c>
      <c r="K438" s="530" t="s">
        <v>6231</v>
      </c>
      <c r="L438" s="530" t="s">
        <v>6232</v>
      </c>
      <c r="M438" s="228" t="s">
        <v>6252</v>
      </c>
      <c r="N438" s="530" t="s">
        <v>138</v>
      </c>
    </row>
    <row r="439" spans="1:14" ht="28.5" customHeight="1">
      <c r="A439" s="257" t="s">
        <v>704</v>
      </c>
      <c r="B439" s="531" t="s">
        <v>566</v>
      </c>
      <c r="C439" s="257" t="s">
        <v>706</v>
      </c>
      <c r="D439" s="530" t="s">
        <v>6214</v>
      </c>
      <c r="E439" s="530" t="s">
        <v>66</v>
      </c>
      <c r="F439" s="530">
        <v>140</v>
      </c>
      <c r="G439" s="530" t="s">
        <v>1181</v>
      </c>
      <c r="H439" s="530">
        <v>5</v>
      </c>
      <c r="I439" s="530"/>
      <c r="J439" s="530" t="s">
        <v>6210</v>
      </c>
      <c r="K439" s="530" t="s">
        <v>6211</v>
      </c>
      <c r="L439" s="530" t="s">
        <v>6212</v>
      </c>
      <c r="M439" s="228" t="s">
        <v>6252</v>
      </c>
      <c r="N439" s="530">
        <v>1</v>
      </c>
    </row>
    <row r="440" spans="1:14" ht="28.5" customHeight="1">
      <c r="A440" s="257" t="s">
        <v>704</v>
      </c>
      <c r="B440" s="531" t="s">
        <v>566</v>
      </c>
      <c r="C440" s="257" t="s">
        <v>706</v>
      </c>
      <c r="D440" s="530" t="s">
        <v>6214</v>
      </c>
      <c r="E440" s="530" t="s">
        <v>72</v>
      </c>
      <c r="F440" s="530">
        <v>150</v>
      </c>
      <c r="G440" s="530" t="s">
        <v>1181</v>
      </c>
      <c r="H440" s="530">
        <v>5</v>
      </c>
      <c r="I440" s="530"/>
      <c r="J440" s="530" t="s">
        <v>6210</v>
      </c>
      <c r="K440" s="530" t="s">
        <v>6231</v>
      </c>
      <c r="L440" s="530" t="s">
        <v>6232</v>
      </c>
      <c r="M440" s="228" t="s">
        <v>6252</v>
      </c>
      <c r="N440" s="530">
        <v>1</v>
      </c>
    </row>
    <row r="441" spans="1:14" ht="28.5" customHeight="1">
      <c r="A441" s="257" t="s">
        <v>708</v>
      </c>
      <c r="B441" s="531" t="s">
        <v>566</v>
      </c>
      <c r="C441" s="257" t="s">
        <v>710</v>
      </c>
      <c r="D441" s="530" t="s">
        <v>6214</v>
      </c>
      <c r="E441" s="530" t="s">
        <v>66</v>
      </c>
      <c r="F441" s="530">
        <v>140</v>
      </c>
      <c r="G441" s="530" t="s">
        <v>1181</v>
      </c>
      <c r="H441" s="530">
        <v>5</v>
      </c>
      <c r="I441" s="530"/>
      <c r="J441" s="530" t="s">
        <v>6210</v>
      </c>
      <c r="K441" s="530" t="s">
        <v>6211</v>
      </c>
      <c r="L441" s="530" t="s">
        <v>6212</v>
      </c>
      <c r="M441" s="228" t="s">
        <v>6252</v>
      </c>
      <c r="N441" s="530">
        <v>1</v>
      </c>
    </row>
    <row r="442" spans="1:14" ht="28.5" customHeight="1">
      <c r="A442" s="257" t="s">
        <v>708</v>
      </c>
      <c r="B442" s="531" t="s">
        <v>566</v>
      </c>
      <c r="C442" s="257" t="s">
        <v>710</v>
      </c>
      <c r="D442" s="530" t="s">
        <v>6214</v>
      </c>
      <c r="E442" s="530" t="s">
        <v>72</v>
      </c>
      <c r="F442" s="530">
        <v>150</v>
      </c>
      <c r="G442" s="530" t="s">
        <v>1181</v>
      </c>
      <c r="H442" s="530">
        <v>5</v>
      </c>
      <c r="I442" s="530"/>
      <c r="J442" s="530" t="s">
        <v>6210</v>
      </c>
      <c r="K442" s="530" t="s">
        <v>6231</v>
      </c>
      <c r="L442" s="530" t="s">
        <v>6232</v>
      </c>
      <c r="M442" s="228" t="s">
        <v>6252</v>
      </c>
      <c r="N442" s="530">
        <v>1</v>
      </c>
    </row>
    <row r="443" spans="1:14" ht="28.5" customHeight="1">
      <c r="A443" s="257" t="s">
        <v>712</v>
      </c>
      <c r="B443" s="531" t="s">
        <v>566</v>
      </c>
      <c r="C443" s="257" t="s">
        <v>714</v>
      </c>
      <c r="D443" s="530" t="s">
        <v>6214</v>
      </c>
      <c r="E443" s="530" t="s">
        <v>66</v>
      </c>
      <c r="F443" s="530">
        <v>140</v>
      </c>
      <c r="G443" s="530" t="s">
        <v>1181</v>
      </c>
      <c r="H443" s="530">
        <v>5</v>
      </c>
      <c r="I443" s="530"/>
      <c r="J443" s="530" t="s">
        <v>6210</v>
      </c>
      <c r="K443" s="530" t="s">
        <v>6211</v>
      </c>
      <c r="L443" s="530" t="s">
        <v>6212</v>
      </c>
      <c r="M443" s="228" t="s">
        <v>6252</v>
      </c>
      <c r="N443" s="530">
        <v>1</v>
      </c>
    </row>
    <row r="444" spans="1:14" ht="28.5" customHeight="1">
      <c r="A444" s="257" t="s">
        <v>712</v>
      </c>
      <c r="B444" s="531" t="s">
        <v>566</v>
      </c>
      <c r="C444" s="257" t="s">
        <v>714</v>
      </c>
      <c r="D444" s="530" t="s">
        <v>6214</v>
      </c>
      <c r="E444" s="530" t="s">
        <v>72</v>
      </c>
      <c r="F444" s="530">
        <v>150</v>
      </c>
      <c r="G444" s="530" t="s">
        <v>1181</v>
      </c>
      <c r="H444" s="530">
        <v>5</v>
      </c>
      <c r="I444" s="530"/>
      <c r="J444" s="530" t="s">
        <v>6210</v>
      </c>
      <c r="K444" s="530" t="s">
        <v>6231</v>
      </c>
      <c r="L444" s="530" t="s">
        <v>6232</v>
      </c>
      <c r="M444" s="228" t="s">
        <v>6252</v>
      </c>
      <c r="N444" s="530">
        <v>1</v>
      </c>
    </row>
    <row r="445" spans="1:14" ht="28.5" customHeight="1">
      <c r="A445" s="257" t="s">
        <v>716</v>
      </c>
      <c r="B445" s="531" t="s">
        <v>566</v>
      </c>
      <c r="C445" s="257" t="s">
        <v>718</v>
      </c>
      <c r="D445" s="530" t="s">
        <v>6214</v>
      </c>
      <c r="E445" s="530" t="s">
        <v>66</v>
      </c>
      <c r="F445" s="530">
        <v>95</v>
      </c>
      <c r="G445" s="530" t="s">
        <v>1181</v>
      </c>
      <c r="H445" s="530">
        <v>5</v>
      </c>
      <c r="I445" s="530"/>
      <c r="J445" s="530" t="s">
        <v>6210</v>
      </c>
      <c r="K445" s="530" t="s">
        <v>6211</v>
      </c>
      <c r="L445" s="530" t="s">
        <v>6212</v>
      </c>
      <c r="M445" s="228" t="s">
        <v>6253</v>
      </c>
      <c r="N445" s="530" t="s">
        <v>138</v>
      </c>
    </row>
    <row r="446" spans="1:14" ht="28.5" customHeight="1">
      <c r="A446" s="257" t="s">
        <v>716</v>
      </c>
      <c r="B446" s="531" t="s">
        <v>566</v>
      </c>
      <c r="C446" s="257" t="s">
        <v>718</v>
      </c>
      <c r="D446" s="530" t="s">
        <v>6214</v>
      </c>
      <c r="E446" s="530" t="s">
        <v>72</v>
      </c>
      <c r="F446" s="530">
        <v>100</v>
      </c>
      <c r="G446" s="530" t="s">
        <v>1181</v>
      </c>
      <c r="H446" s="530">
        <v>5</v>
      </c>
      <c r="I446" s="530"/>
      <c r="J446" s="530" t="s">
        <v>6210</v>
      </c>
      <c r="K446" s="530" t="s">
        <v>6231</v>
      </c>
      <c r="L446" s="530" t="s">
        <v>6232</v>
      </c>
      <c r="M446" s="228" t="s">
        <v>6252</v>
      </c>
      <c r="N446" s="530" t="s">
        <v>138</v>
      </c>
    </row>
    <row r="447" spans="1:14" ht="28.5" customHeight="1">
      <c r="A447" s="257" t="s">
        <v>720</v>
      </c>
      <c r="B447" s="531" t="s">
        <v>566</v>
      </c>
      <c r="C447" s="257" t="s">
        <v>722</v>
      </c>
      <c r="D447" s="530" t="s">
        <v>6214</v>
      </c>
      <c r="E447" s="530" t="s">
        <v>66</v>
      </c>
      <c r="F447" s="530">
        <v>95</v>
      </c>
      <c r="G447" s="530" t="s">
        <v>1181</v>
      </c>
      <c r="H447" s="530">
        <v>5</v>
      </c>
      <c r="I447" s="530"/>
      <c r="J447" s="530" t="s">
        <v>6210</v>
      </c>
      <c r="K447" s="530" t="s">
        <v>6211</v>
      </c>
      <c r="L447" s="530" t="s">
        <v>6212</v>
      </c>
      <c r="M447" s="228" t="s">
        <v>6253</v>
      </c>
      <c r="N447" s="530" t="s">
        <v>138</v>
      </c>
    </row>
    <row r="448" spans="1:14" ht="28.5" customHeight="1">
      <c r="A448" s="257" t="s">
        <v>720</v>
      </c>
      <c r="B448" s="531" t="s">
        <v>566</v>
      </c>
      <c r="C448" s="257" t="s">
        <v>722</v>
      </c>
      <c r="D448" s="530" t="s">
        <v>6214</v>
      </c>
      <c r="E448" s="530" t="s">
        <v>72</v>
      </c>
      <c r="F448" s="530">
        <v>100</v>
      </c>
      <c r="G448" s="530" t="s">
        <v>1181</v>
      </c>
      <c r="H448" s="530">
        <v>5</v>
      </c>
      <c r="I448" s="530"/>
      <c r="J448" s="530" t="s">
        <v>6210</v>
      </c>
      <c r="K448" s="530" t="s">
        <v>6231</v>
      </c>
      <c r="L448" s="530" t="s">
        <v>6232</v>
      </c>
      <c r="M448" s="228" t="s">
        <v>6252</v>
      </c>
      <c r="N448" s="530" t="s">
        <v>138</v>
      </c>
    </row>
    <row r="449" spans="1:14" ht="28.5" customHeight="1">
      <c r="A449" s="257" t="s">
        <v>724</v>
      </c>
      <c r="B449" s="531" t="s">
        <v>566</v>
      </c>
      <c r="C449" s="257" t="s">
        <v>726</v>
      </c>
      <c r="D449" s="530" t="s">
        <v>6214</v>
      </c>
      <c r="E449" s="530" t="s">
        <v>66</v>
      </c>
      <c r="F449" s="530">
        <v>140</v>
      </c>
      <c r="G449" s="530" t="s">
        <v>1181</v>
      </c>
      <c r="H449" s="530">
        <v>5</v>
      </c>
      <c r="I449" s="530"/>
      <c r="J449" s="530" t="s">
        <v>6210</v>
      </c>
      <c r="K449" s="530" t="s">
        <v>6211</v>
      </c>
      <c r="L449" s="530" t="s">
        <v>6212</v>
      </c>
      <c r="M449" s="228" t="s">
        <v>6252</v>
      </c>
      <c r="N449" s="530">
        <v>1</v>
      </c>
    </row>
    <row r="450" spans="1:14" ht="28.5">
      <c r="A450" s="257" t="s">
        <v>724</v>
      </c>
      <c r="B450" s="531" t="s">
        <v>566</v>
      </c>
      <c r="C450" s="257" t="s">
        <v>726</v>
      </c>
      <c r="D450" s="530" t="s">
        <v>6214</v>
      </c>
      <c r="E450" s="530" t="s">
        <v>72</v>
      </c>
      <c r="F450" s="530">
        <v>150</v>
      </c>
      <c r="G450" s="530" t="s">
        <v>1181</v>
      </c>
      <c r="H450" s="530">
        <v>5</v>
      </c>
      <c r="I450" s="530"/>
      <c r="J450" s="530" t="s">
        <v>6210</v>
      </c>
      <c r="K450" s="530" t="s">
        <v>6231</v>
      </c>
      <c r="L450" s="530" t="s">
        <v>6232</v>
      </c>
      <c r="M450" s="228" t="s">
        <v>6252</v>
      </c>
      <c r="N450" s="530">
        <v>1</v>
      </c>
    </row>
    <row r="451" spans="1:14" ht="28.5">
      <c r="A451" s="257" t="s">
        <v>728</v>
      </c>
      <c r="B451" s="531" t="s">
        <v>566</v>
      </c>
      <c r="C451" s="257" t="s">
        <v>730</v>
      </c>
      <c r="D451" s="530" t="s">
        <v>6214</v>
      </c>
      <c r="E451" s="530" t="s">
        <v>66</v>
      </c>
      <c r="F451" s="530">
        <v>140</v>
      </c>
      <c r="G451" s="530" t="s">
        <v>1181</v>
      </c>
      <c r="H451" s="530">
        <v>5</v>
      </c>
      <c r="I451" s="530"/>
      <c r="J451" s="530" t="s">
        <v>6210</v>
      </c>
      <c r="K451" s="530" t="s">
        <v>6211</v>
      </c>
      <c r="L451" s="530" t="s">
        <v>6212</v>
      </c>
      <c r="M451" s="228" t="s">
        <v>6252</v>
      </c>
      <c r="N451" s="530">
        <v>1</v>
      </c>
    </row>
    <row r="452" spans="1:14" ht="28.5">
      <c r="A452" s="257" t="s">
        <v>728</v>
      </c>
      <c r="B452" s="531" t="s">
        <v>566</v>
      </c>
      <c r="C452" s="257" t="s">
        <v>730</v>
      </c>
      <c r="D452" s="530" t="s">
        <v>6214</v>
      </c>
      <c r="E452" s="530" t="s">
        <v>72</v>
      </c>
      <c r="F452" s="530">
        <v>150</v>
      </c>
      <c r="G452" s="530" t="s">
        <v>1181</v>
      </c>
      <c r="H452" s="530">
        <v>5</v>
      </c>
      <c r="I452" s="530"/>
      <c r="J452" s="530" t="s">
        <v>6210</v>
      </c>
      <c r="K452" s="530" t="s">
        <v>6231</v>
      </c>
      <c r="L452" s="530" t="s">
        <v>6232</v>
      </c>
      <c r="M452" s="228" t="s">
        <v>6252</v>
      </c>
      <c r="N452" s="530">
        <v>1</v>
      </c>
    </row>
    <row r="453" spans="1:14" ht="28.5">
      <c r="A453" s="257" t="s">
        <v>732</v>
      </c>
      <c r="B453" s="531" t="s">
        <v>566</v>
      </c>
      <c r="C453" s="257" t="s">
        <v>734</v>
      </c>
      <c r="D453" s="530" t="s">
        <v>6214</v>
      </c>
      <c r="E453" s="530" t="s">
        <v>66</v>
      </c>
      <c r="F453" s="530">
        <v>140</v>
      </c>
      <c r="G453" s="530" t="s">
        <v>1181</v>
      </c>
      <c r="H453" s="530">
        <v>5</v>
      </c>
      <c r="I453" s="530"/>
      <c r="J453" s="530" t="s">
        <v>6210</v>
      </c>
      <c r="K453" s="530" t="s">
        <v>6211</v>
      </c>
      <c r="L453" s="530" t="s">
        <v>6212</v>
      </c>
      <c r="M453" s="228" t="s">
        <v>6252</v>
      </c>
      <c r="N453" s="530">
        <v>1</v>
      </c>
    </row>
    <row r="454" spans="1:14" ht="28.5">
      <c r="A454" s="257" t="s">
        <v>732</v>
      </c>
      <c r="B454" s="531" t="s">
        <v>566</v>
      </c>
      <c r="C454" s="257" t="s">
        <v>734</v>
      </c>
      <c r="D454" s="530" t="s">
        <v>6214</v>
      </c>
      <c r="E454" s="530" t="s">
        <v>72</v>
      </c>
      <c r="F454" s="530">
        <v>150</v>
      </c>
      <c r="G454" s="530" t="s">
        <v>1181</v>
      </c>
      <c r="H454" s="530">
        <v>5</v>
      </c>
      <c r="I454" s="530"/>
      <c r="J454" s="530" t="s">
        <v>6210</v>
      </c>
      <c r="K454" s="530" t="s">
        <v>6231</v>
      </c>
      <c r="L454" s="530" t="s">
        <v>6232</v>
      </c>
      <c r="M454" s="228" t="s">
        <v>6252</v>
      </c>
      <c r="N454" s="530">
        <v>1</v>
      </c>
    </row>
    <row r="455" spans="1:14" ht="28.5">
      <c r="A455" s="257" t="s">
        <v>736</v>
      </c>
      <c r="B455" s="531" t="s">
        <v>566</v>
      </c>
      <c r="C455" s="257" t="s">
        <v>738</v>
      </c>
      <c r="D455" s="530" t="s">
        <v>6214</v>
      </c>
      <c r="E455" s="530" t="s">
        <v>66</v>
      </c>
      <c r="F455" s="530">
        <v>95</v>
      </c>
      <c r="G455" s="530" t="s">
        <v>1181</v>
      </c>
      <c r="H455" s="530">
        <v>5</v>
      </c>
      <c r="I455" s="530"/>
      <c r="J455" s="530" t="s">
        <v>6210</v>
      </c>
      <c r="K455" s="530" t="s">
        <v>6211</v>
      </c>
      <c r="L455" s="530" t="s">
        <v>6212</v>
      </c>
      <c r="M455" s="228" t="s">
        <v>6253</v>
      </c>
      <c r="N455" s="530" t="s">
        <v>138</v>
      </c>
    </row>
    <row r="456" spans="1:14" ht="28.5">
      <c r="A456" s="257" t="s">
        <v>736</v>
      </c>
      <c r="B456" s="531" t="s">
        <v>566</v>
      </c>
      <c r="C456" s="257" t="s">
        <v>738</v>
      </c>
      <c r="D456" s="530" t="s">
        <v>6214</v>
      </c>
      <c r="E456" s="530" t="s">
        <v>72</v>
      </c>
      <c r="F456" s="530">
        <v>100</v>
      </c>
      <c r="G456" s="530" t="s">
        <v>1181</v>
      </c>
      <c r="H456" s="530">
        <v>5</v>
      </c>
      <c r="I456" s="530"/>
      <c r="J456" s="530" t="s">
        <v>6210</v>
      </c>
      <c r="K456" s="530" t="s">
        <v>6231</v>
      </c>
      <c r="L456" s="530" t="s">
        <v>6232</v>
      </c>
      <c r="M456" s="228" t="s">
        <v>6252</v>
      </c>
      <c r="N456" s="530" t="s">
        <v>138</v>
      </c>
    </row>
    <row r="457" spans="1:14" ht="111.75" customHeight="1">
      <c r="A457" s="257" t="s">
        <v>740</v>
      </c>
      <c r="B457" s="531" t="s">
        <v>566</v>
      </c>
      <c r="C457" s="257" t="s">
        <v>742</v>
      </c>
      <c r="D457" s="530" t="s">
        <v>6214</v>
      </c>
      <c r="E457" s="530" t="s">
        <v>66</v>
      </c>
      <c r="F457" s="530">
        <v>95</v>
      </c>
      <c r="G457" s="530" t="s">
        <v>1181</v>
      </c>
      <c r="H457" s="530">
        <v>5</v>
      </c>
      <c r="I457" s="530"/>
      <c r="J457" s="530" t="s">
        <v>6210</v>
      </c>
      <c r="K457" s="530" t="s">
        <v>6211</v>
      </c>
      <c r="L457" s="530" t="s">
        <v>6212</v>
      </c>
      <c r="M457" s="228" t="s">
        <v>6253</v>
      </c>
      <c r="N457" s="530" t="s">
        <v>138</v>
      </c>
    </row>
    <row r="458" spans="1:14" ht="109.5" customHeight="1">
      <c r="A458" s="257" t="s">
        <v>740</v>
      </c>
      <c r="B458" s="531" t="s">
        <v>566</v>
      </c>
      <c r="C458" s="257" t="s">
        <v>742</v>
      </c>
      <c r="D458" s="530" t="s">
        <v>6214</v>
      </c>
      <c r="E458" s="530" t="s">
        <v>72</v>
      </c>
      <c r="F458" s="530">
        <v>100</v>
      </c>
      <c r="G458" s="530" t="s">
        <v>1181</v>
      </c>
      <c r="H458" s="530">
        <v>5</v>
      </c>
      <c r="I458" s="530"/>
      <c r="J458" s="530" t="s">
        <v>6210</v>
      </c>
      <c r="K458" s="530" t="s">
        <v>6231</v>
      </c>
      <c r="L458" s="530" t="s">
        <v>6232</v>
      </c>
      <c r="M458" s="228" t="s">
        <v>6252</v>
      </c>
      <c r="N458" s="530" t="s">
        <v>138</v>
      </c>
    </row>
    <row r="459" spans="1:14" ht="28.5" customHeight="1">
      <c r="A459" s="741" t="s">
        <v>2149</v>
      </c>
      <c r="B459" s="531" t="s">
        <v>745</v>
      </c>
      <c r="C459" s="257" t="s">
        <v>2151</v>
      </c>
      <c r="D459" s="530" t="s">
        <v>6209</v>
      </c>
      <c r="E459" s="530" t="s">
        <v>2095</v>
      </c>
      <c r="F459" s="530"/>
      <c r="G459" s="530"/>
      <c r="H459" s="530">
        <v>0</v>
      </c>
      <c r="I459" s="530"/>
      <c r="J459" s="530" t="s">
        <v>6216</v>
      </c>
      <c r="K459" s="530" t="s">
        <v>6217</v>
      </c>
      <c r="L459" s="530" t="s">
        <v>6218</v>
      </c>
      <c r="M459" s="228" t="s">
        <v>6335</v>
      </c>
      <c r="N459" s="742">
        <v>2</v>
      </c>
    </row>
    <row r="460" spans="1:14" ht="28.5" customHeight="1">
      <c r="A460" s="741" t="s">
        <v>2133</v>
      </c>
      <c r="B460" s="531" t="s">
        <v>745</v>
      </c>
      <c r="C460" s="257" t="s">
        <v>2135</v>
      </c>
      <c r="D460" s="530" t="s">
        <v>6209</v>
      </c>
      <c r="E460" s="530" t="s">
        <v>2095</v>
      </c>
      <c r="F460" s="530"/>
      <c r="G460" s="530"/>
      <c r="H460" s="530">
        <v>0</v>
      </c>
      <c r="I460" s="530"/>
      <c r="J460" s="530" t="s">
        <v>6210</v>
      </c>
      <c r="K460" s="530" t="s">
        <v>6220</v>
      </c>
      <c r="L460" s="530" t="s">
        <v>6221</v>
      </c>
      <c r="M460" s="228" t="s">
        <v>6222</v>
      </c>
      <c r="N460" s="742">
        <v>2</v>
      </c>
    </row>
    <row r="461" spans="1:14" ht="28.5" customHeight="1">
      <c r="A461" s="741" t="s">
        <v>2125</v>
      </c>
      <c r="B461" s="531" t="s">
        <v>745</v>
      </c>
      <c r="C461" s="257" t="s">
        <v>2127</v>
      </c>
      <c r="D461" s="530" t="s">
        <v>6209</v>
      </c>
      <c r="E461" s="530" t="s">
        <v>2095</v>
      </c>
      <c r="F461" s="530"/>
      <c r="G461" s="530"/>
      <c r="H461" s="530">
        <v>0</v>
      </c>
      <c r="I461" s="530"/>
      <c r="J461" s="530" t="s">
        <v>6216</v>
      </c>
      <c r="K461" s="530" t="s">
        <v>6211</v>
      </c>
      <c r="L461" s="530" t="s">
        <v>6218</v>
      </c>
      <c r="M461" s="228" t="s">
        <v>6224</v>
      </c>
      <c r="N461" s="742">
        <v>2</v>
      </c>
    </row>
    <row r="462" spans="1:14" ht="28.5" customHeight="1">
      <c r="A462" s="741" t="s">
        <v>3077</v>
      </c>
      <c r="B462" s="531" t="s">
        <v>745</v>
      </c>
      <c r="C462" s="257" t="s">
        <v>3079</v>
      </c>
      <c r="D462" s="530" t="s">
        <v>6209</v>
      </c>
      <c r="E462" s="530" t="s">
        <v>2095</v>
      </c>
      <c r="F462" s="530"/>
      <c r="G462" s="530"/>
      <c r="H462" s="530">
        <v>0</v>
      </c>
      <c r="I462" s="530"/>
      <c r="J462" s="530" t="s">
        <v>6216</v>
      </c>
      <c r="K462" s="530" t="s">
        <v>6211</v>
      </c>
      <c r="L462" s="530" t="s">
        <v>6218</v>
      </c>
      <c r="M462" s="228" t="s">
        <v>6224</v>
      </c>
      <c r="N462" s="742">
        <v>2</v>
      </c>
    </row>
    <row r="463" spans="1:14" ht="28.5" customHeight="1">
      <c r="A463" s="257" t="s">
        <v>3069</v>
      </c>
      <c r="B463" s="531" t="s">
        <v>745</v>
      </c>
      <c r="C463" s="257" t="s">
        <v>3071</v>
      </c>
      <c r="D463" s="530" t="s">
        <v>6209</v>
      </c>
      <c r="E463" s="530" t="s">
        <v>2095</v>
      </c>
      <c r="F463" s="530"/>
      <c r="G463" s="530"/>
      <c r="H463" s="530">
        <v>0</v>
      </c>
      <c r="I463" s="530"/>
      <c r="J463" s="530" t="s">
        <v>6216</v>
      </c>
      <c r="K463" s="530" t="s">
        <v>6217</v>
      </c>
      <c r="L463" s="530" t="s">
        <v>6218</v>
      </c>
      <c r="M463" s="228" t="s">
        <v>6336</v>
      </c>
      <c r="N463" s="530">
        <v>1</v>
      </c>
    </row>
    <row r="464" spans="1:14" ht="28.5" customHeight="1">
      <c r="A464" s="257" t="s">
        <v>3073</v>
      </c>
      <c r="B464" s="531" t="s">
        <v>745</v>
      </c>
      <c r="C464" s="257" t="s">
        <v>3075</v>
      </c>
      <c r="D464" s="530" t="s">
        <v>6209</v>
      </c>
      <c r="E464" s="530" t="s">
        <v>2095</v>
      </c>
      <c r="F464" s="530"/>
      <c r="G464" s="530"/>
      <c r="H464" s="530">
        <v>0</v>
      </c>
      <c r="I464" s="530"/>
      <c r="J464" s="530" t="s">
        <v>6216</v>
      </c>
      <c r="K464" s="530" t="s">
        <v>6217</v>
      </c>
      <c r="L464" s="530" t="s">
        <v>6218</v>
      </c>
      <c r="M464" s="228" t="s">
        <v>6336</v>
      </c>
      <c r="N464" s="742">
        <v>2</v>
      </c>
    </row>
    <row r="465" spans="1:14" ht="28.5" customHeight="1">
      <c r="A465" s="741" t="s">
        <v>3065</v>
      </c>
      <c r="B465" s="531" t="s">
        <v>745</v>
      </c>
      <c r="C465" s="257" t="s">
        <v>3067</v>
      </c>
      <c r="D465" s="530" t="s">
        <v>6209</v>
      </c>
      <c r="E465" s="530" t="s">
        <v>2095</v>
      </c>
      <c r="F465" s="530"/>
      <c r="G465" s="530"/>
      <c r="H465" s="530">
        <v>0</v>
      </c>
      <c r="I465" s="530"/>
      <c r="J465" s="530" t="s">
        <v>6216</v>
      </c>
      <c r="K465" s="530" t="s">
        <v>6220</v>
      </c>
      <c r="L465" s="530" t="s">
        <v>6212</v>
      </c>
      <c r="M465" s="228" t="s">
        <v>6224</v>
      </c>
      <c r="N465" s="530">
        <v>2</v>
      </c>
    </row>
    <row r="466" spans="1:14" ht="28.5" customHeight="1">
      <c r="A466" s="257" t="s">
        <v>3059</v>
      </c>
      <c r="B466" s="531" t="s">
        <v>745</v>
      </c>
      <c r="C466" s="257" t="s">
        <v>3025</v>
      </c>
      <c r="D466" s="530" t="s">
        <v>6209</v>
      </c>
      <c r="E466" s="530" t="s">
        <v>2095</v>
      </c>
      <c r="F466" s="530"/>
      <c r="G466" s="530"/>
      <c r="H466" s="742">
        <v>3</v>
      </c>
      <c r="I466" s="530"/>
      <c r="J466" s="530" t="s">
        <v>6241</v>
      </c>
      <c r="K466" s="530" t="s">
        <v>6211</v>
      </c>
      <c r="L466" s="530" t="s">
        <v>6218</v>
      </c>
      <c r="M466" s="228" t="s">
        <v>6337</v>
      </c>
      <c r="N466" s="742">
        <v>2</v>
      </c>
    </row>
    <row r="467" spans="1:14" ht="28.5" customHeight="1">
      <c r="A467" s="257" t="s">
        <v>3062</v>
      </c>
      <c r="B467" s="531" t="s">
        <v>745</v>
      </c>
      <c r="C467" s="257" t="s">
        <v>3025</v>
      </c>
      <c r="D467" s="530" t="s">
        <v>6209</v>
      </c>
      <c r="E467" s="530" t="s">
        <v>2095</v>
      </c>
      <c r="F467" s="530"/>
      <c r="G467" s="530"/>
      <c r="H467" s="742">
        <v>3</v>
      </c>
      <c r="I467" s="530"/>
      <c r="J467" s="530" t="s">
        <v>6241</v>
      </c>
      <c r="K467" s="530" t="s">
        <v>6211</v>
      </c>
      <c r="L467" s="530" t="s">
        <v>6218</v>
      </c>
      <c r="M467" s="228" t="s">
        <v>6338</v>
      </c>
      <c r="N467" s="742">
        <v>2</v>
      </c>
    </row>
    <row r="468" spans="1:14" ht="28.5" customHeight="1">
      <c r="A468" s="257" t="s">
        <v>3023</v>
      </c>
      <c r="B468" s="531" t="s">
        <v>745</v>
      </c>
      <c r="C468" s="257" t="s">
        <v>3025</v>
      </c>
      <c r="D468" s="530" t="s">
        <v>6209</v>
      </c>
      <c r="E468" s="530" t="s">
        <v>2095</v>
      </c>
      <c r="F468" s="530"/>
      <c r="G468" s="530"/>
      <c r="H468" s="742">
        <v>3</v>
      </c>
      <c r="I468" s="530"/>
      <c r="J468" s="530" t="s">
        <v>6216</v>
      </c>
      <c r="K468" s="530" t="s">
        <v>6217</v>
      </c>
      <c r="L468" s="530" t="s">
        <v>6218</v>
      </c>
      <c r="M468" s="228" t="s">
        <v>6339</v>
      </c>
      <c r="N468" s="742">
        <v>2</v>
      </c>
    </row>
    <row r="469" spans="1:14" ht="28.5" customHeight="1">
      <c r="A469" s="257" t="s">
        <v>3158</v>
      </c>
      <c r="B469" s="531" t="s">
        <v>745</v>
      </c>
      <c r="C469" s="257" t="s">
        <v>3156</v>
      </c>
      <c r="D469" s="530" t="s">
        <v>6209</v>
      </c>
      <c r="E469" s="530" t="s">
        <v>2095</v>
      </c>
      <c r="F469" s="530"/>
      <c r="G469" s="530"/>
      <c r="H469" s="742">
        <v>3</v>
      </c>
      <c r="I469" s="530"/>
      <c r="J469" s="530" t="s">
        <v>6241</v>
      </c>
      <c r="K469" s="530" t="s">
        <v>6211</v>
      </c>
      <c r="L469" s="530" t="s">
        <v>6218</v>
      </c>
      <c r="M469" s="228" t="s">
        <v>6337</v>
      </c>
      <c r="N469" s="742">
        <v>2</v>
      </c>
    </row>
    <row r="470" spans="1:14" ht="28.5" customHeight="1">
      <c r="A470" s="257" t="s">
        <v>3154</v>
      </c>
      <c r="B470" s="531" t="s">
        <v>745</v>
      </c>
      <c r="C470" s="257" t="s">
        <v>3156</v>
      </c>
      <c r="D470" s="530" t="s">
        <v>6209</v>
      </c>
      <c r="E470" s="530" t="s">
        <v>2095</v>
      </c>
      <c r="F470" s="530"/>
      <c r="G470" s="530"/>
      <c r="H470" s="742">
        <v>3</v>
      </c>
      <c r="I470" s="530"/>
      <c r="J470" s="530" t="s">
        <v>6241</v>
      </c>
      <c r="K470" s="530" t="s">
        <v>6211</v>
      </c>
      <c r="L470" s="530" t="s">
        <v>6218</v>
      </c>
      <c r="M470" s="228" t="s">
        <v>6338</v>
      </c>
      <c r="N470" s="742">
        <v>2</v>
      </c>
    </row>
    <row r="471" spans="1:14" ht="28.5" customHeight="1">
      <c r="A471" s="257" t="s">
        <v>3161</v>
      </c>
      <c r="B471" s="531" t="s">
        <v>745</v>
      </c>
      <c r="C471" s="257" t="s">
        <v>3156</v>
      </c>
      <c r="D471" s="530" t="s">
        <v>6209</v>
      </c>
      <c r="E471" s="530" t="s">
        <v>2095</v>
      </c>
      <c r="F471" s="530"/>
      <c r="G471" s="530"/>
      <c r="H471" s="742">
        <v>3</v>
      </c>
      <c r="I471" s="530"/>
      <c r="J471" s="530" t="s">
        <v>6216</v>
      </c>
      <c r="K471" s="530" t="s">
        <v>6217</v>
      </c>
      <c r="L471" s="530" t="s">
        <v>6218</v>
      </c>
      <c r="M471" s="228" t="s">
        <v>6339</v>
      </c>
      <c r="N471" s="742">
        <v>2</v>
      </c>
    </row>
    <row r="472" spans="1:14" ht="56.25" customHeight="1">
      <c r="A472" s="741" t="s">
        <v>2708</v>
      </c>
      <c r="B472" s="531" t="s">
        <v>745</v>
      </c>
      <c r="C472" s="257" t="s">
        <v>2710</v>
      </c>
      <c r="D472" s="530" t="s">
        <v>6209</v>
      </c>
      <c r="E472" s="530" t="s">
        <v>2095</v>
      </c>
      <c r="F472" s="530"/>
      <c r="G472" s="530"/>
      <c r="H472" s="530">
        <v>0</v>
      </c>
      <c r="I472" s="530"/>
      <c r="J472" s="530" t="s">
        <v>6216</v>
      </c>
      <c r="K472" s="530" t="s">
        <v>6217</v>
      </c>
      <c r="L472" s="530" t="s">
        <v>6218</v>
      </c>
      <c r="M472" s="228" t="s">
        <v>6222</v>
      </c>
      <c r="N472" s="742">
        <v>2</v>
      </c>
    </row>
    <row r="473" spans="1:14" ht="54" customHeight="1">
      <c r="A473" s="741" t="s">
        <v>2666</v>
      </c>
      <c r="B473" s="531" t="s">
        <v>745</v>
      </c>
      <c r="C473" s="257" t="s">
        <v>2668</v>
      </c>
      <c r="D473" s="530" t="s">
        <v>6209</v>
      </c>
      <c r="E473" s="530" t="s">
        <v>2095</v>
      </c>
      <c r="F473" s="530"/>
      <c r="G473" s="530"/>
      <c r="H473" s="530">
        <v>0</v>
      </c>
      <c r="I473" s="530"/>
      <c r="J473" s="530" t="s">
        <v>6216</v>
      </c>
      <c r="K473" s="530" t="s">
        <v>6217</v>
      </c>
      <c r="L473" s="530" t="s">
        <v>6218</v>
      </c>
      <c r="M473" s="228" t="s">
        <v>6222</v>
      </c>
      <c r="N473" s="742">
        <v>2</v>
      </c>
    </row>
    <row r="474" spans="1:14" ht="33" customHeight="1">
      <c r="A474" s="741" t="s">
        <v>2435</v>
      </c>
      <c r="B474" s="531" t="s">
        <v>745</v>
      </c>
      <c r="C474" s="257" t="s">
        <v>2437</v>
      </c>
      <c r="D474" s="530" t="s">
        <v>6209</v>
      </c>
      <c r="E474" s="530" t="s">
        <v>2095</v>
      </c>
      <c r="F474" s="530"/>
      <c r="G474" s="530"/>
      <c r="H474" s="530">
        <v>0</v>
      </c>
      <c r="I474" s="530"/>
      <c r="J474" s="530" t="s">
        <v>6216</v>
      </c>
      <c r="K474" s="530" t="s">
        <v>6217</v>
      </c>
      <c r="L474" s="530" t="s">
        <v>6218</v>
      </c>
      <c r="M474" s="228" t="s">
        <v>6335</v>
      </c>
      <c r="N474" s="742">
        <v>2</v>
      </c>
    </row>
    <row r="475" spans="1:14" ht="28.5" customHeight="1">
      <c r="A475" s="741" t="s">
        <v>2623</v>
      </c>
      <c r="B475" s="531" t="s">
        <v>745</v>
      </c>
      <c r="C475" s="257" t="s">
        <v>2625</v>
      </c>
      <c r="D475" s="530" t="s">
        <v>6209</v>
      </c>
      <c r="E475" s="530" t="s">
        <v>2095</v>
      </c>
      <c r="F475" s="530"/>
      <c r="G475" s="530"/>
      <c r="H475" s="530">
        <v>0</v>
      </c>
      <c r="I475" s="530"/>
      <c r="J475" s="530" t="s">
        <v>6216</v>
      </c>
      <c r="K475" s="530" t="s">
        <v>6211</v>
      </c>
      <c r="L475" s="530" t="s">
        <v>6218</v>
      </c>
      <c r="M475" s="228" t="s">
        <v>6335</v>
      </c>
      <c r="N475" s="742">
        <v>2</v>
      </c>
    </row>
    <row r="476" spans="1:14" ht="28.5" customHeight="1">
      <c r="A476" s="741" t="s">
        <v>2831</v>
      </c>
      <c r="B476" s="531" t="s">
        <v>745</v>
      </c>
      <c r="C476" s="257" t="s">
        <v>2833</v>
      </c>
      <c r="D476" s="530" t="s">
        <v>6209</v>
      </c>
      <c r="E476" s="530" t="s">
        <v>2095</v>
      </c>
      <c r="F476" s="530"/>
      <c r="G476" s="530"/>
      <c r="H476" s="530">
        <v>0</v>
      </c>
      <c r="I476" s="530"/>
      <c r="J476" s="530" t="s">
        <v>6216</v>
      </c>
      <c r="K476" s="530" t="s">
        <v>6211</v>
      </c>
      <c r="L476" s="530" t="s">
        <v>6218</v>
      </c>
      <c r="M476" s="228" t="s">
        <v>6335</v>
      </c>
      <c r="N476" s="742">
        <v>2</v>
      </c>
    </row>
    <row r="477" spans="1:14" ht="28.5" customHeight="1">
      <c r="A477" s="741" t="s">
        <v>2827</v>
      </c>
      <c r="B477" s="531" t="s">
        <v>745</v>
      </c>
      <c r="C477" s="257" t="s">
        <v>2829</v>
      </c>
      <c r="D477" s="530" t="s">
        <v>6209</v>
      </c>
      <c r="E477" s="530" t="s">
        <v>2095</v>
      </c>
      <c r="F477" s="530"/>
      <c r="G477" s="530"/>
      <c r="H477" s="530">
        <v>0</v>
      </c>
      <c r="I477" s="530"/>
      <c r="J477" s="530" t="s">
        <v>6216</v>
      </c>
      <c r="K477" s="530" t="s">
        <v>6220</v>
      </c>
      <c r="L477" s="530" t="s">
        <v>6212</v>
      </c>
      <c r="M477" s="228" t="s">
        <v>6340</v>
      </c>
      <c r="N477" s="742">
        <v>2</v>
      </c>
    </row>
    <row r="478" spans="1:14" ht="28.5" customHeight="1">
      <c r="A478" s="741" t="s">
        <v>2783</v>
      </c>
      <c r="B478" s="531" t="s">
        <v>745</v>
      </c>
      <c r="C478" s="257" t="s">
        <v>2785</v>
      </c>
      <c r="D478" s="530" t="s">
        <v>6209</v>
      </c>
      <c r="E478" s="530" t="s">
        <v>2095</v>
      </c>
      <c r="F478" s="530"/>
      <c r="G478" s="530"/>
      <c r="H478" s="530">
        <v>0</v>
      </c>
      <c r="I478" s="530"/>
      <c r="J478" s="530" t="s">
        <v>6216</v>
      </c>
      <c r="K478" s="530" t="s">
        <v>6220</v>
      </c>
      <c r="L478" s="530" t="s">
        <v>6212</v>
      </c>
      <c r="M478" s="228" t="s">
        <v>6340</v>
      </c>
      <c r="N478" s="742">
        <v>2</v>
      </c>
    </row>
    <row r="479" spans="1:14" ht="28.5" customHeight="1">
      <c r="A479" s="741" t="s">
        <v>2697</v>
      </c>
      <c r="B479" s="531" t="s">
        <v>745</v>
      </c>
      <c r="C479" s="257" t="s">
        <v>2699</v>
      </c>
      <c r="D479" s="530" t="s">
        <v>6209</v>
      </c>
      <c r="E479" s="530" t="s">
        <v>2095</v>
      </c>
      <c r="F479" s="530"/>
      <c r="G479" s="530"/>
      <c r="H479" s="530">
        <v>0</v>
      </c>
      <c r="I479" s="530"/>
      <c r="J479" s="530" t="s">
        <v>6216</v>
      </c>
      <c r="K479" s="530" t="s">
        <v>6220</v>
      </c>
      <c r="L479" s="530" t="s">
        <v>6212</v>
      </c>
      <c r="M479" s="228" t="s">
        <v>6340</v>
      </c>
      <c r="N479" s="742">
        <v>2</v>
      </c>
    </row>
    <row r="480" spans="1:14" ht="28.5" customHeight="1">
      <c r="A480" s="741" t="s">
        <v>2567</v>
      </c>
      <c r="B480" s="531" t="s">
        <v>745</v>
      </c>
      <c r="C480" s="257" t="s">
        <v>2569</v>
      </c>
      <c r="D480" s="530" t="s">
        <v>6209</v>
      </c>
      <c r="E480" s="530" t="s">
        <v>2095</v>
      </c>
      <c r="F480" s="530"/>
      <c r="G480" s="530"/>
      <c r="H480" s="530">
        <v>0</v>
      </c>
      <c r="I480" s="530"/>
      <c r="J480" s="530" t="s">
        <v>6216</v>
      </c>
      <c r="K480" s="530" t="s">
        <v>6220</v>
      </c>
      <c r="L480" s="530" t="s">
        <v>6212</v>
      </c>
      <c r="M480" s="228" t="s">
        <v>6340</v>
      </c>
      <c r="N480" s="742">
        <v>2</v>
      </c>
    </row>
    <row r="481" spans="1:14" ht="28.5" customHeight="1">
      <c r="A481" s="741" t="s">
        <v>2419</v>
      </c>
      <c r="B481" s="531" t="s">
        <v>745</v>
      </c>
      <c r="C481" s="257" t="s">
        <v>2421</v>
      </c>
      <c r="D481" s="530" t="s">
        <v>6209</v>
      </c>
      <c r="E481" s="530" t="s">
        <v>2095</v>
      </c>
      <c r="F481" s="530"/>
      <c r="G481" s="530"/>
      <c r="H481" s="530">
        <v>0</v>
      </c>
      <c r="I481" s="530"/>
      <c r="J481" s="530" t="s">
        <v>6216</v>
      </c>
      <c r="K481" s="530" t="s">
        <v>6220</v>
      </c>
      <c r="L481" s="530" t="s">
        <v>6212</v>
      </c>
      <c r="M481" s="228" t="s">
        <v>6340</v>
      </c>
      <c r="N481" s="742">
        <v>2</v>
      </c>
    </row>
    <row r="482" spans="1:14" ht="28.5" customHeight="1">
      <c r="A482" s="741" t="s">
        <v>2647</v>
      </c>
      <c r="B482" s="531" t="s">
        <v>745</v>
      </c>
      <c r="C482" s="257" t="s">
        <v>2649</v>
      </c>
      <c r="D482" s="530" t="s">
        <v>6209</v>
      </c>
      <c r="E482" s="530" t="s">
        <v>2095</v>
      </c>
      <c r="F482" s="530"/>
      <c r="G482" s="530"/>
      <c r="H482" s="530">
        <v>0</v>
      </c>
      <c r="I482" s="530"/>
      <c r="J482" s="530" t="s">
        <v>6216</v>
      </c>
      <c r="K482" s="530" t="s">
        <v>6220</v>
      </c>
      <c r="L482" s="530" t="s">
        <v>6212</v>
      </c>
      <c r="M482" s="228" t="s">
        <v>6340</v>
      </c>
      <c r="N482" s="742">
        <v>2</v>
      </c>
    </row>
    <row r="483" spans="1:14" ht="28.5" customHeight="1">
      <c r="A483" s="741" t="s">
        <v>2730</v>
      </c>
      <c r="B483" s="531" t="s">
        <v>745</v>
      </c>
      <c r="C483" s="257" t="s">
        <v>2732</v>
      </c>
      <c r="D483" s="530" t="s">
        <v>6209</v>
      </c>
      <c r="E483" s="530" t="s">
        <v>2095</v>
      </c>
      <c r="F483" s="530"/>
      <c r="G483" s="530"/>
      <c r="H483" s="530">
        <v>0</v>
      </c>
      <c r="I483" s="530"/>
      <c r="J483" s="530" t="s">
        <v>6216</v>
      </c>
      <c r="K483" s="530" t="s">
        <v>6220</v>
      </c>
      <c r="L483" s="530" t="s">
        <v>6212</v>
      </c>
      <c r="M483" s="228" t="s">
        <v>6340</v>
      </c>
      <c r="N483" s="742">
        <v>2</v>
      </c>
    </row>
    <row r="484" spans="1:14" ht="28.5" customHeight="1">
      <c r="A484" s="873" t="s">
        <v>2602</v>
      </c>
      <c r="B484" s="874" t="s">
        <v>745</v>
      </c>
      <c r="C484" s="873" t="s">
        <v>2413</v>
      </c>
      <c r="D484" s="875" t="s">
        <v>6209</v>
      </c>
      <c r="E484" s="875" t="s">
        <v>2095</v>
      </c>
      <c r="F484" s="875"/>
      <c r="G484" s="875"/>
      <c r="H484" s="875">
        <v>0</v>
      </c>
      <c r="I484" s="875"/>
      <c r="J484" s="875" t="s">
        <v>6216</v>
      </c>
      <c r="K484" s="875" t="s">
        <v>6211</v>
      </c>
      <c r="L484" s="875" t="s">
        <v>6218</v>
      </c>
      <c r="M484" s="872" t="s">
        <v>6224</v>
      </c>
      <c r="N484" s="875">
        <v>2</v>
      </c>
    </row>
    <row r="485" spans="1:14" ht="28.5" customHeight="1">
      <c r="A485" s="741" t="s">
        <v>2455</v>
      </c>
      <c r="B485" s="531" t="s">
        <v>745</v>
      </c>
      <c r="C485" s="257" t="s">
        <v>2457</v>
      </c>
      <c r="D485" s="530" t="s">
        <v>6209</v>
      </c>
      <c r="E485" s="530" t="s">
        <v>2095</v>
      </c>
      <c r="F485" s="530"/>
      <c r="G485" s="530"/>
      <c r="H485" s="530">
        <v>0</v>
      </c>
      <c r="I485" s="530"/>
      <c r="J485" s="530" t="s">
        <v>6216</v>
      </c>
      <c r="K485" s="530" t="s">
        <v>6220</v>
      </c>
      <c r="L485" s="530" t="s">
        <v>6212</v>
      </c>
      <c r="M485" s="228" t="s">
        <v>6340</v>
      </c>
      <c r="N485" s="742">
        <v>2</v>
      </c>
    </row>
    <row r="486" spans="1:14" ht="28.5" customHeight="1">
      <c r="A486" s="741" t="s">
        <v>2543</v>
      </c>
      <c r="B486" s="531" t="s">
        <v>745</v>
      </c>
      <c r="C486" s="257" t="s">
        <v>2545</v>
      </c>
      <c r="D486" s="530" t="s">
        <v>6209</v>
      </c>
      <c r="E486" s="530" t="s">
        <v>2095</v>
      </c>
      <c r="F486" s="530"/>
      <c r="G486" s="530"/>
      <c r="H486" s="530">
        <v>0</v>
      </c>
      <c r="I486" s="530"/>
      <c r="J486" s="530" t="s">
        <v>6216</v>
      </c>
      <c r="K486" s="530" t="s">
        <v>6220</v>
      </c>
      <c r="L486" s="530" t="s">
        <v>6212</v>
      </c>
      <c r="M486" s="228" t="s">
        <v>6340</v>
      </c>
      <c r="N486" s="742">
        <v>2</v>
      </c>
    </row>
    <row r="487" spans="1:14" ht="28.5" customHeight="1">
      <c r="A487" s="873" t="s">
        <v>2842</v>
      </c>
      <c r="B487" s="874" t="s">
        <v>745</v>
      </c>
      <c r="C487" s="873" t="s">
        <v>2449</v>
      </c>
      <c r="D487" s="875" t="s">
        <v>6209</v>
      </c>
      <c r="E487" s="875" t="s">
        <v>2095</v>
      </c>
      <c r="F487" s="875"/>
      <c r="G487" s="875"/>
      <c r="H487" s="875">
        <v>0</v>
      </c>
      <c r="I487" s="875"/>
      <c r="J487" s="875" t="s">
        <v>6216</v>
      </c>
      <c r="K487" s="875" t="s">
        <v>6211</v>
      </c>
      <c r="L487" s="875" t="s">
        <v>6218</v>
      </c>
      <c r="M487" s="872" t="s">
        <v>6224</v>
      </c>
      <c r="N487" s="875">
        <v>2</v>
      </c>
    </row>
    <row r="488" spans="1:14" ht="28.5" customHeight="1">
      <c r="A488" s="873" t="s">
        <v>2535</v>
      </c>
      <c r="B488" s="874" t="s">
        <v>745</v>
      </c>
      <c r="C488" s="873" t="s">
        <v>2537</v>
      </c>
      <c r="D488" s="875" t="s">
        <v>6209</v>
      </c>
      <c r="E488" s="875" t="s">
        <v>2095</v>
      </c>
      <c r="F488" s="875"/>
      <c r="G488" s="875"/>
      <c r="H488" s="875">
        <v>0</v>
      </c>
      <c r="I488" s="875"/>
      <c r="J488" s="875" t="s">
        <v>6216</v>
      </c>
      <c r="K488" s="875" t="s">
        <v>6211</v>
      </c>
      <c r="L488" s="875" t="s">
        <v>6218</v>
      </c>
      <c r="M488" s="872" t="s">
        <v>6224</v>
      </c>
      <c r="N488" s="875">
        <v>2</v>
      </c>
    </row>
    <row r="489" spans="1:14" ht="28.5" customHeight="1">
      <c r="A489" s="741" t="s">
        <v>2835</v>
      </c>
      <c r="B489" s="531" t="s">
        <v>745</v>
      </c>
      <c r="C489" s="257" t="s">
        <v>2837</v>
      </c>
      <c r="D489" s="530" t="s">
        <v>6209</v>
      </c>
      <c r="E489" s="530" t="s">
        <v>2095</v>
      </c>
      <c r="F489" s="530"/>
      <c r="G489" s="530"/>
      <c r="H489" s="530">
        <v>0</v>
      </c>
      <c r="I489" s="530"/>
      <c r="J489" s="530" t="s">
        <v>6216</v>
      </c>
      <c r="K489" s="530" t="s">
        <v>6220</v>
      </c>
      <c r="L489" s="530" t="s">
        <v>6212</v>
      </c>
      <c r="M489" s="228" t="s">
        <v>6340</v>
      </c>
      <c r="N489" s="742">
        <v>2</v>
      </c>
    </row>
    <row r="490" spans="1:14" ht="28.5" customHeight="1">
      <c r="A490" s="741" t="s">
        <v>2762</v>
      </c>
      <c r="B490" s="531" t="s">
        <v>745</v>
      </c>
      <c r="C490" s="257" t="s">
        <v>2764</v>
      </c>
      <c r="D490" s="530" t="s">
        <v>6209</v>
      </c>
      <c r="E490" s="530" t="s">
        <v>2095</v>
      </c>
      <c r="F490" s="530"/>
      <c r="G490" s="530"/>
      <c r="H490" s="530">
        <v>0</v>
      </c>
      <c r="I490" s="530"/>
      <c r="J490" s="530" t="s">
        <v>6216</v>
      </c>
      <c r="K490" s="530" t="s">
        <v>6220</v>
      </c>
      <c r="L490" s="530" t="s">
        <v>6212</v>
      </c>
      <c r="M490" s="228" t="s">
        <v>6340</v>
      </c>
      <c r="N490" s="742">
        <v>2</v>
      </c>
    </row>
    <row r="491" spans="1:14" ht="28.5" customHeight="1">
      <c r="A491" s="741" t="s">
        <v>2852</v>
      </c>
      <c r="B491" s="531" t="s">
        <v>745</v>
      </c>
      <c r="C491" s="257" t="s">
        <v>2854</v>
      </c>
      <c r="D491" s="530" t="s">
        <v>6209</v>
      </c>
      <c r="E491" s="530" t="s">
        <v>2095</v>
      </c>
      <c r="F491" s="530"/>
      <c r="G491" s="530"/>
      <c r="H491" s="530">
        <v>0</v>
      </c>
      <c r="I491" s="530"/>
      <c r="J491" s="530" t="s">
        <v>6216</v>
      </c>
      <c r="K491" s="530" t="s">
        <v>6220</v>
      </c>
      <c r="L491" s="530" t="s">
        <v>6212</v>
      </c>
      <c r="M491" s="228" t="s">
        <v>6340</v>
      </c>
      <c r="N491" s="742">
        <v>2</v>
      </c>
    </row>
    <row r="492" spans="1:14" ht="28.5" customHeight="1">
      <c r="A492" s="741" t="s">
        <v>2395</v>
      </c>
      <c r="B492" s="531" t="s">
        <v>745</v>
      </c>
      <c r="C492" s="257" t="s">
        <v>2397</v>
      </c>
      <c r="D492" s="530" t="s">
        <v>6209</v>
      </c>
      <c r="E492" s="530" t="s">
        <v>2095</v>
      </c>
      <c r="F492" s="530"/>
      <c r="G492" s="530"/>
      <c r="H492" s="530">
        <v>0</v>
      </c>
      <c r="I492" s="530"/>
      <c r="J492" s="530" t="s">
        <v>6216</v>
      </c>
      <c r="K492" s="530" t="s">
        <v>6220</v>
      </c>
      <c r="L492" s="530" t="s">
        <v>6212</v>
      </c>
      <c r="M492" s="228" t="s">
        <v>6340</v>
      </c>
      <c r="N492" s="742">
        <v>2</v>
      </c>
    </row>
    <row r="493" spans="1:14" ht="28.5" customHeight="1">
      <c r="A493" s="873" t="s">
        <v>2370</v>
      </c>
      <c r="B493" s="874" t="s">
        <v>745</v>
      </c>
      <c r="C493" s="873" t="s">
        <v>2372</v>
      </c>
      <c r="D493" s="875" t="s">
        <v>6209</v>
      </c>
      <c r="E493" s="875" t="s">
        <v>2095</v>
      </c>
      <c r="F493" s="875"/>
      <c r="G493" s="875"/>
      <c r="H493" s="875">
        <v>0</v>
      </c>
      <c r="I493" s="875"/>
      <c r="J493" s="875" t="s">
        <v>6216</v>
      </c>
      <c r="K493" s="875" t="s">
        <v>6211</v>
      </c>
      <c r="L493" s="875" t="s">
        <v>6218</v>
      </c>
      <c r="M493" s="872" t="s">
        <v>6224</v>
      </c>
      <c r="N493" s="875">
        <v>2</v>
      </c>
    </row>
    <row r="494" spans="1:14" ht="28.5" customHeight="1">
      <c r="A494" s="741" t="s">
        <v>3055</v>
      </c>
      <c r="B494" s="531" t="s">
        <v>745</v>
      </c>
      <c r="C494" s="257" t="s">
        <v>3057</v>
      </c>
      <c r="D494" s="530" t="s">
        <v>6209</v>
      </c>
      <c r="E494" s="530" t="s">
        <v>2095</v>
      </c>
      <c r="F494" s="530"/>
      <c r="G494" s="530"/>
      <c r="H494" s="530">
        <v>0</v>
      </c>
      <c r="I494" s="530"/>
      <c r="J494" s="530" t="s">
        <v>6216</v>
      </c>
      <c r="K494" s="530" t="s">
        <v>6211</v>
      </c>
      <c r="L494" s="530" t="s">
        <v>6218</v>
      </c>
      <c r="M494" s="228" t="s">
        <v>6335</v>
      </c>
      <c r="N494" s="742">
        <v>2</v>
      </c>
    </row>
    <row r="495" spans="1:14" ht="28.5" customHeight="1">
      <c r="A495" s="741" t="s">
        <v>3007</v>
      </c>
      <c r="B495" s="531" t="s">
        <v>745</v>
      </c>
      <c r="C495" s="257" t="s">
        <v>3009</v>
      </c>
      <c r="D495" s="530" t="s">
        <v>6209</v>
      </c>
      <c r="E495" s="530" t="s">
        <v>2095</v>
      </c>
      <c r="F495" s="530"/>
      <c r="G495" s="530"/>
      <c r="H495" s="530">
        <v>0</v>
      </c>
      <c r="I495" s="530"/>
      <c r="J495" s="530" t="s">
        <v>6216</v>
      </c>
      <c r="K495" s="530" t="s">
        <v>6211</v>
      </c>
      <c r="L495" s="530" t="s">
        <v>6218</v>
      </c>
      <c r="M495" s="228" t="s">
        <v>6341</v>
      </c>
      <c r="N495" s="742">
        <v>2</v>
      </c>
    </row>
    <row r="496" spans="1:14" ht="28.5" customHeight="1">
      <c r="A496" s="873" t="s">
        <v>3081</v>
      </c>
      <c r="B496" s="874" t="s">
        <v>745</v>
      </c>
      <c r="C496" s="873" t="s">
        <v>3083</v>
      </c>
      <c r="D496" s="875" t="s">
        <v>6209</v>
      </c>
      <c r="E496" s="875" t="s">
        <v>2095</v>
      </c>
      <c r="F496" s="875"/>
      <c r="G496" s="875"/>
      <c r="H496" s="875">
        <v>0</v>
      </c>
      <c r="I496" s="875"/>
      <c r="J496" s="875" t="s">
        <v>6216</v>
      </c>
      <c r="K496" s="875" t="s">
        <v>6211</v>
      </c>
      <c r="L496" s="875" t="s">
        <v>6218</v>
      </c>
      <c r="M496" s="872" t="s">
        <v>6222</v>
      </c>
      <c r="N496" s="875">
        <v>2</v>
      </c>
    </row>
    <row r="497" spans="1:14" ht="28.5" customHeight="1">
      <c r="A497" s="741" t="s">
        <v>2145</v>
      </c>
      <c r="B497" s="531" t="s">
        <v>745</v>
      </c>
      <c r="C497" s="257" t="s">
        <v>2147</v>
      </c>
      <c r="D497" s="530" t="s">
        <v>6209</v>
      </c>
      <c r="E497" s="530" t="s">
        <v>2095</v>
      </c>
      <c r="F497" s="530"/>
      <c r="G497" s="530"/>
      <c r="H497" s="530">
        <v>0</v>
      </c>
      <c r="I497" s="530"/>
      <c r="J497" s="530" t="s">
        <v>6216</v>
      </c>
      <c r="K497" s="530" t="s">
        <v>6220</v>
      </c>
      <c r="L497" s="530" t="s">
        <v>6212</v>
      </c>
      <c r="M497" s="228" t="s">
        <v>6224</v>
      </c>
      <c r="N497" s="742">
        <v>2</v>
      </c>
    </row>
    <row r="498" spans="1:14" ht="28.5" customHeight="1">
      <c r="A498" s="741" t="s">
        <v>2160</v>
      </c>
      <c r="B498" s="531" t="s">
        <v>745</v>
      </c>
      <c r="C498" s="257" t="s">
        <v>2162</v>
      </c>
      <c r="D498" s="530" t="s">
        <v>6209</v>
      </c>
      <c r="E498" s="530" t="s">
        <v>2095</v>
      </c>
      <c r="F498" s="530"/>
      <c r="G498" s="530"/>
      <c r="H498" s="530">
        <v>0</v>
      </c>
      <c r="I498" s="530"/>
      <c r="J498" s="530" t="s">
        <v>6216</v>
      </c>
      <c r="K498" s="530" t="s">
        <v>6217</v>
      </c>
      <c r="L498" s="530" t="s">
        <v>6218</v>
      </c>
      <c r="M498" s="228" t="s">
        <v>6336</v>
      </c>
      <c r="N498" s="742">
        <v>2</v>
      </c>
    </row>
    <row r="499" spans="1:14" ht="28.5" customHeight="1">
      <c r="A499" s="741" t="s">
        <v>2153</v>
      </c>
      <c r="B499" s="531" t="s">
        <v>745</v>
      </c>
      <c r="C499" s="257" t="s">
        <v>2115</v>
      </c>
      <c r="D499" s="530" t="s">
        <v>6209</v>
      </c>
      <c r="E499" s="530" t="s">
        <v>2095</v>
      </c>
      <c r="F499" s="530"/>
      <c r="G499" s="530"/>
      <c r="H499" s="530">
        <v>0</v>
      </c>
      <c r="I499" s="530"/>
      <c r="J499" s="530" t="s">
        <v>6216</v>
      </c>
      <c r="K499" s="530" t="s">
        <v>6217</v>
      </c>
      <c r="L499" s="530" t="s">
        <v>6218</v>
      </c>
      <c r="M499" s="228" t="s">
        <v>6336</v>
      </c>
      <c r="N499" s="742">
        <v>2</v>
      </c>
    </row>
    <row r="500" spans="1:14" ht="28.5" customHeight="1">
      <c r="A500" s="741" t="s">
        <v>3051</v>
      </c>
      <c r="B500" s="531" t="s">
        <v>745</v>
      </c>
      <c r="C500" s="257" t="s">
        <v>3053</v>
      </c>
      <c r="D500" s="530" t="s">
        <v>6209</v>
      </c>
      <c r="E500" s="530" t="s">
        <v>2095</v>
      </c>
      <c r="F500" s="530"/>
      <c r="G500" s="530"/>
      <c r="H500" s="530">
        <v>0</v>
      </c>
      <c r="I500" s="530"/>
      <c r="J500" s="530" t="s">
        <v>6216</v>
      </c>
      <c r="K500" s="530" t="s">
        <v>6217</v>
      </c>
      <c r="L500" s="530" t="s">
        <v>6218</v>
      </c>
      <c r="M500" s="228" t="s">
        <v>6336</v>
      </c>
      <c r="N500" s="742">
        <v>2</v>
      </c>
    </row>
    <row r="501" spans="1:14" ht="28.5" customHeight="1">
      <c r="A501" s="741" t="s">
        <v>3047</v>
      </c>
      <c r="B501" s="531" t="s">
        <v>745</v>
      </c>
      <c r="C501" s="257" t="s">
        <v>3049</v>
      </c>
      <c r="D501" s="530" t="s">
        <v>6209</v>
      </c>
      <c r="E501" s="530" t="s">
        <v>2095</v>
      </c>
      <c r="F501" s="530"/>
      <c r="G501" s="530"/>
      <c r="H501" s="530">
        <v>0</v>
      </c>
      <c r="I501" s="530"/>
      <c r="J501" s="530" t="s">
        <v>6216</v>
      </c>
      <c r="K501" s="530" t="s">
        <v>6217</v>
      </c>
      <c r="L501" s="530" t="s">
        <v>6218</v>
      </c>
      <c r="M501" s="228" t="s">
        <v>6336</v>
      </c>
      <c r="N501" s="742">
        <v>2</v>
      </c>
    </row>
    <row r="502" spans="1:14" ht="28.5" customHeight="1">
      <c r="A502" s="741" t="s">
        <v>2121</v>
      </c>
      <c r="B502" s="531" t="s">
        <v>745</v>
      </c>
      <c r="C502" s="257" t="s">
        <v>2123</v>
      </c>
      <c r="D502" s="530" t="s">
        <v>6209</v>
      </c>
      <c r="E502" s="530" t="s">
        <v>2095</v>
      </c>
      <c r="F502" s="530"/>
      <c r="G502" s="530"/>
      <c r="H502" s="530">
        <v>0</v>
      </c>
      <c r="I502" s="530"/>
      <c r="J502" s="530" t="s">
        <v>6216</v>
      </c>
      <c r="K502" s="530" t="s">
        <v>6217</v>
      </c>
      <c r="L502" s="530" t="s">
        <v>6218</v>
      </c>
      <c r="M502" s="228" t="s">
        <v>6336</v>
      </c>
      <c r="N502" s="742">
        <v>2</v>
      </c>
    </row>
    <row r="503" spans="1:14" ht="28.5" customHeight="1">
      <c r="A503" s="741" t="s">
        <v>2117</v>
      </c>
      <c r="B503" s="531" t="s">
        <v>745</v>
      </c>
      <c r="C503" s="257" t="s">
        <v>2119</v>
      </c>
      <c r="D503" s="530" t="s">
        <v>6209</v>
      </c>
      <c r="E503" s="530" t="s">
        <v>2095</v>
      </c>
      <c r="F503" s="530"/>
      <c r="G503" s="530"/>
      <c r="H503" s="530">
        <v>0</v>
      </c>
      <c r="I503" s="530"/>
      <c r="J503" s="530" t="s">
        <v>6216</v>
      </c>
      <c r="K503" s="530" t="s">
        <v>6217</v>
      </c>
      <c r="L503" s="530" t="s">
        <v>6218</v>
      </c>
      <c r="M503" s="228" t="s">
        <v>6336</v>
      </c>
      <c r="N503" s="742">
        <v>2</v>
      </c>
    </row>
    <row r="504" spans="1:14" ht="28.5" customHeight="1">
      <c r="A504" s="741" t="s">
        <v>2113</v>
      </c>
      <c r="B504" s="531" t="s">
        <v>745</v>
      </c>
      <c r="C504" s="257" t="s">
        <v>2115</v>
      </c>
      <c r="D504" s="530" t="s">
        <v>6209</v>
      </c>
      <c r="E504" s="530" t="s">
        <v>2095</v>
      </c>
      <c r="F504" s="530"/>
      <c r="G504" s="530"/>
      <c r="H504" s="530">
        <v>0</v>
      </c>
      <c r="I504" s="530"/>
      <c r="J504" s="530" t="s">
        <v>6216</v>
      </c>
      <c r="K504" s="530" t="s">
        <v>6217</v>
      </c>
      <c r="L504" s="530" t="s">
        <v>6218</v>
      </c>
      <c r="M504" s="228" t="s">
        <v>6336</v>
      </c>
      <c r="N504" s="742">
        <v>2</v>
      </c>
    </row>
    <row r="505" spans="1:14" ht="28.5" customHeight="1">
      <c r="A505" s="741" t="s">
        <v>2109</v>
      </c>
      <c r="B505" s="531" t="s">
        <v>745</v>
      </c>
      <c r="C505" s="257" t="s">
        <v>2111</v>
      </c>
      <c r="D505" s="530" t="s">
        <v>6209</v>
      </c>
      <c r="E505" s="530" t="s">
        <v>2095</v>
      </c>
      <c r="F505" s="530"/>
      <c r="G505" s="530"/>
      <c r="H505" s="530">
        <v>0</v>
      </c>
      <c r="I505" s="530"/>
      <c r="J505" s="530" t="s">
        <v>6216</v>
      </c>
      <c r="K505" s="530" t="s">
        <v>6217</v>
      </c>
      <c r="L505" s="530" t="s">
        <v>6218</v>
      </c>
      <c r="M505" s="228" t="s">
        <v>6336</v>
      </c>
      <c r="N505" s="742">
        <v>2</v>
      </c>
    </row>
    <row r="506" spans="1:14" ht="28.5" customHeight="1">
      <c r="A506" s="741" t="s">
        <v>2099</v>
      </c>
      <c r="B506" s="531" t="s">
        <v>745</v>
      </c>
      <c r="C506" s="257" t="s">
        <v>2101</v>
      </c>
      <c r="D506" s="530" t="s">
        <v>6209</v>
      </c>
      <c r="E506" s="530" t="s">
        <v>2095</v>
      </c>
      <c r="F506" s="530"/>
      <c r="G506" s="530"/>
      <c r="H506" s="530">
        <v>0</v>
      </c>
      <c r="I506" s="530"/>
      <c r="J506" s="530" t="s">
        <v>6216</v>
      </c>
      <c r="K506" s="530" t="s">
        <v>6217</v>
      </c>
      <c r="L506" s="530" t="s">
        <v>6218</v>
      </c>
      <c r="M506" s="228" t="s">
        <v>6336</v>
      </c>
      <c r="N506" s="742">
        <v>2</v>
      </c>
    </row>
    <row r="507" spans="1:14" ht="28.5" customHeight="1">
      <c r="A507" s="741" t="s">
        <v>2092</v>
      </c>
      <c r="B507" s="531" t="s">
        <v>745</v>
      </c>
      <c r="C507" s="257" t="s">
        <v>2094</v>
      </c>
      <c r="D507" s="530" t="s">
        <v>6209</v>
      </c>
      <c r="E507" s="530" t="s">
        <v>2095</v>
      </c>
      <c r="F507" s="530"/>
      <c r="G507" s="530"/>
      <c r="H507" s="530">
        <v>0</v>
      </c>
      <c r="I507" s="530"/>
      <c r="J507" s="530" t="s">
        <v>6216</v>
      </c>
      <c r="K507" s="530" t="s">
        <v>6217</v>
      </c>
      <c r="L507" s="530" t="s">
        <v>6218</v>
      </c>
      <c r="M507" s="228" t="s">
        <v>6336</v>
      </c>
      <c r="N507" s="742">
        <v>2</v>
      </c>
    </row>
    <row r="508" spans="1:14" ht="28.5" customHeight="1">
      <c r="A508" s="741" t="s">
        <v>3138</v>
      </c>
      <c r="B508" s="531" t="s">
        <v>745</v>
      </c>
      <c r="C508" s="257" t="s">
        <v>3140</v>
      </c>
      <c r="D508" s="530" t="s">
        <v>6209</v>
      </c>
      <c r="E508" s="530" t="s">
        <v>2095</v>
      </c>
      <c r="F508" s="530"/>
      <c r="G508" s="530"/>
      <c r="H508" s="530">
        <v>0</v>
      </c>
      <c r="I508" s="530"/>
      <c r="J508" s="530" t="s">
        <v>6216</v>
      </c>
      <c r="K508" s="530" t="s">
        <v>6217</v>
      </c>
      <c r="L508" s="530" t="s">
        <v>6218</v>
      </c>
      <c r="M508" s="228" t="s">
        <v>6336</v>
      </c>
      <c r="N508" s="742">
        <v>2</v>
      </c>
    </row>
    <row r="509" spans="1:14" ht="28.5" customHeight="1">
      <c r="A509" s="741" t="s">
        <v>3150</v>
      </c>
      <c r="B509" s="531" t="s">
        <v>745</v>
      </c>
      <c r="C509" s="257" t="s">
        <v>3152</v>
      </c>
      <c r="D509" s="530" t="s">
        <v>6209</v>
      </c>
      <c r="E509" s="530" t="s">
        <v>2095</v>
      </c>
      <c r="F509" s="530"/>
      <c r="G509" s="530"/>
      <c r="H509" s="530">
        <v>0</v>
      </c>
      <c r="I509" s="530"/>
      <c r="J509" s="530" t="s">
        <v>6216</v>
      </c>
      <c r="K509" s="530" t="s">
        <v>6217</v>
      </c>
      <c r="L509" s="530" t="s">
        <v>6218</v>
      </c>
      <c r="M509" s="228" t="s">
        <v>6336</v>
      </c>
      <c r="N509" s="742">
        <v>2</v>
      </c>
    </row>
    <row r="510" spans="1:14" ht="28.5" customHeight="1">
      <c r="A510" s="741" t="s">
        <v>3146</v>
      </c>
      <c r="B510" s="531" t="s">
        <v>745</v>
      </c>
      <c r="C510" s="257" t="s">
        <v>3148</v>
      </c>
      <c r="D510" s="530" t="s">
        <v>6209</v>
      </c>
      <c r="E510" s="530" t="s">
        <v>2095</v>
      </c>
      <c r="F510" s="530"/>
      <c r="G510" s="530"/>
      <c r="H510" s="530">
        <v>0</v>
      </c>
      <c r="I510" s="530"/>
      <c r="J510" s="530" t="s">
        <v>6216</v>
      </c>
      <c r="K510" s="530" t="s">
        <v>6217</v>
      </c>
      <c r="L510" s="530" t="s">
        <v>6218</v>
      </c>
      <c r="M510" s="228" t="s">
        <v>6336</v>
      </c>
      <c r="N510" s="742">
        <v>2</v>
      </c>
    </row>
    <row r="511" spans="1:14" ht="28.5" customHeight="1">
      <c r="A511" s="741" t="s">
        <v>3142</v>
      </c>
      <c r="B511" s="531" t="s">
        <v>745</v>
      </c>
      <c r="C511" s="257" t="s">
        <v>3144</v>
      </c>
      <c r="D511" s="530" t="s">
        <v>6209</v>
      </c>
      <c r="E511" s="530" t="s">
        <v>2095</v>
      </c>
      <c r="F511" s="530"/>
      <c r="G511" s="530"/>
      <c r="H511" s="530">
        <v>0</v>
      </c>
      <c r="I511" s="530"/>
      <c r="J511" s="530" t="s">
        <v>6216</v>
      </c>
      <c r="K511" s="530" t="s">
        <v>6217</v>
      </c>
      <c r="L511" s="530" t="s">
        <v>6218</v>
      </c>
      <c r="M511" s="228" t="s">
        <v>6336</v>
      </c>
      <c r="N511" s="742">
        <v>2</v>
      </c>
    </row>
    <row r="512" spans="1:14" ht="28.5" customHeight="1">
      <c r="A512" s="257" t="s">
        <v>3443</v>
      </c>
      <c r="B512" s="531" t="s">
        <v>745</v>
      </c>
      <c r="C512" s="12" t="s">
        <v>3445</v>
      </c>
      <c r="D512" s="530" t="s">
        <v>6209</v>
      </c>
      <c r="E512" s="530" t="s">
        <v>2095</v>
      </c>
      <c r="F512" s="530"/>
      <c r="G512" s="530"/>
      <c r="H512" s="742">
        <v>3</v>
      </c>
      <c r="I512" s="530"/>
      <c r="J512" s="530" t="s">
        <v>6216</v>
      </c>
      <c r="K512" s="530" t="s">
        <v>6220</v>
      </c>
      <c r="L512" s="530" t="s">
        <v>6212</v>
      </c>
      <c r="M512" s="228" t="s">
        <v>6342</v>
      </c>
      <c r="N512" s="742">
        <v>2</v>
      </c>
    </row>
    <row r="513" spans="1:14" ht="28.5" customHeight="1">
      <c r="A513" s="741" t="s">
        <v>3451</v>
      </c>
      <c r="B513" s="531" t="s">
        <v>745</v>
      </c>
      <c r="C513" s="12" t="s">
        <v>3453</v>
      </c>
      <c r="D513" s="530" t="s">
        <v>6209</v>
      </c>
      <c r="E513" s="530" t="s">
        <v>2095</v>
      </c>
      <c r="F513" s="530"/>
      <c r="G513" s="530"/>
      <c r="H513" s="742">
        <v>3</v>
      </c>
      <c r="I513" s="530"/>
      <c r="J513" s="530" t="s">
        <v>6216</v>
      </c>
      <c r="K513" s="530" t="s">
        <v>6217</v>
      </c>
      <c r="L513" s="530" t="s">
        <v>6218</v>
      </c>
      <c r="M513" s="228" t="s">
        <v>6343</v>
      </c>
      <c r="N513" s="742">
        <v>2</v>
      </c>
    </row>
    <row r="514" spans="1:14" ht="28.5" customHeight="1">
      <c r="A514" s="741" t="s">
        <v>3425</v>
      </c>
      <c r="B514" s="531" t="s">
        <v>745</v>
      </c>
      <c r="C514" s="12" t="s">
        <v>3427</v>
      </c>
      <c r="D514" s="530" t="s">
        <v>6209</v>
      </c>
      <c r="E514" s="530" t="s">
        <v>2095</v>
      </c>
      <c r="F514" s="530"/>
      <c r="G514" s="530"/>
      <c r="H514" s="742">
        <v>3</v>
      </c>
      <c r="I514" s="530"/>
      <c r="J514" s="530" t="s">
        <v>6216</v>
      </c>
      <c r="K514" s="530" t="s">
        <v>6217</v>
      </c>
      <c r="L514" s="530" t="s">
        <v>6218</v>
      </c>
      <c r="M514" s="228" t="s">
        <v>6344</v>
      </c>
      <c r="N514" s="742">
        <v>2</v>
      </c>
    </row>
    <row r="515" spans="1:14" ht="28.5" customHeight="1">
      <c r="A515" s="741" t="s">
        <v>3429</v>
      </c>
      <c r="B515" s="531" t="s">
        <v>745</v>
      </c>
      <c r="C515" s="12" t="s">
        <v>3431</v>
      </c>
      <c r="D515" s="530" t="s">
        <v>6209</v>
      </c>
      <c r="E515" s="530" t="s">
        <v>2095</v>
      </c>
      <c r="F515" s="530"/>
      <c r="G515" s="530"/>
      <c r="H515" s="742">
        <v>3</v>
      </c>
      <c r="I515" s="530"/>
      <c r="J515" s="530" t="s">
        <v>6216</v>
      </c>
      <c r="K515" s="530" t="s">
        <v>6217</v>
      </c>
      <c r="L515" s="530" t="s">
        <v>6218</v>
      </c>
      <c r="M515" s="228" t="s">
        <v>6345</v>
      </c>
      <c r="N515" s="742">
        <v>2</v>
      </c>
    </row>
    <row r="516" spans="1:14" ht="28.5" customHeight="1">
      <c r="A516" s="741" t="s">
        <v>3413</v>
      </c>
      <c r="B516" s="531" t="s">
        <v>745</v>
      </c>
      <c r="C516" s="12" t="s">
        <v>3415</v>
      </c>
      <c r="D516" s="530" t="s">
        <v>6209</v>
      </c>
      <c r="E516" s="530" t="s">
        <v>2095</v>
      </c>
      <c r="F516" s="530"/>
      <c r="G516" s="530"/>
      <c r="H516" s="742">
        <v>3</v>
      </c>
      <c r="I516" s="530"/>
      <c r="J516" s="530" t="s">
        <v>6216</v>
      </c>
      <c r="K516" s="530" t="s">
        <v>6217</v>
      </c>
      <c r="L516" s="530" t="s">
        <v>6218</v>
      </c>
      <c r="M516" s="228" t="s">
        <v>6346</v>
      </c>
      <c r="N516" s="742">
        <v>2</v>
      </c>
    </row>
    <row r="517" spans="1:14" ht="28.5" customHeight="1">
      <c r="A517" s="741" t="s">
        <v>3409</v>
      </c>
      <c r="B517" s="531" t="s">
        <v>745</v>
      </c>
      <c r="C517" s="12" t="s">
        <v>3411</v>
      </c>
      <c r="D517" s="530" t="s">
        <v>6209</v>
      </c>
      <c r="E517" s="530" t="s">
        <v>2095</v>
      </c>
      <c r="F517" s="530"/>
      <c r="G517" s="530"/>
      <c r="H517" s="742">
        <v>3</v>
      </c>
      <c r="I517" s="530"/>
      <c r="J517" s="530" t="s">
        <v>6216</v>
      </c>
      <c r="K517" s="530" t="s">
        <v>6217</v>
      </c>
      <c r="L517" s="530" t="s">
        <v>6218</v>
      </c>
      <c r="M517" s="228" t="s">
        <v>6347</v>
      </c>
      <c r="N517" s="742">
        <v>2</v>
      </c>
    </row>
    <row r="518" spans="1:14" ht="28.5" customHeight="1">
      <c r="A518" s="741" t="s">
        <v>3405</v>
      </c>
      <c r="B518" s="531" t="s">
        <v>745</v>
      </c>
      <c r="C518" s="12" t="s">
        <v>3407</v>
      </c>
      <c r="D518" s="530" t="s">
        <v>6209</v>
      </c>
      <c r="E518" s="530" t="s">
        <v>2095</v>
      </c>
      <c r="F518" s="530"/>
      <c r="G518" s="530"/>
      <c r="H518" s="742">
        <v>3</v>
      </c>
      <c r="I518" s="530"/>
      <c r="J518" s="530" t="s">
        <v>6216</v>
      </c>
      <c r="K518" s="530" t="s">
        <v>6217</v>
      </c>
      <c r="L518" s="530" t="s">
        <v>6218</v>
      </c>
      <c r="M518" s="228" t="s">
        <v>6348</v>
      </c>
      <c r="N518" s="742">
        <v>2</v>
      </c>
    </row>
    <row r="519" spans="1:14" ht="28.5" customHeight="1">
      <c r="A519" s="741" t="s">
        <v>3417</v>
      </c>
      <c r="B519" s="531" t="s">
        <v>745</v>
      </c>
      <c r="C519" s="12" t="s">
        <v>3419</v>
      </c>
      <c r="D519" s="530" t="s">
        <v>6209</v>
      </c>
      <c r="E519" s="530" t="s">
        <v>2095</v>
      </c>
      <c r="F519" s="530"/>
      <c r="G519" s="530"/>
      <c r="H519" s="742">
        <v>3</v>
      </c>
      <c r="I519" s="530"/>
      <c r="J519" s="530" t="s">
        <v>6216</v>
      </c>
      <c r="K519" s="530" t="s">
        <v>6217</v>
      </c>
      <c r="L519" s="530" t="s">
        <v>6218</v>
      </c>
      <c r="M519" s="228" t="s">
        <v>6349</v>
      </c>
      <c r="N519" s="742">
        <v>2</v>
      </c>
    </row>
    <row r="520" spans="1:14" ht="28.5" customHeight="1">
      <c r="A520" s="741" t="s">
        <v>3421</v>
      </c>
      <c r="B520" s="531" t="s">
        <v>745</v>
      </c>
      <c r="C520" s="12" t="s">
        <v>3423</v>
      </c>
      <c r="D520" s="530" t="s">
        <v>6209</v>
      </c>
      <c r="E520" s="530" t="s">
        <v>2095</v>
      </c>
      <c r="F520" s="530"/>
      <c r="G520" s="530"/>
      <c r="H520" s="742">
        <v>3</v>
      </c>
      <c r="I520" s="530"/>
      <c r="J520" s="530" t="s">
        <v>6216</v>
      </c>
      <c r="K520" s="530" t="s">
        <v>6217</v>
      </c>
      <c r="L520" s="530" t="s">
        <v>6218</v>
      </c>
      <c r="M520" s="228" t="s">
        <v>6350</v>
      </c>
      <c r="N520" s="742">
        <v>2</v>
      </c>
    </row>
    <row r="521" spans="1:14" ht="28.5" customHeight="1">
      <c r="A521" s="741" t="s">
        <v>3396</v>
      </c>
      <c r="B521" s="531" t="s">
        <v>745</v>
      </c>
      <c r="C521" s="12" t="s">
        <v>3398</v>
      </c>
      <c r="D521" s="530" t="s">
        <v>6209</v>
      </c>
      <c r="E521" s="530" t="s">
        <v>2095</v>
      </c>
      <c r="F521" s="530"/>
      <c r="G521" s="530"/>
      <c r="H521" s="742">
        <v>3</v>
      </c>
      <c r="I521" s="530"/>
      <c r="J521" s="530" t="s">
        <v>6216</v>
      </c>
      <c r="K521" s="530" t="s">
        <v>6217</v>
      </c>
      <c r="L521" s="530" t="s">
        <v>6218</v>
      </c>
      <c r="M521" s="228" t="s">
        <v>6351</v>
      </c>
      <c r="N521" s="742">
        <v>2</v>
      </c>
    </row>
    <row r="522" spans="1:14" ht="28.5" customHeight="1">
      <c r="A522" s="741" t="s">
        <v>3401</v>
      </c>
      <c r="B522" s="531" t="s">
        <v>745</v>
      </c>
      <c r="C522" s="12" t="s">
        <v>3403</v>
      </c>
      <c r="D522" s="530" t="s">
        <v>6209</v>
      </c>
      <c r="E522" s="530" t="s">
        <v>2095</v>
      </c>
      <c r="F522" s="530"/>
      <c r="G522" s="530"/>
      <c r="H522" s="742">
        <v>3</v>
      </c>
      <c r="I522" s="530"/>
      <c r="J522" s="530" t="s">
        <v>6216</v>
      </c>
      <c r="K522" s="530" t="s">
        <v>6217</v>
      </c>
      <c r="L522" s="530" t="s">
        <v>6218</v>
      </c>
      <c r="M522" s="228" t="s">
        <v>6352</v>
      </c>
      <c r="N522" s="742">
        <v>2</v>
      </c>
    </row>
    <row r="523" spans="1:14" ht="60" customHeight="1">
      <c r="A523" s="12" t="s">
        <v>3037</v>
      </c>
      <c r="B523" s="531" t="s">
        <v>745</v>
      </c>
      <c r="C523" s="12" t="s">
        <v>3039</v>
      </c>
      <c r="D523" s="530" t="s">
        <v>6209</v>
      </c>
      <c r="E523" s="530" t="s">
        <v>2168</v>
      </c>
      <c r="F523" s="530"/>
      <c r="G523" s="530"/>
      <c r="H523" s="742">
        <v>3</v>
      </c>
      <c r="I523" s="530"/>
      <c r="J523" s="530" t="s">
        <v>6216</v>
      </c>
      <c r="K523" s="530" t="s">
        <v>6211</v>
      </c>
      <c r="L523" s="530" t="s">
        <v>6218</v>
      </c>
      <c r="M523" s="228" t="s">
        <v>6353</v>
      </c>
      <c r="N523" s="742">
        <v>2</v>
      </c>
    </row>
    <row r="524" spans="1:14" ht="50.25" customHeight="1">
      <c r="A524" s="257" t="s">
        <v>3032</v>
      </c>
      <c r="B524" s="531" t="s">
        <v>745</v>
      </c>
      <c r="C524" s="257" t="s">
        <v>3034</v>
      </c>
      <c r="D524" s="530" t="s">
        <v>6209</v>
      </c>
      <c r="E524" s="530" t="s">
        <v>2168</v>
      </c>
      <c r="F524" s="530"/>
      <c r="G524" s="530"/>
      <c r="H524" s="742">
        <v>3</v>
      </c>
      <c r="I524" s="530"/>
      <c r="J524" s="530" t="s">
        <v>6216</v>
      </c>
      <c r="K524" s="530" t="s">
        <v>6220</v>
      </c>
      <c r="L524" s="530" t="s">
        <v>6212</v>
      </c>
      <c r="M524" s="228" t="s">
        <v>6354</v>
      </c>
      <c r="N524" s="742">
        <v>2</v>
      </c>
    </row>
    <row r="525" spans="1:14" ht="28.5" customHeight="1">
      <c r="A525" s="873" t="s">
        <v>2527</v>
      </c>
      <c r="B525" s="874" t="s">
        <v>745</v>
      </c>
      <c r="C525" s="873" t="s">
        <v>2529</v>
      </c>
      <c r="D525" s="875" t="s">
        <v>6209</v>
      </c>
      <c r="E525" s="875" t="s">
        <v>2095</v>
      </c>
      <c r="F525" s="875"/>
      <c r="G525" s="875"/>
      <c r="H525" s="875">
        <v>0</v>
      </c>
      <c r="I525" s="875"/>
      <c r="J525" s="875" t="s">
        <v>6216</v>
      </c>
      <c r="K525" s="875" t="s">
        <v>6220</v>
      </c>
      <c r="L525" s="875" t="s">
        <v>6212</v>
      </c>
      <c r="M525" s="872" t="s">
        <v>6340</v>
      </c>
      <c r="N525" s="875">
        <v>2</v>
      </c>
    </row>
    <row r="526" spans="1:14" ht="28.5">
      <c r="A526" s="741" t="s">
        <v>931</v>
      </c>
      <c r="B526" s="531" t="s">
        <v>809</v>
      </c>
      <c r="C526" s="257" t="s">
        <v>3307</v>
      </c>
      <c r="D526" s="530" t="s">
        <v>6209</v>
      </c>
      <c r="E526" s="530" t="s">
        <v>2168</v>
      </c>
      <c r="F526" s="530"/>
      <c r="G526" s="530"/>
      <c r="H526" s="742">
        <v>3</v>
      </c>
      <c r="I526" s="530"/>
      <c r="J526" s="530" t="s">
        <v>6216</v>
      </c>
      <c r="K526" s="530" t="s">
        <v>6211</v>
      </c>
      <c r="L526" s="530" t="s">
        <v>6218</v>
      </c>
      <c r="M526" s="228" t="s">
        <v>6355</v>
      </c>
      <c r="N526" s="742">
        <v>2</v>
      </c>
    </row>
    <row r="527" spans="1:14" ht="28.5" customHeight="1">
      <c r="A527" s="741" t="s">
        <v>936</v>
      </c>
      <c r="B527" s="531" t="s">
        <v>331</v>
      </c>
      <c r="C527" s="257" t="s">
        <v>3309</v>
      </c>
      <c r="D527" s="530" t="s">
        <v>6209</v>
      </c>
      <c r="E527" s="530" t="s">
        <v>2168</v>
      </c>
      <c r="F527" s="530"/>
      <c r="G527" s="530"/>
      <c r="H527" s="742">
        <v>3</v>
      </c>
      <c r="I527" s="530"/>
      <c r="J527" s="530" t="s">
        <v>6216</v>
      </c>
      <c r="K527" s="530" t="s">
        <v>6211</v>
      </c>
      <c r="L527" s="530" t="s">
        <v>6218</v>
      </c>
      <c r="M527" s="228" t="s">
        <v>6355</v>
      </c>
      <c r="N527" s="742">
        <v>2</v>
      </c>
    </row>
    <row r="528" spans="1:14" ht="28.5" customHeight="1">
      <c r="A528" s="741" t="s">
        <v>940</v>
      </c>
      <c r="B528" s="531" t="s">
        <v>2173</v>
      </c>
      <c r="C528" s="257" t="s">
        <v>3290</v>
      </c>
      <c r="D528" s="530" t="s">
        <v>6209</v>
      </c>
      <c r="E528" s="530" t="s">
        <v>2168</v>
      </c>
      <c r="F528" s="530"/>
      <c r="G528" s="530"/>
      <c r="H528" s="742">
        <v>3</v>
      </c>
      <c r="I528" s="530"/>
      <c r="J528" s="530" t="s">
        <v>6216</v>
      </c>
      <c r="K528" s="530" t="s">
        <v>6211</v>
      </c>
      <c r="L528" s="530" t="s">
        <v>6218</v>
      </c>
      <c r="M528" s="228" t="s">
        <v>6355</v>
      </c>
      <c r="N528" s="742">
        <v>2</v>
      </c>
    </row>
    <row r="529" spans="1:14" ht="28.5" customHeight="1">
      <c r="A529" s="741" t="s">
        <v>944</v>
      </c>
      <c r="B529" s="531" t="s">
        <v>2197</v>
      </c>
      <c r="C529" s="257" t="s">
        <v>3292</v>
      </c>
      <c r="D529" s="530" t="s">
        <v>6209</v>
      </c>
      <c r="E529" s="530" t="s">
        <v>2168</v>
      </c>
      <c r="F529" s="530"/>
      <c r="G529" s="530"/>
      <c r="H529" s="742">
        <v>3</v>
      </c>
      <c r="I529" s="530"/>
      <c r="J529" s="530" t="s">
        <v>6216</v>
      </c>
      <c r="K529" s="530" t="s">
        <v>6211</v>
      </c>
      <c r="L529" s="530" t="s">
        <v>6218</v>
      </c>
      <c r="M529" s="228" t="s">
        <v>6355</v>
      </c>
      <c r="N529" s="742">
        <v>2</v>
      </c>
    </row>
    <row r="530" spans="1:14" ht="28.5" customHeight="1">
      <c r="A530" s="741" t="s">
        <v>948</v>
      </c>
      <c r="B530" s="531" t="s">
        <v>2225</v>
      </c>
      <c r="C530" s="257" t="s">
        <v>3284</v>
      </c>
      <c r="D530" s="530" t="s">
        <v>6209</v>
      </c>
      <c r="E530" s="530" t="s">
        <v>2168</v>
      </c>
      <c r="F530" s="530"/>
      <c r="G530" s="530"/>
      <c r="H530" s="742">
        <v>3</v>
      </c>
      <c r="I530" s="530"/>
      <c r="J530" s="530" t="s">
        <v>6216</v>
      </c>
      <c r="K530" s="530" t="s">
        <v>6211</v>
      </c>
      <c r="L530" s="530" t="s">
        <v>6218</v>
      </c>
      <c r="M530" s="228" t="s">
        <v>6355</v>
      </c>
      <c r="N530" s="742">
        <v>2</v>
      </c>
    </row>
    <row r="531" spans="1:14" ht="28.5" customHeight="1">
      <c r="A531" s="741" t="s">
        <v>952</v>
      </c>
      <c r="B531" s="531" t="s">
        <v>2216</v>
      </c>
      <c r="C531" s="257" t="s">
        <v>3282</v>
      </c>
      <c r="D531" s="530" t="s">
        <v>6209</v>
      </c>
      <c r="E531" s="530" t="s">
        <v>2168</v>
      </c>
      <c r="F531" s="530"/>
      <c r="G531" s="530"/>
      <c r="H531" s="742">
        <v>3</v>
      </c>
      <c r="I531" s="530"/>
      <c r="J531" s="530" t="s">
        <v>6216</v>
      </c>
      <c r="K531" s="530" t="s">
        <v>6211</v>
      </c>
      <c r="L531" s="530" t="s">
        <v>6218</v>
      </c>
      <c r="M531" s="228" t="s">
        <v>6355</v>
      </c>
      <c r="N531" s="742">
        <v>2</v>
      </c>
    </row>
    <row r="532" spans="1:14" ht="28.5" customHeight="1">
      <c r="A532" s="741" t="s">
        <v>956</v>
      </c>
      <c r="B532" s="531" t="s">
        <v>2230</v>
      </c>
      <c r="C532" s="257" t="s">
        <v>3280</v>
      </c>
      <c r="D532" s="530" t="s">
        <v>6209</v>
      </c>
      <c r="E532" s="530" t="s">
        <v>2168</v>
      </c>
      <c r="F532" s="530"/>
      <c r="G532" s="530"/>
      <c r="H532" s="742">
        <v>3</v>
      </c>
      <c r="I532" s="530"/>
      <c r="J532" s="530" t="s">
        <v>6216</v>
      </c>
      <c r="K532" s="530" t="s">
        <v>6211</v>
      </c>
      <c r="L532" s="530" t="s">
        <v>6218</v>
      </c>
      <c r="M532" s="228" t="s">
        <v>6355</v>
      </c>
      <c r="N532" s="742">
        <v>2</v>
      </c>
    </row>
    <row r="533" spans="1:14" ht="28.5" customHeight="1">
      <c r="A533" s="741" t="s">
        <v>960</v>
      </c>
      <c r="B533" s="531" t="s">
        <v>2235</v>
      </c>
      <c r="C533" s="257" t="s">
        <v>3286</v>
      </c>
      <c r="D533" s="530" t="s">
        <v>6209</v>
      </c>
      <c r="E533" s="530" t="s">
        <v>2168</v>
      </c>
      <c r="F533" s="530"/>
      <c r="G533" s="530"/>
      <c r="H533" s="742">
        <v>3</v>
      </c>
      <c r="I533" s="530"/>
      <c r="J533" s="530" t="s">
        <v>6216</v>
      </c>
      <c r="K533" s="530" t="s">
        <v>6211</v>
      </c>
      <c r="L533" s="530" t="s">
        <v>6218</v>
      </c>
      <c r="M533" s="228" t="s">
        <v>6355</v>
      </c>
      <c r="N533" s="742">
        <v>2</v>
      </c>
    </row>
    <row r="534" spans="1:14" ht="28.5" customHeight="1">
      <c r="A534" s="741" t="s">
        <v>964</v>
      </c>
      <c r="B534" s="531" t="s">
        <v>2206</v>
      </c>
      <c r="C534" s="257" t="s">
        <v>3288</v>
      </c>
      <c r="D534" s="530" t="s">
        <v>6209</v>
      </c>
      <c r="E534" s="530" t="s">
        <v>2168</v>
      </c>
      <c r="F534" s="530"/>
      <c r="G534" s="530"/>
      <c r="H534" s="742">
        <v>3</v>
      </c>
      <c r="I534" s="530"/>
      <c r="J534" s="530" t="s">
        <v>6216</v>
      </c>
      <c r="K534" s="530" t="s">
        <v>6211</v>
      </c>
      <c r="L534" s="530" t="s">
        <v>6218</v>
      </c>
      <c r="M534" s="228" t="s">
        <v>6355</v>
      </c>
      <c r="N534" s="742">
        <v>2</v>
      </c>
    </row>
    <row r="535" spans="1:14" ht="28.5" customHeight="1">
      <c r="A535" s="741" t="s">
        <v>968</v>
      </c>
      <c r="B535" s="531" t="s">
        <v>2211</v>
      </c>
      <c r="C535" s="257" t="s">
        <v>3276</v>
      </c>
      <c r="D535" s="530" t="s">
        <v>6209</v>
      </c>
      <c r="E535" s="530" t="s">
        <v>2168</v>
      </c>
      <c r="F535" s="530"/>
      <c r="G535" s="530"/>
      <c r="H535" s="742">
        <v>3</v>
      </c>
      <c r="I535" s="530"/>
      <c r="J535" s="530" t="s">
        <v>6216</v>
      </c>
      <c r="K535" s="530" t="s">
        <v>6211</v>
      </c>
      <c r="L535" s="530" t="s">
        <v>6218</v>
      </c>
      <c r="M535" s="228" t="s">
        <v>6355</v>
      </c>
      <c r="N535" s="742">
        <v>2</v>
      </c>
    </row>
    <row r="536" spans="1:14" ht="28.5" customHeight="1">
      <c r="A536" s="741" t="s">
        <v>972</v>
      </c>
      <c r="B536" s="531" t="s">
        <v>2192</v>
      </c>
      <c r="C536" s="257" t="s">
        <v>3278</v>
      </c>
      <c r="D536" s="530" t="s">
        <v>6209</v>
      </c>
      <c r="E536" s="530" t="s">
        <v>2168</v>
      </c>
      <c r="F536" s="530"/>
      <c r="G536" s="530"/>
      <c r="H536" s="742">
        <v>3</v>
      </c>
      <c r="I536" s="530"/>
      <c r="J536" s="530" t="s">
        <v>6216</v>
      </c>
      <c r="K536" s="530" t="s">
        <v>6211</v>
      </c>
      <c r="L536" s="530" t="s">
        <v>6218</v>
      </c>
      <c r="M536" s="228" t="s">
        <v>6355</v>
      </c>
      <c r="N536" s="742">
        <v>2</v>
      </c>
    </row>
    <row r="537" spans="1:14" ht="28.5" customHeight="1">
      <c r="A537" s="741" t="s">
        <v>976</v>
      </c>
      <c r="B537" s="531" t="s">
        <v>2187</v>
      </c>
      <c r="C537" s="257" t="s">
        <v>3265</v>
      </c>
      <c r="D537" s="530" t="s">
        <v>6209</v>
      </c>
      <c r="E537" s="530" t="s">
        <v>2168</v>
      </c>
      <c r="F537" s="530"/>
      <c r="G537" s="530"/>
      <c r="H537" s="742">
        <v>3</v>
      </c>
      <c r="I537" s="530"/>
      <c r="J537" s="530" t="s">
        <v>6216</v>
      </c>
      <c r="K537" s="530" t="s">
        <v>6211</v>
      </c>
      <c r="L537" s="530" t="s">
        <v>6218</v>
      </c>
      <c r="M537" s="228" t="s">
        <v>6355</v>
      </c>
      <c r="N537" s="742">
        <v>2</v>
      </c>
    </row>
    <row r="538" spans="1:14" ht="28.5">
      <c r="A538" s="741" t="s">
        <v>3261</v>
      </c>
      <c r="B538" s="531" t="s">
        <v>809</v>
      </c>
      <c r="C538" s="257" t="s">
        <v>3263</v>
      </c>
      <c r="D538" s="530" t="s">
        <v>6209</v>
      </c>
      <c r="E538" s="530" t="s">
        <v>2168</v>
      </c>
      <c r="F538" s="530"/>
      <c r="G538" s="530"/>
      <c r="H538" s="742">
        <v>3</v>
      </c>
      <c r="I538" s="530"/>
      <c r="J538" s="530" t="s">
        <v>6216</v>
      </c>
      <c r="K538" s="530" t="s">
        <v>6220</v>
      </c>
      <c r="L538" s="530" t="s">
        <v>6212</v>
      </c>
      <c r="M538" s="228" t="s">
        <v>6356</v>
      </c>
      <c r="N538" s="742">
        <v>2</v>
      </c>
    </row>
    <row r="539" spans="1:14" ht="28.5" customHeight="1">
      <c r="A539" s="741" t="s">
        <v>3257</v>
      </c>
      <c r="B539" s="531" t="s">
        <v>331</v>
      </c>
      <c r="C539" s="257" t="s">
        <v>3259</v>
      </c>
      <c r="D539" s="530" t="s">
        <v>6209</v>
      </c>
      <c r="E539" s="530" t="s">
        <v>2168</v>
      </c>
      <c r="F539" s="530"/>
      <c r="G539" s="530"/>
      <c r="H539" s="742">
        <v>3</v>
      </c>
      <c r="I539" s="530"/>
      <c r="J539" s="530" t="s">
        <v>6216</v>
      </c>
      <c r="K539" s="530" t="s">
        <v>6220</v>
      </c>
      <c r="L539" s="530" t="s">
        <v>6212</v>
      </c>
      <c r="M539" s="228" t="s">
        <v>6356</v>
      </c>
      <c r="N539" s="742">
        <v>2</v>
      </c>
    </row>
    <row r="540" spans="1:14" ht="28.5" customHeight="1">
      <c r="A540" s="741" t="s">
        <v>3268</v>
      </c>
      <c r="B540" s="531" t="s">
        <v>2173</v>
      </c>
      <c r="C540" s="257" t="s">
        <v>3270</v>
      </c>
      <c r="D540" s="530" t="s">
        <v>6209</v>
      </c>
      <c r="E540" s="530" t="s">
        <v>2168</v>
      </c>
      <c r="F540" s="530"/>
      <c r="G540" s="530"/>
      <c r="H540" s="742">
        <v>3</v>
      </c>
      <c r="I540" s="530"/>
      <c r="J540" s="530" t="s">
        <v>6216</v>
      </c>
      <c r="K540" s="530" t="s">
        <v>6220</v>
      </c>
      <c r="L540" s="530" t="s">
        <v>6212</v>
      </c>
      <c r="M540" s="228" t="s">
        <v>6356</v>
      </c>
      <c r="N540" s="742">
        <v>2</v>
      </c>
    </row>
    <row r="541" spans="1:14" ht="28.5" customHeight="1">
      <c r="A541" s="741" t="s">
        <v>3272</v>
      </c>
      <c r="B541" s="531" t="s">
        <v>2197</v>
      </c>
      <c r="C541" s="257" t="s">
        <v>3274</v>
      </c>
      <c r="D541" s="530" t="s">
        <v>6209</v>
      </c>
      <c r="E541" s="530" t="s">
        <v>2168</v>
      </c>
      <c r="F541" s="530"/>
      <c r="G541" s="530"/>
      <c r="H541" s="742">
        <v>3</v>
      </c>
      <c r="I541" s="530"/>
      <c r="J541" s="530" t="s">
        <v>6216</v>
      </c>
      <c r="K541" s="530" t="s">
        <v>6220</v>
      </c>
      <c r="L541" s="530" t="s">
        <v>6212</v>
      </c>
      <c r="M541" s="228" t="s">
        <v>6356</v>
      </c>
      <c r="N541" s="742">
        <v>2</v>
      </c>
    </row>
    <row r="542" spans="1:14" ht="28.5" customHeight="1">
      <c r="A542" s="741" t="s">
        <v>3249</v>
      </c>
      <c r="B542" s="531" t="s">
        <v>2225</v>
      </c>
      <c r="C542" s="257" t="s">
        <v>3251</v>
      </c>
      <c r="D542" s="530" t="s">
        <v>6209</v>
      </c>
      <c r="E542" s="530" t="s">
        <v>2168</v>
      </c>
      <c r="F542" s="530"/>
      <c r="G542" s="530"/>
      <c r="H542" s="742">
        <v>3</v>
      </c>
      <c r="I542" s="530"/>
      <c r="J542" s="530" t="s">
        <v>6216</v>
      </c>
      <c r="K542" s="530" t="s">
        <v>6220</v>
      </c>
      <c r="L542" s="530" t="s">
        <v>6212</v>
      </c>
      <c r="M542" s="228" t="s">
        <v>6356</v>
      </c>
      <c r="N542" s="742">
        <v>2</v>
      </c>
    </row>
    <row r="543" spans="1:14" ht="28.5" customHeight="1">
      <c r="A543" s="741" t="s">
        <v>3253</v>
      </c>
      <c r="B543" s="531" t="s">
        <v>2216</v>
      </c>
      <c r="C543" s="257" t="s">
        <v>3255</v>
      </c>
      <c r="D543" s="530" t="s">
        <v>6209</v>
      </c>
      <c r="E543" s="530" t="s">
        <v>2168</v>
      </c>
      <c r="F543" s="530"/>
      <c r="G543" s="530"/>
      <c r="H543" s="742">
        <v>3</v>
      </c>
      <c r="I543" s="530"/>
      <c r="J543" s="530" t="s">
        <v>6216</v>
      </c>
      <c r="K543" s="530" t="s">
        <v>6220</v>
      </c>
      <c r="L543" s="530" t="s">
        <v>6212</v>
      </c>
      <c r="M543" s="228" t="s">
        <v>6356</v>
      </c>
      <c r="N543" s="742">
        <v>2</v>
      </c>
    </row>
    <row r="544" spans="1:14" ht="28.5" customHeight="1">
      <c r="A544" s="741" t="s">
        <v>3237</v>
      </c>
      <c r="B544" s="531" t="s">
        <v>2230</v>
      </c>
      <c r="C544" s="257" t="s">
        <v>3239</v>
      </c>
      <c r="D544" s="530" t="s">
        <v>6209</v>
      </c>
      <c r="E544" s="530" t="s">
        <v>2168</v>
      </c>
      <c r="F544" s="530"/>
      <c r="G544" s="530"/>
      <c r="H544" s="742">
        <v>3</v>
      </c>
      <c r="I544" s="530"/>
      <c r="J544" s="530" t="s">
        <v>6216</v>
      </c>
      <c r="K544" s="530" t="s">
        <v>6220</v>
      </c>
      <c r="L544" s="530" t="s">
        <v>6212</v>
      </c>
      <c r="M544" s="228" t="s">
        <v>6356</v>
      </c>
      <c r="N544" s="742">
        <v>2</v>
      </c>
    </row>
    <row r="545" spans="1:14" ht="28.5" customHeight="1">
      <c r="A545" s="741" t="s">
        <v>3233</v>
      </c>
      <c r="B545" s="531" t="s">
        <v>2235</v>
      </c>
      <c r="C545" s="257" t="s">
        <v>3235</v>
      </c>
      <c r="D545" s="530" t="s">
        <v>6209</v>
      </c>
      <c r="E545" s="530" t="s">
        <v>2168</v>
      </c>
      <c r="F545" s="530"/>
      <c r="G545" s="530"/>
      <c r="H545" s="742">
        <v>3</v>
      </c>
      <c r="I545" s="530"/>
      <c r="J545" s="530" t="s">
        <v>6216</v>
      </c>
      <c r="K545" s="530" t="s">
        <v>6220</v>
      </c>
      <c r="L545" s="530" t="s">
        <v>6212</v>
      </c>
      <c r="M545" s="228" t="s">
        <v>6356</v>
      </c>
      <c r="N545" s="742">
        <v>2</v>
      </c>
    </row>
    <row r="546" spans="1:14" ht="28.5" customHeight="1">
      <c r="A546" s="741" t="s">
        <v>3229</v>
      </c>
      <c r="B546" s="531" t="s">
        <v>2206</v>
      </c>
      <c r="C546" s="257" t="s">
        <v>3231</v>
      </c>
      <c r="D546" s="530" t="s">
        <v>6209</v>
      </c>
      <c r="E546" s="530" t="s">
        <v>2168</v>
      </c>
      <c r="F546" s="530"/>
      <c r="G546" s="530"/>
      <c r="H546" s="742">
        <v>3</v>
      </c>
      <c r="I546" s="530"/>
      <c r="J546" s="530" t="s">
        <v>6216</v>
      </c>
      <c r="K546" s="530" t="s">
        <v>6220</v>
      </c>
      <c r="L546" s="530" t="s">
        <v>6212</v>
      </c>
      <c r="M546" s="228" t="s">
        <v>6356</v>
      </c>
      <c r="N546" s="742">
        <v>2</v>
      </c>
    </row>
    <row r="547" spans="1:14" ht="28.5" customHeight="1">
      <c r="A547" s="741" t="s">
        <v>3241</v>
      </c>
      <c r="B547" s="531" t="s">
        <v>2211</v>
      </c>
      <c r="C547" s="257" t="s">
        <v>3243</v>
      </c>
      <c r="D547" s="530" t="s">
        <v>6209</v>
      </c>
      <c r="E547" s="530" t="s">
        <v>2168</v>
      </c>
      <c r="F547" s="530"/>
      <c r="G547" s="530"/>
      <c r="H547" s="742">
        <v>3</v>
      </c>
      <c r="I547" s="530"/>
      <c r="J547" s="530" t="s">
        <v>6216</v>
      </c>
      <c r="K547" s="530" t="s">
        <v>6220</v>
      </c>
      <c r="L547" s="530" t="s">
        <v>6212</v>
      </c>
      <c r="M547" s="228" t="s">
        <v>6356</v>
      </c>
      <c r="N547" s="742">
        <v>2</v>
      </c>
    </row>
    <row r="548" spans="1:14" ht="28.5" customHeight="1">
      <c r="A548" s="741" t="s">
        <v>3245</v>
      </c>
      <c r="B548" s="531" t="s">
        <v>2192</v>
      </c>
      <c r="C548" s="257" t="s">
        <v>3247</v>
      </c>
      <c r="D548" s="530" t="s">
        <v>6209</v>
      </c>
      <c r="E548" s="530" t="s">
        <v>2168</v>
      </c>
      <c r="F548" s="530"/>
      <c r="G548" s="530"/>
      <c r="H548" s="742">
        <v>3</v>
      </c>
      <c r="I548" s="530"/>
      <c r="J548" s="530" t="s">
        <v>6216</v>
      </c>
      <c r="K548" s="530" t="s">
        <v>6220</v>
      </c>
      <c r="L548" s="530" t="s">
        <v>6212</v>
      </c>
      <c r="M548" s="228" t="s">
        <v>6356</v>
      </c>
      <c r="N548" s="742">
        <v>2</v>
      </c>
    </row>
    <row r="549" spans="1:14" ht="28.5" customHeight="1">
      <c r="A549" s="741" t="s">
        <v>3220</v>
      </c>
      <c r="B549" s="531" t="s">
        <v>2187</v>
      </c>
      <c r="C549" s="257" t="s">
        <v>3222</v>
      </c>
      <c r="D549" s="530" t="s">
        <v>6209</v>
      </c>
      <c r="E549" s="530" t="s">
        <v>2168</v>
      </c>
      <c r="F549" s="530"/>
      <c r="G549" s="530"/>
      <c r="H549" s="742">
        <v>3</v>
      </c>
      <c r="I549" s="530"/>
      <c r="J549" s="530" t="s">
        <v>6216</v>
      </c>
      <c r="K549" s="530" t="s">
        <v>6220</v>
      </c>
      <c r="L549" s="530" t="s">
        <v>6212</v>
      </c>
      <c r="M549" s="228" t="s">
        <v>6356</v>
      </c>
      <c r="N549" s="742">
        <v>2</v>
      </c>
    </row>
    <row r="550" spans="1:14" ht="28.5">
      <c r="A550" s="741" t="s">
        <v>3188</v>
      </c>
      <c r="B550" s="531" t="s">
        <v>809</v>
      </c>
      <c r="C550" s="257" t="s">
        <v>3190</v>
      </c>
      <c r="D550" s="530" t="s">
        <v>6209</v>
      </c>
      <c r="E550" s="530" t="s">
        <v>2168</v>
      </c>
      <c r="F550" s="530"/>
      <c r="G550" s="530"/>
      <c r="H550" s="742">
        <v>3</v>
      </c>
      <c r="I550" s="530"/>
      <c r="J550" s="530" t="s">
        <v>6216</v>
      </c>
      <c r="K550" s="530" t="s">
        <v>6211</v>
      </c>
      <c r="L550" s="530" t="s">
        <v>6218</v>
      </c>
      <c r="M550" s="228" t="s">
        <v>6357</v>
      </c>
      <c r="N550" s="742">
        <v>2</v>
      </c>
    </row>
    <row r="551" spans="1:14" ht="28.5" customHeight="1">
      <c r="A551" s="741" t="s">
        <v>2983</v>
      </c>
      <c r="B551" s="531" t="s">
        <v>331</v>
      </c>
      <c r="C551" s="257" t="s">
        <v>2985</v>
      </c>
      <c r="D551" s="530" t="s">
        <v>6209</v>
      </c>
      <c r="E551" s="530" t="s">
        <v>2168</v>
      </c>
      <c r="F551" s="530"/>
      <c r="G551" s="530"/>
      <c r="H551" s="742">
        <v>3</v>
      </c>
      <c r="I551" s="530"/>
      <c r="J551" s="530" t="s">
        <v>6216</v>
      </c>
      <c r="K551" s="530" t="s">
        <v>6211</v>
      </c>
      <c r="L551" s="530" t="s">
        <v>6218</v>
      </c>
      <c r="M551" s="228" t="s">
        <v>6357</v>
      </c>
      <c r="N551" s="742">
        <v>2</v>
      </c>
    </row>
    <row r="552" spans="1:14" ht="28.5" customHeight="1">
      <c r="A552" s="741" t="s">
        <v>3134</v>
      </c>
      <c r="B552" s="531" t="s">
        <v>2173</v>
      </c>
      <c r="C552" s="257" t="s">
        <v>3136</v>
      </c>
      <c r="D552" s="530" t="s">
        <v>6209</v>
      </c>
      <c r="E552" s="530" t="s">
        <v>2168</v>
      </c>
      <c r="F552" s="530"/>
      <c r="G552" s="530"/>
      <c r="H552" s="742">
        <v>3</v>
      </c>
      <c r="I552" s="530"/>
      <c r="J552" s="530" t="s">
        <v>6216</v>
      </c>
      <c r="K552" s="530" t="s">
        <v>6211</v>
      </c>
      <c r="L552" s="530" t="s">
        <v>6218</v>
      </c>
      <c r="M552" s="228" t="s">
        <v>6357</v>
      </c>
      <c r="N552" s="742">
        <v>2</v>
      </c>
    </row>
    <row r="553" spans="1:14" ht="28.5" customHeight="1">
      <c r="A553" s="741" t="s">
        <v>2979</v>
      </c>
      <c r="B553" s="531" t="s">
        <v>2197</v>
      </c>
      <c r="C553" s="257" t="s">
        <v>2981</v>
      </c>
      <c r="D553" s="530" t="s">
        <v>6209</v>
      </c>
      <c r="E553" s="530" t="s">
        <v>2168</v>
      </c>
      <c r="F553" s="530"/>
      <c r="G553" s="530"/>
      <c r="H553" s="742">
        <v>3</v>
      </c>
      <c r="I553" s="530"/>
      <c r="J553" s="530" t="s">
        <v>6216</v>
      </c>
      <c r="K553" s="530" t="s">
        <v>6211</v>
      </c>
      <c r="L553" s="530" t="s">
        <v>6218</v>
      </c>
      <c r="M553" s="228" t="s">
        <v>6357</v>
      </c>
      <c r="N553" s="742">
        <v>2</v>
      </c>
    </row>
    <row r="554" spans="1:14" ht="28.5" customHeight="1">
      <c r="A554" s="741" t="s">
        <v>3130</v>
      </c>
      <c r="B554" s="531" t="s">
        <v>2225</v>
      </c>
      <c r="C554" s="257" t="s">
        <v>3132</v>
      </c>
      <c r="D554" s="530" t="s">
        <v>6209</v>
      </c>
      <c r="E554" s="530" t="s">
        <v>2168</v>
      </c>
      <c r="F554" s="530"/>
      <c r="G554" s="530"/>
      <c r="H554" s="742">
        <v>3</v>
      </c>
      <c r="I554" s="530"/>
      <c r="J554" s="530" t="s">
        <v>6216</v>
      </c>
      <c r="K554" s="530" t="s">
        <v>6211</v>
      </c>
      <c r="L554" s="530" t="s">
        <v>6218</v>
      </c>
      <c r="M554" s="228" t="s">
        <v>6357</v>
      </c>
      <c r="N554" s="742">
        <v>2</v>
      </c>
    </row>
    <row r="555" spans="1:14" ht="28.5" customHeight="1">
      <c r="A555" s="741" t="s">
        <v>2970</v>
      </c>
      <c r="B555" s="531" t="s">
        <v>2216</v>
      </c>
      <c r="C555" s="257" t="s">
        <v>2972</v>
      </c>
      <c r="D555" s="530" t="s">
        <v>6209</v>
      </c>
      <c r="E555" s="530" t="s">
        <v>2168</v>
      </c>
      <c r="F555" s="530"/>
      <c r="G555" s="530"/>
      <c r="H555" s="742">
        <v>3</v>
      </c>
      <c r="I555" s="530"/>
      <c r="J555" s="530" t="s">
        <v>6216</v>
      </c>
      <c r="K555" s="530" t="s">
        <v>6211</v>
      </c>
      <c r="L555" s="530" t="s">
        <v>6218</v>
      </c>
      <c r="M555" s="228" t="s">
        <v>6357</v>
      </c>
      <c r="N555" s="742">
        <v>2</v>
      </c>
    </row>
    <row r="556" spans="1:14" ht="28.5" customHeight="1">
      <c r="A556" s="741" t="s">
        <v>2975</v>
      </c>
      <c r="B556" s="531" t="s">
        <v>2230</v>
      </c>
      <c r="C556" s="257" t="s">
        <v>2977</v>
      </c>
      <c r="D556" s="530" t="s">
        <v>6209</v>
      </c>
      <c r="E556" s="530" t="s">
        <v>2168</v>
      </c>
      <c r="F556" s="530"/>
      <c r="G556" s="530"/>
      <c r="H556" s="742">
        <v>3</v>
      </c>
      <c r="I556" s="530"/>
      <c r="J556" s="530" t="s">
        <v>6216</v>
      </c>
      <c r="K556" s="530" t="s">
        <v>6211</v>
      </c>
      <c r="L556" s="530" t="s">
        <v>6218</v>
      </c>
      <c r="M556" s="228" t="s">
        <v>6357</v>
      </c>
      <c r="N556" s="742">
        <v>2</v>
      </c>
    </row>
    <row r="557" spans="1:14" ht="28.5" customHeight="1">
      <c r="A557" s="741" t="s">
        <v>2987</v>
      </c>
      <c r="B557" s="531" t="s">
        <v>2235</v>
      </c>
      <c r="C557" s="257" t="s">
        <v>2989</v>
      </c>
      <c r="D557" s="530" t="s">
        <v>6209</v>
      </c>
      <c r="E557" s="530" t="s">
        <v>2168</v>
      </c>
      <c r="F557" s="530"/>
      <c r="G557" s="530"/>
      <c r="H557" s="742">
        <v>3</v>
      </c>
      <c r="I557" s="530"/>
      <c r="J557" s="530" t="s">
        <v>6216</v>
      </c>
      <c r="K557" s="530" t="s">
        <v>6211</v>
      </c>
      <c r="L557" s="530" t="s">
        <v>6218</v>
      </c>
      <c r="M557" s="228" t="s">
        <v>6357</v>
      </c>
      <c r="N557" s="742">
        <v>2</v>
      </c>
    </row>
    <row r="558" spans="1:14" ht="28.5" customHeight="1">
      <c r="A558" s="741" t="s">
        <v>3164</v>
      </c>
      <c r="B558" s="531" t="s">
        <v>2206</v>
      </c>
      <c r="C558" s="257" t="s">
        <v>3166</v>
      </c>
      <c r="D558" s="530" t="s">
        <v>6209</v>
      </c>
      <c r="E558" s="530" t="s">
        <v>2168</v>
      </c>
      <c r="F558" s="530"/>
      <c r="G558" s="530"/>
      <c r="H558" s="742">
        <v>3</v>
      </c>
      <c r="I558" s="530"/>
      <c r="J558" s="530" t="s">
        <v>6216</v>
      </c>
      <c r="K558" s="530" t="s">
        <v>6211</v>
      </c>
      <c r="L558" s="530" t="s">
        <v>6218</v>
      </c>
      <c r="M558" s="228" t="s">
        <v>6357</v>
      </c>
      <c r="N558" s="742">
        <v>2</v>
      </c>
    </row>
    <row r="559" spans="1:14" ht="28.5" customHeight="1">
      <c r="A559" s="741" t="s">
        <v>3118</v>
      </c>
      <c r="B559" s="531" t="s">
        <v>2211</v>
      </c>
      <c r="C559" s="257" t="s">
        <v>3120</v>
      </c>
      <c r="D559" s="530" t="s">
        <v>6209</v>
      </c>
      <c r="E559" s="530" t="s">
        <v>2168</v>
      </c>
      <c r="F559" s="530"/>
      <c r="G559" s="530"/>
      <c r="H559" s="742">
        <v>3</v>
      </c>
      <c r="I559" s="530"/>
      <c r="J559" s="530" t="s">
        <v>6216</v>
      </c>
      <c r="K559" s="530" t="s">
        <v>6211</v>
      </c>
      <c r="L559" s="530" t="s">
        <v>6218</v>
      </c>
      <c r="M559" s="228" t="s">
        <v>6357</v>
      </c>
      <c r="N559" s="742">
        <v>2</v>
      </c>
    </row>
    <row r="560" spans="1:14" ht="28.5" customHeight="1">
      <c r="A560" s="741" t="s">
        <v>3114</v>
      </c>
      <c r="B560" s="531" t="s">
        <v>2192</v>
      </c>
      <c r="C560" s="257" t="s">
        <v>3116</v>
      </c>
      <c r="D560" s="530" t="s">
        <v>6209</v>
      </c>
      <c r="E560" s="530" t="s">
        <v>2168</v>
      </c>
      <c r="F560" s="530"/>
      <c r="G560" s="530"/>
      <c r="H560" s="742">
        <v>3</v>
      </c>
      <c r="I560" s="530"/>
      <c r="J560" s="530" t="s">
        <v>6216</v>
      </c>
      <c r="K560" s="530" t="s">
        <v>6211</v>
      </c>
      <c r="L560" s="530" t="s">
        <v>6218</v>
      </c>
      <c r="M560" s="228" t="s">
        <v>6357</v>
      </c>
      <c r="N560" s="742">
        <v>2</v>
      </c>
    </row>
    <row r="561" spans="1:14" ht="28.5" customHeight="1">
      <c r="A561" s="741" t="s">
        <v>3110</v>
      </c>
      <c r="B561" s="531" t="s">
        <v>2187</v>
      </c>
      <c r="C561" s="257" t="s">
        <v>3112</v>
      </c>
      <c r="D561" s="530" t="s">
        <v>6209</v>
      </c>
      <c r="E561" s="530" t="s">
        <v>2168</v>
      </c>
      <c r="F561" s="530"/>
      <c r="G561" s="530"/>
      <c r="H561" s="742">
        <v>3</v>
      </c>
      <c r="I561" s="530"/>
      <c r="J561" s="530" t="s">
        <v>6216</v>
      </c>
      <c r="K561" s="530" t="s">
        <v>6211</v>
      </c>
      <c r="L561" s="530" t="s">
        <v>6218</v>
      </c>
      <c r="M561" s="228" t="s">
        <v>6357</v>
      </c>
      <c r="N561" s="742">
        <v>2</v>
      </c>
    </row>
    <row r="562" spans="1:14" ht="39.75" customHeight="1">
      <c r="A562" s="741" t="s">
        <v>3106</v>
      </c>
      <c r="B562" s="531" t="s">
        <v>809</v>
      </c>
      <c r="C562" s="257" t="s">
        <v>3108</v>
      </c>
      <c r="D562" s="530" t="s">
        <v>6209</v>
      </c>
      <c r="E562" s="530" t="s">
        <v>2168</v>
      </c>
      <c r="F562" s="530"/>
      <c r="G562" s="530"/>
      <c r="H562" s="742">
        <v>3</v>
      </c>
      <c r="I562" s="530"/>
      <c r="J562" s="530" t="s">
        <v>6216</v>
      </c>
      <c r="K562" s="530" t="s">
        <v>6211</v>
      </c>
      <c r="L562" s="530" t="s">
        <v>6218</v>
      </c>
      <c r="M562" s="228" t="s">
        <v>6358</v>
      </c>
      <c r="N562" s="742">
        <v>2</v>
      </c>
    </row>
    <row r="563" spans="1:14" ht="28.5" customHeight="1">
      <c r="A563" s="741" t="s">
        <v>2305</v>
      </c>
      <c r="B563" s="531" t="s">
        <v>331</v>
      </c>
      <c r="C563" s="257" t="s">
        <v>2307</v>
      </c>
      <c r="D563" s="530" t="s">
        <v>6209</v>
      </c>
      <c r="E563" s="530" t="s">
        <v>2168</v>
      </c>
      <c r="F563" s="530"/>
      <c r="G563" s="530"/>
      <c r="H563" s="742">
        <v>3</v>
      </c>
      <c r="I563" s="530"/>
      <c r="J563" s="530" t="s">
        <v>6216</v>
      </c>
      <c r="K563" s="530" t="s">
        <v>6211</v>
      </c>
      <c r="L563" s="530" t="s">
        <v>6218</v>
      </c>
      <c r="M563" s="228" t="s">
        <v>6358</v>
      </c>
      <c r="N563" s="742">
        <v>2</v>
      </c>
    </row>
    <row r="564" spans="1:14" ht="28.5" customHeight="1">
      <c r="A564" s="741" t="s">
        <v>2346</v>
      </c>
      <c r="B564" s="531" t="s">
        <v>2173</v>
      </c>
      <c r="C564" s="257" t="s">
        <v>2348</v>
      </c>
      <c r="D564" s="530" t="s">
        <v>6209</v>
      </c>
      <c r="E564" s="530" t="s">
        <v>2168</v>
      </c>
      <c r="F564" s="530"/>
      <c r="G564" s="530"/>
      <c r="H564" s="742">
        <v>3</v>
      </c>
      <c r="I564" s="530"/>
      <c r="J564" s="530" t="s">
        <v>6216</v>
      </c>
      <c r="K564" s="530" t="s">
        <v>6211</v>
      </c>
      <c r="L564" s="530" t="s">
        <v>6218</v>
      </c>
      <c r="M564" s="228" t="s">
        <v>6358</v>
      </c>
      <c r="N564" s="742">
        <v>2</v>
      </c>
    </row>
    <row r="565" spans="1:14" ht="28.5" customHeight="1">
      <c r="A565" s="741" t="s">
        <v>2342</v>
      </c>
      <c r="B565" s="531" t="s">
        <v>2197</v>
      </c>
      <c r="C565" s="257" t="s">
        <v>2344</v>
      </c>
      <c r="D565" s="530" t="s">
        <v>6209</v>
      </c>
      <c r="E565" s="530" t="s">
        <v>2168</v>
      </c>
      <c r="F565" s="530"/>
      <c r="G565" s="530"/>
      <c r="H565" s="742">
        <v>3</v>
      </c>
      <c r="I565" s="530"/>
      <c r="J565" s="530" t="s">
        <v>6216</v>
      </c>
      <c r="K565" s="530" t="s">
        <v>6211</v>
      </c>
      <c r="L565" s="530" t="s">
        <v>6218</v>
      </c>
      <c r="M565" s="228" t="s">
        <v>6358</v>
      </c>
      <c r="N565" s="742">
        <v>2</v>
      </c>
    </row>
    <row r="566" spans="1:14" ht="28.5" customHeight="1">
      <c r="A566" s="741" t="s">
        <v>2338</v>
      </c>
      <c r="B566" s="531" t="s">
        <v>2225</v>
      </c>
      <c r="C566" s="257" t="s">
        <v>2340</v>
      </c>
      <c r="D566" s="530" t="s">
        <v>6209</v>
      </c>
      <c r="E566" s="530" t="s">
        <v>2168</v>
      </c>
      <c r="F566" s="530"/>
      <c r="G566" s="530"/>
      <c r="H566" s="742">
        <v>3</v>
      </c>
      <c r="I566" s="530"/>
      <c r="J566" s="530" t="s">
        <v>6216</v>
      </c>
      <c r="K566" s="530" t="s">
        <v>6211</v>
      </c>
      <c r="L566" s="530" t="s">
        <v>6218</v>
      </c>
      <c r="M566" s="228" t="s">
        <v>6358</v>
      </c>
      <c r="N566" s="742">
        <v>2</v>
      </c>
    </row>
    <row r="567" spans="1:14" ht="28.5" customHeight="1">
      <c r="A567" s="741" t="s">
        <v>2334</v>
      </c>
      <c r="B567" s="531" t="s">
        <v>2216</v>
      </c>
      <c r="C567" s="257" t="s">
        <v>2336</v>
      </c>
      <c r="D567" s="530" t="s">
        <v>6209</v>
      </c>
      <c r="E567" s="530" t="s">
        <v>2168</v>
      </c>
      <c r="F567" s="530"/>
      <c r="G567" s="530"/>
      <c r="H567" s="742">
        <v>3</v>
      </c>
      <c r="I567" s="530"/>
      <c r="J567" s="530" t="s">
        <v>6216</v>
      </c>
      <c r="K567" s="530" t="s">
        <v>6211</v>
      </c>
      <c r="L567" s="530" t="s">
        <v>6218</v>
      </c>
      <c r="M567" s="228" t="s">
        <v>6358</v>
      </c>
      <c r="N567" s="742">
        <v>2</v>
      </c>
    </row>
    <row r="568" spans="1:14" ht="28.5" customHeight="1">
      <c r="A568" s="741" t="s">
        <v>2330</v>
      </c>
      <c r="B568" s="531" t="s">
        <v>2230</v>
      </c>
      <c r="C568" s="257" t="s">
        <v>2332</v>
      </c>
      <c r="D568" s="530" t="s">
        <v>6209</v>
      </c>
      <c r="E568" s="530" t="s">
        <v>2168</v>
      </c>
      <c r="F568" s="530"/>
      <c r="G568" s="530"/>
      <c r="H568" s="742">
        <v>3</v>
      </c>
      <c r="I568" s="530"/>
      <c r="J568" s="530" t="s">
        <v>6216</v>
      </c>
      <c r="K568" s="530" t="s">
        <v>6211</v>
      </c>
      <c r="L568" s="530" t="s">
        <v>6218</v>
      </c>
      <c r="M568" s="228" t="s">
        <v>6358</v>
      </c>
      <c r="N568" s="742">
        <v>2</v>
      </c>
    </row>
    <row r="569" spans="1:14" ht="28.5" customHeight="1">
      <c r="A569" s="741" t="s">
        <v>2314</v>
      </c>
      <c r="B569" s="531" t="s">
        <v>2235</v>
      </c>
      <c r="C569" s="257" t="s">
        <v>2316</v>
      </c>
      <c r="D569" s="530" t="s">
        <v>6209</v>
      </c>
      <c r="E569" s="530" t="s">
        <v>2168</v>
      </c>
      <c r="F569" s="530"/>
      <c r="G569" s="530"/>
      <c r="H569" s="742">
        <v>3</v>
      </c>
      <c r="I569" s="530"/>
      <c r="J569" s="530" t="s">
        <v>6216</v>
      </c>
      <c r="K569" s="530" t="s">
        <v>6211</v>
      </c>
      <c r="L569" s="530" t="s">
        <v>6218</v>
      </c>
      <c r="M569" s="228" t="s">
        <v>6358</v>
      </c>
      <c r="N569" s="742">
        <v>2</v>
      </c>
    </row>
    <row r="570" spans="1:14" ht="28.5" customHeight="1">
      <c r="A570" s="741" t="s">
        <v>2326</v>
      </c>
      <c r="B570" s="531" t="s">
        <v>2206</v>
      </c>
      <c r="C570" s="257" t="s">
        <v>2328</v>
      </c>
      <c r="D570" s="530" t="s">
        <v>6209</v>
      </c>
      <c r="E570" s="530" t="s">
        <v>2168</v>
      </c>
      <c r="F570" s="530"/>
      <c r="G570" s="530"/>
      <c r="H570" s="742">
        <v>3</v>
      </c>
      <c r="I570" s="530"/>
      <c r="J570" s="530" t="s">
        <v>6216</v>
      </c>
      <c r="K570" s="530" t="s">
        <v>6211</v>
      </c>
      <c r="L570" s="530" t="s">
        <v>6218</v>
      </c>
      <c r="M570" s="228" t="s">
        <v>6358</v>
      </c>
      <c r="N570" s="742">
        <v>2</v>
      </c>
    </row>
    <row r="571" spans="1:14" ht="28.5" customHeight="1">
      <c r="A571" s="741" t="s">
        <v>2310</v>
      </c>
      <c r="B571" s="531" t="s">
        <v>2211</v>
      </c>
      <c r="C571" s="257" t="s">
        <v>2312</v>
      </c>
      <c r="D571" s="530" t="s">
        <v>6209</v>
      </c>
      <c r="E571" s="530" t="s">
        <v>2168</v>
      </c>
      <c r="F571" s="530"/>
      <c r="G571" s="530"/>
      <c r="H571" s="742">
        <v>3</v>
      </c>
      <c r="I571" s="530"/>
      <c r="J571" s="530" t="s">
        <v>6216</v>
      </c>
      <c r="K571" s="530" t="s">
        <v>6211</v>
      </c>
      <c r="L571" s="530" t="s">
        <v>6218</v>
      </c>
      <c r="M571" s="228" t="s">
        <v>6358</v>
      </c>
      <c r="N571" s="742">
        <v>2</v>
      </c>
    </row>
    <row r="572" spans="1:14" ht="28.5" customHeight="1">
      <c r="A572" s="741" t="s">
        <v>2322</v>
      </c>
      <c r="B572" s="531" t="s">
        <v>2192</v>
      </c>
      <c r="C572" s="257" t="s">
        <v>2324</v>
      </c>
      <c r="D572" s="530" t="s">
        <v>6209</v>
      </c>
      <c r="E572" s="530" t="s">
        <v>2168</v>
      </c>
      <c r="F572" s="530"/>
      <c r="G572" s="530"/>
      <c r="H572" s="742">
        <v>3</v>
      </c>
      <c r="I572" s="530"/>
      <c r="J572" s="530" t="s">
        <v>6216</v>
      </c>
      <c r="K572" s="530" t="s">
        <v>6211</v>
      </c>
      <c r="L572" s="530" t="s">
        <v>6218</v>
      </c>
      <c r="M572" s="228" t="s">
        <v>6358</v>
      </c>
      <c r="N572" s="742">
        <v>2</v>
      </c>
    </row>
    <row r="573" spans="1:14" ht="28.5" customHeight="1">
      <c r="A573" s="741" t="s">
        <v>2318</v>
      </c>
      <c r="B573" s="531" t="s">
        <v>2187</v>
      </c>
      <c r="C573" s="257" t="s">
        <v>2320</v>
      </c>
      <c r="D573" s="530" t="s">
        <v>6209</v>
      </c>
      <c r="E573" s="530" t="s">
        <v>2168</v>
      </c>
      <c r="F573" s="530"/>
      <c r="G573" s="530"/>
      <c r="H573" s="742">
        <v>3</v>
      </c>
      <c r="I573" s="530"/>
      <c r="J573" s="530" t="s">
        <v>6216</v>
      </c>
      <c r="K573" s="530" t="s">
        <v>6211</v>
      </c>
      <c r="L573" s="530" t="s">
        <v>6218</v>
      </c>
      <c r="M573" s="228" t="s">
        <v>6358</v>
      </c>
      <c r="N573" s="742">
        <v>2</v>
      </c>
    </row>
    <row r="574" spans="1:14" ht="40.5" customHeight="1">
      <c r="A574" s="741" t="s">
        <v>2181</v>
      </c>
      <c r="B574" s="531" t="s">
        <v>809</v>
      </c>
      <c r="C574" s="257" t="s">
        <v>2183</v>
      </c>
      <c r="D574" s="530" t="s">
        <v>6209</v>
      </c>
      <c r="E574" s="530" t="s">
        <v>2168</v>
      </c>
      <c r="F574" s="530"/>
      <c r="G574" s="530"/>
      <c r="H574" s="742">
        <v>3</v>
      </c>
      <c r="I574" s="530"/>
      <c r="J574" s="530" t="s">
        <v>6216</v>
      </c>
      <c r="K574" s="530" t="s">
        <v>6220</v>
      </c>
      <c r="L574" s="530" t="s">
        <v>6212</v>
      </c>
      <c r="M574" s="228" t="s">
        <v>6359</v>
      </c>
      <c r="N574" s="742">
        <v>2</v>
      </c>
    </row>
    <row r="575" spans="1:14" ht="28.5" customHeight="1">
      <c r="A575" s="741" t="s">
        <v>3102</v>
      </c>
      <c r="B575" s="531" t="s">
        <v>331</v>
      </c>
      <c r="C575" s="257" t="s">
        <v>3104</v>
      </c>
      <c r="D575" s="530" t="s">
        <v>6209</v>
      </c>
      <c r="E575" s="530" t="s">
        <v>2168</v>
      </c>
      <c r="F575" s="530"/>
      <c r="G575" s="530"/>
      <c r="H575" s="742">
        <v>3</v>
      </c>
      <c r="I575" s="530"/>
      <c r="J575" s="530" t="s">
        <v>6216</v>
      </c>
      <c r="K575" s="530" t="s">
        <v>6220</v>
      </c>
      <c r="L575" s="530" t="s">
        <v>6212</v>
      </c>
      <c r="M575" s="228" t="s">
        <v>6359</v>
      </c>
      <c r="N575" s="742">
        <v>2</v>
      </c>
    </row>
    <row r="576" spans="1:14" ht="28.5" customHeight="1">
      <c r="A576" s="741" t="s">
        <v>2201</v>
      </c>
      <c r="B576" s="531" t="s">
        <v>2173</v>
      </c>
      <c r="C576" s="257" t="s">
        <v>2203</v>
      </c>
      <c r="D576" s="530" t="s">
        <v>6209</v>
      </c>
      <c r="E576" s="530" t="s">
        <v>2168</v>
      </c>
      <c r="F576" s="530"/>
      <c r="G576" s="530"/>
      <c r="H576" s="742">
        <v>3</v>
      </c>
      <c r="I576" s="530"/>
      <c r="J576" s="530" t="s">
        <v>6216</v>
      </c>
      <c r="K576" s="530" t="s">
        <v>6220</v>
      </c>
      <c r="L576" s="530" t="s">
        <v>6212</v>
      </c>
      <c r="M576" s="228" t="s">
        <v>6359</v>
      </c>
      <c r="N576" s="742">
        <v>2</v>
      </c>
    </row>
    <row r="577" spans="1:14" ht="28.5" customHeight="1">
      <c r="A577" s="741" t="s">
        <v>2196</v>
      </c>
      <c r="B577" s="531" t="s">
        <v>2197</v>
      </c>
      <c r="C577" s="257" t="s">
        <v>2199</v>
      </c>
      <c r="D577" s="530" t="s">
        <v>6209</v>
      </c>
      <c r="E577" s="530" t="s">
        <v>2168</v>
      </c>
      <c r="F577" s="530"/>
      <c r="G577" s="530"/>
      <c r="H577" s="742">
        <v>3</v>
      </c>
      <c r="I577" s="530"/>
      <c r="J577" s="530" t="s">
        <v>6216</v>
      </c>
      <c r="K577" s="530" t="s">
        <v>6220</v>
      </c>
      <c r="L577" s="530" t="s">
        <v>6212</v>
      </c>
      <c r="M577" s="228" t="s">
        <v>6359</v>
      </c>
      <c r="N577" s="742">
        <v>2</v>
      </c>
    </row>
    <row r="578" spans="1:14" ht="28.5" customHeight="1">
      <c r="A578" s="741" t="s">
        <v>3011</v>
      </c>
      <c r="B578" s="531" t="s">
        <v>2225</v>
      </c>
      <c r="C578" s="257" t="s">
        <v>3013</v>
      </c>
      <c r="D578" s="530" t="s">
        <v>6209</v>
      </c>
      <c r="E578" s="530" t="s">
        <v>2168</v>
      </c>
      <c r="F578" s="530"/>
      <c r="G578" s="530"/>
      <c r="H578" s="742">
        <v>3</v>
      </c>
      <c r="I578" s="530"/>
      <c r="J578" s="530" t="s">
        <v>6216</v>
      </c>
      <c r="K578" s="530" t="s">
        <v>6220</v>
      </c>
      <c r="L578" s="530" t="s">
        <v>6212</v>
      </c>
      <c r="M578" s="228" t="s">
        <v>6359</v>
      </c>
      <c r="N578" s="742">
        <v>2</v>
      </c>
    </row>
    <row r="579" spans="1:14" ht="28.5" customHeight="1">
      <c r="A579" s="741" t="s">
        <v>3098</v>
      </c>
      <c r="B579" s="531" t="s">
        <v>2216</v>
      </c>
      <c r="C579" s="257" t="s">
        <v>3100</v>
      </c>
      <c r="D579" s="530" t="s">
        <v>6209</v>
      </c>
      <c r="E579" s="530" t="s">
        <v>2168</v>
      </c>
      <c r="F579" s="530"/>
      <c r="G579" s="530"/>
      <c r="H579" s="742">
        <v>3</v>
      </c>
      <c r="I579" s="530"/>
      <c r="J579" s="530" t="s">
        <v>6216</v>
      </c>
      <c r="K579" s="530" t="s">
        <v>6220</v>
      </c>
      <c r="L579" s="530" t="s">
        <v>6212</v>
      </c>
      <c r="M579" s="228" t="s">
        <v>6359</v>
      </c>
      <c r="N579" s="742">
        <v>2</v>
      </c>
    </row>
    <row r="580" spans="1:14" ht="28.5" customHeight="1">
      <c r="A580" s="741" t="s">
        <v>3094</v>
      </c>
      <c r="B580" s="531" t="s">
        <v>2230</v>
      </c>
      <c r="C580" s="257" t="s">
        <v>3096</v>
      </c>
      <c r="D580" s="530" t="s">
        <v>6209</v>
      </c>
      <c r="E580" s="530" t="s">
        <v>2168</v>
      </c>
      <c r="F580" s="530"/>
      <c r="G580" s="530"/>
      <c r="H580" s="742">
        <v>3</v>
      </c>
      <c r="I580" s="530"/>
      <c r="J580" s="530" t="s">
        <v>6216</v>
      </c>
      <c r="K580" s="530" t="s">
        <v>6220</v>
      </c>
      <c r="L580" s="530" t="s">
        <v>6212</v>
      </c>
      <c r="M580" s="228" t="s">
        <v>6359</v>
      </c>
      <c r="N580" s="742">
        <v>2</v>
      </c>
    </row>
    <row r="581" spans="1:14" ht="28.5" customHeight="1">
      <c r="A581" s="741" t="s">
        <v>3019</v>
      </c>
      <c r="B581" s="531" t="s">
        <v>2235</v>
      </c>
      <c r="C581" s="257" t="s">
        <v>3021</v>
      </c>
      <c r="D581" s="530" t="s">
        <v>6209</v>
      </c>
      <c r="E581" s="530" t="s">
        <v>2168</v>
      </c>
      <c r="F581" s="530"/>
      <c r="G581" s="530"/>
      <c r="H581" s="742">
        <v>3</v>
      </c>
      <c r="I581" s="530"/>
      <c r="J581" s="530" t="s">
        <v>6216</v>
      </c>
      <c r="K581" s="530" t="s">
        <v>6220</v>
      </c>
      <c r="L581" s="530" t="s">
        <v>6212</v>
      </c>
      <c r="M581" s="228" t="s">
        <v>6359</v>
      </c>
      <c r="N581" s="742">
        <v>2</v>
      </c>
    </row>
    <row r="582" spans="1:14" ht="28.5" customHeight="1">
      <c r="A582" s="741" t="s">
        <v>3015</v>
      </c>
      <c r="B582" s="531" t="s">
        <v>2206</v>
      </c>
      <c r="C582" s="257" t="s">
        <v>3017</v>
      </c>
      <c r="D582" s="530" t="s">
        <v>6209</v>
      </c>
      <c r="E582" s="530" t="s">
        <v>2168</v>
      </c>
      <c r="F582" s="530"/>
      <c r="G582" s="530"/>
      <c r="H582" s="742">
        <v>3</v>
      </c>
      <c r="I582" s="530"/>
      <c r="J582" s="530" t="s">
        <v>6216</v>
      </c>
      <c r="K582" s="530" t="s">
        <v>6220</v>
      </c>
      <c r="L582" s="530" t="s">
        <v>6212</v>
      </c>
      <c r="M582" s="228" t="s">
        <v>6359</v>
      </c>
      <c r="N582" s="742">
        <v>2</v>
      </c>
    </row>
    <row r="583" spans="1:14" ht="28.5" customHeight="1">
      <c r="A583" s="741" t="s">
        <v>2301</v>
      </c>
      <c r="B583" s="531" t="s">
        <v>2211</v>
      </c>
      <c r="C583" s="257" t="s">
        <v>2303</v>
      </c>
      <c r="D583" s="530" t="s">
        <v>6209</v>
      </c>
      <c r="E583" s="530" t="s">
        <v>2168</v>
      </c>
      <c r="F583" s="530"/>
      <c r="G583" s="530"/>
      <c r="H583" s="742">
        <v>3</v>
      </c>
      <c r="I583" s="530"/>
      <c r="J583" s="530" t="s">
        <v>6216</v>
      </c>
      <c r="K583" s="530" t="s">
        <v>6220</v>
      </c>
      <c r="L583" s="530" t="s">
        <v>6212</v>
      </c>
      <c r="M583" s="228" t="s">
        <v>6359</v>
      </c>
      <c r="N583" s="742">
        <v>2</v>
      </c>
    </row>
    <row r="584" spans="1:14" ht="28.5" customHeight="1">
      <c r="A584" s="741" t="s">
        <v>2277</v>
      </c>
      <c r="B584" s="531" t="s">
        <v>2192</v>
      </c>
      <c r="C584" s="257" t="s">
        <v>2279</v>
      </c>
      <c r="D584" s="530" t="s">
        <v>6209</v>
      </c>
      <c r="E584" s="530" t="s">
        <v>2168</v>
      </c>
      <c r="F584" s="530"/>
      <c r="G584" s="530"/>
      <c r="H584" s="742">
        <v>3</v>
      </c>
      <c r="I584" s="530"/>
      <c r="J584" s="530" t="s">
        <v>6216</v>
      </c>
      <c r="K584" s="530" t="s">
        <v>6220</v>
      </c>
      <c r="L584" s="530" t="s">
        <v>6212</v>
      </c>
      <c r="M584" s="228" t="s">
        <v>6359</v>
      </c>
      <c r="N584" s="742">
        <v>2</v>
      </c>
    </row>
    <row r="585" spans="1:14" ht="28.5" customHeight="1">
      <c r="A585" s="741" t="s">
        <v>2297</v>
      </c>
      <c r="B585" s="531" t="s">
        <v>2187</v>
      </c>
      <c r="C585" s="257" t="s">
        <v>2299</v>
      </c>
      <c r="D585" s="530" t="s">
        <v>6209</v>
      </c>
      <c r="E585" s="530" t="s">
        <v>2168</v>
      </c>
      <c r="F585" s="530"/>
      <c r="G585" s="530"/>
      <c r="H585" s="742">
        <v>3</v>
      </c>
      <c r="I585" s="530"/>
      <c r="J585" s="530" t="s">
        <v>6216</v>
      </c>
      <c r="K585" s="530" t="s">
        <v>6220</v>
      </c>
      <c r="L585" s="530" t="s">
        <v>6212</v>
      </c>
      <c r="M585" s="228" t="s">
        <v>6359</v>
      </c>
      <c r="N585" s="742">
        <v>2</v>
      </c>
    </row>
    <row r="586" spans="1:14" ht="36.75" customHeight="1">
      <c r="A586" s="741" t="s">
        <v>2293</v>
      </c>
      <c r="B586" s="531" t="s">
        <v>809</v>
      </c>
      <c r="C586" s="257" t="s">
        <v>2295</v>
      </c>
      <c r="D586" s="530" t="s">
        <v>6209</v>
      </c>
      <c r="E586" s="530" t="s">
        <v>2168</v>
      </c>
      <c r="F586" s="530"/>
      <c r="G586" s="530"/>
      <c r="H586" s="742">
        <v>3</v>
      </c>
      <c r="I586" s="530"/>
      <c r="J586" s="530" t="s">
        <v>6216</v>
      </c>
      <c r="K586" s="530" t="s">
        <v>6220</v>
      </c>
      <c r="L586" s="530" t="s">
        <v>6212</v>
      </c>
      <c r="M586" s="228" t="s">
        <v>6360</v>
      </c>
      <c r="N586" s="742">
        <v>2</v>
      </c>
    </row>
    <row r="587" spans="1:14" ht="28.5" customHeight="1">
      <c r="A587" s="741" t="s">
        <v>2285</v>
      </c>
      <c r="B587" s="531" t="s">
        <v>331</v>
      </c>
      <c r="C587" s="257" t="s">
        <v>2287</v>
      </c>
      <c r="D587" s="530" t="s">
        <v>6209</v>
      </c>
      <c r="E587" s="530" t="s">
        <v>2168</v>
      </c>
      <c r="F587" s="530"/>
      <c r="G587" s="530"/>
      <c r="H587" s="742">
        <v>3</v>
      </c>
      <c r="I587" s="530"/>
      <c r="J587" s="530" t="s">
        <v>6216</v>
      </c>
      <c r="K587" s="530" t="s">
        <v>6220</v>
      </c>
      <c r="L587" s="530" t="s">
        <v>6212</v>
      </c>
      <c r="M587" s="228" t="s">
        <v>6360</v>
      </c>
      <c r="N587" s="742">
        <v>2</v>
      </c>
    </row>
    <row r="588" spans="1:14" ht="28.5" customHeight="1">
      <c r="A588" s="741" t="s">
        <v>2289</v>
      </c>
      <c r="B588" s="531" t="s">
        <v>2173</v>
      </c>
      <c r="C588" s="257" t="s">
        <v>2291</v>
      </c>
      <c r="D588" s="530" t="s">
        <v>6209</v>
      </c>
      <c r="E588" s="530" t="s">
        <v>2168</v>
      </c>
      <c r="F588" s="530"/>
      <c r="G588" s="530"/>
      <c r="H588" s="742">
        <v>3</v>
      </c>
      <c r="I588" s="530"/>
      <c r="J588" s="530" t="s">
        <v>6216</v>
      </c>
      <c r="K588" s="530" t="s">
        <v>6220</v>
      </c>
      <c r="L588" s="530" t="s">
        <v>6212</v>
      </c>
      <c r="M588" s="228" t="s">
        <v>6360</v>
      </c>
      <c r="N588" s="742">
        <v>2</v>
      </c>
    </row>
    <row r="589" spans="1:14" ht="28.5" customHeight="1">
      <c r="A589" s="741" t="s">
        <v>2281</v>
      </c>
      <c r="B589" s="531" t="s">
        <v>2197</v>
      </c>
      <c r="C589" s="257" t="s">
        <v>2283</v>
      </c>
      <c r="D589" s="530" t="s">
        <v>6209</v>
      </c>
      <c r="E589" s="530" t="s">
        <v>2168</v>
      </c>
      <c r="F589" s="530"/>
      <c r="G589" s="530"/>
      <c r="H589" s="742">
        <v>3</v>
      </c>
      <c r="I589" s="530"/>
      <c r="J589" s="530" t="s">
        <v>6216</v>
      </c>
      <c r="K589" s="530" t="s">
        <v>6220</v>
      </c>
      <c r="L589" s="530" t="s">
        <v>6212</v>
      </c>
      <c r="M589" s="228" t="s">
        <v>6360</v>
      </c>
      <c r="N589" s="742">
        <v>2</v>
      </c>
    </row>
    <row r="590" spans="1:14" ht="28.5" customHeight="1">
      <c r="A590" s="741" t="s">
        <v>2265</v>
      </c>
      <c r="B590" s="531" t="s">
        <v>2225</v>
      </c>
      <c r="C590" s="257" t="s">
        <v>2267</v>
      </c>
      <c r="D590" s="530" t="s">
        <v>6209</v>
      </c>
      <c r="E590" s="530" t="s">
        <v>2168</v>
      </c>
      <c r="F590" s="530"/>
      <c r="G590" s="530"/>
      <c r="H590" s="742">
        <v>3</v>
      </c>
      <c r="I590" s="530"/>
      <c r="J590" s="530" t="s">
        <v>6216</v>
      </c>
      <c r="K590" s="530" t="s">
        <v>6220</v>
      </c>
      <c r="L590" s="530" t="s">
        <v>6212</v>
      </c>
      <c r="M590" s="228" t="s">
        <v>6360</v>
      </c>
      <c r="N590" s="742">
        <v>2</v>
      </c>
    </row>
    <row r="591" spans="1:14" ht="28.5" customHeight="1">
      <c r="A591" s="741" t="s">
        <v>2269</v>
      </c>
      <c r="B591" s="531" t="s">
        <v>2216</v>
      </c>
      <c r="C591" s="257" t="s">
        <v>2271</v>
      </c>
      <c r="D591" s="530" t="s">
        <v>6209</v>
      </c>
      <c r="E591" s="530" t="s">
        <v>2168</v>
      </c>
      <c r="F591" s="530"/>
      <c r="G591" s="530"/>
      <c r="H591" s="742">
        <v>3</v>
      </c>
      <c r="I591" s="530"/>
      <c r="J591" s="530" t="s">
        <v>6216</v>
      </c>
      <c r="K591" s="530" t="s">
        <v>6220</v>
      </c>
      <c r="L591" s="530" t="s">
        <v>6212</v>
      </c>
      <c r="M591" s="228" t="s">
        <v>6360</v>
      </c>
      <c r="N591" s="742">
        <v>2</v>
      </c>
    </row>
    <row r="592" spans="1:14" ht="28.5" customHeight="1">
      <c r="A592" s="741" t="s">
        <v>2261</v>
      </c>
      <c r="B592" s="531" t="s">
        <v>2230</v>
      </c>
      <c r="C592" s="257" t="s">
        <v>2263</v>
      </c>
      <c r="D592" s="530" t="s">
        <v>6209</v>
      </c>
      <c r="E592" s="530" t="s">
        <v>2168</v>
      </c>
      <c r="F592" s="530"/>
      <c r="G592" s="530"/>
      <c r="H592" s="742">
        <v>3</v>
      </c>
      <c r="I592" s="530"/>
      <c r="J592" s="530" t="s">
        <v>6216</v>
      </c>
      <c r="K592" s="530" t="s">
        <v>6220</v>
      </c>
      <c r="L592" s="530" t="s">
        <v>6212</v>
      </c>
      <c r="M592" s="228" t="s">
        <v>6360</v>
      </c>
      <c r="N592" s="742">
        <v>2</v>
      </c>
    </row>
    <row r="593" spans="1:14" ht="28.5" customHeight="1">
      <c r="A593" s="741" t="s">
        <v>2273</v>
      </c>
      <c r="B593" s="531" t="s">
        <v>2235</v>
      </c>
      <c r="C593" s="257" t="s">
        <v>2275</v>
      </c>
      <c r="D593" s="530" t="s">
        <v>6209</v>
      </c>
      <c r="E593" s="530" t="s">
        <v>2168</v>
      </c>
      <c r="F593" s="530"/>
      <c r="G593" s="530"/>
      <c r="H593" s="742">
        <v>3</v>
      </c>
      <c r="I593" s="530"/>
      <c r="J593" s="530" t="s">
        <v>6216</v>
      </c>
      <c r="K593" s="530" t="s">
        <v>6220</v>
      </c>
      <c r="L593" s="530" t="s">
        <v>6212</v>
      </c>
      <c r="M593" s="228" t="s">
        <v>6360</v>
      </c>
      <c r="N593" s="742">
        <v>2</v>
      </c>
    </row>
    <row r="594" spans="1:14" ht="28.5" customHeight="1">
      <c r="A594" s="741" t="s">
        <v>2252</v>
      </c>
      <c r="B594" s="531" t="s">
        <v>2206</v>
      </c>
      <c r="C594" s="257" t="s">
        <v>2254</v>
      </c>
      <c r="D594" s="530" t="s">
        <v>6209</v>
      </c>
      <c r="E594" s="530" t="s">
        <v>2168</v>
      </c>
      <c r="F594" s="530"/>
      <c r="G594" s="530"/>
      <c r="H594" s="742">
        <v>3</v>
      </c>
      <c r="I594" s="530"/>
      <c r="J594" s="530" t="s">
        <v>6216</v>
      </c>
      <c r="K594" s="530" t="s">
        <v>6220</v>
      </c>
      <c r="L594" s="530" t="s">
        <v>6212</v>
      </c>
      <c r="M594" s="228" t="s">
        <v>6360</v>
      </c>
      <c r="N594" s="742">
        <v>2</v>
      </c>
    </row>
    <row r="595" spans="1:14" ht="28.5" customHeight="1">
      <c r="A595" s="741" t="s">
        <v>2244</v>
      </c>
      <c r="B595" s="531" t="s">
        <v>2211</v>
      </c>
      <c r="C595" s="257" t="s">
        <v>2246</v>
      </c>
      <c r="D595" s="530" t="s">
        <v>6209</v>
      </c>
      <c r="E595" s="530" t="s">
        <v>2168</v>
      </c>
      <c r="F595" s="530"/>
      <c r="G595" s="530"/>
      <c r="H595" s="742">
        <v>3</v>
      </c>
      <c r="I595" s="530"/>
      <c r="J595" s="530" t="s">
        <v>6216</v>
      </c>
      <c r="K595" s="530" t="s">
        <v>6220</v>
      </c>
      <c r="L595" s="530" t="s">
        <v>6212</v>
      </c>
      <c r="M595" s="228" t="s">
        <v>6360</v>
      </c>
      <c r="N595" s="742">
        <v>2</v>
      </c>
    </row>
    <row r="596" spans="1:14" ht="28.5" customHeight="1">
      <c r="A596" s="741" t="s">
        <v>2248</v>
      </c>
      <c r="B596" s="531" t="s">
        <v>2192</v>
      </c>
      <c r="C596" s="257" t="s">
        <v>2250</v>
      </c>
      <c r="D596" s="530" t="s">
        <v>6209</v>
      </c>
      <c r="E596" s="530" t="s">
        <v>2168</v>
      </c>
      <c r="F596" s="530"/>
      <c r="G596" s="530"/>
      <c r="H596" s="742">
        <v>3</v>
      </c>
      <c r="I596" s="530"/>
      <c r="J596" s="530" t="s">
        <v>6216</v>
      </c>
      <c r="K596" s="530" t="s">
        <v>6220</v>
      </c>
      <c r="L596" s="530" t="s">
        <v>6212</v>
      </c>
      <c r="M596" s="228" t="s">
        <v>6360</v>
      </c>
      <c r="N596" s="742">
        <v>2</v>
      </c>
    </row>
    <row r="597" spans="1:14" ht="28.5" customHeight="1">
      <c r="A597" s="741" t="s">
        <v>2239</v>
      </c>
      <c r="B597" s="531" t="s">
        <v>2187</v>
      </c>
      <c r="C597" s="257" t="s">
        <v>2241</v>
      </c>
      <c r="D597" s="530" t="s">
        <v>6209</v>
      </c>
      <c r="E597" s="530" t="s">
        <v>2168</v>
      </c>
      <c r="F597" s="530"/>
      <c r="G597" s="530"/>
      <c r="H597" s="742">
        <v>3</v>
      </c>
      <c r="I597" s="530"/>
      <c r="J597" s="530" t="s">
        <v>6216</v>
      </c>
      <c r="K597" s="530" t="s">
        <v>6220</v>
      </c>
      <c r="L597" s="530" t="s">
        <v>6212</v>
      </c>
      <c r="M597" s="228" t="s">
        <v>6360</v>
      </c>
      <c r="N597" s="742">
        <v>2</v>
      </c>
    </row>
    <row r="598" spans="1:14" ht="28.5" customHeight="1">
      <c r="A598" s="741" t="s">
        <v>3707</v>
      </c>
      <c r="B598" s="745" t="s">
        <v>745</v>
      </c>
      <c r="C598" s="741" t="s">
        <v>3709</v>
      </c>
      <c r="D598" s="742" t="s">
        <v>6209</v>
      </c>
      <c r="E598" s="742" t="s">
        <v>2095</v>
      </c>
      <c r="F598" s="742"/>
      <c r="G598" s="742"/>
      <c r="H598" s="742">
        <v>0</v>
      </c>
      <c r="I598" s="742"/>
      <c r="J598" s="742" t="s">
        <v>6284</v>
      </c>
      <c r="K598" s="742" t="s">
        <v>6220</v>
      </c>
      <c r="L598" s="742" t="s">
        <v>6221</v>
      </c>
      <c r="M598" s="746" t="s">
        <v>6361</v>
      </c>
      <c r="N598" s="742">
        <v>2</v>
      </c>
    </row>
    <row r="599" spans="1:14" ht="28.5" customHeight="1">
      <c r="A599" s="741" t="s">
        <v>3715</v>
      </c>
      <c r="B599" s="745" t="s">
        <v>745</v>
      </c>
      <c r="C599" s="741" t="s">
        <v>3717</v>
      </c>
      <c r="D599" s="742" t="s">
        <v>6209</v>
      </c>
      <c r="E599" s="742" t="s">
        <v>2095</v>
      </c>
      <c r="F599" s="742"/>
      <c r="G599" s="742"/>
      <c r="H599" s="742">
        <v>0</v>
      </c>
      <c r="I599" s="742"/>
      <c r="J599" s="742" t="s">
        <v>6284</v>
      </c>
      <c r="K599" s="742" t="s">
        <v>6220</v>
      </c>
      <c r="L599" s="742" t="s">
        <v>6221</v>
      </c>
      <c r="M599" s="746" t="s">
        <v>6361</v>
      </c>
      <c r="N599" s="742">
        <v>2</v>
      </c>
    </row>
    <row r="600" spans="1:14" ht="28.5" customHeight="1">
      <c r="A600" s="741" t="s">
        <v>3694</v>
      </c>
      <c r="B600" s="745" t="s">
        <v>745</v>
      </c>
      <c r="C600" s="741" t="s">
        <v>3696</v>
      </c>
      <c r="D600" s="742" t="s">
        <v>6209</v>
      </c>
      <c r="E600" s="742" t="s">
        <v>2095</v>
      </c>
      <c r="F600" s="742"/>
      <c r="G600" s="742"/>
      <c r="H600" s="742">
        <v>0</v>
      </c>
      <c r="I600" s="742"/>
      <c r="J600" s="742" t="s">
        <v>6216</v>
      </c>
      <c r="K600" s="742" t="s">
        <v>6220</v>
      </c>
      <c r="L600" s="742" t="s">
        <v>6221</v>
      </c>
      <c r="M600" s="746" t="s">
        <v>6222</v>
      </c>
      <c r="N600" s="742">
        <v>2</v>
      </c>
    </row>
    <row r="601" spans="1:14" s="2" customFormat="1" ht="41.45" customHeight="1">
      <c r="A601" s="736" t="s">
        <v>3719</v>
      </c>
      <c r="B601" s="731" t="s">
        <v>132</v>
      </c>
      <c r="C601" s="736" t="s">
        <v>3721</v>
      </c>
      <c r="D601" s="742" t="s">
        <v>6209</v>
      </c>
      <c r="E601" s="742" t="s">
        <v>2095</v>
      </c>
      <c r="F601" s="950"/>
      <c r="G601" s="950"/>
      <c r="H601" s="742">
        <v>3</v>
      </c>
      <c r="I601" s="950"/>
      <c r="J601" s="742" t="s">
        <v>6216</v>
      </c>
      <c r="K601" s="742" t="s">
        <v>6217</v>
      </c>
      <c r="L601" s="742" t="s">
        <v>6218</v>
      </c>
      <c r="M601" s="746" t="s">
        <v>6222</v>
      </c>
      <c r="N601" s="742">
        <v>2</v>
      </c>
    </row>
    <row r="602" spans="1:14" s="2" customFormat="1" ht="41.45" customHeight="1">
      <c r="A602" s="736" t="s">
        <v>3725</v>
      </c>
      <c r="B602" s="731" t="s">
        <v>132</v>
      </c>
      <c r="C602" s="736" t="s">
        <v>3727</v>
      </c>
      <c r="D602" s="742" t="s">
        <v>6209</v>
      </c>
      <c r="E602" s="742" t="s">
        <v>2095</v>
      </c>
      <c r="F602" s="950"/>
      <c r="G602" s="950"/>
      <c r="H602" s="742">
        <v>3</v>
      </c>
      <c r="I602" s="950"/>
      <c r="J602" s="742" t="s">
        <v>6216</v>
      </c>
      <c r="K602" s="742" t="s">
        <v>6217</v>
      </c>
      <c r="L602" s="742" t="s">
        <v>6218</v>
      </c>
      <c r="M602" s="746" t="s">
        <v>6222</v>
      </c>
      <c r="N602" s="742">
        <v>2</v>
      </c>
    </row>
    <row r="603" spans="1:14" s="2" customFormat="1" ht="41.45" customHeight="1">
      <c r="A603" s="736" t="s">
        <v>3729</v>
      </c>
      <c r="B603" s="731" t="s">
        <v>132</v>
      </c>
      <c r="C603" s="736" t="s">
        <v>3731</v>
      </c>
      <c r="D603" s="742" t="s">
        <v>6209</v>
      </c>
      <c r="E603" s="742" t="s">
        <v>2095</v>
      </c>
      <c r="F603" s="950"/>
      <c r="G603" s="950"/>
      <c r="H603" s="742">
        <v>3</v>
      </c>
      <c r="I603" s="950"/>
      <c r="J603" s="742" t="s">
        <v>6216</v>
      </c>
      <c r="K603" s="742" t="s">
        <v>6217</v>
      </c>
      <c r="L603" s="742" t="s">
        <v>6218</v>
      </c>
      <c r="M603" s="746" t="s">
        <v>6222</v>
      </c>
      <c r="N603" s="742">
        <v>2</v>
      </c>
    </row>
    <row r="604" spans="1:14" s="2" customFormat="1" ht="41.45" customHeight="1">
      <c r="A604" s="736" t="s">
        <v>3733</v>
      </c>
      <c r="B604" s="731" t="s">
        <v>132</v>
      </c>
      <c r="C604" s="736" t="s">
        <v>3735</v>
      </c>
      <c r="D604" s="742" t="s">
        <v>6209</v>
      </c>
      <c r="E604" s="742" t="s">
        <v>2095</v>
      </c>
      <c r="F604" s="950"/>
      <c r="G604" s="950"/>
      <c r="H604" s="742">
        <v>3</v>
      </c>
      <c r="I604" s="950"/>
      <c r="J604" s="742" t="s">
        <v>6216</v>
      </c>
      <c r="K604" s="742" t="s">
        <v>6217</v>
      </c>
      <c r="L604" s="742" t="s">
        <v>6218</v>
      </c>
      <c r="M604" s="746" t="s">
        <v>6222</v>
      </c>
      <c r="N604" s="742">
        <v>2</v>
      </c>
    </row>
    <row r="605" spans="1:14" s="2" customFormat="1" ht="41.45" customHeight="1">
      <c r="A605" s="736" t="s">
        <v>3737</v>
      </c>
      <c r="B605" s="731" t="s">
        <v>172</v>
      </c>
      <c r="C605" s="736" t="s">
        <v>3739</v>
      </c>
      <c r="D605" s="742" t="s">
        <v>6209</v>
      </c>
      <c r="E605" s="742" t="s">
        <v>2095</v>
      </c>
      <c r="F605" s="950"/>
      <c r="G605" s="950"/>
      <c r="H605" s="742">
        <v>3</v>
      </c>
      <c r="I605" s="950"/>
      <c r="J605" s="742" t="s">
        <v>6216</v>
      </c>
      <c r="K605" s="742" t="s">
        <v>6217</v>
      </c>
      <c r="L605" s="742" t="s">
        <v>6218</v>
      </c>
      <c r="M605" s="746" t="s">
        <v>6222</v>
      </c>
      <c r="N605" s="742">
        <v>2</v>
      </c>
    </row>
    <row r="606" spans="1:14" s="2" customFormat="1" ht="41.45" customHeight="1">
      <c r="A606" s="736" t="s">
        <v>3741</v>
      </c>
      <c r="B606" s="731" t="s">
        <v>172</v>
      </c>
      <c r="C606" s="736" t="s">
        <v>3743</v>
      </c>
      <c r="D606" s="742" t="s">
        <v>6209</v>
      </c>
      <c r="E606" s="742" t="s">
        <v>2095</v>
      </c>
      <c r="F606" s="950"/>
      <c r="G606" s="950"/>
      <c r="H606" s="742">
        <v>3</v>
      </c>
      <c r="I606" s="950"/>
      <c r="J606" s="742" t="s">
        <v>6216</v>
      </c>
      <c r="K606" s="742" t="s">
        <v>6217</v>
      </c>
      <c r="L606" s="742" t="s">
        <v>6218</v>
      </c>
      <c r="M606" s="746" t="s">
        <v>6222</v>
      </c>
      <c r="N606" s="742">
        <v>2</v>
      </c>
    </row>
    <row r="607" spans="1:14" s="2" customFormat="1" ht="41.45" customHeight="1">
      <c r="A607" s="736" t="s">
        <v>3745</v>
      </c>
      <c r="B607" s="731" t="s">
        <v>172</v>
      </c>
      <c r="C607" s="736" t="s">
        <v>3747</v>
      </c>
      <c r="D607" s="742" t="s">
        <v>6209</v>
      </c>
      <c r="E607" s="742" t="s">
        <v>2095</v>
      </c>
      <c r="F607" s="950"/>
      <c r="G607" s="950"/>
      <c r="H607" s="742">
        <v>3</v>
      </c>
      <c r="I607" s="950"/>
      <c r="J607" s="742" t="s">
        <v>6216</v>
      </c>
      <c r="K607" s="742" t="s">
        <v>6217</v>
      </c>
      <c r="L607" s="742" t="s">
        <v>6218</v>
      </c>
      <c r="M607" s="746" t="s">
        <v>6222</v>
      </c>
      <c r="N607" s="742">
        <v>2</v>
      </c>
    </row>
    <row r="608" spans="1:14" s="2" customFormat="1" ht="41.45" customHeight="1">
      <c r="A608" s="736" t="s">
        <v>3749</v>
      </c>
      <c r="B608" s="731" t="s">
        <v>172</v>
      </c>
      <c r="C608" s="736" t="s">
        <v>3751</v>
      </c>
      <c r="D608" s="742" t="s">
        <v>6209</v>
      </c>
      <c r="E608" s="742" t="s">
        <v>2095</v>
      </c>
      <c r="F608" s="950"/>
      <c r="G608" s="950"/>
      <c r="H608" s="742">
        <v>3</v>
      </c>
      <c r="I608" s="950"/>
      <c r="J608" s="742" t="s">
        <v>6216</v>
      </c>
      <c r="K608" s="742" t="s">
        <v>6217</v>
      </c>
      <c r="L608" s="742" t="s">
        <v>6218</v>
      </c>
      <c r="M608" s="746" t="s">
        <v>6222</v>
      </c>
      <c r="N608" s="742">
        <v>2</v>
      </c>
    </row>
    <row r="609" spans="1:14" s="2" customFormat="1" ht="41.45" customHeight="1">
      <c r="A609" s="736" t="s">
        <v>3753</v>
      </c>
      <c r="B609" s="731" t="s">
        <v>172</v>
      </c>
      <c r="C609" s="736" t="s">
        <v>3755</v>
      </c>
      <c r="D609" s="742" t="s">
        <v>6209</v>
      </c>
      <c r="E609" s="742" t="s">
        <v>2095</v>
      </c>
      <c r="F609" s="950"/>
      <c r="G609" s="950"/>
      <c r="H609" s="742">
        <v>3</v>
      </c>
      <c r="I609" s="950"/>
      <c r="J609" s="742" t="s">
        <v>6216</v>
      </c>
      <c r="K609" s="742" t="s">
        <v>6217</v>
      </c>
      <c r="L609" s="742" t="s">
        <v>6218</v>
      </c>
      <c r="M609" s="746" t="s">
        <v>6222</v>
      </c>
      <c r="N609" s="742">
        <v>2</v>
      </c>
    </row>
    <row r="610" spans="1:14" s="2" customFormat="1" ht="41.45" customHeight="1">
      <c r="A610" s="736" t="s">
        <v>3757</v>
      </c>
      <c r="B610" s="731" t="s">
        <v>172</v>
      </c>
      <c r="C610" s="736" t="s">
        <v>3759</v>
      </c>
      <c r="D610" s="742" t="s">
        <v>6209</v>
      </c>
      <c r="E610" s="742" t="s">
        <v>2095</v>
      </c>
      <c r="F610" s="950"/>
      <c r="G610" s="950"/>
      <c r="H610" s="742">
        <v>3</v>
      </c>
      <c r="I610" s="950"/>
      <c r="J610" s="742" t="s">
        <v>6216</v>
      </c>
      <c r="K610" s="742" t="s">
        <v>6217</v>
      </c>
      <c r="L610" s="742" t="s">
        <v>6218</v>
      </c>
      <c r="M610" s="746" t="s">
        <v>6222</v>
      </c>
      <c r="N610" s="742">
        <v>2</v>
      </c>
    </row>
    <row r="611" spans="1:14" s="2" customFormat="1" ht="41.45" customHeight="1">
      <c r="A611" s="736" t="s">
        <v>3761</v>
      </c>
      <c r="B611" s="731" t="s">
        <v>172</v>
      </c>
      <c r="C611" s="736" t="s">
        <v>3763</v>
      </c>
      <c r="D611" s="742" t="s">
        <v>6209</v>
      </c>
      <c r="E611" s="742" t="s">
        <v>2095</v>
      </c>
      <c r="F611" s="950"/>
      <c r="G611" s="950"/>
      <c r="H611" s="742">
        <v>3</v>
      </c>
      <c r="I611" s="950"/>
      <c r="J611" s="742" t="s">
        <v>6216</v>
      </c>
      <c r="K611" s="742" t="s">
        <v>6217</v>
      </c>
      <c r="L611" s="742" t="s">
        <v>6218</v>
      </c>
      <c r="M611" s="746" t="s">
        <v>6222</v>
      </c>
      <c r="N611" s="742">
        <v>2</v>
      </c>
    </row>
    <row r="612" spans="1:14" s="2" customFormat="1" ht="41.45" customHeight="1">
      <c r="A612" s="736" t="s">
        <v>3765</v>
      </c>
      <c r="B612" s="731" t="s">
        <v>172</v>
      </c>
      <c r="C612" s="736" t="s">
        <v>3767</v>
      </c>
      <c r="D612" s="742" t="s">
        <v>6209</v>
      </c>
      <c r="E612" s="742" t="s">
        <v>2095</v>
      </c>
      <c r="F612" s="950"/>
      <c r="G612" s="950"/>
      <c r="H612" s="742">
        <v>3</v>
      </c>
      <c r="I612" s="950"/>
      <c r="J612" s="742" t="s">
        <v>6216</v>
      </c>
      <c r="K612" s="742" t="s">
        <v>6217</v>
      </c>
      <c r="L612" s="742" t="s">
        <v>6218</v>
      </c>
      <c r="M612" s="746" t="s">
        <v>6222</v>
      </c>
      <c r="N612" s="742">
        <v>2</v>
      </c>
    </row>
    <row r="613" spans="1:14" s="2" customFormat="1" ht="41.45" customHeight="1">
      <c r="A613" s="736" t="s">
        <v>3769</v>
      </c>
      <c r="B613" s="731" t="s">
        <v>223</v>
      </c>
      <c r="C613" s="736" t="s">
        <v>3771</v>
      </c>
      <c r="D613" s="742" t="s">
        <v>6209</v>
      </c>
      <c r="E613" s="742" t="s">
        <v>2095</v>
      </c>
      <c r="F613" s="950"/>
      <c r="G613" s="950"/>
      <c r="H613" s="742">
        <v>3</v>
      </c>
      <c r="I613" s="950"/>
      <c r="J613" s="742" t="s">
        <v>6216</v>
      </c>
      <c r="K613" s="742" t="s">
        <v>6217</v>
      </c>
      <c r="L613" s="742" t="s">
        <v>6218</v>
      </c>
      <c r="M613" s="746" t="s">
        <v>6222</v>
      </c>
      <c r="N613" s="742">
        <v>2</v>
      </c>
    </row>
    <row r="614" spans="1:14" s="2" customFormat="1" ht="41.45" customHeight="1">
      <c r="A614" s="736" t="s">
        <v>3773</v>
      </c>
      <c r="B614" s="731" t="s">
        <v>223</v>
      </c>
      <c r="C614" s="736" t="s">
        <v>3775</v>
      </c>
      <c r="D614" s="742" t="s">
        <v>6209</v>
      </c>
      <c r="E614" s="742" t="s">
        <v>2095</v>
      </c>
      <c r="F614" s="950"/>
      <c r="G614" s="950"/>
      <c r="H614" s="742">
        <v>3</v>
      </c>
      <c r="I614" s="950"/>
      <c r="J614" s="742" t="s">
        <v>6216</v>
      </c>
      <c r="K614" s="742" t="s">
        <v>6217</v>
      </c>
      <c r="L614" s="742" t="s">
        <v>6218</v>
      </c>
      <c r="M614" s="746" t="s">
        <v>6222</v>
      </c>
      <c r="N614" s="742">
        <v>2</v>
      </c>
    </row>
    <row r="615" spans="1:14" s="2" customFormat="1" ht="41.45" customHeight="1">
      <c r="A615" s="736" t="s">
        <v>3777</v>
      </c>
      <c r="B615" s="731" t="s">
        <v>223</v>
      </c>
      <c r="C615" s="736" t="s">
        <v>3779</v>
      </c>
      <c r="D615" s="742" t="s">
        <v>6209</v>
      </c>
      <c r="E615" s="742" t="s">
        <v>2095</v>
      </c>
      <c r="F615" s="950"/>
      <c r="G615" s="950"/>
      <c r="H615" s="742">
        <v>3</v>
      </c>
      <c r="I615" s="950"/>
      <c r="J615" s="742" t="s">
        <v>6216</v>
      </c>
      <c r="K615" s="742" t="s">
        <v>6217</v>
      </c>
      <c r="L615" s="742" t="s">
        <v>6218</v>
      </c>
      <c r="M615" s="746" t="s">
        <v>6222</v>
      </c>
      <c r="N615" s="742">
        <v>2</v>
      </c>
    </row>
    <row r="616" spans="1:14" s="2" customFormat="1" ht="41.45" customHeight="1">
      <c r="A616" s="736" t="s">
        <v>3781</v>
      </c>
      <c r="B616" s="731" t="s">
        <v>223</v>
      </c>
      <c r="C616" s="736" t="s">
        <v>3783</v>
      </c>
      <c r="D616" s="742" t="s">
        <v>6209</v>
      </c>
      <c r="E616" s="742" t="s">
        <v>2095</v>
      </c>
      <c r="F616" s="950"/>
      <c r="G616" s="950"/>
      <c r="H616" s="742">
        <v>3</v>
      </c>
      <c r="I616" s="950"/>
      <c r="J616" s="742" t="s">
        <v>6216</v>
      </c>
      <c r="K616" s="742" t="s">
        <v>6217</v>
      </c>
      <c r="L616" s="742" t="s">
        <v>6218</v>
      </c>
      <c r="M616" s="746" t="s">
        <v>6222</v>
      </c>
      <c r="N616" s="742">
        <v>2</v>
      </c>
    </row>
    <row r="617" spans="1:14" s="2" customFormat="1" ht="41.45" customHeight="1">
      <c r="A617" s="736" t="s">
        <v>3785</v>
      </c>
      <c r="B617" s="731" t="s">
        <v>223</v>
      </c>
      <c r="C617" s="736" t="s">
        <v>3787</v>
      </c>
      <c r="D617" s="742" t="s">
        <v>6209</v>
      </c>
      <c r="E617" s="742" t="s">
        <v>2095</v>
      </c>
      <c r="F617" s="950"/>
      <c r="G617" s="950"/>
      <c r="H617" s="742">
        <v>3</v>
      </c>
      <c r="I617" s="950"/>
      <c r="J617" s="742" t="s">
        <v>6216</v>
      </c>
      <c r="K617" s="742" t="s">
        <v>6217</v>
      </c>
      <c r="L617" s="742" t="s">
        <v>6218</v>
      </c>
      <c r="M617" s="746" t="s">
        <v>6222</v>
      </c>
      <c r="N617" s="742">
        <v>2</v>
      </c>
    </row>
    <row r="618" spans="1:14" s="2" customFormat="1" ht="41.45" customHeight="1">
      <c r="A618" s="736" t="s">
        <v>3789</v>
      </c>
      <c r="B618" s="731" t="s">
        <v>223</v>
      </c>
      <c r="C618" s="736" t="s">
        <v>3791</v>
      </c>
      <c r="D618" s="742" t="s">
        <v>6209</v>
      </c>
      <c r="E618" s="742" t="s">
        <v>2095</v>
      </c>
      <c r="F618" s="950"/>
      <c r="G618" s="950"/>
      <c r="H618" s="742">
        <v>3</v>
      </c>
      <c r="I618" s="950"/>
      <c r="J618" s="742" t="s">
        <v>6216</v>
      </c>
      <c r="K618" s="742" t="s">
        <v>6217</v>
      </c>
      <c r="L618" s="742" t="s">
        <v>6218</v>
      </c>
      <c r="M618" s="746" t="s">
        <v>6222</v>
      </c>
      <c r="N618" s="742">
        <v>2</v>
      </c>
    </row>
    <row r="619" spans="1:14" s="2" customFormat="1" ht="41.45" customHeight="1">
      <c r="A619" s="736" t="s">
        <v>3793</v>
      </c>
      <c r="B619" s="731" t="s">
        <v>223</v>
      </c>
      <c r="C619" s="736" t="s">
        <v>3795</v>
      </c>
      <c r="D619" s="742" t="s">
        <v>6209</v>
      </c>
      <c r="E619" s="742" t="s">
        <v>2095</v>
      </c>
      <c r="F619" s="950"/>
      <c r="G619" s="950"/>
      <c r="H619" s="742">
        <v>3</v>
      </c>
      <c r="I619" s="950"/>
      <c r="J619" s="742" t="s">
        <v>6216</v>
      </c>
      <c r="K619" s="742" t="s">
        <v>6217</v>
      </c>
      <c r="L619" s="742" t="s">
        <v>6218</v>
      </c>
      <c r="M619" s="746" t="s">
        <v>6222</v>
      </c>
      <c r="N619" s="742">
        <v>2</v>
      </c>
    </row>
    <row r="620" spans="1:14" s="2" customFormat="1" ht="41.45" customHeight="1">
      <c r="A620" s="736" t="s">
        <v>3797</v>
      </c>
      <c r="B620" s="731" t="s">
        <v>223</v>
      </c>
      <c r="C620" s="736" t="s">
        <v>3799</v>
      </c>
      <c r="D620" s="742" t="s">
        <v>6209</v>
      </c>
      <c r="E620" s="742" t="s">
        <v>2095</v>
      </c>
      <c r="F620" s="950"/>
      <c r="G620" s="950"/>
      <c r="H620" s="742">
        <v>3</v>
      </c>
      <c r="I620" s="950"/>
      <c r="J620" s="742" t="s">
        <v>6216</v>
      </c>
      <c r="K620" s="742" t="s">
        <v>6217</v>
      </c>
      <c r="L620" s="742" t="s">
        <v>6218</v>
      </c>
      <c r="M620" s="746" t="s">
        <v>6222</v>
      </c>
      <c r="N620" s="742">
        <v>2</v>
      </c>
    </row>
    <row r="621" spans="1:14" s="2" customFormat="1" ht="41.45" customHeight="1">
      <c r="A621" s="736" t="s">
        <v>3801</v>
      </c>
      <c r="B621" s="731" t="s">
        <v>223</v>
      </c>
      <c r="C621" s="736" t="s">
        <v>3803</v>
      </c>
      <c r="D621" s="742" t="s">
        <v>6209</v>
      </c>
      <c r="E621" s="742" t="s">
        <v>2095</v>
      </c>
      <c r="F621" s="950"/>
      <c r="G621" s="950"/>
      <c r="H621" s="742">
        <v>3</v>
      </c>
      <c r="I621" s="950"/>
      <c r="J621" s="742" t="s">
        <v>6216</v>
      </c>
      <c r="K621" s="742" t="s">
        <v>6217</v>
      </c>
      <c r="L621" s="742" t="s">
        <v>6218</v>
      </c>
      <c r="M621" s="746" t="s">
        <v>6222</v>
      </c>
      <c r="N621" s="742">
        <v>2</v>
      </c>
    </row>
    <row r="622" spans="1:14" s="2" customFormat="1" ht="41.45" customHeight="1">
      <c r="A622" s="736" t="s">
        <v>3805</v>
      </c>
      <c r="B622" s="731" t="s">
        <v>223</v>
      </c>
      <c r="C622" s="736" t="s">
        <v>3807</v>
      </c>
      <c r="D622" s="742" t="s">
        <v>6209</v>
      </c>
      <c r="E622" s="742" t="s">
        <v>2095</v>
      </c>
      <c r="F622" s="950"/>
      <c r="G622" s="950"/>
      <c r="H622" s="742">
        <v>3</v>
      </c>
      <c r="I622" s="950"/>
      <c r="J622" s="742" t="s">
        <v>6216</v>
      </c>
      <c r="K622" s="742" t="s">
        <v>6217</v>
      </c>
      <c r="L622" s="742" t="s">
        <v>6218</v>
      </c>
      <c r="M622" s="746" t="s">
        <v>6222</v>
      </c>
      <c r="N622" s="742">
        <v>2</v>
      </c>
    </row>
    <row r="623" spans="1:14" s="2" customFormat="1" ht="41.45" customHeight="1">
      <c r="A623" s="736" t="s">
        <v>3809</v>
      </c>
      <c r="B623" s="731" t="s">
        <v>223</v>
      </c>
      <c r="C623" s="736" t="s">
        <v>3811</v>
      </c>
      <c r="D623" s="742" t="s">
        <v>6209</v>
      </c>
      <c r="E623" s="742" t="s">
        <v>2095</v>
      </c>
      <c r="F623" s="950"/>
      <c r="G623" s="950"/>
      <c r="H623" s="742">
        <v>3</v>
      </c>
      <c r="I623" s="950"/>
      <c r="J623" s="742" t="s">
        <v>6216</v>
      </c>
      <c r="K623" s="742" t="s">
        <v>6217</v>
      </c>
      <c r="L623" s="742" t="s">
        <v>6218</v>
      </c>
      <c r="M623" s="746" t="s">
        <v>6222</v>
      </c>
      <c r="N623" s="742">
        <v>2</v>
      </c>
    </row>
    <row r="624" spans="1:14" s="2" customFormat="1" ht="41.45" customHeight="1">
      <c r="A624" s="736" t="s">
        <v>3813</v>
      </c>
      <c r="B624" s="731" t="s">
        <v>223</v>
      </c>
      <c r="C624" s="736" t="s">
        <v>3815</v>
      </c>
      <c r="D624" s="742" t="s">
        <v>6209</v>
      </c>
      <c r="E624" s="742" t="s">
        <v>2095</v>
      </c>
      <c r="F624" s="950"/>
      <c r="G624" s="950"/>
      <c r="H624" s="742">
        <v>3</v>
      </c>
      <c r="I624" s="950"/>
      <c r="J624" s="742" t="s">
        <v>6216</v>
      </c>
      <c r="K624" s="742" t="s">
        <v>6217</v>
      </c>
      <c r="L624" s="742" t="s">
        <v>6218</v>
      </c>
      <c r="M624" s="746" t="s">
        <v>6222</v>
      </c>
      <c r="N624" s="742">
        <v>2</v>
      </c>
    </row>
    <row r="625" spans="1:14" s="2" customFormat="1" ht="41.45" customHeight="1">
      <c r="A625" s="736" t="s">
        <v>3817</v>
      </c>
      <c r="B625" s="731" t="s">
        <v>223</v>
      </c>
      <c r="C625" s="736" t="s">
        <v>3819</v>
      </c>
      <c r="D625" s="742" t="s">
        <v>6209</v>
      </c>
      <c r="E625" s="742" t="s">
        <v>2095</v>
      </c>
      <c r="F625" s="950"/>
      <c r="G625" s="950"/>
      <c r="H625" s="742">
        <v>3</v>
      </c>
      <c r="I625" s="950"/>
      <c r="J625" s="742" t="s">
        <v>6216</v>
      </c>
      <c r="K625" s="742" t="s">
        <v>6217</v>
      </c>
      <c r="L625" s="742" t="s">
        <v>6218</v>
      </c>
      <c r="M625" s="746" t="s">
        <v>6222</v>
      </c>
      <c r="N625" s="742">
        <v>2</v>
      </c>
    </row>
    <row r="626" spans="1:14" s="2" customFormat="1" ht="41.45" customHeight="1">
      <c r="A626" s="736" t="s">
        <v>3821</v>
      </c>
      <c r="B626" s="731" t="s">
        <v>223</v>
      </c>
      <c r="C626" s="736" t="s">
        <v>3823</v>
      </c>
      <c r="D626" s="742" t="s">
        <v>6209</v>
      </c>
      <c r="E626" s="742" t="s">
        <v>2095</v>
      </c>
      <c r="F626" s="950"/>
      <c r="G626" s="950"/>
      <c r="H626" s="742">
        <v>3</v>
      </c>
      <c r="I626" s="950"/>
      <c r="J626" s="742" t="s">
        <v>6216</v>
      </c>
      <c r="K626" s="742" t="s">
        <v>6217</v>
      </c>
      <c r="L626" s="742" t="s">
        <v>6218</v>
      </c>
      <c r="M626" s="746" t="s">
        <v>6222</v>
      </c>
      <c r="N626" s="742">
        <v>2</v>
      </c>
    </row>
    <row r="627" spans="1:14" s="2" customFormat="1" ht="41.45" customHeight="1">
      <c r="A627" s="736" t="s">
        <v>3825</v>
      </c>
      <c r="B627" s="731" t="s">
        <v>223</v>
      </c>
      <c r="C627" s="736" t="s">
        <v>3827</v>
      </c>
      <c r="D627" s="742" t="s">
        <v>6209</v>
      </c>
      <c r="E627" s="742" t="s">
        <v>2095</v>
      </c>
      <c r="F627" s="950"/>
      <c r="G627" s="950"/>
      <c r="H627" s="742">
        <v>3</v>
      </c>
      <c r="I627" s="950"/>
      <c r="J627" s="742" t="s">
        <v>6216</v>
      </c>
      <c r="K627" s="742" t="s">
        <v>6217</v>
      </c>
      <c r="L627" s="742" t="s">
        <v>6218</v>
      </c>
      <c r="M627" s="746" t="s">
        <v>6222</v>
      </c>
      <c r="N627" s="742">
        <v>2</v>
      </c>
    </row>
    <row r="628" spans="1:14" s="2" customFormat="1" ht="41.45" customHeight="1">
      <c r="A628" s="736" t="s">
        <v>3829</v>
      </c>
      <c r="B628" s="731" t="s">
        <v>223</v>
      </c>
      <c r="C628" s="736" t="s">
        <v>3831</v>
      </c>
      <c r="D628" s="742" t="s">
        <v>6209</v>
      </c>
      <c r="E628" s="742" t="s">
        <v>2095</v>
      </c>
      <c r="F628" s="950"/>
      <c r="G628" s="950"/>
      <c r="H628" s="742">
        <v>3</v>
      </c>
      <c r="I628" s="950"/>
      <c r="J628" s="742" t="s">
        <v>6216</v>
      </c>
      <c r="K628" s="742" t="s">
        <v>6217</v>
      </c>
      <c r="L628" s="742" t="s">
        <v>6218</v>
      </c>
      <c r="M628" s="746" t="s">
        <v>6222</v>
      </c>
      <c r="N628" s="742">
        <v>2</v>
      </c>
    </row>
    <row r="629" spans="1:14" s="2" customFormat="1" ht="41.45" customHeight="1">
      <c r="A629" s="736" t="s">
        <v>3833</v>
      </c>
      <c r="B629" s="731" t="s">
        <v>584</v>
      </c>
      <c r="C629" s="736" t="s">
        <v>3835</v>
      </c>
      <c r="D629" s="742" t="s">
        <v>6209</v>
      </c>
      <c r="E629" s="742" t="s">
        <v>2095</v>
      </c>
      <c r="F629" s="950"/>
      <c r="G629" s="950"/>
      <c r="H629" s="742">
        <v>3</v>
      </c>
      <c r="I629" s="950"/>
      <c r="J629" s="742" t="s">
        <v>6216</v>
      </c>
      <c r="K629" s="742" t="s">
        <v>6217</v>
      </c>
      <c r="L629" s="742" t="s">
        <v>6218</v>
      </c>
      <c r="M629" s="746" t="s">
        <v>6222</v>
      </c>
      <c r="N629" s="742">
        <v>2</v>
      </c>
    </row>
    <row r="630" spans="1:14" s="2" customFormat="1" ht="41.45" customHeight="1">
      <c r="A630" s="736" t="s">
        <v>3837</v>
      </c>
      <c r="B630" s="731" t="s">
        <v>584</v>
      </c>
      <c r="C630" s="736" t="s">
        <v>3839</v>
      </c>
      <c r="D630" s="742" t="s">
        <v>6209</v>
      </c>
      <c r="E630" s="742" t="s">
        <v>2095</v>
      </c>
      <c r="F630" s="950"/>
      <c r="G630" s="950"/>
      <c r="H630" s="742">
        <v>3</v>
      </c>
      <c r="I630" s="950"/>
      <c r="J630" s="742" t="s">
        <v>6216</v>
      </c>
      <c r="K630" s="742" t="s">
        <v>6217</v>
      </c>
      <c r="L630" s="742" t="s">
        <v>6218</v>
      </c>
      <c r="M630" s="746" t="s">
        <v>6222</v>
      </c>
      <c r="N630" s="742">
        <v>2</v>
      </c>
    </row>
    <row r="631" spans="1:14" s="2" customFormat="1" ht="41.45" customHeight="1">
      <c r="A631" s="736" t="s">
        <v>3841</v>
      </c>
      <c r="B631" s="731" t="s">
        <v>584</v>
      </c>
      <c r="C631" s="736" t="s">
        <v>3843</v>
      </c>
      <c r="D631" s="742" t="s">
        <v>6209</v>
      </c>
      <c r="E631" s="742" t="s">
        <v>2095</v>
      </c>
      <c r="F631" s="950"/>
      <c r="G631" s="950"/>
      <c r="H631" s="742">
        <v>3</v>
      </c>
      <c r="I631" s="950"/>
      <c r="J631" s="742" t="s">
        <v>6216</v>
      </c>
      <c r="K631" s="742" t="s">
        <v>6217</v>
      </c>
      <c r="L631" s="742" t="s">
        <v>6218</v>
      </c>
      <c r="M631" s="746" t="s">
        <v>6222</v>
      </c>
      <c r="N631" s="742">
        <v>2</v>
      </c>
    </row>
    <row r="632" spans="1:14" s="2" customFormat="1" ht="41.45" customHeight="1">
      <c r="A632" s="736" t="s">
        <v>3845</v>
      </c>
      <c r="B632" s="731" t="s">
        <v>584</v>
      </c>
      <c r="C632" s="736" t="s">
        <v>3847</v>
      </c>
      <c r="D632" s="742" t="s">
        <v>6209</v>
      </c>
      <c r="E632" s="742" t="s">
        <v>2095</v>
      </c>
      <c r="F632" s="950"/>
      <c r="G632" s="950"/>
      <c r="H632" s="742">
        <v>3</v>
      </c>
      <c r="I632" s="950"/>
      <c r="J632" s="742" t="s">
        <v>6216</v>
      </c>
      <c r="K632" s="742" t="s">
        <v>6217</v>
      </c>
      <c r="L632" s="742" t="s">
        <v>6218</v>
      </c>
      <c r="M632" s="746" t="s">
        <v>6222</v>
      </c>
      <c r="N632" s="742">
        <v>2</v>
      </c>
    </row>
    <row r="633" spans="1:14" s="2" customFormat="1" ht="41.45" customHeight="1">
      <c r="A633" s="736" t="s">
        <v>3849</v>
      </c>
      <c r="B633" s="731" t="s">
        <v>613</v>
      </c>
      <c r="C633" s="736" t="s">
        <v>3851</v>
      </c>
      <c r="D633" s="742" t="s">
        <v>6209</v>
      </c>
      <c r="E633" s="742" t="s">
        <v>2095</v>
      </c>
      <c r="F633" s="950"/>
      <c r="G633" s="950"/>
      <c r="H633" s="742">
        <v>3</v>
      </c>
      <c r="I633" s="950"/>
      <c r="J633" s="742" t="s">
        <v>6216</v>
      </c>
      <c r="K633" s="742" t="s">
        <v>6217</v>
      </c>
      <c r="L633" s="742" t="s">
        <v>6218</v>
      </c>
      <c r="M633" s="746" t="s">
        <v>6222</v>
      </c>
      <c r="N633" s="742">
        <v>2</v>
      </c>
    </row>
    <row r="634" spans="1:14" s="2" customFormat="1" ht="41.45" customHeight="1">
      <c r="A634" s="736" t="s">
        <v>3853</v>
      </c>
      <c r="B634" s="731" t="s">
        <v>613</v>
      </c>
      <c r="C634" s="736" t="s">
        <v>3855</v>
      </c>
      <c r="D634" s="742" t="s">
        <v>6209</v>
      </c>
      <c r="E634" s="742" t="s">
        <v>2095</v>
      </c>
      <c r="F634" s="950"/>
      <c r="G634" s="950"/>
      <c r="H634" s="742">
        <v>3</v>
      </c>
      <c r="I634" s="950"/>
      <c r="J634" s="742" t="s">
        <v>6216</v>
      </c>
      <c r="K634" s="742" t="s">
        <v>6217</v>
      </c>
      <c r="L634" s="742" t="s">
        <v>6218</v>
      </c>
      <c r="M634" s="746" t="s">
        <v>6222</v>
      </c>
      <c r="N634" s="742">
        <v>2</v>
      </c>
    </row>
    <row r="635" spans="1:14" s="2" customFormat="1" ht="41.45" customHeight="1">
      <c r="A635" s="736" t="s">
        <v>3857</v>
      </c>
      <c r="B635" s="731" t="s">
        <v>613</v>
      </c>
      <c r="C635" s="736" t="s">
        <v>3859</v>
      </c>
      <c r="D635" s="742" t="s">
        <v>6209</v>
      </c>
      <c r="E635" s="742" t="s">
        <v>2095</v>
      </c>
      <c r="F635" s="950"/>
      <c r="G635" s="950"/>
      <c r="H635" s="742">
        <v>3</v>
      </c>
      <c r="I635" s="950"/>
      <c r="J635" s="742" t="s">
        <v>6216</v>
      </c>
      <c r="K635" s="742" t="s">
        <v>6217</v>
      </c>
      <c r="L635" s="742" t="s">
        <v>6218</v>
      </c>
      <c r="M635" s="746" t="s">
        <v>6222</v>
      </c>
      <c r="N635" s="742">
        <v>2</v>
      </c>
    </row>
    <row r="636" spans="1:14" s="2" customFormat="1" ht="41.45" customHeight="1">
      <c r="A636" s="736" t="s">
        <v>3861</v>
      </c>
      <c r="B636" s="731" t="s">
        <v>613</v>
      </c>
      <c r="C636" s="736" t="s">
        <v>3863</v>
      </c>
      <c r="D636" s="742" t="s">
        <v>6209</v>
      </c>
      <c r="E636" s="742" t="s">
        <v>2095</v>
      </c>
      <c r="F636" s="950"/>
      <c r="G636" s="950"/>
      <c r="H636" s="742">
        <v>3</v>
      </c>
      <c r="I636" s="950"/>
      <c r="J636" s="742" t="s">
        <v>6216</v>
      </c>
      <c r="K636" s="742" t="s">
        <v>6217</v>
      </c>
      <c r="L636" s="742" t="s">
        <v>6218</v>
      </c>
      <c r="M636" s="746" t="s">
        <v>6222</v>
      </c>
      <c r="N636" s="742">
        <v>2</v>
      </c>
    </row>
    <row r="637" spans="1:14" ht="38.450000000000003" customHeight="1">
      <c r="A637" s="741" t="s">
        <v>3865</v>
      </c>
      <c r="B637" s="745" t="s">
        <v>500</v>
      </c>
      <c r="C637" s="741" t="s">
        <v>3867</v>
      </c>
      <c r="D637" s="742" t="s">
        <v>6209</v>
      </c>
      <c r="E637" s="742" t="s">
        <v>2095</v>
      </c>
      <c r="F637" s="742"/>
      <c r="G637" s="742"/>
      <c r="H637" s="742">
        <v>3</v>
      </c>
      <c r="I637" s="742"/>
      <c r="J637" s="742" t="s">
        <v>6216</v>
      </c>
      <c r="K637" s="742" t="s">
        <v>6217</v>
      </c>
      <c r="L637" s="742" t="s">
        <v>6218</v>
      </c>
      <c r="M637" s="746" t="s">
        <v>6362</v>
      </c>
      <c r="N637" s="742">
        <v>2</v>
      </c>
    </row>
    <row r="638" spans="1:14" ht="38.450000000000003" customHeight="1">
      <c r="A638" s="741" t="s">
        <v>3870</v>
      </c>
      <c r="B638" s="745" t="s">
        <v>500</v>
      </c>
      <c r="C638" s="741" t="s">
        <v>3872</v>
      </c>
      <c r="D638" s="742" t="s">
        <v>6209</v>
      </c>
      <c r="E638" s="742" t="s">
        <v>2095</v>
      </c>
      <c r="F638" s="742"/>
      <c r="G638" s="742"/>
      <c r="H638" s="742">
        <v>3</v>
      </c>
      <c r="I638" s="742"/>
      <c r="J638" s="742" t="s">
        <v>6216</v>
      </c>
      <c r="K638" s="742" t="s">
        <v>6217</v>
      </c>
      <c r="L638" s="742" t="s">
        <v>6218</v>
      </c>
      <c r="M638" s="746" t="s">
        <v>6362</v>
      </c>
      <c r="N638" s="742">
        <v>2</v>
      </c>
    </row>
    <row r="639" spans="1:14" ht="38.450000000000003" customHeight="1">
      <c r="A639" s="741" t="s">
        <v>3875</v>
      </c>
      <c r="B639" s="745" t="s">
        <v>500</v>
      </c>
      <c r="C639" s="741" t="s">
        <v>3877</v>
      </c>
      <c r="D639" s="742" t="s">
        <v>6209</v>
      </c>
      <c r="E639" s="742" t="s">
        <v>2095</v>
      </c>
      <c r="F639" s="742"/>
      <c r="G639" s="742"/>
      <c r="H639" s="742">
        <v>3</v>
      </c>
      <c r="I639" s="742"/>
      <c r="J639" s="742" t="s">
        <v>6216</v>
      </c>
      <c r="K639" s="742" t="s">
        <v>6220</v>
      </c>
      <c r="L639" s="742" t="s">
        <v>6212</v>
      </c>
      <c r="M639" s="746" t="s">
        <v>6362</v>
      </c>
      <c r="N639" s="742">
        <v>2</v>
      </c>
    </row>
    <row r="640" spans="1:14" ht="38.450000000000003" customHeight="1">
      <c r="A640" s="741" t="s">
        <v>3880</v>
      </c>
      <c r="B640" s="745" t="s">
        <v>500</v>
      </c>
      <c r="C640" s="741" t="s">
        <v>3882</v>
      </c>
      <c r="D640" s="742" t="s">
        <v>6209</v>
      </c>
      <c r="E640" s="742" t="s">
        <v>2095</v>
      </c>
      <c r="F640" s="742"/>
      <c r="G640" s="742"/>
      <c r="H640" s="742">
        <v>3</v>
      </c>
      <c r="I640" s="742"/>
      <c r="J640" s="742" t="s">
        <v>6216</v>
      </c>
      <c r="K640" s="742" t="s">
        <v>6217</v>
      </c>
      <c r="L640" s="742" t="s">
        <v>6218</v>
      </c>
      <c r="M640" s="746" t="s">
        <v>6362</v>
      </c>
      <c r="N640" s="742">
        <v>2</v>
      </c>
    </row>
    <row r="641" spans="1:14" ht="38.450000000000003" customHeight="1">
      <c r="A641" s="741" t="s">
        <v>3885</v>
      </c>
      <c r="B641" s="745" t="s">
        <v>500</v>
      </c>
      <c r="C641" s="741" t="s">
        <v>3887</v>
      </c>
      <c r="D641" s="742" t="s">
        <v>6209</v>
      </c>
      <c r="E641" s="742" t="s">
        <v>2095</v>
      </c>
      <c r="F641" s="742"/>
      <c r="G641" s="742"/>
      <c r="H641" s="742">
        <v>3</v>
      </c>
      <c r="I641" s="742"/>
      <c r="J641" s="742" t="s">
        <v>6216</v>
      </c>
      <c r="K641" s="742" t="s">
        <v>6217</v>
      </c>
      <c r="L641" s="742" t="s">
        <v>6218</v>
      </c>
      <c r="M641" s="746" t="s">
        <v>6362</v>
      </c>
      <c r="N641" s="742">
        <v>2</v>
      </c>
    </row>
    <row r="642" spans="1:14" ht="38.450000000000003" customHeight="1">
      <c r="A642" s="741" t="s">
        <v>3890</v>
      </c>
      <c r="B642" s="745" t="s">
        <v>500</v>
      </c>
      <c r="C642" s="741" t="s">
        <v>3892</v>
      </c>
      <c r="D642" s="742" t="s">
        <v>6209</v>
      </c>
      <c r="E642" s="742" t="s">
        <v>2095</v>
      </c>
      <c r="F642" s="742"/>
      <c r="G642" s="742"/>
      <c r="H642" s="742">
        <v>3</v>
      </c>
      <c r="I642" s="742"/>
      <c r="J642" s="742" t="s">
        <v>6216</v>
      </c>
      <c r="K642" s="742" t="s">
        <v>6217</v>
      </c>
      <c r="L642" s="742" t="s">
        <v>6218</v>
      </c>
      <c r="M642" s="746" t="s">
        <v>6362</v>
      </c>
      <c r="N642" s="742">
        <v>2</v>
      </c>
    </row>
    <row r="643" spans="1:14" ht="38.450000000000003" customHeight="1">
      <c r="A643" s="741" t="s">
        <v>3895</v>
      </c>
      <c r="B643" s="745" t="s">
        <v>500</v>
      </c>
      <c r="C643" s="741" t="s">
        <v>3897</v>
      </c>
      <c r="D643" s="742" t="s">
        <v>6209</v>
      </c>
      <c r="E643" s="742" t="s">
        <v>2095</v>
      </c>
      <c r="F643" s="742"/>
      <c r="G643" s="742"/>
      <c r="H643" s="742">
        <v>3</v>
      </c>
      <c r="I643" s="742"/>
      <c r="J643" s="742" t="s">
        <v>6216</v>
      </c>
      <c r="K643" s="742" t="s">
        <v>6217</v>
      </c>
      <c r="L643" s="742" t="s">
        <v>6218</v>
      </c>
      <c r="M643" s="746" t="s">
        <v>6362</v>
      </c>
      <c r="N643" s="742">
        <v>2</v>
      </c>
    </row>
    <row r="644" spans="1:14" ht="38.450000000000003" customHeight="1">
      <c r="A644" s="741" t="s">
        <v>3900</v>
      </c>
      <c r="B644" s="745" t="s">
        <v>500</v>
      </c>
      <c r="C644" s="741" t="s">
        <v>3902</v>
      </c>
      <c r="D644" s="742" t="s">
        <v>6209</v>
      </c>
      <c r="E644" s="742" t="s">
        <v>2095</v>
      </c>
      <c r="F644" s="742"/>
      <c r="G644" s="742"/>
      <c r="H644" s="742">
        <v>3</v>
      </c>
      <c r="I644" s="742"/>
      <c r="J644" s="742" t="s">
        <v>6216</v>
      </c>
      <c r="K644" s="742" t="s">
        <v>6211</v>
      </c>
      <c r="L644" s="742" t="s">
        <v>6218</v>
      </c>
      <c r="M644" s="746" t="s">
        <v>6362</v>
      </c>
      <c r="N644" s="742">
        <v>2</v>
      </c>
    </row>
    <row r="645" spans="1:14" ht="38.450000000000003" customHeight="1">
      <c r="A645" s="741" t="s">
        <v>3905</v>
      </c>
      <c r="B645" s="745" t="s">
        <v>500</v>
      </c>
      <c r="C645" s="741" t="s">
        <v>3907</v>
      </c>
      <c r="D645" s="742" t="s">
        <v>6209</v>
      </c>
      <c r="E645" s="742" t="s">
        <v>2095</v>
      </c>
      <c r="F645" s="742"/>
      <c r="G645" s="742"/>
      <c r="H645" s="742">
        <v>3</v>
      </c>
      <c r="I645" s="742"/>
      <c r="J645" s="742" t="s">
        <v>6216</v>
      </c>
      <c r="K645" s="742" t="s">
        <v>6211</v>
      </c>
      <c r="L645" s="742" t="s">
        <v>6218</v>
      </c>
      <c r="M645" s="746" t="s">
        <v>6362</v>
      </c>
      <c r="N645" s="742">
        <v>2</v>
      </c>
    </row>
    <row r="646" spans="1:14" ht="38.450000000000003" customHeight="1">
      <c r="A646" s="741" t="s">
        <v>3910</v>
      </c>
      <c r="B646" s="745" t="s">
        <v>500</v>
      </c>
      <c r="C646" s="741" t="s">
        <v>3912</v>
      </c>
      <c r="D646" s="742" t="s">
        <v>6209</v>
      </c>
      <c r="E646" s="742" t="s">
        <v>2095</v>
      </c>
      <c r="F646" s="742"/>
      <c r="G646" s="742"/>
      <c r="H646" s="742">
        <v>3</v>
      </c>
      <c r="I646" s="742"/>
      <c r="J646" s="742" t="s">
        <v>6216</v>
      </c>
      <c r="K646" s="742" t="s">
        <v>6217</v>
      </c>
      <c r="L646" s="742" t="s">
        <v>6218</v>
      </c>
      <c r="M646" s="746" t="s">
        <v>6362</v>
      </c>
      <c r="N646" s="742">
        <v>2</v>
      </c>
    </row>
    <row r="647" spans="1:14" ht="38.450000000000003" customHeight="1">
      <c r="A647" s="741" t="s">
        <v>3915</v>
      </c>
      <c r="B647" s="745" t="s">
        <v>500</v>
      </c>
      <c r="C647" s="741" t="s">
        <v>3917</v>
      </c>
      <c r="D647" s="742" t="s">
        <v>6209</v>
      </c>
      <c r="E647" s="742" t="s">
        <v>2095</v>
      </c>
      <c r="F647" s="742"/>
      <c r="G647" s="742"/>
      <c r="H647" s="742">
        <v>3</v>
      </c>
      <c r="I647" s="742"/>
      <c r="J647" s="742" t="s">
        <v>6216</v>
      </c>
      <c r="K647" s="742" t="s">
        <v>6217</v>
      </c>
      <c r="L647" s="742" t="s">
        <v>6218</v>
      </c>
      <c r="M647" s="746" t="s">
        <v>6362</v>
      </c>
      <c r="N647" s="742">
        <v>2</v>
      </c>
    </row>
    <row r="648" spans="1:14" ht="38.450000000000003" customHeight="1">
      <c r="A648" s="741" t="s">
        <v>3924</v>
      </c>
      <c r="B648" s="745" t="s">
        <v>500</v>
      </c>
      <c r="C648" s="741" t="s">
        <v>3926</v>
      </c>
      <c r="D648" s="742" t="s">
        <v>6209</v>
      </c>
      <c r="E648" s="742" t="s">
        <v>2095</v>
      </c>
      <c r="F648" s="742"/>
      <c r="G648" s="742"/>
      <c r="H648" s="742">
        <v>3</v>
      </c>
      <c r="I648" s="742"/>
      <c r="J648" s="742" t="s">
        <v>6216</v>
      </c>
      <c r="K648" s="742" t="s">
        <v>6220</v>
      </c>
      <c r="L648" s="742" t="s">
        <v>6212</v>
      </c>
      <c r="M648" s="746" t="s">
        <v>6362</v>
      </c>
      <c r="N648" s="742">
        <v>2</v>
      </c>
    </row>
    <row r="649" spans="1:14" ht="38.450000000000003" customHeight="1">
      <c r="A649" s="741" t="s">
        <v>3929</v>
      </c>
      <c r="B649" s="745" t="s">
        <v>500</v>
      </c>
      <c r="C649" s="741" t="s">
        <v>3931</v>
      </c>
      <c r="D649" s="742" t="s">
        <v>6209</v>
      </c>
      <c r="E649" s="742" t="s">
        <v>2095</v>
      </c>
      <c r="F649" s="742"/>
      <c r="G649" s="742"/>
      <c r="H649" s="742">
        <v>3</v>
      </c>
      <c r="I649" s="742"/>
      <c r="J649" s="742" t="s">
        <v>6216</v>
      </c>
      <c r="K649" s="742" t="s">
        <v>6217</v>
      </c>
      <c r="L649" s="742" t="s">
        <v>6218</v>
      </c>
      <c r="M649" s="746" t="s">
        <v>6362</v>
      </c>
      <c r="N649" s="742">
        <v>2</v>
      </c>
    </row>
    <row r="650" spans="1:14" ht="38.450000000000003" customHeight="1">
      <c r="A650" s="741" t="s">
        <v>3934</v>
      </c>
      <c r="B650" s="745" t="s">
        <v>500</v>
      </c>
      <c r="C650" s="741" t="s">
        <v>3936</v>
      </c>
      <c r="D650" s="742" t="s">
        <v>6209</v>
      </c>
      <c r="E650" s="742" t="s">
        <v>2095</v>
      </c>
      <c r="F650" s="742"/>
      <c r="G650" s="742"/>
      <c r="H650" s="742">
        <v>3</v>
      </c>
      <c r="I650" s="742"/>
      <c r="J650" s="742" t="s">
        <v>6216</v>
      </c>
      <c r="K650" s="742" t="s">
        <v>6217</v>
      </c>
      <c r="L650" s="742" t="s">
        <v>6218</v>
      </c>
      <c r="M650" s="746" t="s">
        <v>6362</v>
      </c>
      <c r="N650" s="742">
        <v>2</v>
      </c>
    </row>
    <row r="651" spans="1:14" ht="38.450000000000003" customHeight="1">
      <c r="A651" s="741" t="s">
        <v>3939</v>
      </c>
      <c r="B651" s="745" t="s">
        <v>500</v>
      </c>
      <c r="C651" s="741" t="s">
        <v>3941</v>
      </c>
      <c r="D651" s="742" t="s">
        <v>6209</v>
      </c>
      <c r="E651" s="742" t="s">
        <v>2095</v>
      </c>
      <c r="F651" s="742"/>
      <c r="G651" s="742"/>
      <c r="H651" s="742">
        <v>3</v>
      </c>
      <c r="I651" s="742"/>
      <c r="J651" s="742" t="s">
        <v>6216</v>
      </c>
      <c r="K651" s="742" t="s">
        <v>6211</v>
      </c>
      <c r="L651" s="742" t="s">
        <v>6218</v>
      </c>
      <c r="M651" s="746" t="s">
        <v>6362</v>
      </c>
      <c r="N651" s="742">
        <v>2</v>
      </c>
    </row>
    <row r="652" spans="1:14" ht="38.450000000000003" customHeight="1">
      <c r="A652" s="741" t="s">
        <v>4018</v>
      </c>
      <c r="B652" s="745" t="s">
        <v>500</v>
      </c>
      <c r="C652" s="741" t="s">
        <v>4020</v>
      </c>
      <c r="D652" s="742" t="s">
        <v>6209</v>
      </c>
      <c r="E652" s="742" t="s">
        <v>2095</v>
      </c>
      <c r="F652" s="742"/>
      <c r="G652" s="742"/>
      <c r="H652" s="742">
        <v>3</v>
      </c>
      <c r="I652" s="742"/>
      <c r="J652" s="742" t="s">
        <v>6216</v>
      </c>
      <c r="K652" s="742" t="s">
        <v>6217</v>
      </c>
      <c r="L652" s="742" t="s">
        <v>6218</v>
      </c>
      <c r="M652" s="746" t="s">
        <v>6362</v>
      </c>
      <c r="N652" s="742">
        <v>2</v>
      </c>
    </row>
    <row r="653" spans="1:14" ht="38.450000000000003" customHeight="1">
      <c r="A653" s="741" t="s">
        <v>3640</v>
      </c>
      <c r="B653" s="745" t="s">
        <v>500</v>
      </c>
      <c r="C653" s="741" t="s">
        <v>3642</v>
      </c>
      <c r="D653" s="742" t="s">
        <v>6209</v>
      </c>
      <c r="E653" s="742" t="s">
        <v>2095</v>
      </c>
      <c r="F653" s="742"/>
      <c r="G653" s="742"/>
      <c r="H653" s="742">
        <v>0</v>
      </c>
      <c r="I653" s="742"/>
      <c r="J653" s="742" t="s">
        <v>6216</v>
      </c>
      <c r="K653" s="742" t="s">
        <v>6217</v>
      </c>
      <c r="L653" s="742" t="s">
        <v>6218</v>
      </c>
      <c r="M653" s="746" t="s">
        <v>6222</v>
      </c>
      <c r="N653" s="742">
        <v>2</v>
      </c>
    </row>
    <row r="654" spans="1:14" ht="28.5" customHeight="1">
      <c r="A654" s="350">
        <v>647</v>
      </c>
      <c r="B654" s="531"/>
      <c r="C654" s="350"/>
      <c r="D654" s="530"/>
      <c r="E654" s="530"/>
      <c r="F654" s="530"/>
      <c r="G654" s="530"/>
      <c r="H654" s="530"/>
      <c r="I654" s="353"/>
      <c r="J654" s="530"/>
      <c r="K654" s="530"/>
      <c r="L654" s="530"/>
      <c r="M654" s="228"/>
      <c r="N654" s="530"/>
    </row>
  </sheetData>
  <autoFilter ref="A6:N654" xr:uid="{32ED1396-24EB-41B5-870B-03C822C68F95}"/>
  <mergeCells count="1">
    <mergeCell ref="A4:N5"/>
  </mergeCells>
  <phoneticPr fontId="0" type="noConversion"/>
  <conditionalFormatting sqref="A523">
    <cfRule type="expression" dxfId="9" priority="17">
      <formula>LEN(A523)&gt;16</formula>
    </cfRule>
    <cfRule type="duplicateValues" dxfId="8" priority="18"/>
    <cfRule type="duplicateValues" dxfId="7" priority="19"/>
  </conditionalFormatting>
  <conditionalFormatting sqref="A601:A636">
    <cfRule type="expression" dxfId="6" priority="4">
      <formula>LEN(A601)&gt;13</formula>
    </cfRule>
    <cfRule type="duplicateValues" dxfId="5" priority="5"/>
  </conditionalFormatting>
  <conditionalFormatting sqref="C163">
    <cfRule type="expression" dxfId="4" priority="23">
      <formula>LEN(C163)&gt;24</formula>
    </cfRule>
  </conditionalFormatting>
  <conditionalFormatting sqref="C220">
    <cfRule type="expression" dxfId="3" priority="22">
      <formula>LEN(C220)&gt;52</formula>
    </cfRule>
  </conditionalFormatting>
  <conditionalFormatting sqref="C512:C523">
    <cfRule type="expression" dxfId="2" priority="13">
      <formula>LEN(C512)&gt;24</formula>
    </cfRule>
  </conditionalFormatting>
  <conditionalFormatting sqref="C524:C654 C7:C162 B10:E26 C164:C219 C221:C511">
    <cfRule type="expression" dxfId="1" priority="24">
      <formula>LEN(B7)&gt;24</formula>
    </cfRule>
  </conditionalFormatting>
  <conditionalFormatting sqref="C601:C653">
    <cfRule type="expression" dxfId="0" priority="6">
      <formula>LEN(C601)&gt;24</formula>
    </cfRule>
  </conditionalFormatting>
  <dataValidations count="1">
    <dataValidation type="list" allowBlank="1" showInputMessage="1" showErrorMessage="1" sqref="K136:K137 K164:K165 K159 K236 K169:K171 K182:K185 K229:K234 K141:K155 K139 K173:K175 K411 K341:K346 K361 K363 K413 K373 K371 K383 K381 K393 K391 K403 K401 K7:K129 J229:J236 J238:K238 J293:K294 J309:K311 J328:K329 J331:K332 J218:K218 J305:K305 J341:J414 J444:K447 J436:K439 J421:K425 J428:K433 J523:K525 J7:J185 J449:K512 J601:K653" xr:uid="{7D953A51-9124-47B0-852E-FB769DC2B4F6}">
      <formula1>#REF!</formula1>
    </dataValidation>
  </dataValidations>
  <pageMargins left="0.70866141732283472" right="0.70866141732283472" top="0.74803149606299213" bottom="0.74803149606299213" header="0.31496062992125984" footer="0.31496062992125984"/>
  <pageSetup paperSize="8" scale="5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4EEC3A0EBA714EA171144EB7E2EABC" ma:contentTypeVersion="13" ma:contentTypeDescription="Create a new document." ma:contentTypeScope="" ma:versionID="c09369ea4a61d4d044e8d54136205438">
  <xsd:schema xmlns:xsd="http://www.w3.org/2001/XMLSchema" xmlns:xs="http://www.w3.org/2001/XMLSchema" xmlns:p="http://schemas.microsoft.com/office/2006/metadata/properties" xmlns:ns2="6cd7cda7-be52-4405-bd97-58a2ed519481" xmlns:ns3="91a40c6d-2e6d-478a-be73-b4855504bf7b" targetNamespace="http://schemas.microsoft.com/office/2006/metadata/properties" ma:root="true" ma:fieldsID="f9dfabb7ebe3043eeb29fd0ac1d9446f" ns2:_="" ns3:_="">
    <xsd:import namespace="6cd7cda7-be52-4405-bd97-58a2ed519481"/>
    <xsd:import namespace="91a40c6d-2e6d-478a-be73-b4855504bf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d7cda7-be52-4405-bd97-58a2ed51948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199ae5a-27eb-4134-9cd1-6c33e736af77}" ma:internalName="TaxCatchAll" ma:showField="CatchAllData" ma:web="6cd7cda7-be52-4405-bd97-58a2ed5194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1a40c6d-2e6d-478a-be73-b4855504bf7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4288c90-1143-4353-a2da-72c8470b0f0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a40c6d-2e6d-478a-be73-b4855504bf7b">
      <Terms xmlns="http://schemas.microsoft.com/office/infopath/2007/PartnerControls"/>
    </lcf76f155ced4ddcb4097134ff3c332f>
    <TaxCatchAll xmlns="6cd7cda7-be52-4405-bd97-58a2ed519481" xsi:nil="true"/>
  </documentManagement>
</p:properties>
</file>

<file path=customXml/itemProps1.xml><?xml version="1.0" encoding="utf-8"?>
<ds:datastoreItem xmlns:ds="http://schemas.openxmlformats.org/officeDocument/2006/customXml" ds:itemID="{D1A21FB1-5D24-48FE-A63F-DDC1EF052495}"/>
</file>

<file path=customXml/itemProps2.xml><?xml version="1.0" encoding="utf-8"?>
<ds:datastoreItem xmlns:ds="http://schemas.openxmlformats.org/officeDocument/2006/customXml" ds:itemID="{EF2489C1-592C-4F33-BEBB-43770F95F09F}"/>
</file>

<file path=customXml/itemProps3.xml><?xml version="1.0" encoding="utf-8"?>
<ds:datastoreItem xmlns:ds="http://schemas.openxmlformats.org/officeDocument/2006/customXml" ds:itemID="{D63A7526-9781-4F15-BDF0-6C6EB3ED8D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2000-F16-LST-PR-10001</dc:title>
  <dc:subject/>
  <dc:creator>Esme Wilmot;Joshua.Jones@primero.com.au</dc:creator>
  <cp:keywords/>
  <dc:description/>
  <cp:lastModifiedBy>Steve Christie</cp:lastModifiedBy>
  <cp:revision/>
  <dcterms:created xsi:type="dcterms:W3CDTF">2006-03-15T23:21:32Z</dcterms:created>
  <dcterms:modified xsi:type="dcterms:W3CDTF">2026-01-10T08:04:51Z</dcterms:modified>
  <cp:category>Process Control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LL_JN_AusencoOffice">
    <vt:lpwstr>WA Branch - Perth</vt:lpwstr>
  </property>
  <property fmtid="{D5CDD505-2E9C-101B-9397-08002B2CF9AE}" pid="4" name="LL_JN_JobTitle">
    <vt:lpwstr>Kinsevere Stage 2 Copper Project</vt:lpwstr>
  </property>
  <property fmtid="{D5CDD505-2E9C-101B-9397-08002B2CF9AE}" pid="5" name="LL_JN_ClientName">
    <vt:lpwstr>ANVIL</vt:lpwstr>
  </property>
  <property fmtid="{D5CDD505-2E9C-101B-9397-08002B2CF9AE}" pid="6" name="LL_JN_JobNo">
    <vt:lpwstr>1731</vt:lpwstr>
  </property>
  <property fmtid="{D5CDD505-2E9C-101B-9397-08002B2CF9AE}" pid="7" name="LL_ReleaseLabel">
    <vt:lpwstr>2</vt:lpwstr>
  </property>
  <property fmtid="{D5CDD505-2E9C-101B-9397-08002B2CF9AE}" pid="8" name="LL_ReleaseStatus">
    <vt:lpwstr>DRAFT</vt:lpwstr>
  </property>
  <property fmtid="{D5CDD505-2E9C-101B-9397-08002B2CF9AE}" pid="9" name="LL_Description">
    <vt:lpwstr>Process Control Tables</vt:lpwstr>
  </property>
  <property fmtid="{D5CDD505-2E9C-101B-9397-08002B2CF9AE}" pid="10" name="LL_CreatedDate">
    <vt:filetime>2009-08-25T14:00:00Z</vt:filetime>
  </property>
  <property fmtid="{D5CDD505-2E9C-101B-9397-08002B2CF9AE}" pid="11" name="LL_ModifiedDate">
    <vt:filetime>2010-11-14T14:00:00Z</vt:filetime>
  </property>
  <property fmtid="{D5CDD505-2E9C-101B-9397-08002B2CF9AE}" pid="12" name="LL_DocumentName">
    <vt:lpwstr>1731-PCP-0003 Tables</vt:lpwstr>
  </property>
  <property fmtid="{D5CDD505-2E9C-101B-9397-08002B2CF9AE}" pid="13" name="LL_VersionNumber">
    <vt:i4>18</vt:i4>
  </property>
  <property fmtid="{D5CDD505-2E9C-101B-9397-08002B2CF9AE}" pid="14" name="LL_Creator">
    <vt:lpwstr>Simon Tyrrell</vt:lpwstr>
  </property>
  <property fmtid="{D5CDD505-2E9C-101B-9397-08002B2CF9AE}" pid="15" name="LL_DocumentID">
    <vt:lpwstr> </vt:lpwstr>
  </property>
  <property fmtid="{D5CDD505-2E9C-101B-9397-08002B2CF9AE}" pid="16" name="LL_Filename">
    <vt:lpwstr>1731-PCP-003 Rev 2 Draft.xls</vt:lpwstr>
  </property>
  <property fmtid="{D5CDD505-2E9C-101B-9397-08002B2CF9AE}" pid="17" name="LL_DocumentType">
    <vt:lpwstr>Blank Excel Workbook</vt:lpwstr>
  </property>
  <property fmtid="{D5CDD505-2E9C-101B-9397-08002B2CF9AE}" pid="18" name="LL_LivelinkURL">
    <vt:lpwstr>http://vanrc01/livelink/livelink.exe?func=doc.viewDoc&amp;NodeId=30895150</vt:lpwstr>
  </property>
  <property fmtid="{D5CDD505-2E9C-101B-9397-08002B2CF9AE}" pid="19" name="LL_PV_ReleaseLabel_0">
    <vt:lpwstr>2</vt:lpwstr>
  </property>
  <property fmtid="{D5CDD505-2E9C-101B-9397-08002B2CF9AE}" pid="20" name="LL_PV_ReleaseStatus_0">
    <vt:lpwstr>DRAFT</vt:lpwstr>
  </property>
  <property fmtid="{D5CDD505-2E9C-101B-9397-08002B2CF9AE}" pid="21" name="LL_PV_Description_0">
    <vt:lpwstr> </vt:lpwstr>
  </property>
  <property fmtid="{D5CDD505-2E9C-101B-9397-08002B2CF9AE}" pid="22" name="LL_PV_Date_0">
    <vt:filetime>2009-08-25T14:00:00Z</vt:filetime>
  </property>
  <property fmtid="{D5CDD505-2E9C-101B-9397-08002B2CF9AE}" pid="23" name="LL_PV_VersionNumber_0">
    <vt:i4>18</vt:i4>
  </property>
  <property fmtid="{D5CDD505-2E9C-101B-9397-08002B2CF9AE}" pid="24" name="LL_PV_Creator_0">
    <vt:lpwstr>Simon Tyrrell</vt:lpwstr>
  </property>
  <property fmtid="{D5CDD505-2E9C-101B-9397-08002B2CF9AE}" pid="25" name="LL_PV_ReleaseLabel_1">
    <vt:lpwstr>1</vt:lpwstr>
  </property>
  <property fmtid="{D5CDD505-2E9C-101B-9397-08002B2CF9AE}" pid="26" name="LL_PV_ReleaseStatus_1">
    <vt:lpwstr>FINAL</vt:lpwstr>
  </property>
  <property fmtid="{D5CDD505-2E9C-101B-9397-08002B2CF9AE}" pid="27" name="LL_PV_Description_1">
    <vt:lpwstr> </vt:lpwstr>
  </property>
  <property fmtid="{D5CDD505-2E9C-101B-9397-08002B2CF9AE}" pid="28" name="LL_PV_Date_1">
    <vt:filetime>2009-08-25T14:00:00Z</vt:filetime>
  </property>
  <property fmtid="{D5CDD505-2E9C-101B-9397-08002B2CF9AE}" pid="29" name="LL_PV_VersionNumber_1">
    <vt:i4>17</vt:i4>
  </property>
  <property fmtid="{D5CDD505-2E9C-101B-9397-08002B2CF9AE}" pid="30" name="LL_PV_Creator_1">
    <vt:lpwstr>Simon Tyrrell</vt:lpwstr>
  </property>
  <property fmtid="{D5CDD505-2E9C-101B-9397-08002B2CF9AE}" pid="31" name="LL_PV_ReleaseLabel_2">
    <vt:lpwstr>0</vt:lpwstr>
  </property>
  <property fmtid="{D5CDD505-2E9C-101B-9397-08002B2CF9AE}" pid="32" name="LL_PV_ReleaseStatus_2">
    <vt:lpwstr>FINAL</vt:lpwstr>
  </property>
  <property fmtid="{D5CDD505-2E9C-101B-9397-08002B2CF9AE}" pid="33" name="LL_PV_Description_2">
    <vt:lpwstr> </vt:lpwstr>
  </property>
  <property fmtid="{D5CDD505-2E9C-101B-9397-08002B2CF9AE}" pid="34" name="LL_PV_Date_2">
    <vt:filetime>2009-08-25T14:00:00Z</vt:filetime>
  </property>
  <property fmtid="{D5CDD505-2E9C-101B-9397-08002B2CF9AE}" pid="35" name="LL_PV_VersionNumber_2">
    <vt:i4>16</vt:i4>
  </property>
  <property fmtid="{D5CDD505-2E9C-101B-9397-08002B2CF9AE}" pid="36" name="LL_PV_Creator_2">
    <vt:lpwstr>Simon Tyrrell</vt:lpwstr>
  </property>
  <property fmtid="{D5CDD505-2E9C-101B-9397-08002B2CF9AE}" pid="37" name="LL_PV_ReleaseLabel_3">
    <vt:lpwstr>E</vt:lpwstr>
  </property>
  <property fmtid="{D5CDD505-2E9C-101B-9397-08002B2CF9AE}" pid="38" name="LL_PV_ReleaseStatus_3">
    <vt:lpwstr>FINAL</vt:lpwstr>
  </property>
  <property fmtid="{D5CDD505-2E9C-101B-9397-08002B2CF9AE}" pid="39" name="LL_PV_Description_3">
    <vt:lpwstr> </vt:lpwstr>
  </property>
  <property fmtid="{D5CDD505-2E9C-101B-9397-08002B2CF9AE}" pid="40" name="LL_PV_Date_3">
    <vt:filetime>2009-08-25T14:00:00Z</vt:filetime>
  </property>
  <property fmtid="{D5CDD505-2E9C-101B-9397-08002B2CF9AE}" pid="41" name="LL_PV_VersionNumber_3">
    <vt:i4>15</vt:i4>
  </property>
  <property fmtid="{D5CDD505-2E9C-101B-9397-08002B2CF9AE}" pid="42" name="LL_PV_Creator_3">
    <vt:lpwstr>Simon Tyrrell</vt:lpwstr>
  </property>
  <property fmtid="{D5CDD505-2E9C-101B-9397-08002B2CF9AE}" pid="43" name="LL_PV_ReleaseLabel_4">
    <vt:lpwstr>D</vt:lpwstr>
  </property>
  <property fmtid="{D5CDD505-2E9C-101B-9397-08002B2CF9AE}" pid="44" name="LL_PV_ReleaseStatus_4">
    <vt:lpwstr>FINAL</vt:lpwstr>
  </property>
  <property fmtid="{D5CDD505-2E9C-101B-9397-08002B2CF9AE}" pid="45" name="LL_PV_Description_4">
    <vt:lpwstr> </vt:lpwstr>
  </property>
  <property fmtid="{D5CDD505-2E9C-101B-9397-08002B2CF9AE}" pid="46" name="LL_PV_Date_4">
    <vt:filetime>2009-08-25T14:00:00Z</vt:filetime>
  </property>
  <property fmtid="{D5CDD505-2E9C-101B-9397-08002B2CF9AE}" pid="47" name="LL_PV_VersionNumber_4">
    <vt:i4>13</vt:i4>
  </property>
  <property fmtid="{D5CDD505-2E9C-101B-9397-08002B2CF9AE}" pid="48" name="LL_PV_Creator_4">
    <vt:lpwstr>Jared Dietrich</vt:lpwstr>
  </property>
  <property fmtid="{D5CDD505-2E9C-101B-9397-08002B2CF9AE}" pid="49" name="ContentTypeId">
    <vt:lpwstr>0x010100334EEC3A0EBA714EA171144EB7E2EABC</vt:lpwstr>
  </property>
  <property fmtid="{D5CDD505-2E9C-101B-9397-08002B2CF9AE}" pid="50" name="MediaServiceImageTags">
    <vt:lpwstr/>
  </property>
  <property fmtid="{D5CDD505-2E9C-101B-9397-08002B2CF9AE}" pid="51" name="_dlc_DocIdItemGuid">
    <vt:lpwstr>009afe24-44af-4dce-94ef-1abbe490786c</vt:lpwstr>
  </property>
</Properties>
</file>
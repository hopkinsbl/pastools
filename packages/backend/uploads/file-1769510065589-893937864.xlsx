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mc:AlternateContent xmlns:mc="http://schemas.openxmlformats.org/markup-compatibility/2006">
    <mc:Choice Requires="x15">
      <x15ac:absPath xmlns:x15ac="http://schemas.microsoft.com/office/spreadsheetml/2010/11/ac" url="https://pastechptyltd-my.sharepoint.com/personal/hopkinsbl_pastech_com_au/Documents/"/>
    </mc:Choice>
  </mc:AlternateContent>
  <xr:revisionPtr revIDLastSave="2" documentId="8_{771BE71E-6919-476B-8EF6-CBF10D513005}" xr6:coauthVersionLast="47" xr6:coauthVersionMax="47" xr10:uidLastSave="{A91C6947-0D0E-4079-915E-C730BEFE83DB}"/>
  <bookViews>
    <workbookView xWindow="40670" yWindow="4500" windowWidth="28800" windowHeight="15370" firstSheet="3" activeTab="3" xr2:uid="{9D42C5A3-3A96-47A5-A8AD-41A4F794C630}"/>
  </bookViews>
  <sheets>
    <sheet name="Cover Page" sheetId="63" r:id="rId1"/>
    <sheet name="Revisions" sheetId="68" r:id="rId2"/>
    <sheet name="TOC" sheetId="48" r:id="rId3"/>
    <sheet name="1. Analogue Input" sheetId="39" r:id="rId4"/>
    <sheet name="2. Analogue Output" sheetId="73" r:id="rId5"/>
    <sheet name="4. Digital Output" sheetId="74" r:id="rId6"/>
    <sheet name="3. Digital Input" sheetId="41" r:id="rId7"/>
    <sheet name="5. Totalisers" sheetId="42" r:id="rId8"/>
    <sheet name="6. OnOff Valves" sheetId="43" r:id="rId9"/>
    <sheet name="7. Control Valves" sheetId="70" r:id="rId10"/>
    <sheet name="8. PID Cont" sheetId="45" r:id="rId11"/>
    <sheet name="9. Drives" sheetId="66" r:id="rId12"/>
    <sheet name="10. Sequence" sheetId="88" r:id="rId13"/>
    <sheet name="11. Calculation" sheetId="2" r:id="rId14"/>
    <sheet name="12. Misc" sheetId="77" r:id="rId15"/>
    <sheet name="13. Alarm Database" sheetId="82" r:id="rId16"/>
  </sheets>
  <definedNames>
    <definedName name="__123Graph_A" localSheetId="12" hidden="1">#REF!</definedName>
    <definedName name="__123Graph_A" hidden="1">#REF!</definedName>
    <definedName name="__123Graph_ACURRENT" localSheetId="12" hidden="1">#REF!</definedName>
    <definedName name="__123Graph_ACURRENT" hidden="1">#REF!</definedName>
    <definedName name="__123Graph_B" localSheetId="0" hidden="1">#REF!</definedName>
    <definedName name="__123Graph_B" localSheetId="1" hidden="1">#REF!</definedName>
    <definedName name="__123Graph_B" hidden="1">#REF!</definedName>
    <definedName name="__123Graph_BCURRENT" hidden="1">#REF!</definedName>
    <definedName name="__123Graph_C" localSheetId="0" hidden="1">#REF!</definedName>
    <definedName name="__123Graph_C" localSheetId="1" hidden="1">#REF!</definedName>
    <definedName name="__123Graph_C" hidden="1">#REF!</definedName>
    <definedName name="__123Graph_CCURRENT" hidden="1">#REF!</definedName>
    <definedName name="__123Graph_D" hidden="1">#REF!</definedName>
    <definedName name="__123Graph_DCURRENT" hidden="1">#REF!</definedName>
    <definedName name="__123Graph_E" hidden="1">#REF!</definedName>
    <definedName name="__123Graph_ECURRENT" hidden="1">#REF!</definedName>
    <definedName name="__123Graph_F" hidden="1">#REF!</definedName>
    <definedName name="__123Graph_FCURRENT" hidden="1">#REF!</definedName>
    <definedName name="_1__123Graph_ACHART_1" hidden="1">#REF!</definedName>
    <definedName name="_10__123Graph_XCHART_5" localSheetId="12" hidden="1">#REF!</definedName>
    <definedName name="_10__123Graph_XCHART_5" hidden="1">#REF!</definedName>
    <definedName name="_2__123Graph_ACHART_3" localSheetId="12" hidden="1">#REF!</definedName>
    <definedName name="_2__123Graph_ACHART_3" hidden="1">#REF!</definedName>
    <definedName name="_3__123Graph_ACHART_4" localSheetId="12" hidden="1">#REF!</definedName>
    <definedName name="_3__123Graph_ACHART_4" hidden="1">#REF!</definedName>
    <definedName name="_4__123Graph_ACHART_5" hidden="1">#REF!</definedName>
    <definedName name="_5__123Graph_BCHART_1" hidden="1">#REF!</definedName>
    <definedName name="_6__123Graph_BCHART_4" hidden="1">#REF!</definedName>
    <definedName name="_7__123Graph_CCHART_1" hidden="1">#REF!</definedName>
    <definedName name="_8__123Graph_DCHART_1" hidden="1">#REF!</definedName>
    <definedName name="_9__123Graph_ECHART_1" hidden="1">#REF!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7</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Fill" localSheetId="0" hidden="1">#REF!</definedName>
    <definedName name="_Fill" localSheetId="1" hidden="1">#REF!</definedName>
    <definedName name="_Fill" hidden="1">#REF!</definedName>
    <definedName name="_filll" hidden="1">#REF!</definedName>
    <definedName name="_Filltest" localSheetId="0" hidden="1">#REF!</definedName>
    <definedName name="_Filltest" localSheetId="1" hidden="1">#REF!</definedName>
    <definedName name="_Filltest" hidden="1">#REF!</definedName>
    <definedName name="_xlnm._FilterDatabase" localSheetId="3" hidden="1">'1. Analogue Input'!$A$2:$AJ$63</definedName>
    <definedName name="_xlnm._FilterDatabase" localSheetId="12" hidden="1">'10. Sequence'!$A$5:$L$12</definedName>
    <definedName name="_xlnm._FilterDatabase" localSheetId="14" hidden="1">'12. Misc'!$A$6:$K$6</definedName>
    <definedName name="_xlnm._FilterDatabase" localSheetId="15" hidden="1">'13. Alarm Database'!$A$6:$N$248</definedName>
    <definedName name="_xlnm._FilterDatabase" localSheetId="4" hidden="1">'2. Analogue Output'!$A$6:$N$6</definedName>
    <definedName name="_xlnm._FilterDatabase" localSheetId="6" hidden="1">'3. Digital Input'!$A$6:$Q$172</definedName>
    <definedName name="_xlnm._FilterDatabase" localSheetId="5" hidden="1">'4. Digital Output'!$A$6:$P$42</definedName>
    <definedName name="_xlnm._FilterDatabase" localSheetId="7" hidden="1">'5. Totalisers'!$E$6:$P$7</definedName>
    <definedName name="_xlnm._FilterDatabase" localSheetId="8" hidden="1">'6. OnOff Valves'!$E$6:$X$22</definedName>
    <definedName name="_xlnm._FilterDatabase" localSheetId="9" hidden="1">'7. Control Valves'!$E$6:$Z$9</definedName>
    <definedName name="_xlnm._FilterDatabase" localSheetId="10" hidden="1">'8. PID Cont'!$A$6:$BB$11</definedName>
    <definedName name="_xlnm._FilterDatabase" localSheetId="11" hidden="1">'9. Drives'!$A$1:$Z$531</definedName>
    <definedName name="_xlnm._FilterDatabase" localSheetId="0" hidden="1">#REF!</definedName>
    <definedName name="_xlnm._FilterDatabase" localSheetId="1" hidden="1">#REF!</definedName>
    <definedName name="_xlnm._FilterDatabase" hidden="1">#REF!</definedName>
    <definedName name="_FilterDatabase2" localSheetId="0" hidden="1">#REF!</definedName>
    <definedName name="_FilterDatabase2" localSheetId="1" hidden="1">#REF!</definedName>
    <definedName name="_FilterDatabase2" hidden="1">#REF!</definedName>
    <definedName name="_FilterDatabase22" hidden="1">#REF!</definedName>
    <definedName name="_FilterDatabase3" localSheetId="0" hidden="1">#REF!</definedName>
    <definedName name="_FilterDatabase3" localSheetId="1" hidden="1">#REF!</definedName>
    <definedName name="_FilterDatabase3" hidden="1">#REF!</definedName>
    <definedName name="_FilterDB" hidden="1">#REF!</definedName>
    <definedName name="_Key1" localSheetId="0" hidden="1">#REF!</definedName>
    <definedName name="_Key1" localSheetId="1" hidden="1">#REF!</definedName>
    <definedName name="_Key1" hidden="1">#REF!</definedName>
    <definedName name="_Key2" hidden="1">#REF!</definedName>
    <definedName name="_Order1" hidden="1">255</definedName>
    <definedName name="_Order2" hidden="1">0</definedName>
    <definedName name="_Parse_Out" hidden="1">#REF!</definedName>
    <definedName name="_Sort" localSheetId="0" hidden="1">#REF!</definedName>
    <definedName name="_Sort" localSheetId="1" hidden="1">#REF!</definedName>
    <definedName name="_Sort" hidden="1">#REF!</definedName>
    <definedName name="AirTemp">#REF!</definedName>
    <definedName name="AirTempDerate">#REF!</definedName>
    <definedName name="anscount" hidden="1">2</definedName>
    <definedName name="Area">#REF!</definedName>
    <definedName name="Area_Number">#REF!</definedName>
    <definedName name="Assumptions_AirTemperature">#REF!</definedName>
    <definedName name="Assumptions_AmbientAirTemperature">#REF!</definedName>
    <definedName name="Assumptions_AmbientSoilTemperature">#REF!</definedName>
    <definedName name="Assumptions_BunchedCircuits">#REF!</definedName>
    <definedName name="Assumptions_Conductor_SmallLarge">#REF!</definedName>
    <definedName name="Assumptions_ConductorOperatingTemperature_Large">#REF!</definedName>
    <definedName name="Assumptions_ConductorOperatingTemperature_Small">#REF!</definedName>
    <definedName name="Assumptions_DCControlVoltage">#REF!</definedName>
    <definedName name="Assumptions_DepthOfBurial">#REF!</definedName>
    <definedName name="Assumptions_DepthOfBurialHV">#REF!</definedName>
    <definedName name="Assumptions_DepthOfBurialLV">#REF!</definedName>
    <definedName name="Assumptions_FaultLoop_MainBondingConductorSize">#REF!</definedName>
    <definedName name="Assumptions_FaultLoop_MinimumVoltage">#REF!</definedName>
    <definedName name="Assumptions_FaultLoop_TripSetting1phFeeder">#REF!</definedName>
    <definedName name="Assumptions_FaultLoop_TripSettingDCControl">#REF!</definedName>
    <definedName name="Assumptions_FaultLoop_TripSettingFeeder">#REF!</definedName>
    <definedName name="Assumptions_FaultLoop_TripSettingMotor">#REF!</definedName>
    <definedName name="Assumptions_NominalVoltage">#REF!</definedName>
    <definedName name="Assumptions_NumberOfCableLadderTiers">#REF!</definedName>
    <definedName name="Assumptions_NumberOfCircuitsBuriedInConduit">#REF!</definedName>
    <definedName name="Assumptions_NumberOfCircuitsDirectBuried">#REF!</definedName>
    <definedName name="Assumptions_NumberOfCircuitsPerLadder">#REF!</definedName>
    <definedName name="Assumptions_SoilTemperature">#REF!</definedName>
    <definedName name="Assumptions_SoilThermalResistivity">#REF!</definedName>
    <definedName name="Assumptions_SpacingBuriedInConduit">#REF!</definedName>
    <definedName name="Assumptions_SpacingDirectBuried">#REF!</definedName>
    <definedName name="Assumptions_SpacingOnLadder">#REF!</definedName>
    <definedName name="Assumptions_VoltageDrop_DC">#REF!</definedName>
    <definedName name="Assumptions_VoltageDrop_Feeder">#REF!</definedName>
    <definedName name="Assumptions_VoltageDrop_MotorRunning">#REF!</definedName>
    <definedName name="Assumptions_VoltageDrop_MotorStarting">#REF!</definedName>
    <definedName name="BondingConductorSize">#REF!</definedName>
    <definedName name="CableCores">#REF!</definedName>
    <definedName name="CableSeparation">#REF!</definedName>
    <definedName name="CableType">#REF!</definedName>
    <definedName name="ClientName">#REF!</definedName>
    <definedName name="ClientNumber">#REF!</definedName>
    <definedName name="Conductor">#REF!</definedName>
    <definedName name="ConductorConstruction">#REF!</definedName>
    <definedName name="ConductorShape">#REF!</definedName>
    <definedName name="ConductorSizes">#REF!</definedName>
    <definedName name="ConductorTemp">#REF!</definedName>
    <definedName name="ConduitDepth">#REF!</definedName>
    <definedName name="ConduitMultiDepthDerate">#REF!</definedName>
    <definedName name="ConduitMultiSoilDerate">#REF!</definedName>
    <definedName name="ConduitNoOfGroups">#REF!</definedName>
    <definedName name="ConduitSpacing">#REF!</definedName>
    <definedName name="ConduitSpacingDerate">#REF!</definedName>
    <definedName name="ContextHelpID" localSheetId="14" hidden="1">#REF!</definedName>
    <definedName name="ContextHelpID" localSheetId="15" hidden="1">#REF!</definedName>
    <definedName name="ContextHelpID" localSheetId="0" hidden="1">#REF!</definedName>
    <definedName name="ContextHelpID" localSheetId="1" hidden="1">#REF!</definedName>
    <definedName name="ContextHelpID" hidden="1">#REF!</definedName>
    <definedName name="CoreSizeWarning">#REF!</definedName>
    <definedName name="CuRcRes">#REF!</definedName>
    <definedName name="CuRcResTemp">#REF!</definedName>
    <definedName name="CurrentCarryingCapacity_Multicore_BuriedInConduit">#REF!</definedName>
    <definedName name="CurrentCarryingCapacity_Multicore_DirectBuried">#REF!</definedName>
    <definedName name="CurrentCarryingCapacity_Multicore_SpacedInAIr">#REF!</definedName>
    <definedName name="CurrentCarryingCapacity_Twocore_BuriedInConduit">#REF!</definedName>
    <definedName name="CurrentCarryingCapacity_Twocore_DirectBuried">#REF!</definedName>
    <definedName name="CurrentCarryingCapacity_Twocore_SpacedInAIr">#REF!</definedName>
    <definedName name="CuStrAirCCC">#REF!</definedName>
    <definedName name="CuStrAirCCCTypes">#REF!</definedName>
    <definedName name="CuStrConduitCCC">#REF!</definedName>
    <definedName name="CuStrConduitCCCTypes">#REF!</definedName>
    <definedName name="Data_MotorFullLoadCurrent">#REF!</definedName>
    <definedName name="Data_MotorFullLoadPowerFactor">#REF!</definedName>
    <definedName name="Data_MotorkW">#REF!</definedName>
    <definedName name="Data_MotorLockedRotorCurrent">#REF!</definedName>
    <definedName name="Data_MotorMCCBRatings">#REF!</definedName>
    <definedName name="Data_MotorStartingPowerFactor">#REF!</definedName>
    <definedName name="DDD" localSheetId="0" hidden="1">#REF!</definedName>
    <definedName name="DDD" localSheetId="1" hidden="1">#REF!</definedName>
    <definedName name="DDD" hidden="1">#REF!</definedName>
    <definedName name="Derating_AmbientAirTemperature">#REF!</definedName>
    <definedName name="Derating_BunchedInEnclosure">#REF!</definedName>
    <definedName name="Derating_DepthOfBurialConduit">#REF!</definedName>
    <definedName name="Derating_DepthOfBurialDirectBuried">#REF!</definedName>
    <definedName name="Derating_GroupingBuriedInConduit">#REF!</definedName>
    <definedName name="Derating_GroupingDirectBuried">#REF!</definedName>
    <definedName name="Derating_GroupingInLadder">#REF!</definedName>
    <definedName name="Derating_List_AirTemperatures">#REF!</definedName>
    <definedName name="Derating_List_BunchedCircuits">#REF!</definedName>
    <definedName name="Derating_List_CableLadderCircuitGrouping">#REF!</definedName>
    <definedName name="Derating_List_ConductorTemperatureBuried">#REF!</definedName>
    <definedName name="Derating_List_ConductorTemperatures">#REF!</definedName>
    <definedName name="Derating_List_DepthOfBurialDirectBuried">#REF!</definedName>
    <definedName name="Derating_List_DepthOfBurialInConduit">#REF!</definedName>
    <definedName name="Derating_List_NumberOfCableLadderTiers">#REF!</definedName>
    <definedName name="Derating_List_NumberOfCircuitsBuriedInConduit">#REF!</definedName>
    <definedName name="Derating_List_NumberOfCircuitsDirectBuried">#REF!</definedName>
    <definedName name="Derating_List_NumberOfCircuitsInLadder">#REF!</definedName>
    <definedName name="Derating_List_SoilAmbientTemperature">#REF!</definedName>
    <definedName name="Derating_List_SoilThermalResistivity">#REF!</definedName>
    <definedName name="Derating_List_SpacingBuriedInConduit">#REF!</definedName>
    <definedName name="Derating_List_SpacingDirectBuried">#REF!</definedName>
    <definedName name="Derating_SoilAmbientTemperature">#REF!</definedName>
    <definedName name="Derating_SoilThermalResistivityBuriedInConduit">#REF!</definedName>
    <definedName name="Derating_SoilThermalResistivityDirectBuried">#REF!</definedName>
    <definedName name="DocumentRevision">#REF!</definedName>
    <definedName name="DocumentTitle">'Cover Page'!$A$25</definedName>
    <definedName name="DOWN">#REF!</definedName>
    <definedName name="DP100_">#REF!</definedName>
    <definedName name="DPIPEHD">#REF!</definedName>
    <definedName name="DPORFTOT">#REF!</definedName>
    <definedName name="DPTOT">#REF!</definedName>
    <definedName name="Drawn">#REF!</definedName>
    <definedName name="DSGNFACT">#REF!</definedName>
    <definedName name="dt">#REF!</definedName>
    <definedName name="Duty">#REF!</definedName>
    <definedName name="E">#REF!</definedName>
    <definedName name="e_">#REF!</definedName>
    <definedName name="e_1">#REF!</definedName>
    <definedName name="E_I">#REF!</definedName>
    <definedName name="Ea">#REF!</definedName>
    <definedName name="EarthConductorSize">#REF!</definedName>
    <definedName name="EarthSize">#REF!</definedName>
    <definedName name="Earthworks">#REF!</definedName>
    <definedName name="Ec">#REF!</definedName>
    <definedName name="Ecc">#REF!</definedName>
    <definedName name="Economic_Fire">#REF!</definedName>
    <definedName name="Economic_Overvolt">#REF!</definedName>
    <definedName name="Economic_Special">#REF!</definedName>
    <definedName name="Ee">#REF!</definedName>
    <definedName name="eff">#REF!</definedName>
    <definedName name="Eff_Build_Protect">#REF!</definedName>
    <definedName name="effactor">#REF!</definedName>
    <definedName name="Elect_Inst">#REF!</definedName>
    <definedName name="Environ_Factor">#REF!</definedName>
    <definedName name="EQ_Prefix">#REF!</definedName>
    <definedName name="EqCode">#REF!</definedName>
    <definedName name="EqTyp">#REF!</definedName>
    <definedName name="EQUIP_CAT">#REF!</definedName>
    <definedName name="Equip_Corr_Fact">#REF!</definedName>
    <definedName name="Equip_Iso_Red_Fact">#REF!</definedName>
    <definedName name="equip_list">#REF!</definedName>
    <definedName name="Equip_Surge_Protect">#REF!</definedName>
    <definedName name="Equip1">#REF!</definedName>
    <definedName name="EquipID">#REF!</definedName>
    <definedName name="Equipment">#REF!</definedName>
    <definedName name="Equipment1">#REF!</definedName>
    <definedName name="EU">#REF!</definedName>
    <definedName name="ExitStatus" localSheetId="14" hidden="1">#REF!</definedName>
    <definedName name="ExitStatus" localSheetId="15" hidden="1">#REF!</definedName>
    <definedName name="ExitStatus" localSheetId="0" hidden="1">#REF!</definedName>
    <definedName name="ExitStatus" localSheetId="1" hidden="1">#REF!</definedName>
    <definedName name="ExitStatus" hidden="1">#REF!</definedName>
    <definedName name="Expor" localSheetId="0" hidden="1">#REF!</definedName>
    <definedName name="Expor" localSheetId="1" hidden="1">#REF!</definedName>
    <definedName name="Expor" hidden="1">#REF!</definedName>
    <definedName name="EXPORT">#REF!</definedName>
    <definedName name="F">#REF!</definedName>
    <definedName name="Fa">#REF!</definedName>
    <definedName name="Faa">#REF!</definedName>
    <definedName name="FabicatedItem">#REF!</definedName>
    <definedName name="fac">#REF!</definedName>
    <definedName name="facility">#REF!</definedName>
    <definedName name="factor">#REF!</definedName>
    <definedName name="Factor_Annual_Operating">#REF!</definedName>
    <definedName name="Factor_MaintEquip_AvgDemand">#REF!</definedName>
    <definedName name="Factor_SumpPump_AvgDemand">#REF!</definedName>
    <definedName name="factors">#REF!</definedName>
    <definedName name="fall">#REF!</definedName>
    <definedName name="FaultLoop_List_ConductorSize">#REF!</definedName>
    <definedName name="FaultLoop_List_EarthConductorSize">#REF!</definedName>
    <definedName name="Fb">#REF!</definedName>
    <definedName name="Fbb">#REF!</definedName>
    <definedName name="fbt">#REF!</definedName>
    <definedName name="fbx">#REF!</definedName>
    <definedName name="fbz">#REF!</definedName>
    <definedName name="fd">#REF!</definedName>
    <definedName name="Feeder___general___light___power">#REF!</definedName>
    <definedName name="Feeder___general_light___power">#REF!</definedName>
    <definedName name="Feeder_eff">#REF!</definedName>
    <definedName name="Feeder_general_light_power">#REF!</definedName>
    <definedName name="Feeder_pf">#REF!</definedName>
    <definedName name="Ff">#REF!</definedName>
    <definedName name="FF1_">#REF!</definedName>
    <definedName name="FH">#REF!</definedName>
    <definedName name="FileName">#REF!</definedName>
    <definedName name="fin_mass">#REF!,#REF!,#REF!,#REF!,#REF!,#REF!</definedName>
    <definedName name="fin_tube_od">#REF!</definedName>
    <definedName name="FinYear">#REF!</definedName>
    <definedName name="Fire_Protect">#REF!</definedName>
    <definedName name="Fire_Risk">#REF!</definedName>
    <definedName name="FITTINGS">#REF!</definedName>
    <definedName name="Floc1slngpm">#REF!</definedName>
    <definedName name="Floc1slntph">#REF!</definedName>
    <definedName name="FlotFdAutph">#REF!</definedName>
    <definedName name="FlotFdCotph">#REF!</definedName>
    <definedName name="FlotFdCutph">#REF!</definedName>
    <definedName name="FlotFdSolidstph">#REF!</definedName>
    <definedName name="flow">60.5</definedName>
    <definedName name="fpu">#REF!</definedName>
    <definedName name="frd">#REF!</definedName>
    <definedName name="frl">#REF!</definedName>
    <definedName name="frw">#REF!</definedName>
    <definedName name="fs">#REF!</definedName>
    <definedName name="fsd">#REF!</definedName>
    <definedName name="fsp">#REF!</definedName>
    <definedName name="fss">#REF!</definedName>
    <definedName name="ft">#REF!</definedName>
    <definedName name="ftb">#REF!</definedName>
    <definedName name="ftt">#REF!</definedName>
    <definedName name="Fy">#REF!</definedName>
    <definedName name="Fyy">#REF!</definedName>
    <definedName name="G">#REF!</definedName>
    <definedName name="Galv_AnodeOutput">#REF!</definedName>
    <definedName name="Galv_CR">#REF!</definedName>
    <definedName name="Galv_f">#REF!</definedName>
    <definedName name="Galv_RHO">#REF!</definedName>
    <definedName name="Galv_SA">#REF!</definedName>
    <definedName name="Galv_Total_CR">#REF!</definedName>
    <definedName name="Galv_y">#REF!</definedName>
    <definedName name="Generic1Hdr">#REF!</definedName>
    <definedName name="Generic1Lbl">#REF!</definedName>
    <definedName name="Generic2Hdr">#REF!</definedName>
    <definedName name="Generic2Lbl">#REF!</definedName>
    <definedName name="GFD">#REF!</definedName>
    <definedName name="gg">#REF!</definedName>
    <definedName name="gI">#REF!</definedName>
    <definedName name="GJ_Factor">1000000</definedName>
    <definedName name="GL_TABLE">#REF!</definedName>
    <definedName name="GLAND">#REF!</definedName>
    <definedName name="go">#REF!</definedName>
    <definedName name="GPR">#REF!</definedName>
    <definedName name="gr">#REF!</definedName>
    <definedName name="Grinding_hrs">#REF!</definedName>
    <definedName name="H">#REF!</definedName>
    <definedName name="h_1">#REF!</definedName>
    <definedName name="h_s">#REF!</definedName>
    <definedName name="H26Rc">#REF!</definedName>
    <definedName name="H2SO4">#REF!</definedName>
    <definedName name="Hccg">#REF!</definedName>
    <definedName name="Hcg">#REF!</definedName>
    <definedName name="hd">#REF!</definedName>
    <definedName name="Hf">#REF!</definedName>
    <definedName name="hg">#REF!</definedName>
    <definedName name="Hh">#REF!</definedName>
    <definedName name="hhcabinet">#REF!</definedName>
    <definedName name="hhunit">#REF!</definedName>
    <definedName name="Hi">#REF!</definedName>
    <definedName name="HMS_hrs">#REF!</definedName>
    <definedName name="ho">#REF!</definedName>
    <definedName name="HOLA">#N/A</definedName>
    <definedName name="Home_return">#REF!</definedName>
    <definedName name="Horz_D">#REF!</definedName>
    <definedName name="Horz_L">#REF!</definedName>
    <definedName name="Horz_RHO">#REF!</definedName>
    <definedName name="Horz_S">#REF!</definedName>
    <definedName name="hs">#REF!</definedName>
    <definedName name="Ht">#REF!</definedName>
    <definedName name="I">#REF!</definedName>
    <definedName name="I0">#REF!</definedName>
    <definedName name="Iafo">#REF!</definedName>
    <definedName name="IafoII">#REF!</definedName>
    <definedName name="Iaio">#REF!</definedName>
    <definedName name="IaioII">#REF!</definedName>
    <definedName name="IC_CableL">#REF!</definedName>
    <definedName name="IC_CableRes">#REF!</definedName>
    <definedName name="IC_CR">#REF!</definedName>
    <definedName name="IC_Current">#REF!</definedName>
    <definedName name="IC_DischargeCurrent">#REF!</definedName>
    <definedName name="IC_DL">#REF!</definedName>
    <definedName name="IC_MD">#REF!</definedName>
    <definedName name="IC_UF">#REF!</definedName>
    <definedName name="IC_Wt">#REF!</definedName>
    <definedName name="Icf">#REF!</definedName>
    <definedName name="Ici">#REF!</definedName>
    <definedName name="ICSP">#REF!</definedName>
    <definedName name="ID">#REF!</definedName>
    <definedName name="ID1_">#REF!</definedName>
    <definedName name="ID2_">#REF!</definedName>
    <definedName name="Ifinal">#REF!</definedName>
    <definedName name="IG">#REF!</definedName>
    <definedName name="Iinit">#REF!</definedName>
    <definedName name="IN">#REF!</definedName>
    <definedName name="Ind_overvoltage">#REF!</definedName>
    <definedName name="Indirect_Strike_Risk">#REF!</definedName>
    <definedName name="InputLookup">#REF!</definedName>
    <definedName name="inputx">#REF!</definedName>
    <definedName name="INSTALL">#REF!</definedName>
    <definedName name="InstList">#REF!</definedName>
    <definedName name="Insulation">#REF!</definedName>
    <definedName name="InsulationTemp">#REF!</definedName>
    <definedName name="INTCALC">#REF!</definedName>
    <definedName name="interaction">#REF!</definedName>
    <definedName name="Io">#REF!</definedName>
    <definedName name="ip">#REF!</definedName>
    <definedName name="IS">#REF!</definedName>
    <definedName name="Itfo">#REF!</definedName>
    <definedName name="Itio">#REF!</definedName>
    <definedName name="Ivv">#REF!</definedName>
    <definedName name="Ivvv">#REF!</definedName>
    <definedName name="ix">#REF!</definedName>
    <definedName name="IX_hrs">#REF!</definedName>
    <definedName name="Ixx">#REF!</definedName>
    <definedName name="Iy">#REF!</definedName>
    <definedName name="Iyi">#REF!</definedName>
    <definedName name="Iyy">#REF!</definedName>
    <definedName name="Jawdstph">#REF!</definedName>
    <definedName name="job">#REF!</definedName>
    <definedName name="jobno">#REF!</definedName>
    <definedName name="JobNum">#REF!</definedName>
    <definedName name="Jp_F104">#REF!</definedName>
    <definedName name="jta">#REF!</definedName>
    <definedName name="jtb">#REF!</definedName>
    <definedName name="K">#REF!</definedName>
    <definedName name="k_ins">#REF!</definedName>
    <definedName name="k1BF">#REF!</definedName>
    <definedName name="k2BF">#REF!</definedName>
    <definedName name="KFactor">#REF!</definedName>
    <definedName name="KFactorTemp">#REF!</definedName>
    <definedName name="KFITT">#REF!</definedName>
    <definedName name="kh">#REF!</definedName>
    <definedName name="ki">#REF!</definedName>
    <definedName name="Kii">#REF!</definedName>
    <definedName name="km">#REF!</definedName>
    <definedName name="ks">#REF!</definedName>
    <definedName name="KVALVE">#REF!</definedName>
    <definedName name="Kxx">#REF!</definedName>
    <definedName name="Kyy">#REF!</definedName>
    <definedName name="L">#REF!</definedName>
    <definedName name="LadderCircuits">#REF!</definedName>
    <definedName name="LadderInstallation">#REF!</definedName>
    <definedName name="Large_Module">#REF!</definedName>
    <definedName name="Lb">#REF!</definedName>
    <definedName name="Lbb">#REF!</definedName>
    <definedName name="LC">#REF!</definedName>
    <definedName name="Lccg">#REF!</definedName>
    <definedName name="Lcg">#REF!</definedName>
    <definedName name="ld">#REF!</definedName>
    <definedName name="Leach_hrs">#REF!</definedName>
    <definedName name="LENGTH">#REF!</definedName>
    <definedName name="Level">#REF!</definedName>
    <definedName name="Lf">#REF!</definedName>
    <definedName name="lgth">#REF!</definedName>
    <definedName name="lhd">#REF!</definedName>
    <definedName name="Li">#REF!</definedName>
    <definedName name="Life_Fire">#REF!</definedName>
    <definedName name="Life_overvolt">#REF!</definedName>
    <definedName name="Life_Special">#REF!</definedName>
    <definedName name="limcount" hidden="1">1</definedName>
    <definedName name="Limnbarren_makeupRange" localSheetId="14" hidden="1">#REF!</definedName>
    <definedName name="Limnbarren_makeupRange" localSheetId="15" hidden="1">#REF!</definedName>
    <definedName name="Limnbarren_makeupRange" localSheetId="0" hidden="1">#REF!</definedName>
    <definedName name="Limnbarren_makeupRange" localSheetId="1" hidden="1">#REF!</definedName>
    <definedName name="Limnbarren_makeupRange" hidden="1">#REF!</definedName>
    <definedName name="Limnbarren_solnRange" localSheetId="0" hidden="1">#REF!</definedName>
    <definedName name="Limnbarren_solnRange" localSheetId="1" hidden="1">#REF!</definedName>
    <definedName name="Limnbarren_solnRange" hidden="1">#REF!</definedName>
    <definedName name="Limndust_suppRange" localSheetId="0" hidden="1">#REF!</definedName>
    <definedName name="Limndust_suppRange" localSheetId="1" hidden="1">#REF!</definedName>
    <definedName name="Limndust_suppRange" hidden="1">#REF!</definedName>
    <definedName name="LimnFFFFRange" localSheetId="0" hidden="1">#REF!</definedName>
    <definedName name="LimnFFFFRange" localSheetId="1" hidden="1">#REF!</definedName>
    <definedName name="LimnFFFFRange" hidden="1">#REF!</definedName>
    <definedName name="Limninter_makeupRange" localSheetId="0" hidden="1">#REF!</definedName>
    <definedName name="Limninter_makeupRange" localSheetId="1" hidden="1">#REF!</definedName>
    <definedName name="Limninter_makeupRange" hidden="1">#REF!</definedName>
    <definedName name="Limninter_precipRange" localSheetId="0" hidden="1">#REF!</definedName>
    <definedName name="Limninter_precipRange" localSheetId="1" hidden="1">#REF!</definedName>
    <definedName name="Limninter_precipRange" hidden="1">#REF!</definedName>
    <definedName name="Limnlime_addRange" localSheetId="0" hidden="1">#REF!</definedName>
    <definedName name="Limnlime_addRange" localSheetId="1" hidden="1">#REF!</definedName>
    <definedName name="Limnlime_addRange" hidden="1">#REF!</definedName>
    <definedName name="LimnPPP1Range" localSheetId="0" hidden="1">#REF!</definedName>
    <definedName name="LimnPPP1Range" localSheetId="1" hidden="1">#REF!</definedName>
    <definedName name="LimnPPP1Range" hidden="1">#REF!</definedName>
    <definedName name="LimnPPP2Range" localSheetId="0" hidden="1">#REF!</definedName>
    <definedName name="LimnPPP2Range" localSheetId="1" hidden="1">#REF!</definedName>
    <definedName name="LimnPPP2Range" hidden="1">#REF!</definedName>
    <definedName name="LimnPPP3Range" localSheetId="0" hidden="1">#REF!</definedName>
    <definedName name="LimnPPP3Range" localSheetId="1" hidden="1">#REF!</definedName>
    <definedName name="LimnPPP3Range" hidden="1">#REF!</definedName>
    <definedName name="LimnPPP4Range" hidden="1">#REF!</definedName>
    <definedName name="LimnPPP5Range" hidden="1">#REF!</definedName>
    <definedName name="Limnpreg_precipRange" localSheetId="0" hidden="1">#REF!</definedName>
    <definedName name="Limnpreg_precipRange" localSheetId="1" hidden="1">#REF!</definedName>
    <definedName name="Limnpreg_precipRange" hidden="1">#REF!</definedName>
    <definedName name="LimnRomRange" localSheetId="0" hidden="1">#REF!</definedName>
    <definedName name="LimnRomRange" localSheetId="1" hidden="1">#REF!</definedName>
    <definedName name="LimnRomRange" hidden="1">#REF!</definedName>
    <definedName name="Limnspent_solnRange" localSheetId="0" hidden="1">#REF!</definedName>
    <definedName name="Limnspent_solnRange" localSheetId="1" hidden="1">#REF!</definedName>
    <definedName name="Limnspent_solnRange" hidden="1">#REF!</definedName>
    <definedName name="Line_Struct_Length">#REF!</definedName>
    <definedName name="Line_Surge_Protect">#REF!</definedName>
    <definedName name="List_ConductorOperatingTemperatures">#REF!</definedName>
    <definedName name="List_ConductorSizes">#REF!</definedName>
    <definedName name="List_MCCBSizes">#REF!</definedName>
    <definedName name="LISTA">#N/A</definedName>
    <definedName name="listBase" localSheetId="14" hidden="1">#REF!</definedName>
    <definedName name="listBase" localSheetId="15" hidden="1">#REF!</definedName>
    <definedName name="listBase" localSheetId="0" hidden="1">#REF!</definedName>
    <definedName name="listBase" localSheetId="1" hidden="1">#REF!</definedName>
    <definedName name="listBase" hidden="1">#REF!</definedName>
    <definedName name="ListSize" localSheetId="0" hidden="1">#REF!</definedName>
    <definedName name="ListSize" localSheetId="1" hidden="1">#REF!</definedName>
    <definedName name="ListSize" hidden="1">#REF!</definedName>
    <definedName name="ll">#REF!</definedName>
    <definedName name="LOA">#N/A</definedName>
    <definedName name="loopandtype">#REF!</definedName>
    <definedName name="LUDENSITY">#REF!</definedName>
    <definedName name="LULENGTH">#REF!</definedName>
    <definedName name="LUMFLOW">#REF!</definedName>
    <definedName name="LUPIPEID">#REF!</definedName>
    <definedName name="LUSCHED">#REF!</definedName>
    <definedName name="LUVISC">#REF!</definedName>
    <definedName name="lw">#REF!</definedName>
    <definedName name="m">#REF!</definedName>
    <definedName name="Ma">#REF!</definedName>
    <definedName name="Maa">#REF!</definedName>
    <definedName name="Maas">#REF!</definedName>
    <definedName name="Maaw">#REF!</definedName>
    <definedName name="MANO1">#N/A</definedName>
    <definedName name="MANO2">#N/A</definedName>
    <definedName name="MANO3">#N/A</definedName>
    <definedName name="MANO4">#N/A</definedName>
    <definedName name="MAP">#REF!</definedName>
    <definedName name="Mas">#REF!</definedName>
    <definedName name="Mass_balance">#REF!</definedName>
    <definedName name="Mass_Balance_2">#REF!</definedName>
    <definedName name="Mass_Balancecopy">#REF!</definedName>
    <definedName name="Material">#REF!</definedName>
    <definedName name="MatlofConst">#REF!</definedName>
    <definedName name="MatlofConstr">#REF!</definedName>
    <definedName name="Maw">#REF!</definedName>
    <definedName name="mb">#REF!</definedName>
    <definedName name="Mbal" comment="Degrussa Mass Balance">#REF!</definedName>
    <definedName name="mbal_2">#REF!</definedName>
    <definedName name="Mbb">#REF!</definedName>
    <definedName name="Mbbs">#REF!</definedName>
    <definedName name="Mbbw">#REF!</definedName>
    <definedName name="Mbs">#REF!</definedName>
    <definedName name="Mbw">#REF!</definedName>
    <definedName name="Mc">#REF!</definedName>
    <definedName name="MCC">#REF!</definedName>
    <definedName name="Md">#REF!</definedName>
    <definedName name="MDC">#REF!</definedName>
    <definedName name="Mech_List">#REF!</definedName>
    <definedName name="MEL">#REF!</definedName>
    <definedName name="MENU1">#REF!</definedName>
    <definedName name="MENU2">#REF!</definedName>
    <definedName name="MEPEF">#REF!</definedName>
    <definedName name="mer">#REF!</definedName>
    <definedName name="MetathFdCoGrd">#REF!</definedName>
    <definedName name="MetathFdCuGrd">#REF!</definedName>
    <definedName name="MetathFdSld">#REF!</definedName>
    <definedName name="Mf">#REF!</definedName>
    <definedName name="Mg">#REF!</definedName>
    <definedName name="Mg_Current">#REF!</definedName>
    <definedName name="Mg_Current2">#REF!</definedName>
    <definedName name="Mg_Eff">#REF!</definedName>
    <definedName name="Mg_Eff2">#REF!</definedName>
    <definedName name="Mg_Util">#REF!</definedName>
    <definedName name="Mg_Util2">#REF!</definedName>
    <definedName name="Mg_Wt">#REF!</definedName>
    <definedName name="Mg_Wt2">#REF!</definedName>
    <definedName name="MgXstlzrFdlbhMg">#REF!</definedName>
    <definedName name="Mi">#REF!</definedName>
    <definedName name="Motor_Eff_pf_Table">#REF!</definedName>
    <definedName name="MotorData">#REF!</definedName>
    <definedName name="Mounting_lst">#REF!</definedName>
    <definedName name="mp">#REF!</definedName>
    <definedName name="ms">#REF!</definedName>
    <definedName name="msh">#REF!</definedName>
    <definedName name="msi">#REF!</definedName>
    <definedName name="msxx">#REF!</definedName>
    <definedName name="mt">#REF!</definedName>
    <definedName name="Mtemp">#REF!</definedName>
    <definedName name="mto">#REF!</definedName>
    <definedName name="mwd">#REF!</definedName>
    <definedName name="My">#REF!</definedName>
    <definedName name="mz">#REF!</definedName>
    <definedName name="N">#REF!</definedName>
    <definedName name="n_f">#REF!</definedName>
    <definedName name="N_fh">#REF!</definedName>
    <definedName name="NA">#REF!</definedName>
    <definedName name="name">#REF!</definedName>
    <definedName name="new">#REF!</definedName>
    <definedName name="NewLst">#REF!</definedName>
    <definedName name="NGR">#REF!</definedName>
    <definedName name="nl">#REF!</definedName>
    <definedName name="NMass">#REF!</definedName>
    <definedName name="Nn">#REF!</definedName>
    <definedName name="NNN">#REF!</definedName>
    <definedName name="No.ofBunchedCircuits">#REF!</definedName>
    <definedName name="NPT">#REF!</definedName>
    <definedName name="nTR">#REF!</definedName>
    <definedName name="Num_OH">#REF!</definedName>
    <definedName name="Num_UG">#REF!</definedName>
    <definedName name="NumberOfParameters" localSheetId="0" hidden="1">#REF!</definedName>
    <definedName name="NumberOfParameters" localSheetId="1" hidden="1">#REF!</definedName>
    <definedName name="NumberOfParameters" hidden="1">#REF!</definedName>
    <definedName name="numDerived">30</definedName>
    <definedName name="numMassRelated">60</definedName>
    <definedName name="numProperty1">6</definedName>
    <definedName name="numProperty2">6</definedName>
    <definedName name="nw">#REF!</definedName>
    <definedName name="O">#REF!</definedName>
    <definedName name="Obja">#REF!</definedName>
    <definedName name="OD">#REF!</definedName>
    <definedName name="OD_TABLE">#REF!</definedName>
    <definedName name="OH_Cable">#REF!</definedName>
    <definedName name="OH_Effect_Len">#REF!</definedName>
    <definedName name="OH_Height">#REF!</definedName>
    <definedName name="OH_Lat_Dist">#REF!</definedName>
    <definedName name="OH_Line_Eff_Len">#REF!</definedName>
    <definedName name="OH_TF_Corr">#REF!</definedName>
    <definedName name="OldLst">#REF!</definedName>
    <definedName name="OP_SYS">#REF!</definedName>
    <definedName name="Options_3PhFeeder_EarthLoopImpedance">#REF!</definedName>
    <definedName name="Options_3PhFeeder_EarthLoopImpedance_MainBondingConductor">#REF!</definedName>
    <definedName name="Options_3PhFeeder_VoltageDrop_Method">#REF!</definedName>
    <definedName name="Options_3PhMotor_EarthLoopImpedance">#REF!</definedName>
    <definedName name="Options_3PhMotor_EarthLoopImpedance_MainBondingConductor">#REF!</definedName>
    <definedName name="Options_3PhMotor_VoltageDrop_Method">#REF!</definedName>
    <definedName name="Options_3PhMotor_VoltageDrop_Method_FullLoad">#REF!</definedName>
    <definedName name="Options_3PhMotor_VoltageDrop_Method_Starting">#REF!</definedName>
    <definedName name="Options_3PhMotor_VoltageDrop_Starting">#REF!</definedName>
    <definedName name="Options_DCControl_EarthLoopImpedance">#REF!</definedName>
    <definedName name="Options_DCControl_EarthLoopImpedance_MainBondingConductor">#REF!</definedName>
    <definedName name="Options_List_VoltageDrop_Method">#REF!</definedName>
    <definedName name="Options_List_YesNo">#REF!</definedName>
    <definedName name="P">#REF!</definedName>
    <definedName name="P_1">#REF!</definedName>
    <definedName name="P_11">#REF!</definedName>
    <definedName name="P_2">#REF!</definedName>
    <definedName name="P_22">#REF!</definedName>
    <definedName name="pa">#REF!</definedName>
    <definedName name="Package">#REF!</definedName>
    <definedName name="PAGE1">#REF!</definedName>
    <definedName name="PAGE2">#REF!</definedName>
    <definedName name="PAGE3">#REF!</definedName>
    <definedName name="ParameterNamesBase" localSheetId="0" hidden="1">#REF!</definedName>
    <definedName name="ParameterNamesBase" localSheetId="1" hidden="1">#REF!</definedName>
    <definedName name="ParameterNamesBase" hidden="1">#REF!</definedName>
    <definedName name="PAXClnrFdlbh">#REF!</definedName>
    <definedName name="PAXCondFdlbH">#REF!</definedName>
    <definedName name="PAXMillFdGpt">#REF!</definedName>
    <definedName name="PAXMillFdlbH">#REF!</definedName>
    <definedName name="PAXRoFdlbh">#REF!</definedName>
    <definedName name="PC">#REF!</definedName>
    <definedName name="pD">#REF!</definedName>
    <definedName name="peso">#REF!</definedName>
    <definedName name="Phase">#REF!</definedName>
    <definedName name="phi">#REF!</definedName>
    <definedName name="PickupWarning">#REF!</definedName>
    <definedName name="pids">#REF!</definedName>
    <definedName name="Pipe_Length">#REF!</definedName>
    <definedName name="Pipe_Radius">#REF!</definedName>
    <definedName name="PIPEF">#REF!</definedName>
    <definedName name="PIPESHT">#REF!</definedName>
    <definedName name="pl">#REF!</definedName>
    <definedName name="Plant_Availability_PAV">#REF!</definedName>
    <definedName name="Platework">#REF!</definedName>
    <definedName name="pld">#REF!</definedName>
    <definedName name="PLine_Cable">#REF!</definedName>
    <definedName name="PLine_Type">#REF!</definedName>
    <definedName name="PlntAreaHdr">#REF!</definedName>
    <definedName name="PlntAreaLbl">#REF!</definedName>
    <definedName name="PMENU1">#REF!</definedName>
    <definedName name="PMPSHT">#REF!</definedName>
    <definedName name="Poly_Bore">#REF!</definedName>
    <definedName name="Poly_Sizes">#REF!</definedName>
    <definedName name="Poly_Spec">#REF!</definedName>
    <definedName name="Poly_Types">#REF!</definedName>
    <definedName name="pot">#REF!</definedName>
    <definedName name="Power_Line_Type">#REF!</definedName>
    <definedName name="Pp">#REF!</definedName>
    <definedName name="PPPP">#REF!</definedName>
    <definedName name="PrimaryStart">#REF!</definedName>
    <definedName name="PRINT">#N/A</definedName>
    <definedName name="_xlnm.Print_Area" localSheetId="3">'1. Analogue Input'!$E$1:$AJ$62</definedName>
    <definedName name="_xlnm.Print_Area" localSheetId="12">'10. Sequence'!$A$1:$L$12</definedName>
    <definedName name="_xlnm.Print_Area" localSheetId="13">'11. Calculation'!$A$1:$P$27</definedName>
    <definedName name="_xlnm.Print_Area" localSheetId="14">'12. Misc'!$A$1:$J$29</definedName>
    <definedName name="_xlnm.Print_Area" localSheetId="15">'13. Alarm Database'!$A$1:$N$248</definedName>
    <definedName name="_xlnm.Print_Area" localSheetId="4">'2. Analogue Output'!$E$1:$N$7</definedName>
    <definedName name="_xlnm.Print_Area" localSheetId="6">'3. Digital Input'!$B$1:$Q$170</definedName>
    <definedName name="_xlnm.Print_Area" localSheetId="5">'4. Digital Output'!$E$1:$P$41</definedName>
    <definedName name="_xlnm.Print_Area" localSheetId="7">'5. Totalisers'!$E$1:$P$7</definedName>
    <definedName name="_xlnm.Print_Area" localSheetId="8">'6. OnOff Valves'!$E$1:$AA$17</definedName>
    <definedName name="_xlnm.Print_Area" localSheetId="9">'7. Control Valves'!$E$1:$AA$7</definedName>
    <definedName name="_xlnm.Print_Area" localSheetId="10">'8. PID Cont'!$E$1:$BB$10</definedName>
    <definedName name="_xlnm.Print_Area" localSheetId="11">'9. Drives'!$A$1:$Z$529</definedName>
    <definedName name="_xlnm.Print_Area" localSheetId="0">'Cover Page'!$A$1:$F$48</definedName>
    <definedName name="_xlnm.Print_Area" localSheetId="1">Revisions!$A$1:$F$25</definedName>
    <definedName name="_xlnm.Print_Area" localSheetId="2">TOC!$A$1:$X$25</definedName>
    <definedName name="_xlnm.Print_Area">#REF!</definedName>
    <definedName name="Print_Area_MI">#REF!</definedName>
    <definedName name="_xlnm.Print_Titles" localSheetId="3">'1. Analogue Input'!$1:$2</definedName>
    <definedName name="_xlnm.Print_Titles" localSheetId="12">'10. Sequence'!$1:$5</definedName>
    <definedName name="_xlnm.Print_Titles" localSheetId="13">'11. Calculation'!$1:$6</definedName>
    <definedName name="_xlnm.Print_Titles" localSheetId="14">'12. Misc'!$4:$6</definedName>
    <definedName name="_xlnm.Print_Titles" localSheetId="15">'13. Alarm Database'!$1:$6</definedName>
    <definedName name="_xlnm.Print_Titles" localSheetId="4">'2. Analogue Output'!$1:$6</definedName>
    <definedName name="_xlnm.Print_Titles" localSheetId="6">'3. Digital Input'!$1:$6</definedName>
    <definedName name="_xlnm.Print_Titles" localSheetId="5">'4. Digital Output'!$1:$6</definedName>
    <definedName name="_xlnm.Print_Titles" localSheetId="7">'5. Totalisers'!$1:$6</definedName>
    <definedName name="_xlnm.Print_Titles" localSheetId="8">'6. OnOff Valves'!$1:$6</definedName>
    <definedName name="_xlnm.Print_Titles" localSheetId="9">'7. Control Valves'!$1:$6</definedName>
    <definedName name="_xlnm.Print_Titles" localSheetId="10">'8. PID Cont'!$1:$6</definedName>
    <definedName name="_xlnm.Print_Titles" localSheetId="11">'9. Drives'!$1:$1</definedName>
    <definedName name="_xlnm.Print_Titles">#REF!</definedName>
    <definedName name="PRINT_TITLES_MI">#REF!</definedName>
    <definedName name="ProcessSystem">#REF!</definedName>
    <definedName name="PROJDETAILS_CLIENT">#REF!</definedName>
    <definedName name="PROJDETAILS_PROJNO">#REF!</definedName>
    <definedName name="Project">#REF!</definedName>
    <definedName name="ProjectName">#REF!</definedName>
    <definedName name="ProjectNumber">#REF!</definedName>
    <definedName name="ProjectTitle" localSheetId="12">'10. Sequence'!#REF!</definedName>
    <definedName name="ProjectTitle" localSheetId="11">'Cover Page'!$A$27</definedName>
    <definedName name="ProjectTitle" localSheetId="1">Revisions!$A$3</definedName>
    <definedName name="ProjectTitle">'Cover Page'!$A$27</definedName>
    <definedName name="PRUEBA">#N/A</definedName>
    <definedName name="Ps">#REF!</definedName>
    <definedName name="psed">#REF!</definedName>
    <definedName name="Pss">#REF!</definedName>
    <definedName name="pumpefficiency">#REF!</definedName>
    <definedName name="Pw">#REF!</definedName>
    <definedName name="Pww">#REF!</definedName>
    <definedName name="QGF">#REF!</definedName>
    <definedName name="qryExportSpreadsheet">#REF!</definedName>
    <definedName name="QWEQWE">#REF!</definedName>
    <definedName name="Qz">#REF!</definedName>
    <definedName name="rad">#REF!</definedName>
    <definedName name="Raf">#REF!</definedName>
    <definedName name="Rai">#REF!</definedName>
    <definedName name="RATE">#REF!</definedName>
    <definedName name="RE">#REF!</definedName>
    <definedName name="Reactance">#REF!</definedName>
    <definedName name="Reactance_List_ConductorTemperature">#REF!</definedName>
    <definedName name="Reactance_Multicore">#REF!</definedName>
    <definedName name="Reactance_TwoCore">#REF!</definedName>
    <definedName name="RED">#REF!</definedName>
    <definedName name="REDCALC">#REF!</definedName>
    <definedName name="regerhtjytj">#REF!</definedName>
    <definedName name="RepulpPrcntSolids">#REF!</definedName>
    <definedName name="Req">#REF!</definedName>
    <definedName name="Res_Cable">#REF!</definedName>
    <definedName name="Res_GB">#REF!</definedName>
    <definedName name="Res_Structure">#REF!</definedName>
    <definedName name="RESET">#REF!</definedName>
    <definedName name="RESET1">#REF!</definedName>
    <definedName name="Resistance">#REF!</definedName>
    <definedName name="Resistance_List_ConductorTemperature">#REF!</definedName>
    <definedName name="RESP">#REF!</definedName>
    <definedName name="RevBlock">#REF!</definedName>
    <definedName name="Revision">#REF!</definedName>
    <definedName name="rf">#REF!</definedName>
    <definedName name="RFQ">#REF!</definedName>
    <definedName name="Rg">#REF!</definedName>
    <definedName name="RGbed">#REF!</definedName>
    <definedName name="Rh">#REF!</definedName>
    <definedName name="RHOG">#REF!</definedName>
    <definedName name="ri">#REF!</definedName>
    <definedName name="RiskAfterRecalcMacro" hidden="1">""</definedName>
    <definedName name="RiskAfterSimMacro" hidden="1">""</definedName>
    <definedName name="RiskAutoStopPercChange">1.5</definedName>
    <definedName name="RiskBeforeRecalcMacro" hidden="1">""</definedName>
    <definedName name="RiskBeforeSimMacro" hidden="1">""</definedName>
    <definedName name="RiskCollectDistributionSamples" hidden="1">2</definedName>
    <definedName name="RiskExcelReportsGoInNewWorkbook">TRUE</definedName>
    <definedName name="RiskExcelReportsToGenerate">0</definedName>
    <definedName name="RiskFixedSeed" hidden="1">1</definedName>
    <definedName name="RiskGenerateExcelReportsAtEndOfSimulation">FALSE</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definedName>
    <definedName name="RiskNumSimulations" hidden="1">1</definedName>
    <definedName name="RiskPauseOnError" hidden="1">FALSE</definedName>
    <definedName name="RiskRealTimeResults">FALSE</definedName>
    <definedName name="RiskReportGraphFormat">0</definedName>
    <definedName name="RiskResultsUpdateFreq">100</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howRiskWindowAtEndOfSimulation">TRUE</definedName>
    <definedName name="RiskStandardRecalc" hidden="1">1</definedName>
    <definedName name="RiskTemplateSheetName">"myTemplate"</definedName>
    <definedName name="RiskUpdateDisplay" hidden="1">FALSE</definedName>
    <definedName name="RiskUseDifferentSeedForEachSim" hidden="1">FALSE</definedName>
    <definedName name="RiskUseFixedSeed" hidden="1">FALSE</definedName>
    <definedName name="RiskUseMultipleCPUs" hidden="1">FALSE</definedName>
    <definedName name="RngAvgKW">#REF!</definedName>
    <definedName name="RngCommentsStyle">#REF!</definedName>
    <definedName name="RngDutyPt">#REF!</definedName>
    <definedName name="RngDutyPtStyle">#REF!</definedName>
    <definedName name="RngEqptLst">#REF!</definedName>
    <definedName name="RngGeneric2">#REF!</definedName>
    <definedName name="RngPeakKW">#REF!</definedName>
    <definedName name="RngSize">#REF!</definedName>
    <definedName name="RngSizeStyle">#REF!</definedName>
    <definedName name="RngTopRow">#REF!</definedName>
    <definedName name="RngTotKW">#REF!</definedName>
    <definedName name="ro">#REF!</definedName>
    <definedName name="RoConAutph">#REF!</definedName>
    <definedName name="RoConCotph">#REF!</definedName>
    <definedName name="RoConCutph">#REF!</definedName>
    <definedName name="RoFdAutph">#REF!</definedName>
    <definedName name="RoFdCotph">#REF!</definedName>
    <definedName name="RoFdCutph">#REF!</definedName>
    <definedName name="RoFrothlbh">#REF!</definedName>
    <definedName name="Roughness">#REF!</definedName>
    <definedName name="Rso">#REF!</definedName>
    <definedName name="RUFFNESS">#REF!</definedName>
    <definedName name="s">#REF!</definedName>
    <definedName name="s_f">#REF!</definedName>
    <definedName name="Sa">#REF!</definedName>
    <definedName name="SAf">#REF!</definedName>
    <definedName name="SAi">#REF!</definedName>
    <definedName name="Salary">#REF!</definedName>
    <definedName name="SALVO">#N/A</definedName>
    <definedName name="SAR_D">#REF!</definedName>
    <definedName name="SAR_L">#REF!</definedName>
    <definedName name="SAR_RHO">#REF!</definedName>
    <definedName name="Sb">#REF!</definedName>
    <definedName name="Sbbt">#REF!</definedName>
    <definedName name="Sbt">#REF!</definedName>
    <definedName name="SCarb">#REF!</definedName>
    <definedName name="Scope">#REF!</definedName>
    <definedName name="SD">#REF!</definedName>
    <definedName name="SDU">#REF!</definedName>
    <definedName name="SectRange">#REF!</definedName>
    <definedName name="SectRange250">#REF!</definedName>
    <definedName name="sencount" hidden="1">1</definedName>
    <definedName name="Serv_Drop_Dens">#REF!</definedName>
    <definedName name="Services_Fire">#REF!</definedName>
    <definedName name="Services_Overvolt">#REF!</definedName>
    <definedName name="Services_Special">#REF!</definedName>
    <definedName name="Sevices_Special">#REF!</definedName>
    <definedName name="Sf">#REF!</definedName>
    <definedName name="shackles">#REF!,#REF!</definedName>
    <definedName name="Si">#REF!</definedName>
    <definedName name="SIAcc">#REF!</definedName>
    <definedName name="SigBox">#REF!</definedName>
    <definedName name="SLLR">#REF!</definedName>
    <definedName name="slope">20</definedName>
    <definedName name="SLR">#REF!</definedName>
    <definedName name="Small_Module">#REF!</definedName>
    <definedName name="smh">#REF!</definedName>
    <definedName name="Sn">#REF!</definedName>
    <definedName name="Soil_Resistivity">#REF!</definedName>
    <definedName name="SoilTemp">#REF!</definedName>
    <definedName name="SoilTempDerate">#REF!</definedName>
    <definedName name="SoilTemperature">#REF!</definedName>
    <definedName name="SORT">#REF!</definedName>
    <definedName name="Sorter_hrs">#REF!</definedName>
    <definedName name="sp">#REF!</definedName>
    <definedName name="SpacedLadderDerate">#REF!</definedName>
    <definedName name="SpacedWarning">#REF!</definedName>
    <definedName name="Spark_Risk">#REF!</definedName>
    <definedName name="Specs">#REF!</definedName>
    <definedName name="spread">#REF!</definedName>
    <definedName name="SS">#REF!,#REF!,#REF!,#REF!,#REF!,#REF!</definedName>
    <definedName name="STANDARD">#REF!</definedName>
    <definedName name="Starter">#REF!</definedName>
    <definedName name="STATHD">#REF!</definedName>
    <definedName name="Status">#REF!</definedName>
    <definedName name="Steel_Bore">#REF!</definedName>
    <definedName name="Steel_Sizes">#REF!</definedName>
    <definedName name="Steel_Spec">#REF!</definedName>
    <definedName name="Steel_Types">#REF!</definedName>
    <definedName name="Steelwork">#REF!</definedName>
    <definedName name="Step_Touch">#REF!</definedName>
    <definedName name="Step_Touch_Cultural">#REF!</definedName>
    <definedName name="Step_Touch_Life">#REF!</definedName>
    <definedName name="Step_Touch_Services">#REF!</definedName>
    <definedName name="Step_TouchEcon">#REF!</definedName>
    <definedName name="Step1Dimensions" localSheetId="0" hidden="1">#REF!</definedName>
    <definedName name="Step1Dimensions" localSheetId="1" hidden="1">#REF!</definedName>
    <definedName name="Step1Dimensions" hidden="1">#REF!</definedName>
    <definedName name="Step2Manual" localSheetId="0" hidden="1">#REF!</definedName>
    <definedName name="Step2Manual" localSheetId="1" hidden="1">#REF!</definedName>
    <definedName name="Step2Manual" hidden="1">#REF!</definedName>
    <definedName name="Step2NumSizes" localSheetId="0" hidden="1">#REF!</definedName>
    <definedName name="Step2NumSizes" localSheetId="1" hidden="1">#REF!</definedName>
    <definedName name="Step2NumSizes" hidden="1">#REF!</definedName>
    <definedName name="Step2Ratio" localSheetId="0" hidden="1">#REF!</definedName>
    <definedName name="Step2Ratio" localSheetId="1" hidden="1">#REF!</definedName>
    <definedName name="Step2Ratio" hidden="1">#REF!</definedName>
    <definedName name="Step2TopSize" localSheetId="0" hidden="1">#REF!</definedName>
    <definedName name="Step2TopSize" localSheetId="1" hidden="1">#REF!</definedName>
    <definedName name="Step2TopSize" hidden="1">#REF!</definedName>
    <definedName name="Step2VertMassNames" localSheetId="0" hidden="1">#REF!</definedName>
    <definedName name="Step2VertMassNames" localSheetId="1" hidden="1">#REF!</definedName>
    <definedName name="Step2VertMassNames" hidden="1">#REF!</definedName>
    <definedName name="Step3LowSG" localSheetId="0" hidden="1">#REF!</definedName>
    <definedName name="Step3LowSG" localSheetId="1" hidden="1">#REF!</definedName>
    <definedName name="Step3LowSG" hidden="1">#REF!</definedName>
    <definedName name="Step3Manual" localSheetId="0" hidden="1">#REF!</definedName>
    <definedName name="Step3Manual" localSheetId="1" hidden="1">#REF!</definedName>
    <definedName name="Step3Manual" hidden="1">#REF!</definedName>
    <definedName name="Step3NumSGs" localSheetId="0" hidden="1">#REF!</definedName>
    <definedName name="Step3NumSGs" localSheetId="1" hidden="1">#REF!</definedName>
    <definedName name="Step3NumSGs" hidden="1">#REF!</definedName>
    <definedName name="Step3SGInterval" localSheetId="0" hidden="1">#REF!</definedName>
    <definedName name="Step3SGInterval" localSheetId="1" hidden="1">#REF!</definedName>
    <definedName name="Step3SGInterval" hidden="1">#REF!</definedName>
    <definedName name="Step4NumItems" localSheetId="0" hidden="1">#REF!</definedName>
    <definedName name="Step4NumItems" localSheetId="1" hidden="1">#REF!</definedName>
    <definedName name="Step4NumItems" hidden="1">#REF!</definedName>
    <definedName name="Step4StreamNames" localSheetId="0" hidden="1">#REF!</definedName>
    <definedName name="Step4StreamNames" localSheetId="1" hidden="1">#REF!</definedName>
    <definedName name="Step4StreamNames" hidden="1">#REF!</definedName>
    <definedName name="Step5NumItems" localSheetId="0" hidden="1">#REF!</definedName>
    <definedName name="Step5NumItems" localSheetId="1" hidden="1">#REF!</definedName>
    <definedName name="Step5NumItems" hidden="1">#REF!</definedName>
    <definedName name="Step5UnitNames" localSheetId="0" hidden="1">#REF!</definedName>
    <definedName name="Step5UnitNames" localSheetId="1" hidden="1">#REF!</definedName>
    <definedName name="Step5UnitNames" hidden="1">#REF!</definedName>
    <definedName name="Step6NumItems" localSheetId="0" hidden="1">#REF!</definedName>
    <definedName name="Step6NumItems" localSheetId="1" hidden="1">#REF!</definedName>
    <definedName name="Step6NumItems" hidden="1">#REF!</definedName>
    <definedName name="STPEF">#REF!</definedName>
    <definedName name="streamlist">#REF!</definedName>
    <definedName name="StreamSummaryLabels" localSheetId="14" hidden="1">#REF!</definedName>
    <definedName name="StreamSummaryLabels" localSheetId="15" hidden="1">#REF!</definedName>
    <definedName name="StreamSummaryLabels" localSheetId="0" hidden="1">#REF!</definedName>
    <definedName name="StreamSummaryLabels" localSheetId="1" hidden="1">#REF!</definedName>
    <definedName name="StreamSummaryLabels" hidden="1">#REF!</definedName>
    <definedName name="stress">#REF!</definedName>
    <definedName name="Structure_Height">#REF!</definedName>
    <definedName name="Structure_Length">#REF!</definedName>
    <definedName name="Structure_Volume">#REF!</definedName>
    <definedName name="Structure_Width">#REF!</definedName>
    <definedName name="Subject">#REF!</definedName>
    <definedName name="Sulf">#REF!</definedName>
    <definedName name="Supply">#REF!</definedName>
    <definedName name="SupplyAc">#REF!</definedName>
    <definedName name="Surge_Red_Factor">#REF!</definedName>
    <definedName name="T">#REF!</definedName>
    <definedName name="t_1">#REF!</definedName>
    <definedName name="t_2">#REF!</definedName>
    <definedName name="t_h1">#REF!</definedName>
    <definedName name="t_h2">#REF!</definedName>
    <definedName name="t_v2">#REF!</definedName>
    <definedName name="TABLE">#REF!</definedName>
    <definedName name="table5">#REF!</definedName>
    <definedName name="tagid2">#REF!</definedName>
    <definedName name="TailsFiltrategpm">#REF!</definedName>
    <definedName name="TailsFiltratetphaq">#REF!</definedName>
    <definedName name="TailsThickFdgpm">#REF!</definedName>
    <definedName name="TailsThickFdSolTph">#REF!</definedName>
    <definedName name="TailsThickFlocgpt">#REF!</definedName>
    <definedName name="TailsThickLbH">#REF!</definedName>
    <definedName name="TailsTickFlocgph">#REF!</definedName>
    <definedName name="TailThickFdtph">#REF!</definedName>
    <definedName name="TailUFgpm">#REF!</definedName>
    <definedName name="tblExclude">#REF!</definedName>
    <definedName name="Te_vrk">OFFSET(#REF!,2,0,COUNTA(#REF!)-2,1)</definedName>
    <definedName name="TEMP">#REF!</definedName>
    <definedName name="TEMP2">#REF!</definedName>
    <definedName name="terr">#REF!,#REF!</definedName>
    <definedName name="tf">#REF!</definedName>
    <definedName name="TF_Corr_Fact">#REF!</definedName>
    <definedName name="ThermalResitivity">#REF!</definedName>
    <definedName name="thet">#REF!</definedName>
    <definedName name="theta">#REF!</definedName>
    <definedName name="thisUnit">"Uthis Unit"</definedName>
    <definedName name="ThreePhaseCores">#REF!</definedName>
    <definedName name="Thunderdays">#REF!</definedName>
    <definedName name="ti">#REF!</definedName>
    <definedName name="Tiers">#REF!</definedName>
    <definedName name="TITLE">#REF!</definedName>
    <definedName name="tl">#REF!</definedName>
    <definedName name="tmer">#REF!</definedName>
    <definedName name="TouchingLadderDerate">#REF!</definedName>
    <definedName name="tp">#REF!</definedName>
    <definedName name="TRANSFER">#REF!</definedName>
    <definedName name="TRASP">#N/A</definedName>
    <definedName name="TRO">#REF!</definedName>
    <definedName name="ts">#REF!</definedName>
    <definedName name="Tt">#REF!</definedName>
    <definedName name="tw">#REF!</definedName>
    <definedName name="TY">#REF!</definedName>
    <definedName name="U">#REF!</definedName>
    <definedName name="UF">#REF!</definedName>
    <definedName name="UFII">#REF!</definedName>
    <definedName name="UG_Cable">#REF!</definedName>
    <definedName name="UG_TF_Corr">#REF!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O">#REF!</definedName>
    <definedName name="UOx">#REF!</definedName>
    <definedName name="UP">#REF!</definedName>
    <definedName name="USCuXHeatInput">#REF!</definedName>
    <definedName name="USD">#REF!</definedName>
    <definedName name="V">#REF!</definedName>
    <definedName name="V_or_VL">#REF!</definedName>
    <definedName name="VA">#REF!</definedName>
    <definedName name="VaildSpecs">#REF!</definedName>
    <definedName name="Valve_or_fitting_Type">#REF!</definedName>
    <definedName name="VALVES">#REF!</definedName>
    <definedName name="valvesold">#REF!</definedName>
    <definedName name="VariablekW">#REF!</definedName>
    <definedName name="VEL">#REF!</definedName>
    <definedName name="VELHD">#REF!</definedName>
    <definedName name="VER">#N/A</definedName>
    <definedName name="Vi">#REF!</definedName>
    <definedName name="VISC">#REF!</definedName>
    <definedName name="vL">#REF!</definedName>
    <definedName name="VO">#REF!</definedName>
    <definedName name="Vol_Corr_Factor">#REF!</definedName>
    <definedName name="VOLT">#REF!</definedName>
    <definedName name="VoltageDrop_List_ConductorSizes">#REF!</definedName>
    <definedName name="Vpkx">#REF!</definedName>
    <definedName name="Vpx">#REF!</definedName>
    <definedName name="VRATE">#REF!</definedName>
    <definedName name="vrk_labels">OFFSET(#REF!,MATCH(#REF!,#REF!,0)-MIN(28,COUNTIF(#REF!,"&lt;="&amp;#REF!)),0,MIN(28,COUNTIF(#REF!,"&lt;="&amp;#REF!)),1)</definedName>
    <definedName name="vrk_labels_J">OFFSET(#REF!,MATCH(#REF!,#REF!,0)-MIN(28,COUNTIF(#REF!,"&lt;="&amp;#REF!)),0,MIN(28,COUNTIF(#REF!,"&lt;="&amp;#REF!)),1)</definedName>
    <definedName name="vrk_malmidata">OFFSET(#REF!,MATCH(#REF!,#REF!,0)-MIN(28,COUNTIF(#REF!,"&lt;="&amp;#REF!)),0,MIN(28,COUNTIF(#REF!,"&lt;="&amp;#REF!)),1)</definedName>
    <definedName name="vrk_malmidata_J">OFFSET(#REF!,MATCH(#REF!,#REF!,0)-MIN(28,COUNTIF(#REF!,"&lt;="&amp;#REF!)),0,MIN(28,COUNTIF(#REF!,"&lt;="&amp;#REF!)),1)</definedName>
    <definedName name="vrk_rikastedata">OFFSET(#REF!,MATCH(#REF!,#REF!,0)-MIN(28,COUNTIF(#REF!,"&lt;="&amp;#REF!)),0,MIN(28,COUNTIF(#REF!,"&lt;="&amp;#REF!)),1)</definedName>
    <definedName name="vrk_rikastedata_J">OFFSET(#REF!,MATCH(#REF!,#REF!,0)-MIN(28,COUNTIF(#REF!,"&lt;="&amp;#REF!)),0,MIN(28,COUNTIF(#REF!,"&lt;="&amp;#REF!)),1)</definedName>
    <definedName name="Vs">#REF!</definedName>
    <definedName name="VSD_effic">#REF!</definedName>
    <definedName name="VSD_pf">#REF!</definedName>
    <definedName name="VSDEff">#REF!</definedName>
    <definedName name="VSDEfficiency">#REF!</definedName>
    <definedName name="VSDPF">#REF!</definedName>
    <definedName name="VSDPowerFactor">#REF!</definedName>
    <definedName name="vvv">#REF!</definedName>
    <definedName name="vvvv">#REF!</definedName>
    <definedName name="VVVVVVVVVVVVV">#REF!</definedName>
    <definedName name="Vxcal">#REF!</definedName>
    <definedName name="Vxest">#REF!</definedName>
    <definedName name="vz">#REF!</definedName>
    <definedName name="W">#REF!</definedName>
    <definedName name="w_1">#REF!</definedName>
    <definedName name="w_2">#REF!</definedName>
    <definedName name="w_area">#REF!</definedName>
    <definedName name="w_i">#REF!</definedName>
    <definedName name="weights">#REF!</definedName>
    <definedName name="Wf">#REF!</definedName>
    <definedName name="Wi">#REF!</definedName>
    <definedName name="Wiring_Type">#REF!</definedName>
    <definedName name="wL">#REF!</definedName>
    <definedName name="wn">#REF!</definedName>
    <definedName name="wrn.EXEC_1." localSheetId="12" hidden="1">{"EXEC",#N/A,TRUE,"Header";"EXEC_1",#N/A,TRUE,"Summary_1"}</definedName>
    <definedName name="wrn.EXEC_1." localSheetId="14" hidden="1">{"EXEC",#N/A,TRUE,"Header";"EXEC_1",#N/A,TRUE,"Summary_1"}</definedName>
    <definedName name="wrn.EXEC_1." localSheetId="15" hidden="1">{"EXEC",#N/A,TRUE,"Header";"EXEC_1",#N/A,TRUE,"Summary_1"}</definedName>
    <definedName name="wrn.EXEC_1." localSheetId="11" hidden="1">{"EXEC",#N/A,TRUE,"Header";"EXEC_1",#N/A,TRUE,"Summary_1"}</definedName>
    <definedName name="wrn.EXEC_1." localSheetId="0" hidden="1">{"EXEC",#N/A,TRUE,"Header";"EXEC_1",#N/A,TRUE,"Summary_1"}</definedName>
    <definedName name="wrn.EXEC_1." localSheetId="1" hidden="1">{"EXEC",#N/A,TRUE,"Header";"EXEC_1",#N/A,TRUE,"Summary_1"}</definedName>
    <definedName name="wrn.EXEC_1." hidden="1">{"EXEC",#N/A,TRUE,"Header";"EXEC_1",#N/A,TRUE,"Summary_1"}</definedName>
    <definedName name="wrn.EXEC_2." localSheetId="12" hidden="1">{"EXEC",#N/A,FALSE,"Header";"EXEC_2",#N/A,FALSE,"Summary_2"}</definedName>
    <definedName name="wrn.EXEC_2." localSheetId="14" hidden="1">{"EXEC",#N/A,FALSE,"Header";"EXEC_2",#N/A,FALSE,"Summary_2"}</definedName>
    <definedName name="wrn.EXEC_2." localSheetId="15" hidden="1">{"EXEC",#N/A,FALSE,"Header";"EXEC_2",#N/A,FALSE,"Summary_2"}</definedName>
    <definedName name="wrn.EXEC_2." localSheetId="11" hidden="1">{"EXEC",#N/A,FALSE,"Header";"EXEC_2",#N/A,FALSE,"Summary_2"}</definedName>
    <definedName name="wrn.EXEC_2." localSheetId="0" hidden="1">{"EXEC",#N/A,FALSE,"Header";"EXEC_2",#N/A,FALSE,"Summary_2"}</definedName>
    <definedName name="wrn.EXEC_2." localSheetId="1" hidden="1">{"EXEC",#N/A,FALSE,"Header";"EXEC_2",#N/A,FALSE,"Summary_2"}</definedName>
    <definedName name="wrn.EXEC_2." hidden="1">{"EXEC",#N/A,FALSE,"Header";"EXEC_2",#N/A,FALSE,"Summary_2"}</definedName>
    <definedName name="wrn.EXEC_3." localSheetId="12" hidden="1">{"EXEC",#N/A,FALSE,"Header";"EXEC_3",#N/A,FALSE,"Summary_3"}</definedName>
    <definedName name="wrn.EXEC_3." localSheetId="14" hidden="1">{"EXEC",#N/A,FALSE,"Header";"EXEC_3",#N/A,FALSE,"Summary_3"}</definedName>
    <definedName name="wrn.EXEC_3." localSheetId="15" hidden="1">{"EXEC",#N/A,FALSE,"Header";"EXEC_3",#N/A,FALSE,"Summary_3"}</definedName>
    <definedName name="wrn.EXEC_3." localSheetId="11" hidden="1">{"EXEC",#N/A,FALSE,"Header";"EXEC_3",#N/A,FALSE,"Summary_3"}</definedName>
    <definedName name="wrn.EXEC_3." localSheetId="0" hidden="1">{"EXEC",#N/A,FALSE,"Header";"EXEC_3",#N/A,FALSE,"Summary_3"}</definedName>
    <definedName name="wrn.EXEC_3." localSheetId="1" hidden="1">{"EXEC",#N/A,FALSE,"Header";"EXEC_3",#N/A,FALSE,"Summary_3"}</definedName>
    <definedName name="wrn.EXEC_3." hidden="1">{"EXEC",#N/A,FALSE,"Header";"EXEC_3",#N/A,FALSE,"Summary_3"}</definedName>
    <definedName name="wrn.EXEC_4." localSheetId="12" hidden="1">{"EXEC",#N/A,FALSE,"Header";"EXEC_4",#N/A,FALSE,"Summary_4"}</definedName>
    <definedName name="wrn.EXEC_4." localSheetId="14" hidden="1">{"EXEC",#N/A,FALSE,"Header";"EXEC_4",#N/A,FALSE,"Summary_4"}</definedName>
    <definedName name="wrn.EXEC_4." localSheetId="15" hidden="1">{"EXEC",#N/A,FALSE,"Header";"EXEC_4",#N/A,FALSE,"Summary_4"}</definedName>
    <definedName name="wrn.EXEC_4." localSheetId="11" hidden="1">{"EXEC",#N/A,FALSE,"Header";"EXEC_4",#N/A,FALSE,"Summary_4"}</definedName>
    <definedName name="wrn.EXEC_4." localSheetId="0" hidden="1">{"EXEC",#N/A,FALSE,"Header";"EXEC_4",#N/A,FALSE,"Summary_4"}</definedName>
    <definedName name="wrn.EXEC_4." localSheetId="1" hidden="1">{"EXEC",#N/A,FALSE,"Header";"EXEC_4",#N/A,FALSE,"Summary_4"}</definedName>
    <definedName name="wrn.EXEC_4." hidden="1">{"EXEC",#N/A,FALSE,"Header";"EXEC_4",#N/A,FALSE,"Summary_4"}</definedName>
    <definedName name="ws">#REF!</definedName>
    <definedName name="Ww">#REF!</definedName>
    <definedName name="x" localSheetId="12" hidden="1">{"EXEC",#N/A,TRUE,"Header";"EXEC_1",#N/A,TRUE,"Summary_1"}</definedName>
    <definedName name="x" localSheetId="14" hidden="1">{"EXEC",#N/A,TRUE,"Header";"EXEC_1",#N/A,TRUE,"Summary_1"}</definedName>
    <definedName name="x" localSheetId="15" hidden="1">{"EXEC",#N/A,TRUE,"Header";"EXEC_1",#N/A,TRUE,"Summary_1"}</definedName>
    <definedName name="x" localSheetId="11" hidden="1">{"EXEC",#N/A,TRUE,"Header";"EXEC_1",#N/A,TRUE,"Summary_1"}</definedName>
    <definedName name="x" localSheetId="0" hidden="1">#REF!</definedName>
    <definedName name="x" localSheetId="1" hidden="1">#REF!</definedName>
    <definedName name="x" hidden="1">{"EXEC",#N/A,TRUE,"Header";"EXEC_1",#N/A,TRUE,"Summary_1"}</definedName>
    <definedName name="X_1">#N/A</definedName>
    <definedName name="x_x">#REF!</definedName>
    <definedName name="X0">#REF!</definedName>
    <definedName name="X0i">#REF!</definedName>
    <definedName name="Xbar">#REF!</definedName>
    <definedName name="Xbari">#REF!</definedName>
    <definedName name="Xc">#REF!</definedName>
    <definedName name="XcReactance">#REF!</definedName>
    <definedName name="XcReactanceTemp">#REF!</definedName>
    <definedName name="XYZ">#REF!</definedName>
    <definedName name="Y">#REF!</definedName>
    <definedName name="y_y">#REF!</definedName>
    <definedName name="yc">#REF!</definedName>
    <definedName name="yx">#REF!</definedName>
    <definedName name="Yy">#REF!</definedName>
    <definedName name="z">#REF!</definedName>
    <definedName name="Zn_Current">#REF!</definedName>
    <definedName name="Zn_Eff">#REF!</definedName>
    <definedName name="Zn_Life">#REF!</definedName>
    <definedName name="Zn_Util">#REF!</definedName>
    <definedName name="Zn_Wt">#REF!</definedName>
    <definedName name="Zn_Wt2">#REF!</definedName>
    <definedName name="zq_sys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6" i="39" l="1"/>
  <c r="E66" i="39"/>
  <c r="A531" i="66"/>
  <c r="H304" i="66" l="1"/>
  <c r="J157" i="66"/>
  <c r="J223" i="66"/>
  <c r="J235" i="66"/>
  <c r="J247" i="66"/>
  <c r="J256" i="66"/>
  <c r="J268" i="66"/>
  <c r="J280" i="66"/>
  <c r="J292" i="66"/>
  <c r="J114" i="66" l="1"/>
  <c r="J130" i="66" l="1"/>
  <c r="J55" i="66"/>
  <c r="J71" i="66"/>
  <c r="J98" i="66"/>
  <c r="J87" i="66"/>
  <c r="J139" i="66" l="1"/>
</calcChain>
</file>

<file path=xl/sharedStrings.xml><?xml version="1.0" encoding="utf-8"?>
<sst xmlns="http://schemas.openxmlformats.org/spreadsheetml/2006/main" count="7462" uniqueCount="2433">
  <si>
    <t>PROCESS CONTROL TABLES - CRUSHING (F12)</t>
  </si>
  <si>
    <t>KCGM GROWTH PROJECT</t>
  </si>
  <si>
    <t>2000-F12-LST-PR-10001</t>
  </si>
  <si>
    <t>NORTHERN STAR RESOURCES LIMITED</t>
  </si>
  <si>
    <t>PRIMERO PROJECT NUMBER: 23517</t>
  </si>
  <si>
    <t>DATE</t>
  </si>
  <si>
    <t>REVISION</t>
  </si>
  <si>
    <t>STATUS</t>
  </si>
  <si>
    <t>PREPARED</t>
  </si>
  <si>
    <t>REVIEWED</t>
  </si>
  <si>
    <t>APPROVED</t>
  </si>
  <si>
    <t>Issued for Design</t>
  </si>
  <si>
    <t>J. Jones</t>
  </si>
  <si>
    <t>E. Wilmot</t>
  </si>
  <si>
    <t>D. Moltoni</t>
  </si>
  <si>
    <t>Update PCT from IO list and contractor checks</t>
  </si>
  <si>
    <t>JW. Ho</t>
  </si>
  <si>
    <t>Reissued for Design</t>
  </si>
  <si>
    <t>J. De Man</t>
  </si>
  <si>
    <t>F. Chua</t>
  </si>
  <si>
    <t>L. Stacey</t>
  </si>
  <si>
    <t>PROCESS CONTROL TABLES</t>
  </si>
  <si>
    <t>REVISION HISTORY</t>
  </si>
  <si>
    <t>Revision</t>
  </si>
  <si>
    <t>Document Changes</t>
  </si>
  <si>
    <t>Date</t>
  </si>
  <si>
    <t>A for Sequence Flowchart Review Only</t>
  </si>
  <si>
    <t>- Vendor Data TBC are highlighted yellow or in red text</t>
  </si>
  <si>
    <t>- Does not include the remainder of the Process Control Tables</t>
  </si>
  <si>
    <t>B for Internal Review</t>
  </si>
  <si>
    <t>C for Client Review</t>
  </si>
  <si>
    <t>0 for Design</t>
  </si>
  <si>
    <t>- Updated with Client Comments</t>
  </si>
  <si>
    <t>1 for IO list updates</t>
  </si>
  <si>
    <t>- Update against IO list and contractor checks</t>
  </si>
  <si>
    <t>2 for Design</t>
  </si>
  <si>
    <t>- Vendor Data TBC / Holds are highlighted yellow or in red text</t>
  </si>
  <si>
    <t>PROCESS CONTROL TABLES - CRUSHING</t>
  </si>
  <si>
    <t>Table of Contents</t>
  </si>
  <si>
    <t>Total</t>
  </si>
  <si>
    <t>Complete
(%)</t>
  </si>
  <si>
    <t>Alarms</t>
  </si>
  <si>
    <t>Priority</t>
  </si>
  <si>
    <t>Count</t>
  </si>
  <si>
    <t>%</t>
  </si>
  <si>
    <t>Abbreviations</t>
  </si>
  <si>
    <t>Analogue Inputs</t>
  </si>
  <si>
    <t>Urgent (Critical Failure)</t>
  </si>
  <si>
    <t>FC</t>
  </si>
  <si>
    <t>Fail closed</t>
  </si>
  <si>
    <t>Analogue Outputs</t>
  </si>
  <si>
    <t>High (Fault/Error)</t>
  </si>
  <si>
    <t>FO</t>
  </si>
  <si>
    <t>Fail open</t>
  </si>
  <si>
    <t>Digital Inputs</t>
  </si>
  <si>
    <t>Low (Warning)</t>
  </si>
  <si>
    <t>FL</t>
  </si>
  <si>
    <t>Fail last</t>
  </si>
  <si>
    <t>Digital Outputs</t>
  </si>
  <si>
    <t>Logging</t>
  </si>
  <si>
    <t>LCP</t>
  </si>
  <si>
    <t>Local control panel</t>
  </si>
  <si>
    <t>Totalisers</t>
  </si>
  <si>
    <t>No Alarm</t>
  </si>
  <si>
    <t>LCS</t>
  </si>
  <si>
    <t>Local control station</t>
  </si>
  <si>
    <t>On/Off Valves</t>
  </si>
  <si>
    <t>A_Lo</t>
  </si>
  <si>
    <t>Low alarm</t>
  </si>
  <si>
    <t>Control Valves</t>
  </si>
  <si>
    <t>A_Hi</t>
  </si>
  <si>
    <t>High alarm</t>
  </si>
  <si>
    <t>PID Controllers</t>
  </si>
  <si>
    <t>A_LL</t>
  </si>
  <si>
    <t>Low-Low alarm</t>
  </si>
  <si>
    <t>Drives &amp; Interlocks</t>
  </si>
  <si>
    <t>A_HH</t>
  </si>
  <si>
    <t>High-High alarm</t>
  </si>
  <si>
    <t>Calculations</t>
  </si>
  <si>
    <t>P_Lo</t>
  </si>
  <si>
    <t>Low process switchpoint</t>
  </si>
  <si>
    <t xml:space="preserve">Misc. </t>
  </si>
  <si>
    <t>P_Hi</t>
  </si>
  <si>
    <t>High process switchpoint</t>
  </si>
  <si>
    <t>P_LL</t>
  </si>
  <si>
    <t>Low-Low process switchpoint</t>
  </si>
  <si>
    <t>P_HH</t>
  </si>
  <si>
    <t>High-High process switchpoint</t>
  </si>
  <si>
    <t>OIT</t>
  </si>
  <si>
    <t>Operator interface terminal</t>
  </si>
  <si>
    <t>Range</t>
  </si>
  <si>
    <t>Instrument range</t>
  </si>
  <si>
    <t>SEQ</t>
  </si>
  <si>
    <t>Sequence</t>
  </si>
  <si>
    <t>TBA</t>
  </si>
  <si>
    <t>To be advised</t>
  </si>
  <si>
    <t>v</t>
  </si>
  <si>
    <t>Vendor controlled</t>
  </si>
  <si>
    <t>VTA</t>
  </si>
  <si>
    <t>Vendor to advise</t>
  </si>
  <si>
    <t>x</t>
  </si>
  <si>
    <t>PCS controlled</t>
  </si>
  <si>
    <t>Tag Source</t>
  </si>
  <si>
    <t>Tag Name</t>
  </si>
  <si>
    <t>P&amp;ID</t>
  </si>
  <si>
    <t>Description</t>
  </si>
  <si>
    <t>Abbreviated Description (Faceplate)</t>
  </si>
  <si>
    <t>Process Switchpoints</t>
  </si>
  <si>
    <t>Area</t>
  </si>
  <si>
    <t>Type</t>
  </si>
  <si>
    <t>Loop No.</t>
  </si>
  <si>
    <t>Suffix</t>
  </si>
  <si>
    <t>Trend
(sec)</t>
  </si>
  <si>
    <t>Min</t>
  </si>
  <si>
    <t>Max</t>
  </si>
  <si>
    <t>Unit</t>
  </si>
  <si>
    <t>P_LL Delay ON (sec)</t>
  </si>
  <si>
    <t>P_LL Delay OFF (sec)</t>
  </si>
  <si>
    <t>P_Lo Delay ON (sec)</t>
  </si>
  <si>
    <t>P_Lo Delay OFF (sec)</t>
  </si>
  <si>
    <t>P_Hi Delay ON (sec)</t>
  </si>
  <si>
    <t>P_Hi Delay OFF (sec)</t>
  </si>
  <si>
    <t>P_HH Delay ON (sec)</t>
  </si>
  <si>
    <t>P_HH Delay OFF (sec)</t>
  </si>
  <si>
    <t>A_LL Delay (sec)</t>
  </si>
  <si>
    <t>A_Lo Delay (sec)</t>
  </si>
  <si>
    <t>A_Hi Delay (sec)</t>
  </si>
  <si>
    <t>A_HH Delay (sec)</t>
  </si>
  <si>
    <t>Alarm Masking Conditions</t>
  </si>
  <si>
    <t>Comments</t>
  </si>
  <si>
    <t>Rev</t>
  </si>
  <si>
    <t>X</t>
  </si>
  <si>
    <t>ZT12005A</t>
  </si>
  <si>
    <t>ZI12005A</t>
  </si>
  <si>
    <t>2000-F12-PID-PR-10001</t>
  </si>
  <si>
    <t>F12-BN-401 Rom Bin Truck 1 Parked Position Transmitter</t>
  </si>
  <si>
    <t>F12BN401 Truck Pos. 1</t>
  </si>
  <si>
    <t>m</t>
  </si>
  <si>
    <r>
      <t xml:space="preserve">Process Value is the distance to ROM dump truck in metres
P_Hi </t>
    </r>
    <r>
      <rPr>
        <u/>
        <sz val="11"/>
        <color rgb="FF0000FF"/>
        <rFont val="Arial"/>
        <family val="2"/>
      </rPr>
      <t>&gt;</t>
    </r>
    <r>
      <rPr>
        <sz val="11"/>
        <color rgb="FF0000FF"/>
        <rFont val="Arial"/>
        <family val="2"/>
      </rPr>
      <t xml:space="preserve"> sprays off: XV12005 AND XV12006 closed (Haul truck is in the 'OUT' or not dumping position)
P_Lo </t>
    </r>
    <r>
      <rPr>
        <u/>
        <sz val="11"/>
        <color rgb="FF0000FF"/>
        <rFont val="Arial"/>
        <family val="2"/>
      </rPr>
      <t>&lt;</t>
    </r>
    <r>
      <rPr>
        <sz val="11"/>
        <color rgb="FF0000FF"/>
        <rFont val="Arial"/>
        <family val="2"/>
      </rPr>
      <t xml:space="preserve"> sprays on: XV12005 AND XV12006 open (Haul truck is in the 'IN' or dumping position)
A_Lo = same as P_Lo but with a delay of 15 minutes to notify the CRO that sprays have been on for a long time (may indicate build up near the bump stop which is giving a false reading as the haul truck). 
NB: Process Switchpoints are based on CAT Haul Truck 793F dimensions (Length: 13.8m). 
Values to be confirmed during commissioning.
</t>
    </r>
  </si>
  <si>
    <t>ZT12005B</t>
  </si>
  <si>
    <t>ZI12005B</t>
  </si>
  <si>
    <t>F12-BN-401 Rom Bin Truck 2 Parked Position Transmitter</t>
  </si>
  <si>
    <t>F12BN401 Truck Pos. 2</t>
  </si>
  <si>
    <t>LIT12200</t>
  </si>
  <si>
    <t>LI12200</t>
  </si>
  <si>
    <t>F12-BN-405 Primary Crusher 2 Discharge Chamber Level Indicating Transmitter 1</t>
  </si>
  <si>
    <t>F12BN405 Disch Chamber 1</t>
  </si>
  <si>
    <r>
      <t xml:space="preserve">P_Lo &gt; Start F12-FA-401 (See Drives)
P_Lo </t>
    </r>
    <r>
      <rPr>
        <u/>
        <sz val="11"/>
        <color rgb="FF0000FF"/>
        <rFont val="Arial"/>
        <family val="2"/>
      </rPr>
      <t>&lt;</t>
    </r>
    <r>
      <rPr>
        <sz val="11"/>
        <color rgb="FF0000FF"/>
        <rFont val="Arial"/>
        <family val="2"/>
      </rPr>
      <t xml:space="preserve"> Stop F12-FA-401 (See Drives)
P_Hi </t>
    </r>
    <r>
      <rPr>
        <u/>
        <sz val="11"/>
        <color rgb="FF0000FF"/>
        <rFont val="Arial"/>
        <family val="2"/>
      </rPr>
      <t>&gt;</t>
    </r>
    <r>
      <rPr>
        <sz val="11"/>
        <color rgb="FF0000FF"/>
        <rFont val="Arial"/>
        <family val="2"/>
      </rPr>
      <t xml:space="preserve"> Acts as input to ROM traffic lights for haul truck dumping indication. Please see Digital Outputs.
A_LL = Trip F12-FA-401
A_HH = Trip F12-CG-401</t>
    </r>
  </si>
  <si>
    <t>LT12199</t>
  </si>
  <si>
    <t>LI12199</t>
  </si>
  <si>
    <t>F12-BN-405 Primary Crusher 2 Discharge Chamber Level Indicating Transmitter 2</t>
  </si>
  <si>
    <t>F12BN405 Disch Chamber 2</t>
  </si>
  <si>
    <t>Mask A_Lo and A_LoLo when LI12200 is healthy</t>
  </si>
  <si>
    <r>
      <t xml:space="preserve">LI12199 A_Lo and A_LL are to be aligned to LI12200 A_Lo and A_LL during commissioning (i.e. they need to be equivalent). Note that LE12199 is physically mounted lower than LE12200 in the Chamber. LE12199 is a backup for LE12200 to protect the apron feeder.
P_Hi </t>
    </r>
    <r>
      <rPr>
        <u/>
        <sz val="11"/>
        <color rgb="FF0000FF"/>
        <rFont val="Arial"/>
        <family val="2"/>
      </rPr>
      <t>&gt;</t>
    </r>
    <r>
      <rPr>
        <sz val="11"/>
        <color rgb="FF0000FF"/>
        <rFont val="Arial"/>
        <family val="2"/>
      </rPr>
      <t xml:space="preserve"> Acts as input to ROM traffic lights for haul truck dumping indication. Please see Digital Outputs.
A_LL = Trip F12-FA-401</t>
    </r>
  </si>
  <si>
    <t>LT12004A</t>
  </si>
  <si>
    <t>LI12004A</t>
  </si>
  <si>
    <t>F12-BN-401 Rom Bin Truck 1 Dump Pocket Level Transmitter</t>
  </si>
  <si>
    <t>F12BN401 ROM Bin Lvl A</t>
  </si>
  <si>
    <t>Dump pocket transmitter. Acts as input to ROM traffic lights for haul truck dumping indication. Please see Digital Outputs.
Values to be determined during commissioning.</t>
  </si>
  <si>
    <t>LT12004B</t>
  </si>
  <si>
    <t>LI12004B</t>
  </si>
  <si>
    <t>F12-BN-401 Rom Bin Truck 2 Dump Pocket Level Transmitter</t>
  </si>
  <si>
    <t>F12BN401 ROM Bin Lvl B</t>
  </si>
  <si>
    <t>SE12059</t>
  </si>
  <si>
    <t>SI12059</t>
  </si>
  <si>
    <t>F12-CG-401 Primary Crusher 2 Countershaft Speed Sensor</t>
  </si>
  <si>
    <t>F12CG401 C/Shaft</t>
  </si>
  <si>
    <t>RPM</t>
  </si>
  <si>
    <t>Mask when F12-CG-401 is Not Running.</t>
  </si>
  <si>
    <r>
      <t xml:space="preserve">Frequency Transducer fitted.
A_LL </t>
    </r>
    <r>
      <rPr>
        <u/>
        <sz val="11"/>
        <color rgb="FF0000FF"/>
        <rFont val="Arial"/>
        <family val="2"/>
      </rPr>
      <t>&lt;</t>
    </r>
    <r>
      <rPr>
        <sz val="11"/>
        <color rgb="FF0000FF"/>
        <rFont val="Arial"/>
        <family val="2"/>
      </rPr>
      <t xml:space="preserve"> Trip F12-CG-401
Alarm setpoints and range from 2000-ME001.1-F17-50001.</t>
    </r>
  </si>
  <si>
    <t>SE12060</t>
  </si>
  <si>
    <t>SI12060</t>
  </si>
  <si>
    <t>F12-CG-401 Primary Crusher 2 Main Shaft Speed Sensor</t>
  </si>
  <si>
    <t>F12CG401 M/Shaft</t>
  </si>
  <si>
    <t>Frequency Transducer fitted.
Alarm setpoints and range from 2000-ME001.1-F12-50001.</t>
  </si>
  <si>
    <t>B</t>
  </si>
  <si>
    <t>ZT12061</t>
  </si>
  <si>
    <t>ZI12061</t>
  </si>
  <si>
    <t>F12-CG-401 Primary Crusher 2 Mantle Position Transmitter</t>
  </si>
  <si>
    <t>F12CG401 Mantle Pos Phys</t>
  </si>
  <si>
    <t>mm</t>
  </si>
  <si>
    <t>This inputs into F12CALC10007 to better represent the Crusher Mantle Position. The output of F12CALC10007 inputs into ZIC12062.
A_Hi = Warning.</t>
  </si>
  <si>
    <t>FIT12079</t>
  </si>
  <si>
    <t>FI12079</t>
  </si>
  <si>
    <t>F12-CG-401 Primary Crusher 2 Dust Seal Blower Discharge Flow Indicating Transmitter</t>
  </si>
  <si>
    <t>F12BW401 Seal Blower</t>
  </si>
  <si>
    <r>
      <t>m</t>
    </r>
    <r>
      <rPr>
        <vertAlign val="superscript"/>
        <sz val="11"/>
        <color rgb="FF0000FF"/>
        <rFont val="Arial"/>
        <family val="2"/>
      </rPr>
      <t>3</t>
    </r>
    <r>
      <rPr>
        <sz val="11"/>
        <color rgb="FF0000FF"/>
        <rFont val="Arial"/>
        <family val="2"/>
      </rPr>
      <t>/hr</t>
    </r>
  </si>
  <si>
    <t>Mask when F12-CG-401 is Not Running and F12-BW-401 is Not Running</t>
  </si>
  <si>
    <t>As per FLS I/O List 2000-ME001.1-F17-50001.
A_LL = Trip F12-CG-401</t>
  </si>
  <si>
    <t>VT12057</t>
  </si>
  <si>
    <t>VI12057</t>
  </si>
  <si>
    <t>F12-CG-401 Primary Crusher Drive Motor Main Drive Bearing DE Vibration Transmitter</t>
  </si>
  <si>
    <t>F12CG401 Mtr D/E Brg</t>
  </si>
  <si>
    <t>mm/s</t>
  </si>
  <si>
    <t>As per FLS I/O List 2000-ME001.1-F17-50001.
A_HH = Trip F12-CG-401
A_Hi = Warning
Weq motor datasheet vibration (nominal): 2.3 mm/s
2000-ME001.1-C05-50001</t>
  </si>
  <si>
    <t>VT12058</t>
  </si>
  <si>
    <t>VI12058</t>
  </si>
  <si>
    <t>F12-CG-401 Primary Crusher Drive Motor Main Drive Bearing NDE Vibration Transmitter</t>
  </si>
  <si>
    <t>F12CG401 Mtr NDE Brg</t>
  </si>
  <si>
    <t>VT12069</t>
  </si>
  <si>
    <t>VI12069</t>
  </si>
  <si>
    <t>F12-CG-401 Primary Crusher Assembly Countershaft Vibration Transmitter 1</t>
  </si>
  <si>
    <t>F12CG401 C/Shaft 1</t>
  </si>
  <si>
    <t>As per FLS I/O List 2000-ME001.1-F17-50001.</t>
  </si>
  <si>
    <t>C</t>
  </si>
  <si>
    <t>VT12070</t>
  </si>
  <si>
    <t>VI12070</t>
  </si>
  <si>
    <t>F12-CG-401 Primary Crusher Assembly Countershaft Vibration Transmitter 2</t>
  </si>
  <si>
    <t>F12CG401 C/Shaft 2</t>
  </si>
  <si>
    <t>TIT12064</t>
  </si>
  <si>
    <t>TI12064</t>
  </si>
  <si>
    <t>F12-CG-401 Primary Crusher Assembly Outer Eccentric Upper Temperature Transmitter</t>
  </si>
  <si>
    <t>F12CG401 Outr Ecc Upper</t>
  </si>
  <si>
    <t>℃</t>
  </si>
  <si>
    <t>As per FLS I/O List 2000-ME001.1-F17-50001. A_HH to be set during commissioning.
A_HH = Trip F12-CG-401</t>
  </si>
  <si>
    <t>TIT12065</t>
  </si>
  <si>
    <t>TI12065</t>
  </si>
  <si>
    <t>F12-CG-401 Primary Crusher Assembly Outer Eccentric Wear Ring Temperature Transmitter</t>
  </si>
  <si>
    <t>F12CG401 Outr Ecc Ring</t>
  </si>
  <si>
    <t>TIT12066</t>
  </si>
  <si>
    <t>TI12066</t>
  </si>
  <si>
    <t>F12-CG-401 Primary Crusher Assembly Outer Eccentric Lower Temperature Transmitter</t>
  </si>
  <si>
    <t>F12CG401 Outr Ecc Lower</t>
  </si>
  <si>
    <t>TIT12067</t>
  </si>
  <si>
    <t>TI12067</t>
  </si>
  <si>
    <t>F12-CG-401 Primary Crusher Assembly Countershaft Outboard Bearing Temperature Transmitter</t>
  </si>
  <si>
    <t>F12CG401 C/Shaft OB Brg</t>
  </si>
  <si>
    <t>TIT12068</t>
  </si>
  <si>
    <t>TI12068</t>
  </si>
  <si>
    <t>F12-CG-401 Primary Crusher Assembly Countershaft Inboard Bearing Temperature Transmitter</t>
  </si>
  <si>
    <t>F12CG401 C/Shaft IB Brg</t>
  </si>
  <si>
    <t>FIT12071</t>
  </si>
  <si>
    <t>FI12071</t>
  </si>
  <si>
    <t>F12-CG-401 Primary Crusher Assembly Outer Eccentric Lube Flow Indicating Transmitter</t>
  </si>
  <si>
    <t>F12CG401 Outer Ecc Lube</t>
  </si>
  <si>
    <t>LPM</t>
  </si>
  <si>
    <t>Mask when F12-PO-404/405 is Not Running</t>
  </si>
  <si>
    <t>FIT12072</t>
  </si>
  <si>
    <t>FI12072</t>
  </si>
  <si>
    <t>F12-CG-401 Primary Crusher Assembly Upper Eccentric Lube Flow Indicating Transmitter</t>
  </si>
  <si>
    <t>F12CG401 Upper Ecc. Lube</t>
  </si>
  <si>
    <t>FIT12073</t>
  </si>
  <si>
    <t>FI12073</t>
  </si>
  <si>
    <t>F12-CG-401 Primary Crusher Assembly Pinion Lube Flow Indicating Transmitter</t>
  </si>
  <si>
    <t xml:space="preserve">F12CG401 Pinion Lube </t>
  </si>
  <si>
    <t>FIT12074</t>
  </si>
  <si>
    <t>FI12074</t>
  </si>
  <si>
    <t>F12-CG-401 Primary Crusher Assembly Countershaft Supply Flow Indicating Transmitter</t>
  </si>
  <si>
    <t>F12CG401 C/Shaft Lube</t>
  </si>
  <si>
    <t>FIT12075</t>
  </si>
  <si>
    <t>FI12075</t>
  </si>
  <si>
    <t>F12-CG-401 Primary Crusher Assembly Inner Eccentric Supply Flow Indicating Transmitter</t>
  </si>
  <si>
    <t>F12CG401 Inner Ecc. Lube</t>
  </si>
  <si>
    <t>TIT12080</t>
  </si>
  <si>
    <t>TI12080</t>
  </si>
  <si>
    <t>F12-LU-401 Primary Crusher 2 Lubrication System Hydraulic Oil Reservoir Temperature Transmitter</t>
  </si>
  <si>
    <t>F12LU401 Hyd Oil Resvr</t>
  </si>
  <si>
    <t>As per FLS I/O List 2000-ME001.1-F17-50001.
P_Hi &gt;= Stops F12-HT-417/418
P_Lo &lt;= Starts F12-HT-417/418
A_LL = Trip F12-PO-403/410
A_HH = Trip F12-PO-403/410 and F12-HT-417/418</t>
  </si>
  <si>
    <t>PT12091</t>
  </si>
  <si>
    <t>PI12091</t>
  </si>
  <si>
    <t>F12-CG-401 Primary Crusher 2 Hydraulic System Accumulator Pressure Transmitter</t>
  </si>
  <si>
    <t>F12CG401 Hydraulic MPS</t>
  </si>
  <si>
    <t>kPa</t>
  </si>
  <si>
    <t>Hydraulic System Mantle Accumulator.
Source: 2000-ME001.1-F17-50001</t>
  </si>
  <si>
    <t>TIT12110</t>
  </si>
  <si>
    <t>TI12110</t>
  </si>
  <si>
    <t>F12-LU-401 Primary Crusher 2 Lubrication System Lube Oil Reservoir Temperature Transmitter</t>
  </si>
  <si>
    <t>F12LU401 Lube Tank</t>
  </si>
  <si>
    <t>TIC12110 switches Primary Crusher 2 Lubrication System Heaters 1, 2, 3 and 4 On/Off based on the set point. 
P_HiHi &gt;= Stops F12-HT-407/408/409/410 
P_Lo &lt;= Starts F12-HT-407/408/409/410 
A_Hi = Trips F12-HT-407/408/409/410
P_Hi = No alarm, start permissive F12-PO-404/5
A_Lo = Warning
A_LL = Trip F12-PO-404/405, please see Drives sheet.
32C and 38C switchpoints from 2000-ME001.1-F17-50001.</t>
  </si>
  <si>
    <t>PIT12118</t>
  </si>
  <si>
    <t>PI12118</t>
  </si>
  <si>
    <t>F12-LU-401 Primary Crusher 2 Lubrication System Pump Common Discharge Pressure Indicating Transmitter</t>
  </si>
  <si>
    <t>F12PO404/405 Discharge</t>
  </si>
  <si>
    <t>As per FLS Instrument List 2000-ME001.1-F16-50001 and IO List 2000-ME001.1-F17-50001.
A_Hi = Warning</t>
  </si>
  <si>
    <t>TIT12128</t>
  </si>
  <si>
    <t>TI12128</t>
  </si>
  <si>
    <t>F12-LU-401 Primary Crusher 2 Lubrication System Lube Oil Return Temperature Transmitter</t>
  </si>
  <si>
    <t xml:space="preserve">F12LU401 Lube Return </t>
  </si>
  <si>
    <t>As per FLS I/O List 2000-ME001.1-F17-50001
A_HH = Trip F12-CG-401</t>
  </si>
  <si>
    <t>F12CALC0001</t>
  </si>
  <si>
    <t>TDI12128</t>
  </si>
  <si>
    <t>F12-LU-401 Primary Crusher 2 Lubrication System Lube Oil Return Temperature Differential</t>
  </si>
  <si>
    <t>F12LU401 Rtrn Lube Diff</t>
  </si>
  <si>
    <t>WIT12097</t>
  </si>
  <si>
    <t>WI12097</t>
  </si>
  <si>
    <t>F12-LU-402 Primary Crusher 2 Spider Lubrication System Lube Tank Weight Indicating Transmitter</t>
  </si>
  <si>
    <t>F12LU402 Grease Drum</t>
  </si>
  <si>
    <t>kg</t>
  </si>
  <si>
    <t>VT12507A</t>
  </si>
  <si>
    <t>VI12507A</t>
  </si>
  <si>
    <t>2000-F12-PID-PR-10002</t>
  </si>
  <si>
    <t>F12-CV-401 Primary Crusher Discharge Conveyor Drive Pulley Vibration Transmitter 1</t>
  </si>
  <si>
    <t>F12CV401 Pulley1</t>
  </si>
  <si>
    <t>A_HH = Trip F12CV401
A_Hi = Warning
Alarm setpoints to be confirmed during commissioning.</t>
  </si>
  <si>
    <t>TT12507A</t>
  </si>
  <si>
    <t>TI12507A</t>
  </si>
  <si>
    <t>F12-CV-401 Primary Crusher Discharge Conveyor Drive Pulley Temperature Transmitter 1</t>
  </si>
  <si>
    <t>N</t>
  </si>
  <si>
    <t>VT12560A</t>
  </si>
  <si>
    <t>VI12560A</t>
  </si>
  <si>
    <t>F12-CV-402 Stockpile Feed Conveyor Drive Pulley Vibration Transmitter 1</t>
  </si>
  <si>
    <t>F12CV402 Pulley1</t>
  </si>
  <si>
    <t>A_HH = Trip F12CV402
A_Hi = Warning
Alarm setpoints to be confirmed during commissioning.</t>
  </si>
  <si>
    <t>TT12560A</t>
  </si>
  <si>
    <t>TI12560A</t>
  </si>
  <si>
    <t>F12-CV-402 Stockpile Feed Conveyor Drive Pulley Temperature Transmitter 1</t>
  </si>
  <si>
    <t>PDIT12542</t>
  </si>
  <si>
    <t>PDI12542</t>
  </si>
  <si>
    <t>F12-DC-401 Primary Crusher 2 Dust Collector Air Chambers Differential Pressure Indicating Transmitter</t>
  </si>
  <si>
    <t>F12DC401 Pressure Delta</t>
  </si>
  <si>
    <t>Pa</t>
  </si>
  <si>
    <t>Mask if F12DC401 Not Running</t>
  </si>
  <si>
    <t>A_HH for more than 1 hour = Trip F12DC401
A_Hi = Logging Event (pulse cleaning started by Dust Collector Controller)
A_Lo = Logging Event (pulse cleaning stopped by Dust Collector Controller)
A_LL = Warning (investigate F12DC401 and PDIT for faults)</t>
  </si>
  <si>
    <t>UT12010</t>
  </si>
  <si>
    <t>UI12010</t>
  </si>
  <si>
    <t>F12-SR-001 Primary Crushing 11kV Switchroom Temperature/Humidity Transmitter</t>
  </si>
  <si>
    <t>F12 11kV Switchroom</t>
  </si>
  <si>
    <t>A_Hi = Alarm.
Nominal 24C.
Alarm setpoint to be confirmed during commissioning.</t>
  </si>
  <si>
    <t>UT12011</t>
  </si>
  <si>
    <t>UI12011</t>
  </si>
  <si>
    <t>F12-SR-002 Primary Crushing 415V Switchroom Temperature/Humidity Transmitter</t>
  </si>
  <si>
    <t>F12 415V Switchroom</t>
  </si>
  <si>
    <t>UT12012</t>
  </si>
  <si>
    <t>UI12012</t>
  </si>
  <si>
    <t>F12-SR-002 Primary Crushing 415V Switchroom Transformer Enclosure Temperature/Humidity Transmitter</t>
  </si>
  <si>
    <t>F12 415V MCC Transf Room</t>
  </si>
  <si>
    <t>PT12392</t>
  </si>
  <si>
    <t>PI12392</t>
  </si>
  <si>
    <t>2000-F24-PID-PR-10012</t>
  </si>
  <si>
    <t>F12-RA-407 Primary Crushing Air Receiver Outlet Pressure Indicating Transmitter</t>
  </si>
  <si>
    <t>F12RA407 Outlet Pressure</t>
  </si>
  <si>
    <t>kPa(g)</t>
  </si>
  <si>
    <t>Mask A_Lo alarm when F24-CM-401, 402 AND 403 are stopped
Mask A_Lo for 30 seconds during  start up.</t>
  </si>
  <si>
    <t xml:space="preserve">A_Hi = Warning
A_Lo = Warning
Normal operating = 9.8 bar
Maximum operating pressure = 10 bar
Minimum system outlet pressure = 6 bar
Nominal values and alarm setpoints to be confirmed during commissioning </t>
  </si>
  <si>
    <t>LT13002</t>
  </si>
  <si>
    <t>LI13002</t>
  </si>
  <si>
    <t>2000-F13-PID-PR-10001</t>
  </si>
  <si>
    <t>F12-SKP-401 Coarse Ore Stockpile 2 Level Transmitter</t>
  </si>
  <si>
    <t>F12SKP401 Stockpile 2</t>
  </si>
  <si>
    <t>A_HH =Trip F12-CV-401 AND 402.
A_Hi = Trip F12-FA-401
A_Lo = Warning
A_LL = Trip F13-FA-411/412
Alarm setpoints to be confirmed during commissioning.</t>
  </si>
  <si>
    <t>TE12580A</t>
  </si>
  <si>
    <t>TI12580A</t>
  </si>
  <si>
    <t>F12-CV-401 Primary Crusher Discharge Conveyor Motor Phase U RTD</t>
  </si>
  <si>
    <t>F12CV401 Mtr Phase U RTD</t>
  </si>
  <si>
    <t>A_Hi = Warning
A_HH = Trip Conveyor Drive.
Source: 2000-ME050-F14-10001.</t>
  </si>
  <si>
    <t>TE12580B</t>
  </si>
  <si>
    <t>TI12580B</t>
  </si>
  <si>
    <t>F12-CV-401 Primary Crusher Discharge Conveyor Motor Phase V RTD</t>
  </si>
  <si>
    <t>F12CV401 Mtr Phase V RTD</t>
  </si>
  <si>
    <t>TE12580C</t>
  </si>
  <si>
    <t>TI12580C</t>
  </si>
  <si>
    <t>F12-CV-401 Primary Crusher Discharge Conveyor Motor Phase W RTD</t>
  </si>
  <si>
    <t>F12CV401 Mtr Phase W RTD</t>
  </si>
  <si>
    <t>TE12580D</t>
  </si>
  <si>
    <t>TI12580D</t>
  </si>
  <si>
    <t>F12-CV-401 Primary Crusher Discharge Conveyor Motor DE Bearing RTD</t>
  </si>
  <si>
    <t>F12CV401 Mtr DE Bearing</t>
  </si>
  <si>
    <t>TE12580E</t>
  </si>
  <si>
    <t>TI12580E</t>
  </si>
  <si>
    <t>F12-CV-401 Primary Crusher Discharge Conveyor Motor NDE Bearing RTD</t>
  </si>
  <si>
    <t>F12CV401 Mtr NDE Bearing</t>
  </si>
  <si>
    <t>TE12581A</t>
  </si>
  <si>
    <t>TI12581A</t>
  </si>
  <si>
    <t>F12-CV-402 Stockpile Feed Conveyor Motor Phase U RTD</t>
  </si>
  <si>
    <t>F12CV402 Mtr Phase U RTD</t>
  </si>
  <si>
    <t>TE12581B</t>
  </si>
  <si>
    <t>TI12581B</t>
  </si>
  <si>
    <t>F12-CV-402 Stockpile Feed Conveyor Motor Phase V RTD</t>
  </si>
  <si>
    <t>F12CV402 Mtr Phase V RTD</t>
  </si>
  <si>
    <t>TE12581C</t>
  </si>
  <si>
    <t>TI12581C</t>
  </si>
  <si>
    <t>F12-CV-402 Stockpile Feed Conveyor Motor Phase W RTD</t>
  </si>
  <si>
    <t>F12CV402 Mtr Phase W RTD</t>
  </si>
  <si>
    <t>TE12581D</t>
  </si>
  <si>
    <t>TI12581D</t>
  </si>
  <si>
    <t>F12-CV-402 Stockpile Feed Conveyor Motor DE Bearing RTD</t>
  </si>
  <si>
    <t>F12CV402 Mtr DE Bearing</t>
  </si>
  <si>
    <t>TE12581E</t>
  </si>
  <si>
    <t>TI12581E</t>
  </si>
  <si>
    <t>F12-CV-402 Stockpile Feed Conveyor Motor NDE Bearing RTD</t>
  </si>
  <si>
    <t>F12CV402 Mtr NDE Bearing</t>
  </si>
  <si>
    <t>LIT12260</t>
  </si>
  <si>
    <t>LI12260</t>
  </si>
  <si>
    <t>2000-F12-PID-PR-10003</t>
  </si>
  <si>
    <t>F12-TK-423  Primary Crusher 2 Cooling Water Tank Level Indicating Transmitter</t>
  </si>
  <si>
    <t>F12TK423 Cooling Water</t>
  </si>
  <si>
    <t xml:space="preserve">A_Hi = Warning
A_Lo = Warning
A_LL = Trip Duty Pump F12-PW-425/426
Process switchpoints opening and closing XV12259 when valve is placed in auto.
Nominal values and alarm setpoints to be confirmed during commissioning </t>
  </si>
  <si>
    <t>TIT12261</t>
  </si>
  <si>
    <t>TI12261</t>
  </si>
  <si>
    <t>F12-TK-423  Primary Crusher 2 Cooling Water Tank Temperature Indicating Transmitter</t>
  </si>
  <si>
    <t>Mask when F12-PW-425 AND 426 Not Running</t>
  </si>
  <si>
    <t>Primary Crusher 2 Chiller designed for entering water temperature of 25C.
A_Hi = Warning</t>
  </si>
  <si>
    <t>TIT12267</t>
  </si>
  <si>
    <t>TI12267</t>
  </si>
  <si>
    <t>F12-CU-401 Primary Crusher 2 Chiller Outlet Cooling Water Temperature Indicating Transmitter</t>
  </si>
  <si>
    <t>F12CU401 Outlet Water</t>
  </si>
  <si>
    <t>Primary Crusher 2 Chiller designed to cool water to 18C.
A_Hi = Warning</t>
  </si>
  <si>
    <t>TE12228</t>
  </si>
  <si>
    <t>TI12228</t>
  </si>
  <si>
    <t>F12-FA-401 Primary Crusher 2 Discharge Apron Feeder Gearboox Sump RTD</t>
  </si>
  <si>
    <t>F12FA401 Gearbox Sump</t>
  </si>
  <si>
    <t>Gearbox Sump Cooler Temperature Element. 
A_HH = Alarm to signify overloading of gearbox and feeder F12FA401 trip.
P_Hi = Start permissive for F12FA401 drive.</t>
  </si>
  <si>
    <t>TE12229</t>
  </si>
  <si>
    <t>TI12229</t>
  </si>
  <si>
    <t>F12-FA-401 Primary Crusher 2 Discharge Apron Feeder Gearboox High Speed Bearing RTD</t>
  </si>
  <si>
    <t>F12FA401 Gearbox Bearing</t>
  </si>
  <si>
    <t>Gearbox High Speed Bearing Temperature Element.
A_Hi = Warning
A_HH = F12FA401 trip.</t>
  </si>
  <si>
    <t>VT12507B</t>
  </si>
  <si>
    <t>VI12507B</t>
  </si>
  <si>
    <t>F12-CV-401 Primary Crusher Discharge Conveyor Drive Pulley Vibration Transmitter 2</t>
  </si>
  <si>
    <t>F12CV401 Pulley2</t>
  </si>
  <si>
    <t>TT12507B</t>
  </si>
  <si>
    <t>TI12507B</t>
  </si>
  <si>
    <t>F12-CV-401 Primary Crusher Discharge Conveyor Drive Pulley Temperature Transmitter 2</t>
  </si>
  <si>
    <t>VT12560B</t>
  </si>
  <si>
    <t>VI12560B</t>
  </si>
  <si>
    <t>F12-CV-402 Stockpile Feed Conveyor Drive Pulley Vibration Transmitter 2 - Vibration</t>
  </si>
  <si>
    <t>F12CV402 Pulley2</t>
  </si>
  <si>
    <t>TT12560B</t>
  </si>
  <si>
    <t>TI12560B</t>
  </si>
  <si>
    <t>F12-CV-402 Stockpile Feed Conveyor Drive Pulley Vibration Transmitter 2 - Temperature</t>
  </si>
  <si>
    <t>DO NOT DELETE THIS ROW INSERT NEW ROWS ABOVE</t>
  </si>
  <si>
    <t>ANALOGUE OUTPUT</t>
  </si>
  <si>
    <t>*SOFTWARE DEBOUNCE IS REQUIRED ON ALL DIGITAL INSTRUMENTS (NO HARDWARE DEBOUNCE)*</t>
  </si>
  <si>
    <t>DIGITAL INSTRUMENTS (DO)</t>
  </si>
  <si>
    <t>State 0</t>
  </si>
  <si>
    <t>State 1</t>
  </si>
  <si>
    <t>Alarm State</t>
  </si>
  <si>
    <t>Alarm Delay (secs)</t>
  </si>
  <si>
    <t>YI12000A</t>
  </si>
  <si>
    <t>XI12000A</t>
  </si>
  <si>
    <t>F12-BN-401 Rom Bin Truck 1 Dump Pocket (Red) Traffic Light 1</t>
  </si>
  <si>
    <t>ROM Bin P1 Light 1A</t>
  </si>
  <si>
    <t>Off</t>
  </si>
  <si>
    <t>On</t>
  </si>
  <si>
    <r>
      <t xml:space="preserve">XI12000A = Off and XI12000B = On, green (dump). 
XI12000A = On and XI12000B = Off, red (no dump). 
Green light when: F12-CG-401 = RUNNING. SE and NW radar transmitter and traffic light positioning to be confirmed during commissioning.
IF(F12-CG-401 == RUNNING AND HEALTHY AND LI12200 &lt; P_Hi AND LI12199 &lt; P_Hi  AND LAH12201 NORMAL AND ZI12005B &gt; P_Hi  AND LI12004A &lt; P_Hi AND LI12004B &lt; P_Hi AND 12CG401_T2 NOT STARTED AND XI12019D HOME) == TRUE, 
THEN:
        XI12000A == OFF AND XI12000B ==ON  (SET TO GREEN)
ELSE
        XI12000A == ON AND XI12000B ==OFF  (SET TO RED)
</t>
    </r>
    <r>
      <rPr>
        <sz val="11"/>
        <color rgb="FFFF0000"/>
        <rFont val="Arial"/>
        <family val="2"/>
      </rPr>
      <t>TBC Park Position digital input for Rock Breaker package.</t>
    </r>
  </si>
  <si>
    <t>YI12000B</t>
  </si>
  <si>
    <t>XI12000B</t>
  </si>
  <si>
    <t>F12-BN-401 Rom Bin Truck 1 Dump Pocket (Green) Traffic Light 1</t>
  </si>
  <si>
    <t>ROM Bin P1 Light 1B</t>
  </si>
  <si>
    <r>
      <t xml:space="preserve">XI12000A = Off and XI12000B = On, green (dump). 
XI12000A = On and XI12000B = Off, red (no dump). 
Green light when: F12-CG-401 = RUNNING. SE and NW radar transmitter and traffic light positioning to be confirmed during commissioning.
IF(F12-CG-401 == RUNNING AND HEALTHY AND LI12200 &lt; P_Hi AND LI12199 &lt; P_Hi  AND LAH12201 NORMAL AND ZI12005B &gt; P_Hi  AND LI12004A &lt; P_Hi AND LI12004B &lt; P_Hi AND 12CG401_T2 NOT STARTED AND XI12019D HOME) == TRUE, 
THEN:
        XI12000A == OFF AND XI12000B == ON  (SET TO GREEN)
ELSE
        XI12000A == ON AND XI12000B ==OFF  (SET TO RED)
</t>
    </r>
    <r>
      <rPr>
        <sz val="11"/>
        <color rgb="FFFF0000"/>
        <rFont val="Arial"/>
        <family val="2"/>
      </rPr>
      <t>TBC Park Position digital input for Rock Breaker package.</t>
    </r>
  </si>
  <si>
    <t>YI12001A</t>
  </si>
  <si>
    <t>XI12001A</t>
  </si>
  <si>
    <t>F12-BN-401 Rom Bin Truck 1 Dump Pocket (Red) Traffic Light 2</t>
  </si>
  <si>
    <t>ROM Bin P1 Light 2A</t>
  </si>
  <si>
    <r>
      <t xml:space="preserve">XI12001A = Off and XI12001B = On, green (dump). 
XI12001A = On and XI12001B = Off, red (no dump).
Green light when: F12-CG-401 = RUNNING. SE and NW radar transmitter and traffic light positioning to be confirmed during commissioning.
IF(F12-CG-401 == RUNNING AND HEALTHY AND LI12200 &lt; P_Hi AND LI12199 &lt; P_Hi  AND LAH12201 NORMAL AND ZI12005B &gt; P_Hi  AND LI12004A &lt; P_Hi AND LI12004B &lt; P_Hi AND 12CG401_T2 NOT STARTED AND XI12019D HOME AND ZI12005A &gt; P_Hi) == TRUE, 
THEN:
         XI12001A == OFF AND XI12001B == ON  (SET TO GREEN)
ELSE
         XI12001A == ON AND XI12001B ==OFF  (SET TO RED)
</t>
    </r>
    <r>
      <rPr>
        <sz val="11"/>
        <color rgb="FFFF0000"/>
        <rFont val="Arial"/>
        <family val="2"/>
      </rPr>
      <t>TBC Park Position digital input for Rock Breaker package.</t>
    </r>
  </si>
  <si>
    <t>YI12001B</t>
  </si>
  <si>
    <t>XI12001B</t>
  </si>
  <si>
    <t>F12-BN-401 Rom Bin Truck 1 Dump Pocket (Green) Traffic Light 2</t>
  </si>
  <si>
    <t>ROM Bin P1 Light 2B</t>
  </si>
  <si>
    <t>YI12002A</t>
  </si>
  <si>
    <t>XI12002A</t>
  </si>
  <si>
    <t>F12-BN-401 Rom Bin Truck 2 Dump Pocket (Red) Traffic Light 1</t>
  </si>
  <si>
    <t>ROM Bin P2 Light 1A</t>
  </si>
  <si>
    <r>
      <t xml:space="preserve">XI12002A = Off and XI12002B = On, green (dump). 
XI12002A = On and XI12002B = Off, red (no dump).
Green light when: F12-CG-401 = RUNNING. SE and NW radar transmitter and traffic light positioning to be confirmed during commissioning.
IF(F12-CG-401==RUNNING AND HEALTHY AND F12-LI-12200 &lt; P_Hi AND LI12199 &lt; P_Hi  AND LAH12201 NORMAL AND ZI12005A &gt; P_Hi AND LI12004A &lt; P_Hi AND LI12004B &lt; P_Hi AND 12CG401_T2 NOT STARTED AND XI12019D ACTIVE) == TRUE, 
THEN:
         XI12002A == OFF AND XI12002B == ON  (SET TO GREEN)
ELSE
         XI12002A == ON AND XI12002B ==OFF  (SET TO RED)
</t>
    </r>
    <r>
      <rPr>
        <sz val="11"/>
        <color rgb="FFFF0000"/>
        <rFont val="Arial"/>
        <family val="2"/>
      </rPr>
      <t>TBC Park Position digital input for Rock Breaker package.</t>
    </r>
  </si>
  <si>
    <t>YI12002B</t>
  </si>
  <si>
    <t>XI12002B</t>
  </si>
  <si>
    <t>F12-BN-401 Rom Bin Truck 2 Dump Pocket (Green) Traffic Light 1</t>
  </si>
  <si>
    <t>ROM Bin P2 Light 1B</t>
  </si>
  <si>
    <t>YI12003A</t>
  </si>
  <si>
    <t>XI12003A</t>
  </si>
  <si>
    <t>F12-BN-401 Rom Bin Truck 2 Dump Pocket (Red) Traffic Light 2</t>
  </si>
  <si>
    <t>ROM Bin P2 Light 2A</t>
  </si>
  <si>
    <r>
      <t xml:space="preserve">XI12003A = Off and XI12003B = On, green (dump). 
XI12003A = On and XI12003B = Off, red (no dump).
Green light when: F12-CG-401 = RUNNING. SE and NW radar transmitter and traffic light positioning to be confirmed during commissioning.
IF(F12-CG-401== RUNNING AND HEALTHY AND F12-LI-12200 &lt; P_Hi AND LI12199 &lt; P_Hi  AND LAH12201 NORMAL AND ZI12005A &gt; P_Hi AND LI12004A &lt; P_Hi AND LI12004B &lt; P_Hi AND 12CG401_T2 NOT STARTED AND XI12019D ACTIVE AND ZI12005B &gt; P_Hi) == TRUE, 
THEN:
        XI12003A == OFF AND XI12003B == ON  (SET TO GREEN)
ELSE
         XI12003A == ON AND XI12003B ==OFF  (SET TO RED)
</t>
    </r>
    <r>
      <rPr>
        <sz val="11"/>
        <color rgb="FFFF0000"/>
        <rFont val="Arial"/>
        <family val="2"/>
      </rPr>
      <t>TBC Park Position digital input for Rock Breaker package.</t>
    </r>
  </si>
  <si>
    <t>YI12003B</t>
  </si>
  <si>
    <t>XI12003B</t>
  </si>
  <si>
    <t>F12-BN-401 Rom Bin Truck 2 Dump Pocket (Green) Traffic Light 2</t>
  </si>
  <si>
    <t>ROM Bin P2 Light 2B</t>
  </si>
  <si>
    <t>YY12050</t>
  </si>
  <si>
    <t>YA12050</t>
  </si>
  <si>
    <t>F12-CG-401 Primary Crusher 2 Primary Crusher 2 Surge Bin Start Siren</t>
  </si>
  <si>
    <t>F12CG401 Start Siren</t>
  </si>
  <si>
    <t>Siren is activated for 15 secs before drive (F12-CG-401) is allowed to start.</t>
  </si>
  <si>
    <t>XY12137</t>
  </si>
  <si>
    <t>XI12137</t>
  </si>
  <si>
    <t>F12-LU-401 Primary Crusher 2 Lubrication System Control Panel Hydraulic Pump 1 Running Indicator Light</t>
  </si>
  <si>
    <t>F12PO403 Pump 1 Running</t>
  </si>
  <si>
    <t>Stopped</t>
  </si>
  <si>
    <t>Running</t>
  </si>
  <si>
    <t>XY12138</t>
  </si>
  <si>
    <t>XI12138</t>
  </si>
  <si>
    <t>F12-LU-401 Primary Crusher 2 Lubrication System Control Panel Hydraulic Pump 2 Running Indicator Light</t>
  </si>
  <si>
    <t>F12PO410 Pump 2 Running</t>
  </si>
  <si>
    <t>XY12139</t>
  </si>
  <si>
    <t>XI12139</t>
  </si>
  <si>
    <t>F12-LU-401 Primary Crusher 2 Lubrication System Control Panel Lubrication Pump 1 Running Indicator Light</t>
  </si>
  <si>
    <t>F12PO404 Pump 1 Running</t>
  </si>
  <si>
    <t>XY12140</t>
  </si>
  <si>
    <t>XI12140</t>
  </si>
  <si>
    <t>F12-LU-401 Primary Crusher 2 Lubrication System Control Panel Lubrication Pump 2 Running Indicator Light</t>
  </si>
  <si>
    <t>F12PO405 Pump 2 Running</t>
  </si>
  <si>
    <t>YY12223</t>
  </si>
  <si>
    <t>YA12223</t>
  </si>
  <si>
    <t>F12-FA-401 Primary Crusher 2 Discharge Apron Feeder Start Siren</t>
  </si>
  <si>
    <t>F12FA401 Start Siren</t>
  </si>
  <si>
    <t>Siren is activated for 15 secs before drive is allowed to start</t>
  </si>
  <si>
    <t>YY12505A</t>
  </si>
  <si>
    <t>YA12505A</t>
  </si>
  <si>
    <t>F12-CV-401 Primary Crusher Discharge Conveyor Tail End Start Siren</t>
  </si>
  <si>
    <t>F12CV401 T/E Start Siren</t>
  </si>
  <si>
    <t>YY12505B</t>
  </si>
  <si>
    <t>YA12505B</t>
  </si>
  <si>
    <t>F12-CV-401 Primary Crusher Discharge Conveyor Head End Start Siren</t>
  </si>
  <si>
    <t>F12CV401 H/E Start Siren</t>
  </si>
  <si>
    <t>YY12505C</t>
  </si>
  <si>
    <t>YA12505C</t>
  </si>
  <si>
    <t>F12-CV-401 Primary Crusher Discharge Conveyor Mid End Start Siren</t>
  </si>
  <si>
    <t>F12CV401 M/E Start Siren</t>
  </si>
  <si>
    <t>YY12559A</t>
  </si>
  <si>
    <t>YA12559A</t>
  </si>
  <si>
    <t>F12-CV-402 Stockpile Feed Conveyor Tail End Start Siren</t>
  </si>
  <si>
    <t>F12CV402 T/E Start Siren</t>
  </si>
  <si>
    <t>YY12559B</t>
  </si>
  <si>
    <t>YA12559B</t>
  </si>
  <si>
    <t>F12-CV-402 Stockpile Feed Conveyor Head End Start Siren</t>
  </si>
  <si>
    <t>F12CV402 H/E Start Siren</t>
  </si>
  <si>
    <t>YY12234A</t>
  </si>
  <si>
    <t>YA12234A</t>
  </si>
  <si>
    <t>F12-FN-410 Primary Crusher 2 Buried Vault Ventilation Fan ROM Entrance Warning Beacon</t>
  </si>
  <si>
    <t>F12FN410 Beacon 1</t>
  </si>
  <si>
    <t>Activate bit when F12-FN-410 is Not Running. Will electrically activate local beacon within ROM tunnel.</t>
  </si>
  <si>
    <t>YY12234B</t>
  </si>
  <si>
    <t>YA12234B</t>
  </si>
  <si>
    <t>F12-FN-410 Primary Crusher 2 Buried Vault Ventilation Fan CV401 Tunnel Entrance 1 Warning Beacon</t>
  </si>
  <si>
    <t>F12FN410 Beacon 2</t>
  </si>
  <si>
    <t>YY12234C</t>
  </si>
  <si>
    <t>YA12234C</t>
  </si>
  <si>
    <t>F12-FN-410 Primary Crusher 2 Buried Vault Ventilation Fan CV401 Tunnel Entrance 2 Warning Beacon</t>
  </si>
  <si>
    <t>F12FN410 Beacon 3</t>
  </si>
  <si>
    <t>HS12562</t>
  </si>
  <si>
    <t>HS12562STT</t>
  </si>
  <si>
    <t>F12-DC-401 Primary Crusher 2 Dust Collector Start/Stop</t>
  </si>
  <si>
    <t>F12DC401 Start/Stop</t>
  </si>
  <si>
    <t>XY12520</t>
  </si>
  <si>
    <t>XC12520</t>
  </si>
  <si>
    <t>F12-MG-401 Primary Crusher Tramp Magnet 1 Remote Select</t>
  </si>
  <si>
    <t>F12MG401 Remote Select</t>
  </si>
  <si>
    <t>Activated</t>
  </si>
  <si>
    <t>N_Activated</t>
  </si>
  <si>
    <t>2 Second Delay after activating Remote Select to activating Remote Run.</t>
  </si>
  <si>
    <t>XY12521</t>
  </si>
  <si>
    <t>XC12521</t>
  </si>
  <si>
    <t>F12-MG-401 Primary Crusher Tramp Magnet 1 Remote Run</t>
  </si>
  <si>
    <t>F12MG401 Remote Run</t>
  </si>
  <si>
    <t xml:space="preserve">Must have XC12520 active to be able to activate remote run. </t>
  </si>
  <si>
    <t>XY12568</t>
  </si>
  <si>
    <t>XC12568</t>
  </si>
  <si>
    <t>F12-MG-402 Primary Crusher Tramp Magnet 2 Remote Select</t>
  </si>
  <si>
    <t>F12MG402 Remote Select</t>
  </si>
  <si>
    <t>XY12569</t>
  </si>
  <si>
    <t>XC12569</t>
  </si>
  <si>
    <t>F12-MG-402 Primary Crusher Tramp Magnet 2 Remote Run</t>
  </si>
  <si>
    <t>F12MG402 Remote Run</t>
  </si>
  <si>
    <t>Must have XC12568 active to be able to activate remote run.</t>
  </si>
  <si>
    <t>HS12268</t>
  </si>
  <si>
    <t>HS12268STT</t>
  </si>
  <si>
    <t>F12-CU-401 Primary Crusher 2 Chiller Start / Stop</t>
  </si>
  <si>
    <t>F12CU401 Run</t>
  </si>
  <si>
    <t>Stop</t>
  </si>
  <si>
    <t>Start</t>
  </si>
  <si>
    <t>Primary Crusher 2 Oil Chiller Start/Stop Command. See Drives sheet for futther information. This digital output is used in auto control logic to switch chiller F12-CU-401 on/off based on process switchpoints.</t>
  </si>
  <si>
    <t>XY12103</t>
  </si>
  <si>
    <t>XC12103</t>
  </si>
  <si>
    <t>F12-CG-401 Primary Crusher 2 Spider Lube System Pump Remote Run</t>
  </si>
  <si>
    <t>F12LU402 Remote Start</t>
  </si>
  <si>
    <t>Remote run F12-LU-402 (F12-PO-419) via DCS. See Drives for further information.</t>
  </si>
  <si>
    <t>SVO12122</t>
  </si>
  <si>
    <t>SIO12122</t>
  </si>
  <si>
    <t>F12-LU-401 Primary Crusher 2 Lubrication System Oil Filter Differential Pressure Switch High Solenoid Open</t>
  </si>
  <si>
    <t>F12LU401 Solenoid Open</t>
  </si>
  <si>
    <t>Part of Primary Crusher 2 package.
Part of SV12122 (See OnOff Valves sheet)</t>
  </si>
  <si>
    <t>SVC12122</t>
  </si>
  <si>
    <t>SIC12122</t>
  </si>
  <si>
    <t>F12-LU-401 Primary Crusher 2 Lubrication System Oil Filter Differential Pressure Switch High Solenoid Close</t>
  </si>
  <si>
    <t>F12LU401 Solenoid Close</t>
  </si>
  <si>
    <t>XY12226</t>
  </si>
  <si>
    <t>XC12226</t>
  </si>
  <si>
    <t>F12-LU-441 Primary Crusher 2 Discharge Apron Feeder Autolube Grease System Remote Start Control Signal</t>
  </si>
  <si>
    <t>F12LU441 Remote Start</t>
  </si>
  <si>
    <t>XC12268B</t>
  </si>
  <si>
    <t>F12-CU-401 Primary Crusher 2 Chiller Control Mode</t>
  </si>
  <si>
    <t>F12CU401 Ctrl Mode</t>
  </si>
  <si>
    <t>XY12563</t>
  </si>
  <si>
    <t>XC12563</t>
  </si>
  <si>
    <t>F12-DC-401 Primary Crusher 2 Dust Collector Manual Override</t>
  </si>
  <si>
    <t>F12DC401 Override</t>
  </si>
  <si>
    <t>Normal</t>
  </si>
  <si>
    <t>Active</t>
  </si>
  <si>
    <t>F12SW012OP</t>
  </si>
  <si>
    <t>F12SW012_OP</t>
  </si>
  <si>
    <t>Primary Crushing 11kV Switchboard Remote Switching Panel Open Breaker</t>
  </si>
  <si>
    <t>F12SwRoom Breaker Opened</t>
  </si>
  <si>
    <t>Inactive</t>
  </si>
  <si>
    <t>Opened</t>
  </si>
  <si>
    <t>F12SW012CL</t>
  </si>
  <si>
    <t>F12SW012_CL</t>
  </si>
  <si>
    <t>Primary Crushing 11kV Switchboard Remote Switching Panel Close Breaker</t>
  </si>
  <si>
    <t>F12SwRoom Breaker Closed</t>
  </si>
  <si>
    <t>Closed</t>
  </si>
  <si>
    <t>DIGITAL INSTRUMENTS (DI)</t>
  </si>
  <si>
    <t>Source</t>
  </si>
  <si>
    <t>F12FIP001ALM</t>
  </si>
  <si>
    <t>F12FIP001_ALM</t>
  </si>
  <si>
    <t>Primary Crushing 11kV / 415V Switchroom Fire Indicator Panel Alarm</t>
  </si>
  <si>
    <t>F12SwRoom Fire Alarm</t>
  </si>
  <si>
    <t>Alarm</t>
  </si>
  <si>
    <t>Hardwired to PCS</t>
  </si>
  <si>
    <t>F12FIP001FLT</t>
  </si>
  <si>
    <t>F12FIP001_FLT</t>
  </si>
  <si>
    <t>Primary Crushing 11kV / 415V Switchroom Fire Indicator Panel Fault</t>
  </si>
  <si>
    <t>F12SwRoom Fire Fault</t>
  </si>
  <si>
    <t>F12DCS401PS1</t>
  </si>
  <si>
    <t>F12DCS401_PS1</t>
  </si>
  <si>
    <t>Primary Crushing 415V Switchroom DCS Panel Power Supply Healthy</t>
  </si>
  <si>
    <t>F12 DCS Pwr Healthy</t>
  </si>
  <si>
    <t>F12UPS002ALMS</t>
  </si>
  <si>
    <t>F12UPS002ALM</t>
  </si>
  <si>
    <t>Primary Crushing 415V Switchroom 240VAC UPS Alarm</t>
  </si>
  <si>
    <t>F12SwRm 240VAC UPS Alarm</t>
  </si>
  <si>
    <t>Soft Tag</t>
  </si>
  <si>
    <t>Signal over modbus.</t>
  </si>
  <si>
    <t>F12SW12SOP01S</t>
  </si>
  <si>
    <t>F12SW012SOP01</t>
  </si>
  <si>
    <t>Primary Crushing 11kV Switchboard Panel 1 Isolator Opened</t>
  </si>
  <si>
    <t>F12SwBrd P1 Iso Open</t>
  </si>
  <si>
    <t>F12SW12SCL01S</t>
  </si>
  <si>
    <t>F12SW012SCL01</t>
  </si>
  <si>
    <t>Primary Crushing 11kV Switchboard Panel 1 Isolator Closed</t>
  </si>
  <si>
    <t>F12SwBrd P1 Iso Clsd</t>
  </si>
  <si>
    <t>F12SW12SFH01S</t>
  </si>
  <si>
    <t>F12SW012SFH01</t>
  </si>
  <si>
    <t>Primary Crushing 11kV Switchboard Panel 1 Fuse Healthy</t>
  </si>
  <si>
    <t>F12SwBrd P1 Fuse Healthy</t>
  </si>
  <si>
    <t>F12SW12SOP02S</t>
  </si>
  <si>
    <t>F12SW012SOP02</t>
  </si>
  <si>
    <t>Primary Crushing 11kV Switchboard Panel 2 Circuit Breaker Opened</t>
  </si>
  <si>
    <t>F12SwBrd P2 Breaker Open</t>
  </si>
  <si>
    <t>Signal over modbus from F12SW012A02-R01</t>
  </si>
  <si>
    <t>F12SW12SCL02S</t>
  </si>
  <si>
    <t>F12SW012SCL02</t>
  </si>
  <si>
    <t>Primary Crushing 11kV Switchboard Panel 2 Circuit Breaker Closed</t>
  </si>
  <si>
    <t>F12SwBrd P2 Breaker Clsd</t>
  </si>
  <si>
    <t>F12SW12STR02S</t>
  </si>
  <si>
    <t>F12SW012STR02</t>
  </si>
  <si>
    <t>Primary Crushing 11kV Switchboard Panel 2 Circuit Breaker Tripped</t>
  </si>
  <si>
    <t>F12SwBrd P2 Breaker Trip</t>
  </si>
  <si>
    <t>F12SW12SOP03S</t>
  </si>
  <si>
    <t>F12SW012SOP03</t>
  </si>
  <si>
    <t>Primary Crushing 11kV Switchboard Panel 3 Contactor Opened</t>
  </si>
  <si>
    <t>F12SwBrd P3 Cont Open</t>
  </si>
  <si>
    <t>Signal over modbus from F12SW012A03-R01</t>
  </si>
  <si>
    <t>F12SW12SCL03S</t>
  </si>
  <si>
    <t>F12SW012SCL03</t>
  </si>
  <si>
    <t>Primary Crushing 11kV Switchboard Panel 3 Contactor Closed</t>
  </si>
  <si>
    <t>F12SwBrd P3 Cont Clsd</t>
  </si>
  <si>
    <t>F12SW12SFH03S</t>
  </si>
  <si>
    <t>F12SW012SFH03</t>
  </si>
  <si>
    <t>Primary Crushing 11kV Switchboard Panel 3 Fuse Healthy</t>
  </si>
  <si>
    <t>F12SwBrd P3 Fuse Healthy</t>
  </si>
  <si>
    <t>F12SW12SOP04S</t>
  </si>
  <si>
    <t>F12SW012SOP04</t>
  </si>
  <si>
    <t>Primary Crushing 11kV Switchboard Panel 4 Circuit Breaker Opened</t>
  </si>
  <si>
    <t>F12SwBrd P4 Breaker Open</t>
  </si>
  <si>
    <t>Signal over modbus from F12SW012A04-R01</t>
  </si>
  <si>
    <t>F12SW12SCL04S</t>
  </si>
  <si>
    <t>F12SW012SCL04</t>
  </si>
  <si>
    <t>Primary Crushing 11kV Switchboard Panel 4 Circuit Breaker Closed</t>
  </si>
  <si>
    <t>F12SwBrd P4 Breaker Clsd</t>
  </si>
  <si>
    <t>F12SW12STR04S</t>
  </si>
  <si>
    <t>F12SW012STR04</t>
  </si>
  <si>
    <t>Primary Crushing 11kV Switchboard Panel 4 Circuit Breaker Tripped</t>
  </si>
  <si>
    <t>F12SwBrd P4 Breaker Trip</t>
  </si>
  <si>
    <t>F12SW12SOP05S</t>
  </si>
  <si>
    <t>F12SW012SOP05</t>
  </si>
  <si>
    <t>Primary Crushing 11kV Switchboard Panel 5 Circuit Breaker Opened</t>
  </si>
  <si>
    <t>F12SwBrd P5 Breaker Open</t>
  </si>
  <si>
    <t>Signal over modbus from F12SW012A05-R01 (Spare)</t>
  </si>
  <si>
    <t>F12SW12SCL05S</t>
  </si>
  <si>
    <t>F12SW012SCL05</t>
  </si>
  <si>
    <t>Primary Crushing 11kV Switchboard Panel 5 Circuit Breaker Closed</t>
  </si>
  <si>
    <t>F12SwBrd P5 Breaker Clsd</t>
  </si>
  <si>
    <t>F12SW12STR05S</t>
  </si>
  <si>
    <t>F12SW012STR05</t>
  </si>
  <si>
    <t>Primary Crushing 11kV Switchboard Panel 5 Circuit Breaker Tripped</t>
  </si>
  <si>
    <t>F12SwBrd P5 Breaker Trip</t>
  </si>
  <si>
    <t>F12SR001ESTP</t>
  </si>
  <si>
    <t>F12SR001_ESTP</t>
  </si>
  <si>
    <t>Primary Crushing 11kV / 415V Switchroom Emergency Shutdown Healthy</t>
  </si>
  <si>
    <t>F12SwRm Emerg Shut Hlthy</t>
  </si>
  <si>
    <t>F12DCS401PS2</t>
  </si>
  <si>
    <t>F12DCS401_PS2</t>
  </si>
  <si>
    <t>F12FIP001ISL</t>
  </si>
  <si>
    <t>F12FIP001_ISL</t>
  </si>
  <si>
    <t>F12-FIP-001 Isolated</t>
  </si>
  <si>
    <t>F12SwRoom Isolate</t>
  </si>
  <si>
    <t>F12RIO001PS1</t>
  </si>
  <si>
    <t>F12RIO001_PS1</t>
  </si>
  <si>
    <t>F12-RIO-001 PS1 24VDC HEALTHY</t>
  </si>
  <si>
    <t>F12RIO1 P1 Healthy</t>
  </si>
  <si>
    <t>F12RIO001PS2</t>
  </si>
  <si>
    <t>F12RIO001_PS2</t>
  </si>
  <si>
    <t>F12-RIO-001 PS2 24VDC HEALTHY</t>
  </si>
  <si>
    <t>F12RIO1 P2 Healthy</t>
  </si>
  <si>
    <t>F12RIO002PS1</t>
  </si>
  <si>
    <t>F12RIO002_PS1</t>
  </si>
  <si>
    <t>F12-RIO-002 PS1 24VDC HEALTHY</t>
  </si>
  <si>
    <t>F12RIO2 P1 Healthy</t>
  </si>
  <si>
    <t>F12RIO002PS2</t>
  </si>
  <si>
    <t>F12RIO002_PS2</t>
  </si>
  <si>
    <t>F12-RIO-002 PS2 24VDC HEALTHY</t>
  </si>
  <si>
    <t>F12RIO2 P2 Healthy</t>
  </si>
  <si>
    <t>F12SW101Q1CL</t>
  </si>
  <si>
    <t>F12SW101_Q1CL</t>
  </si>
  <si>
    <t>F12-SW-101 Mains Supply CB Closed</t>
  </si>
  <si>
    <t>F12SW101 Mains CB Closed</t>
  </si>
  <si>
    <t>F12SW101Q1TRP</t>
  </si>
  <si>
    <t>F12SW101_Q1OP</t>
  </si>
  <si>
    <t>F12-SW-101 Mains Supply CB Tripped</t>
  </si>
  <si>
    <t>F12SW101 Mains CB Trip</t>
  </si>
  <si>
    <t>F12SW101Q2CL</t>
  </si>
  <si>
    <t>F12SW101_Q2CL</t>
  </si>
  <si>
    <t>F12-SW-101 Generator Supply CB Closed</t>
  </si>
  <si>
    <t>F12SW101 Gen CB Closed</t>
  </si>
  <si>
    <t>F12SW101Q2TRP</t>
  </si>
  <si>
    <t>F12SW101_Q2OP</t>
  </si>
  <si>
    <t>F12-SW-101 Generator Supply CB Tripped</t>
  </si>
  <si>
    <t>F12SW101 Gen CB Trip</t>
  </si>
  <si>
    <t>F12SW012ESCL</t>
  </si>
  <si>
    <t>F12SW012_ESCL</t>
  </si>
  <si>
    <t>N/A</t>
  </si>
  <si>
    <t>F12-SW-012 Earth Switch Closed</t>
  </si>
  <si>
    <t>F12SW012 ES Closed</t>
  </si>
  <si>
    <t>F12SW012ESOP</t>
  </si>
  <si>
    <t>F12SW012_ESOP</t>
  </si>
  <si>
    <t>F12-SW-012 Earth Switch Opened</t>
  </si>
  <si>
    <t>F12SW012 ES Opened</t>
  </si>
  <si>
    <t>PDSH12088</t>
  </si>
  <si>
    <t>PDAH12088</t>
  </si>
  <si>
    <t>F12-LU-401 Primary Crusher 2 Lubrication System Hydraulic System Oil Filter Differential Pressure Switch High</t>
  </si>
  <si>
    <t>F12LU401 HydFilterDiffHi</t>
  </si>
  <si>
    <t>As per FLS I/O List 2000-ME001.1-F17-50001</t>
  </si>
  <si>
    <t>PDSHH12088</t>
  </si>
  <si>
    <t>PDAHH12088</t>
  </si>
  <si>
    <t>F12-LU-401 Primary Crusher 2 Lubrication System Hydraulic System Oil Filter Differential Pressure Switch High High</t>
  </si>
  <si>
    <t>F12LU401 HydFilterDiffHH</t>
  </si>
  <si>
    <t>LSL12081</t>
  </si>
  <si>
    <t>LAL12081</t>
  </si>
  <si>
    <t>F12-LU-401 Primary Crusher 2 Lubrication System Hydraulic Oil Reservoir Level Switch</t>
  </si>
  <si>
    <t>F12LU401 HydOilResvrLo</t>
  </si>
  <si>
    <t>Closed (Low)</t>
  </si>
  <si>
    <t>As per 2000-ME001.1-E03-50001
Setpoint as per FLS I/O List 2000-ME001.1-F17-50001 
• Set switch to close at 66% of effective volume height (700mm * 0.66 = 462mm)</t>
  </si>
  <si>
    <t>LSLL12081</t>
  </si>
  <si>
    <t>LALL12081</t>
  </si>
  <si>
    <t>F12LU401 HydOilResvrLL</t>
  </si>
  <si>
    <t>Closed (Low Low)</t>
  </si>
  <si>
    <t xml:space="preserve">As per 2000-ME001.1-E03-50001
Setpoint as per FLS I/O List 2000-ME001.1-F17-50001 
• Set switch to close at 33% of effective volume height (700mm * 0.33 = 231mm,)
</t>
  </si>
  <si>
    <t>XS12100</t>
  </si>
  <si>
    <t>XA12100</t>
  </si>
  <si>
    <t>F12-LU-402 Primary Crusher 2 Spider Lubrication System End Cycle Position Switch</t>
  </si>
  <si>
    <t>F12LU402 Cycle End Sw</t>
  </si>
  <si>
    <t>Please see F12-LU-402_T1 for further details in 12. Misc sheet. 
Switch activates at end of cycle.
For further details, please refer to 2000-ME001.1-F17-50001.</t>
  </si>
  <si>
    <t>HS12101</t>
  </si>
  <si>
    <t>HS12101STT</t>
  </si>
  <si>
    <t>F12-LU-402 Primary Crusher 2 Spider Lubrication Sytem Start Push Button LCP</t>
  </si>
  <si>
    <t>F12LU402 Start</t>
  </si>
  <si>
    <t>Push button on LCP. When activated AND F12LU402 in LOCAL, HS12101 to start system (F12-PO-419).</t>
  </si>
  <si>
    <t>XS12104</t>
  </si>
  <si>
    <t>XI12104</t>
  </si>
  <si>
    <t>F12-CG-401 Primary Crusher 2 Spider Lube System Pump Ready</t>
  </si>
  <si>
    <t>F12LU402 Spider Ready</t>
  </si>
  <si>
    <t>N_Ready</t>
  </si>
  <si>
    <t>Ready</t>
  </si>
  <si>
    <t>XS12105</t>
  </si>
  <si>
    <t>XI12105</t>
  </si>
  <si>
    <t>F12-CG-401 Primary Crusher 2 Spider Lube System Pump Running</t>
  </si>
  <si>
    <t>F12LU402 Spider Running</t>
  </si>
  <si>
    <t>N_Running</t>
  </si>
  <si>
    <t>LSL12111</t>
  </si>
  <si>
    <t>LAL12111</t>
  </si>
  <si>
    <t>F12-LU-401 Primary Crusher 2 Lubrication System Lube Oil Reservoir Level Switch</t>
  </si>
  <si>
    <t>F12LU401 LubeOilResvrLo</t>
  </si>
  <si>
    <t>As per 2000-ME001.1-E03-50001.
Setpoint as per FLS I/O List 2000-ME001.1-F17-50001 
• Set switch to close at 66% of effective volume height.</t>
  </si>
  <si>
    <t>LSLL12111</t>
  </si>
  <si>
    <t>LALL12111</t>
  </si>
  <si>
    <t>F12LU401 LubeOilResvrLL</t>
  </si>
  <si>
    <t>As per 2000-ME001.1-E03-50001.
Setpoint as per FLS I/O List 2000-ME001.1-F17-50001 
• Set switch to close at 33% of effective volume height.</t>
  </si>
  <si>
    <t>PDSH12121</t>
  </si>
  <si>
    <t>PDAH12121</t>
  </si>
  <si>
    <t>F12-LU-401 Primary Crusher 2 Lubrication System Oil Filter Differential Pressure Switch High</t>
  </si>
  <si>
    <t>F12LU401 LubeFlterDiffHi</t>
  </si>
  <si>
    <t>PDSHH12121</t>
  </si>
  <si>
    <t>PDAHH12121</t>
  </si>
  <si>
    <t>F12-LU-401 Primary Crusher 2 Lubrication System Oil Filter Differential Pressure Switch High High</t>
  </si>
  <si>
    <t>F12LU401 LubeFlterDiffHH</t>
  </si>
  <si>
    <t>LSH12201</t>
  </si>
  <si>
    <t>LAH12201</t>
  </si>
  <si>
    <t>F12-BN-405 Primary Crusher 2 Surge Bin Primary Crusher 2 Surge Bin Level Switch High</t>
  </si>
  <si>
    <t>F12BN405 Prim. Cr 2 LAH</t>
  </si>
  <si>
    <t>LSH12227</t>
  </si>
  <si>
    <t>LAH12227</t>
  </si>
  <si>
    <t>F12-CH-402 Primary Crusher Discharge Apron Feeder Head Chute Blocked Chute Receive</t>
  </si>
  <si>
    <t>F12CH402 Blocked Chute</t>
  </si>
  <si>
    <t>LSH12370</t>
  </si>
  <si>
    <t>LAH12370</t>
  </si>
  <si>
    <t>F12-PS-401 Primary Crusher 2 Area Sump Pump Level Switch High</t>
  </si>
  <si>
    <t>F12PS401 Crusher Sump</t>
  </si>
  <si>
    <t>Wired directly to the motor starter</t>
  </si>
  <si>
    <t>ZE12222</t>
  </si>
  <si>
    <t>SAL12222</t>
  </si>
  <si>
    <t>F12-FA-401 Primary Crusher 2 Discharge Apron Feeder Position Encoder</t>
  </si>
  <si>
    <t>F12FA401 Underspeed</t>
  </si>
  <si>
    <t>F12-FA-401 Not Running</t>
  </si>
  <si>
    <t>Set at less than or equal &lt;= 2 RPM.
Alarm enabled delay of 10 seconds on Feeder F12-FA-401 start-up.
Source: 2000-ME004-M01-10001
Wired directly to the motor starter</t>
  </si>
  <si>
    <t>PWS12221A</t>
  </si>
  <si>
    <t>PWA12221A</t>
  </si>
  <si>
    <t>F12-FA-401 Primary Crusher 2 Discharge Apron Feeder Pull-Wire Switch RHS</t>
  </si>
  <si>
    <t>F12FA401 P/W RHS</t>
  </si>
  <si>
    <t>PWS12221B</t>
  </si>
  <si>
    <t>PWA12221B</t>
  </si>
  <si>
    <t>F12-FA-401 Primary Crusher 2 Discharge Apron Feeder Pull-Wire Switch LHS</t>
  </si>
  <si>
    <t>F12FA401 P/W LHS</t>
  </si>
  <si>
    <t>TS12237</t>
  </si>
  <si>
    <t>TSH12237</t>
  </si>
  <si>
    <t>F12-FA-401 Primary Crusher 2 Discharge Apron Feeder Gearbox Fan Cooler Temperature Switch</t>
  </si>
  <si>
    <t>F12FA401 Gearbox Fan Sw</t>
  </si>
  <si>
    <t>Apron Feeder Cooler Temperature Switch. 
When activated, air-oil cooler fan will switch on (at temperatures greater than 50C). Fan will switch off when temperature is &lt; 35C.
Source: 2000-ME004-M01-10001.</t>
  </si>
  <si>
    <t>PDSH12230</t>
  </si>
  <si>
    <t>PDAH12230</t>
  </si>
  <si>
    <t>F12-PO-436 Primary Crusher 2 Discharge Apron Feeder Gearbox Cooler Oil Pump Filter Pressure Differential Switch High</t>
  </si>
  <si>
    <t>F12PO436 Filter Delta</t>
  </si>
  <si>
    <t>Mask if F12-PO-436 Not Running</t>
  </si>
  <si>
    <r>
      <t xml:space="preserve">Gearbox Cooler Filter Clogging Indicator.
Differential pressure is above 1.5 bar.
</t>
    </r>
    <r>
      <rPr>
        <b/>
        <sz val="11"/>
        <color rgb="FF0000FF"/>
        <rFont val="Arial"/>
        <family val="2"/>
      </rPr>
      <t>Alarm if PDAH12230 Active.</t>
    </r>
  </si>
  <si>
    <t>PS12231</t>
  </si>
  <si>
    <t>PAL12231</t>
  </si>
  <si>
    <t>F12-PO-436 Primary Crusher 2 Discharge Apron Feeder Gearbox Cooler Oil Pump Pressure Switch</t>
  </si>
  <si>
    <t xml:space="preserve">F12PO436 G/Box </t>
  </si>
  <si>
    <t>Gearbox Oil Cooler Pressure Switch.
Oil pump fault. Discharge pressure &lt; 0.7 bar. 
Alarm enabled delay on F12PO436 startup of 15 seconds.</t>
  </si>
  <si>
    <t>SSL12510</t>
  </si>
  <si>
    <t>SAL12510</t>
  </si>
  <si>
    <t>F12-CV-401 Primary Crusher Discharge Conveyor Tail End Speed Sensor</t>
  </si>
  <si>
    <t>F12CV401 Under Speed</t>
  </si>
  <si>
    <t>F12-CV-401 Not Running and Mask on start-up</t>
  </si>
  <si>
    <t>PWS12501A</t>
  </si>
  <si>
    <t>PWA12501A</t>
  </si>
  <si>
    <t>F12-CV-401 Primary Crusher Discharge Conveyor Tail End Pull-Wire Switch 1 RHS</t>
  </si>
  <si>
    <t>F12CV401 Tail P/W RHS</t>
  </si>
  <si>
    <t>PWS12501B</t>
  </si>
  <si>
    <t>PWA12501B</t>
  </si>
  <si>
    <t>F12-CV-401 Primary Crusher Discharge Conveyor Tail End Pull-Wire Switch 1 LHS</t>
  </si>
  <si>
    <t>F12CV401 Tail P/W LHS</t>
  </si>
  <si>
    <t>BRS12504</t>
  </si>
  <si>
    <t>BRA12504</t>
  </si>
  <si>
    <t>F12-CV-401 Primary Crusher Discharge Conveyor Loading Chute Belt Rip Switch</t>
  </si>
  <si>
    <t>F12CV401 Belt Rip</t>
  </si>
  <si>
    <t>PWS12501C</t>
  </si>
  <si>
    <t>PWA12501C</t>
  </si>
  <si>
    <t>F12-CV-401 Primary Crusher Discharge Conveyor Head End Pull-Wire Switch 2 RHS</t>
  </si>
  <si>
    <t>F12CV401 Head P/W RHS</t>
  </si>
  <si>
    <t>PWS12501D</t>
  </si>
  <si>
    <t>PWA12501D</t>
  </si>
  <si>
    <t>F12-CV-401 Primary Crusher Discharge Conveyor Head End Pull-Wire Switch 2 LHS</t>
  </si>
  <si>
    <t>F12CV401 Head P/W LHS</t>
  </si>
  <si>
    <t>ZS12506A</t>
  </si>
  <si>
    <t>ZSA12506A</t>
  </si>
  <si>
    <t>F12-CV-401 Primary Crusher Discharge Conveyor Take-Up Upper Limit Limit Switch</t>
  </si>
  <si>
    <t>F12CV401 Take-Up LHS</t>
  </si>
  <si>
    <t>F12-CV-401 Not Running</t>
  </si>
  <si>
    <t>ZS12506B</t>
  </si>
  <si>
    <t>ZSA12506B</t>
  </si>
  <si>
    <t>F12-CV-401 Primary Crusher Discharge Conveyor Take-Up Lower Limit Limit Switch</t>
  </si>
  <si>
    <t>F12CV401 Take-Up RHS</t>
  </si>
  <si>
    <t>ZE12502</t>
  </si>
  <si>
    <t>SAL12502</t>
  </si>
  <si>
    <t>F12-CV-401 Primary Crusher Discharge Conveyor Drive Pulley Speed Encoder</t>
  </si>
  <si>
    <t>F12CV401 H/E Belt Speed</t>
  </si>
  <si>
    <t>Wired directly to the motor starter.</t>
  </si>
  <si>
    <t>LSH12511</t>
  </si>
  <si>
    <t>LAH12511</t>
  </si>
  <si>
    <t>F12-CH-405 Primary Crusher DIscharge Conveyor Head Chute Blocked Chute Receive</t>
  </si>
  <si>
    <t xml:space="preserve">F12CV401 Blocked Chute </t>
  </si>
  <si>
    <t>BDS12503A</t>
  </si>
  <si>
    <t>BDA12503A</t>
  </si>
  <si>
    <t>F12-CV-401 Primary Crusher Discharge Conveyor Loading Chute Belt Drift Switch RHS</t>
  </si>
  <si>
    <t>F12CV401 Tail Drift RHS</t>
  </si>
  <si>
    <t>BDS12503B</t>
  </si>
  <si>
    <t>BDA12503B</t>
  </si>
  <si>
    <t>F12-CV-401 Primary Crusher Discharge Conveyor Loading Chute Belt Drift Switch LHS</t>
  </si>
  <si>
    <t>F12CV401 Tail Drift LHS</t>
  </si>
  <si>
    <t>BDS12503C</t>
  </si>
  <si>
    <t>BDA12503C</t>
  </si>
  <si>
    <t>F12-CV-401 Primary Crusher Discharge Conveyor Head End Belt Drift Switch RHS</t>
  </si>
  <si>
    <t>F12CV401 Head Drift RHS</t>
  </si>
  <si>
    <t>BDS12503D</t>
  </si>
  <si>
    <t>BDA12503D</t>
  </si>
  <si>
    <t>F12-CV-401 Primary Crusher Discharge Conveyor Head End Belt Drift Switch LHS</t>
  </si>
  <si>
    <t>F12CV401 Head Drift LHS</t>
  </si>
  <si>
    <t>BDS12503E</t>
  </si>
  <si>
    <t>BDA12503E</t>
  </si>
  <si>
    <t>F12-CV-401 Primary Crusher Discharge Conveyor Take Up Return Belt Drift Switch RHS</t>
  </si>
  <si>
    <t>F12CV401 TakeUpDrift RHS</t>
  </si>
  <si>
    <t>BDS12503F</t>
  </si>
  <si>
    <t>BDA12503F</t>
  </si>
  <si>
    <t>F12-CV-401 Primary Crusher Discharge Conveyor Take Up Return Belt Drift Switch LHS</t>
  </si>
  <si>
    <t>F12CV401 TakeUpDrift LHS</t>
  </si>
  <si>
    <t>XS12519</t>
  </si>
  <si>
    <t>XA12519</t>
  </si>
  <si>
    <t>F12-MG-401 Primary Crusher Tramp Magnet 1 System Fault</t>
  </si>
  <si>
    <t>F12MG401 System Fault</t>
  </si>
  <si>
    <t>XS12518</t>
  </si>
  <si>
    <t>XI12518</t>
  </si>
  <si>
    <t>F12-MG-401 Primary Crusher Tramp Magnet 1 System Running</t>
  </si>
  <si>
    <t>F12MG401 System Running</t>
  </si>
  <si>
    <t>XS12517</t>
  </si>
  <si>
    <t>XI12517</t>
  </si>
  <si>
    <t>F12-MG-401 Primary Crusher Tramp Magnet 1 System Ready</t>
  </si>
  <si>
    <t>F12MG401 System Ready</t>
  </si>
  <si>
    <t>XA12563</t>
  </si>
  <si>
    <t>Primary Crusher 2 Dust Collector System Fault</t>
  </si>
  <si>
    <t>F12DC401 System Fault</t>
  </si>
  <si>
    <t>XI12564</t>
  </si>
  <si>
    <t>Primary Crusher 2 Dust Collector System Running</t>
  </si>
  <si>
    <t>F12DC401 System Running</t>
  </si>
  <si>
    <t>SSL12553</t>
  </si>
  <si>
    <t>SAL12553</t>
  </si>
  <si>
    <t>F12-CV-402 Stockpile Feed Conveyor Tail End Underspeed Switch</t>
  </si>
  <si>
    <t>F12CV402 Tail Underspeed</t>
  </si>
  <si>
    <t>F12-CV-402 Not Running and Mask on start-up</t>
  </si>
  <si>
    <t>BRS12556</t>
  </si>
  <si>
    <t>BRA12556</t>
  </si>
  <si>
    <t>F12-CV-402 Stockpile Feed Conveyor Loading Chute Belt Rip Switch</t>
  </si>
  <si>
    <t>F12CV402 Belt Rip Switch</t>
  </si>
  <si>
    <t>BDS12555A</t>
  </si>
  <si>
    <t>BDA12555A</t>
  </si>
  <si>
    <t>F12-CV-402 Stockpile Feed Conveyor Tail End Return Belt Drift Switch RHS</t>
  </si>
  <si>
    <t>F12CV402 Tail Drift RHS</t>
  </si>
  <si>
    <t>F12-CV-402 Not Running</t>
  </si>
  <si>
    <t>BDS12555B</t>
  </si>
  <si>
    <t>BDA12555B</t>
  </si>
  <si>
    <t>F12-CV-402 Stockpile Feed Conveyor Tail End Return Belt Drift Switch LHS</t>
  </si>
  <si>
    <t>F12CV402 Tail Drift LHS</t>
  </si>
  <si>
    <t>PWS12552A</t>
  </si>
  <si>
    <t>PWA12552A</t>
  </si>
  <si>
    <t>F12-CV-402 Stockpile Feed Conveyor Tail End Pull-Wire Switch 1 RHS</t>
  </si>
  <si>
    <t>F12CV402 Tail P/W RHS</t>
  </si>
  <si>
    <t>PWS12552B</t>
  </si>
  <si>
    <t>PWA12552B</t>
  </si>
  <si>
    <t>F12-CV-402 Stockpile Feed Conveyor Tail End Pull-Wire Switch 1 LHS</t>
  </si>
  <si>
    <t>F12CV402 Tail P/W LHS</t>
  </si>
  <si>
    <t>PWS12552C</t>
  </si>
  <si>
    <t>PWA12552C</t>
  </si>
  <si>
    <t>F12-CV-402 Stockpile Feed Conveyor Head End Pull-Wire Switch 2 RHS</t>
  </si>
  <si>
    <t>F12CV402 Mid P/W  (RHS)</t>
  </si>
  <si>
    <t>PWS12552D</t>
  </si>
  <si>
    <t>PWA12552D</t>
  </si>
  <si>
    <t>F12-CV-402 Stockpile Feed Conveyor Head End Pull-Wire Switch 2 LHS</t>
  </si>
  <si>
    <t>F12CV402 Mid P/W LHS</t>
  </si>
  <si>
    <t>ZS12558A</t>
  </si>
  <si>
    <t>ZSA12558A</t>
  </si>
  <si>
    <t>F12-CV-402 Stockpile Feed Conveyor Take-Up Upper Limit Limit Switch</t>
  </si>
  <si>
    <t>F12CV402 Takeup Left</t>
  </si>
  <si>
    <t>ZS12558B</t>
  </si>
  <si>
    <t>ZSA12558B</t>
  </si>
  <si>
    <t>F12-CV-402 Stockpile Feed Conveyor Take-Up Lower Limit Limit Switch</t>
  </si>
  <si>
    <t>F12CV402 Takeup Right</t>
  </si>
  <si>
    <t>YE12523</t>
  </si>
  <si>
    <t>YI12523</t>
  </si>
  <si>
    <t>F12-AN-407 Coarse Ore Stockpile Feed Particle Size Analyser Output</t>
  </si>
  <si>
    <t>F12AN407 Output</t>
  </si>
  <si>
    <t>Coarse Ore Stockpile Feed Particle Size Analyser. 
Input Tag: vision/camera-name/p80
Please see: 2000-SPC-CS-110001 for details.</t>
  </si>
  <si>
    <t>ZE12554</t>
  </si>
  <si>
    <t>SAL12554</t>
  </si>
  <si>
    <t>F12-CV-402 Stockpile Feed Conveyor Drive Pulley Speed Encoder</t>
  </si>
  <si>
    <t>F12CV402 Pulley U/Speed</t>
  </si>
  <si>
    <t>BDS12555C</t>
  </si>
  <si>
    <t>BDA12555C</t>
  </si>
  <si>
    <t>F12-CV-402 Stockpile Feed Conveyor Head End Belt Drift Switch RHS</t>
  </si>
  <si>
    <t>F12CV402 Head Drift RHS</t>
  </si>
  <si>
    <t>BDS12555D</t>
  </si>
  <si>
    <t>BDA12555D</t>
  </si>
  <si>
    <t>F12-CV-402 Stockpile Feed Conveyor Head End Belt Drift Switch LHS</t>
  </si>
  <si>
    <t>F12CV402 Head Drift LHS</t>
  </si>
  <si>
    <t>BDS12555E</t>
  </si>
  <si>
    <t>BDA12555E</t>
  </si>
  <si>
    <t>F12-CV-402 Stockpile Feed Conveyor Take Up Return Belt Drift Switch RHS</t>
  </si>
  <si>
    <t>F12CV402 TakeUpDrift RHS</t>
  </si>
  <si>
    <t>BDS12555F</t>
  </si>
  <si>
    <t>BDA12555F</t>
  </si>
  <si>
    <t>F12-CV-402 Stockpile Feed Conveyor Take Up Return Belt Drift Switch LHS</t>
  </si>
  <si>
    <t>F12CV402 TakeUpDrift LHS</t>
  </si>
  <si>
    <t>BDS12555G</t>
  </si>
  <si>
    <t>BDA12555G</t>
  </si>
  <si>
    <t>F12-CV-402 Stockpile Feed Conveyor Loading Chute Belt Drift Switch RHS</t>
  </si>
  <si>
    <t>F12CV402 Chute Drift RHS</t>
  </si>
  <si>
    <t>BDS12555H</t>
  </si>
  <si>
    <t>BDA12555H</t>
  </si>
  <si>
    <t>F12-CV-402 Stockpile Feed Conveyor Loading Chute Belt Drift Switch LHS</t>
  </si>
  <si>
    <t>F12CV402 Chute Drift LHS</t>
  </si>
  <si>
    <t>LSH12582</t>
  </si>
  <si>
    <t>LAH12582</t>
  </si>
  <si>
    <t>F12-CV-402 Stockpile Feed Conveyor Blocked Chute Receive</t>
  </si>
  <si>
    <t>F12CV402 Blocked Chute</t>
  </si>
  <si>
    <t>XS12567</t>
  </si>
  <si>
    <t>XA12567</t>
  </si>
  <si>
    <t>F12-MG-402 Primary Crusher Tramp Magnet 2 System Fault</t>
  </si>
  <si>
    <t>F12MG402 System Fault</t>
  </si>
  <si>
    <t>XS12566</t>
  </si>
  <si>
    <t>XI12566</t>
  </si>
  <si>
    <t>F12-MG-402 Primary Crusher Tramp Magnet 2 System Running</t>
  </si>
  <si>
    <t>F12MG402 System Running</t>
  </si>
  <si>
    <t>XS12565</t>
  </si>
  <si>
    <t>XI12565</t>
  </si>
  <si>
    <t>F12-MG-402 Primary Crusher Tramp Magnet 2 System Ready</t>
  </si>
  <si>
    <t>F12MG402 System Ready</t>
  </si>
  <si>
    <t>LSL12225</t>
  </si>
  <si>
    <t>LAL12225</t>
  </si>
  <si>
    <t>F12-LU-441 Primary Crusher 2 Discharge Apron Feeder Autolube Grease System Lube Level Switch Low</t>
  </si>
  <si>
    <t>F12FA401 Grease Level</t>
  </si>
  <si>
    <t>Apron Feeder Grease System Level Low</t>
  </si>
  <si>
    <t>XS12224</t>
  </si>
  <si>
    <t>XA12224</t>
  </si>
  <si>
    <t>F12-LU-441 Primary Crusher 2 Discharge Apron Feeder Autolube Grease System End Cycle Position Switch</t>
  </si>
  <si>
    <t>F12FA401 Grease Cycle Sw</t>
  </si>
  <si>
    <t>Mask if F12-LU-441 Not Running</t>
  </si>
  <si>
    <t>Switch to pulse when Grease Pump (F12-LU-441) is running.
Alarm if F12-LU-441 Running AND XA12224 Not Active.
Refer to 2000-ME004-M01-10001 for further details.</t>
  </si>
  <si>
    <t>LSHH13001</t>
  </si>
  <si>
    <t>LAHH13001</t>
  </si>
  <si>
    <t>F12-SKP-401 Coarse Ore Stockpile 2 Level Switch High High</t>
  </si>
  <si>
    <t>Blocked chute switch. When activated, trip F12-CV-402.</t>
  </si>
  <si>
    <t>AS12125</t>
  </si>
  <si>
    <t>AAH12125</t>
  </si>
  <si>
    <t>F12-LU-401 Primary Crusher 2 Lubrication System Oil Return Moisture Analyser Switch</t>
  </si>
  <si>
    <t>F12LU401 Return Moisture</t>
  </si>
  <si>
    <t>Setpoint as per FLS I/O List 2000-ME001.1-F17-50001 
• Activate alarm at 80% Relative Humidity.</t>
  </si>
  <si>
    <t>FS12145</t>
  </si>
  <si>
    <t>FAL12145</t>
  </si>
  <si>
    <t>F12-LU-401 Primary Crusher 2 Lubrication System Heat Exchanger Cooling Water Return Flow Switch</t>
  </si>
  <si>
    <t>F12LU401 HX Cool Water</t>
  </si>
  <si>
    <t>Open</t>
  </si>
  <si>
    <t>Duty F12PW425/426 Not Running</t>
  </si>
  <si>
    <t>Switch to be configured such that it closes with increasing flow. When no-flow detected (switch is open) alarm, mask if F12-PW-425 AND 426 is not running.</t>
  </si>
  <si>
    <t>HS12130</t>
  </si>
  <si>
    <t>HS12130ESTP</t>
  </si>
  <si>
    <t>F12-LU-401 Primary Crusher 2 Lubrication System Control Panel Emergency Stop</t>
  </si>
  <si>
    <t>F12LU401 EStop Active</t>
  </si>
  <si>
    <t>Lubrication and Hydraulic System Junction Box E-Stop. 
Source: 2000-ME001.1-F17-50001.
Wired directly to the motor starter.</t>
  </si>
  <si>
    <t>HS12131A</t>
  </si>
  <si>
    <t>HS12131ASTT</t>
  </si>
  <si>
    <t>F12-LU-401 Primary Crusher 2 Lubrication System Control Panel Hydraulic Pump 1 Start Push Button</t>
  </si>
  <si>
    <t>F12PO403 Start Local</t>
  </si>
  <si>
    <t>Hand switch can only be used in LOCAL mode. HS to start pump. If Activated, DCS Prompt to switch pump to local.</t>
  </si>
  <si>
    <t>HS12132A</t>
  </si>
  <si>
    <t>HS12132ASTT</t>
  </si>
  <si>
    <t>F12-LU-401 Primary Crusher 2 Lubrication System Control Panel Hydraulic Pump 2 Start Push Button</t>
  </si>
  <si>
    <t>F12PO410 Start Local</t>
  </si>
  <si>
    <t>HS12133A</t>
  </si>
  <si>
    <t>HS12133ASTT</t>
  </si>
  <si>
    <t>F12-LU-401 Primary Crusher 2 Lubrication System Control Panel Lubrication Pump 1 Start Push Button</t>
  </si>
  <si>
    <t>F12PO404 Start Local</t>
  </si>
  <si>
    <t>HS12134A</t>
  </si>
  <si>
    <t>HS12134ASTT</t>
  </si>
  <si>
    <t>F12-LU-401 Primary Crusher 2 Lubrication System Control Panel Lubrication Pump 2 Start Push Button</t>
  </si>
  <si>
    <t>F12PO405 Start Local</t>
  </si>
  <si>
    <t>HS12131B</t>
  </si>
  <si>
    <t>HS12131BSTP</t>
  </si>
  <si>
    <t>F12-LU-401 Primary Crusher 2 Lubrication System Control Panel Hydraulic Pump 1 Stop Push Button</t>
  </si>
  <si>
    <t>F12PO403 Stop Local</t>
  </si>
  <si>
    <t>Hand switch can only be used in LOCAL mode. HS to stop pump. If Activated, DCS Prompt to switch pump to local.</t>
  </si>
  <si>
    <t>HS12132B</t>
  </si>
  <si>
    <t>HS12132BSTP</t>
  </si>
  <si>
    <t>F12-LU-401 Primary Crusher 2 Lubrication System Control Panel Hydraulic Pump 2 Stop Push Button</t>
  </si>
  <si>
    <t>F12PO410 Stop Local</t>
  </si>
  <si>
    <t>HS12133B</t>
  </si>
  <si>
    <t>HS12133BSTP</t>
  </si>
  <si>
    <t>F12-LU-401 Primary Crusher 2 Lubrication System Control Panel Lubrication Pump 1 Stop Push Button</t>
  </si>
  <si>
    <t>F12PO404 Stop Local</t>
  </si>
  <si>
    <t>HS12134B</t>
  </si>
  <si>
    <t>HS12134BSTP</t>
  </si>
  <si>
    <t>F12-LU-401 Primary Crusher 2 Lubrication System Control Panel Lubrication Pump 2 Stop Push Button</t>
  </si>
  <si>
    <t>F12PO405 Stop Local</t>
  </si>
  <si>
    <t>ZSO12122</t>
  </si>
  <si>
    <t>ZIO12122</t>
  </si>
  <si>
    <t>F12-LU-401 Primary Crusher 2 Lubrication System Heat Exchanger Drain Valve Position Switch Opened</t>
  </si>
  <si>
    <t>XV12122 Lube Drain Open</t>
  </si>
  <si>
    <t>N_Open</t>
  </si>
  <si>
    <t>ZSC12122</t>
  </si>
  <si>
    <t>ZIC12122</t>
  </si>
  <si>
    <t>F12-LU-401 Primary Crusher 2 Lubrication System Heat Exchanger Drain Valve Position Switch Closed</t>
  </si>
  <si>
    <t>XV12122 Lube Drain Clsd</t>
  </si>
  <si>
    <t>N_Closed</t>
  </si>
  <si>
    <t>HS12062</t>
  </si>
  <si>
    <t>HS12062UP</t>
  </si>
  <si>
    <t>F12-CG-401 Primary Crusher 2 Mantle Raise Push Button</t>
  </si>
  <si>
    <t>F12CG401 Mantle Raise</t>
  </si>
  <si>
    <t>N_Active</t>
  </si>
  <si>
    <t>Physical button to have effect if F12-CG-401 is in LOCAL mode. If not in Local and button depressed: DCS Prompt to approve mantle raise.
On approval F12-SEQ-0006 to initiate. 
Please create a DCS graphic button for the Control Room Operator to push with left-click mouse button to remotely adjust mantle position. This may be completed when Crusher is in MANUAL OR AUTO. Please see F12-SEQ-0006 and the 8. PID Cont tab for further details.
ZIC12062 P_Lo interlock applies.</t>
  </si>
  <si>
    <t>HS12063</t>
  </si>
  <si>
    <t>HS12063DN</t>
  </si>
  <si>
    <t>F12-CG-401 Primary Crusher 2 Mantle Lower Push Button</t>
  </si>
  <si>
    <t>F12CG401 Mantle Lower</t>
  </si>
  <si>
    <t>Physical button to have effect if F12-CG-401 is in LOCAL mode. If not in Local and button depressed: DCS Prompt to approve mantle raise.
On approval F12-SEQ-0007 to initiate. 
Please create a DCS graphic button for the Control Room Operator to push with left-click mouse button to remotely adjust mantle position. This may be completed when Crusher is in MANUAL OR AUTO. Please see F12-SEQ-0007 and the 8. PID Cont tab for further details.
ZIC12062 P_Hi interlock applies.</t>
  </si>
  <si>
    <t>HS12019A</t>
  </si>
  <si>
    <t>HS12019AEN</t>
  </si>
  <si>
    <t>F12-RB-401 Rock Breaker Run Enable</t>
  </si>
  <si>
    <t>F12RB401 Run Enable</t>
  </si>
  <si>
    <t>When activated, prompt to appear in DCS: "Approve use of Rock Breaker, note Primary Crusher 2 will interlock to stop &lt;&lt; YES &gt;&gt; &lt;&lt; CANCEL &gt;&gt;". 
See Misc sheet for further details.</t>
  </si>
  <si>
    <t>PDSH12019B</t>
  </si>
  <si>
    <t>PDAH12019B</t>
  </si>
  <si>
    <t>F12-RB-401 Rock Breaker HPU Blocked Filter Pressure Differential Switch Active</t>
  </si>
  <si>
    <t>F12RB401 HPU Flilter</t>
  </si>
  <si>
    <t xml:space="preserve">TBC Vendor Details. </t>
  </si>
  <si>
    <t>XI12019CS</t>
  </si>
  <si>
    <t>XI12019C</t>
  </si>
  <si>
    <t>F12-RB-401 Rock Breaker Maintenance Position</t>
  </si>
  <si>
    <t>F12RB401 Maintenance</t>
  </si>
  <si>
    <t>Maint</t>
  </si>
  <si>
    <t>N_Maint</t>
  </si>
  <si>
    <t>XI12019DS</t>
  </si>
  <si>
    <t>XI12019D</t>
  </si>
  <si>
    <t>F12-RB-401 Rock Breaker Home Position</t>
  </si>
  <si>
    <t>F12RB401 Home</t>
  </si>
  <si>
    <t>Home</t>
  </si>
  <si>
    <t>N_Home</t>
  </si>
  <si>
    <t>XI12019ES</t>
  </si>
  <si>
    <t>XI12019E</t>
  </si>
  <si>
    <t>F12-RB-401 Rock Breaker System Ready</t>
  </si>
  <si>
    <t>F12RB401 Breaker Ready</t>
  </si>
  <si>
    <t>XI12019FS</t>
  </si>
  <si>
    <t>XI12019F</t>
  </si>
  <si>
    <t>F12-RB-401 Rock Breaker System Running</t>
  </si>
  <si>
    <t>F12RB401 Running</t>
  </si>
  <si>
    <t>XI12019GS</t>
  </si>
  <si>
    <t>XI12019G</t>
  </si>
  <si>
    <t>F12-RB-401 Rock Breaker General Fault</t>
  </si>
  <si>
    <t>F12RB401 Breaker Fault</t>
  </si>
  <si>
    <t>XS12268A</t>
  </si>
  <si>
    <t>XA12268</t>
  </si>
  <si>
    <t>F12-CU-401 Primary Crusher 2 Chiller Fault</t>
  </si>
  <si>
    <t>F12CU401 Chiller Fault</t>
  </si>
  <si>
    <t>XS12268B</t>
  </si>
  <si>
    <t>XI12268A</t>
  </si>
  <si>
    <t>F12-CU-401 Primary Crusher 2 Chiller Running</t>
  </si>
  <si>
    <t>F12CU401 Running</t>
  </si>
  <si>
    <t>XS12268C</t>
  </si>
  <si>
    <t>XI12268B</t>
  </si>
  <si>
    <t>F12-CU-401 Primary Crusher 2 Chiller Ready</t>
  </si>
  <si>
    <t>F12CU401 Ready</t>
  </si>
  <si>
    <t>F12SW001OP</t>
  </si>
  <si>
    <t>F12SW001_OP</t>
  </si>
  <si>
    <t>Primary Crushing 415V MCC Circuit Breaker Opened</t>
  </si>
  <si>
    <t>F12 MCC Breaker Opn</t>
  </si>
  <si>
    <t>F12SW001CL</t>
  </si>
  <si>
    <t>F12SW001_CL</t>
  </si>
  <si>
    <t>Primary Crushing 415V MCC Circuit Breaker Closed</t>
  </si>
  <si>
    <t>F12 MCC Breaker Clsd</t>
  </si>
  <si>
    <t>F12SW001TRP</t>
  </si>
  <si>
    <t>F12SW001_TRP</t>
  </si>
  <si>
    <t>Primary Crushing 415V MCC Circuit Breaker Tripped</t>
  </si>
  <si>
    <t>F12 MCC Breaker Trip</t>
  </si>
  <si>
    <t>F12SW001SD</t>
  </si>
  <si>
    <t>F12SW001_SD</t>
  </si>
  <si>
    <t>Primary Crushing 415V MCC Incomer Surge Diverter Healthy</t>
  </si>
  <si>
    <t>F12 MCC Incomer Healthy</t>
  </si>
  <si>
    <t>F12SW001AF</t>
  </si>
  <si>
    <t>F12SW001_AF</t>
  </si>
  <si>
    <t>Primary Crushing 415V MCC Arc Flash protection System Power Healthy</t>
  </si>
  <si>
    <t>F12 MCC ArcFlash Healthy</t>
  </si>
  <si>
    <t>F12BC001FL3</t>
  </si>
  <si>
    <t>F12BC001_FL3</t>
  </si>
  <si>
    <t>Primary Crushing 11kV Switchroom 48V Charger Alarm</t>
  </si>
  <si>
    <t>F12SwRm 48V Charger</t>
  </si>
  <si>
    <t>F12SW012SELS</t>
  </si>
  <si>
    <t>F12SW012SEL</t>
  </si>
  <si>
    <t>Primary Crushing 11kV Switchboard Remote Switching Panel Remote Selected</t>
  </si>
  <si>
    <t>F12SwBrd Remote Selected</t>
  </si>
  <si>
    <t>F12SW001SELS</t>
  </si>
  <si>
    <t>F12SW001SEL</t>
  </si>
  <si>
    <t>Primary Crushing 415V MCC Remote Switching Panel Remote Selected</t>
  </si>
  <si>
    <t>F12MCC Remote Selected</t>
  </si>
  <si>
    <t>SSL12545</t>
  </si>
  <si>
    <t>SAL12545</t>
  </si>
  <si>
    <t>F12-DC-401 Primary Crusher 2 Dust Collector Rotary Valve Underspeed Switch</t>
  </si>
  <si>
    <t>F12DC401 Rotary U/Speed</t>
  </si>
  <si>
    <t>F12-VR-401 Not Running</t>
  </si>
  <si>
    <t>Mask when F12-VR-401 Primary Crusher 2 Dust Rotary Valve is not running.
Note: The input for this SSL is pulsing while rotary valve is running. Vendor discretion to come up with a pulse counter and appropriate alarm generation.</t>
  </si>
  <si>
    <t>LSL12202</t>
  </si>
  <si>
    <t>LAL12202</t>
  </si>
  <si>
    <t>F12-HU-401 Crushign Vault Lower Door HPU Reservoir Level Low Switch</t>
  </si>
  <si>
    <t>F12HU401 Hydraulic Tank</t>
  </si>
  <si>
    <t>When active, interlocks to F12-HU-401 .</t>
  </si>
  <si>
    <t>ZSO12202</t>
  </si>
  <si>
    <t>ZIO12202</t>
  </si>
  <si>
    <t>F12-HU-401 Vault Door Hydraulic Power Pack - Door 1 Hydraulic Cylinder 1 Valve Position Switch Opened</t>
  </si>
  <si>
    <t xml:space="preserve">F12HU401 Door 1 </t>
  </si>
  <si>
    <t>ZSC12202</t>
  </si>
  <si>
    <t>ZIC12202</t>
  </si>
  <si>
    <t>F12-HU-401 Vault Door Hydraulic Power Pack - Door 1 Hydraulic Cylinder 1 Valve Position Switch Closed</t>
  </si>
  <si>
    <t>ZS12300A</t>
  </si>
  <si>
    <t>ZI12300A</t>
  </si>
  <si>
    <t>F12-CR-401 Primary Crusher Overhead Crane Position Switch</t>
  </si>
  <si>
    <t>F12CR401 Position A</t>
  </si>
  <si>
    <t>ZS12300B</t>
  </si>
  <si>
    <t>ZI12300B</t>
  </si>
  <si>
    <t>F12CR401 Position B</t>
  </si>
  <si>
    <t>ZS12301A</t>
  </si>
  <si>
    <t>ZI12301A</t>
  </si>
  <si>
    <t>F12-LE-401 Primary Crusher Hydroset Trolley Position Switch</t>
  </si>
  <si>
    <t>F12LE401 Hydroset Posn A</t>
  </si>
  <si>
    <t>ZS12301B</t>
  </si>
  <si>
    <t>ZI12301B</t>
  </si>
  <si>
    <t>F12LE401 Hydroset Posn B</t>
  </si>
  <si>
    <t>FSLL12266</t>
  </si>
  <si>
    <t>FALL12266</t>
  </si>
  <si>
    <t>F12-CU-401 Primary Crusher 2 Chiller Inlet Water Flow Switch Low Low</t>
  </si>
  <si>
    <t>F12CU401 Inlet Water</t>
  </si>
  <si>
    <t>On inlet of Primary Crusher 2 Chiller.</t>
  </si>
  <si>
    <t>ZSO12262</t>
  </si>
  <si>
    <t>ZIO12262</t>
  </si>
  <si>
    <t>F12-PW-425 Primary Crusher 2 Cooling Water Pump 1 Suction Valve Position Switch Open</t>
  </si>
  <si>
    <t>F12PW425 Suction Valve</t>
  </si>
  <si>
    <t>Manual valves with positioner feedback.</t>
  </si>
  <si>
    <t>ZSC12262</t>
  </si>
  <si>
    <t>ZIC12262</t>
  </si>
  <si>
    <t>F12-PW-425 Primary Crusher 2 Cooling Water Pump 1 Suction Valve Position Switch Closed</t>
  </si>
  <si>
    <t>ZSO12263</t>
  </si>
  <si>
    <t>ZIO12263</t>
  </si>
  <si>
    <t>F12-PW-425 Primary Crusher 2 Cooling Water Pump 1 Discharge Valve Position Switch Open</t>
  </si>
  <si>
    <t>F12PW425 Discharge Valve</t>
  </si>
  <si>
    <t>ZSC12263</t>
  </si>
  <si>
    <t>ZIC12263</t>
  </si>
  <si>
    <t>F12-PW-425 Primary Crusher 2 Cooling Water Pump 1 Discharge Valve Position Switch Closed</t>
  </si>
  <si>
    <t>L</t>
  </si>
  <si>
    <t>ZSO12264</t>
  </si>
  <si>
    <t>ZIO12264</t>
  </si>
  <si>
    <t>F12-PW-426 Primary Crusher 2 Cooling Water Pump 2 Suction Valve Position Switch Open</t>
  </si>
  <si>
    <t>F12PW426 Suction Valve</t>
  </si>
  <si>
    <t>ZSC12264</t>
  </si>
  <si>
    <t>ZIC12264</t>
  </si>
  <si>
    <t>F12-PW-426 Primary Crusher 2 Cooling Water Pump 2 Suction Valve Position Switch Closed</t>
  </si>
  <si>
    <t>ZSO12265</t>
  </si>
  <si>
    <t>ZIO12265</t>
  </si>
  <si>
    <t>F12-PW-426 Primary Crusher 2 Cooling Water Pump 2 Discharge Valve Position Switch Open</t>
  </si>
  <si>
    <t>F12PW426 Discharge Valve</t>
  </si>
  <si>
    <t>ZSC12265</t>
  </si>
  <si>
    <t>ZIC12265</t>
  </si>
  <si>
    <t>F12-PW-426 Primary Crusher 2 Cooling Water Pump 2 Discharge Valve Position Switch Closed</t>
  </si>
  <si>
    <t>F12SW001PS</t>
  </si>
  <si>
    <t>F12SW001_PS</t>
  </si>
  <si>
    <t>F12-SW-001 ACB SHUNT TRIP 24VDC OK</t>
  </si>
  <si>
    <t>F12CB Shunt Trip</t>
  </si>
  <si>
    <t>F12SW001PS1</t>
  </si>
  <si>
    <t>F12SW001_PS1</t>
  </si>
  <si>
    <t>F12-SW-001 PS1 24VDC HEALTHY</t>
  </si>
  <si>
    <t>F12SWR P1 Healthy</t>
  </si>
  <si>
    <t>F12SW001PS2</t>
  </si>
  <si>
    <t>F12SW001_PS2</t>
  </si>
  <si>
    <t>F12SWR P2 Healthy</t>
  </si>
  <si>
    <t>F12BC001FL1</t>
  </si>
  <si>
    <t>F12BC001_FL1</t>
  </si>
  <si>
    <t>F12-BC-001 48VDC Charger Mains Fail</t>
  </si>
  <si>
    <t>F12Mains Fail</t>
  </si>
  <si>
    <t>F12BC001FL2</t>
  </si>
  <si>
    <t>F12BC001_FL2</t>
  </si>
  <si>
    <t>F12-BC-001 48VDC Charger Battery Fail</t>
  </si>
  <si>
    <t>F12Char Batt Fail</t>
  </si>
  <si>
    <t>F12BC001FL4</t>
  </si>
  <si>
    <t>F12BC001_FL4</t>
  </si>
  <si>
    <t>F12-BC-001 48VDC Charger Earth Fault</t>
  </si>
  <si>
    <t>F12Char Earth Fault</t>
  </si>
  <si>
    <t>WQS12557</t>
  </si>
  <si>
    <t>WS12557</t>
  </si>
  <si>
    <t>F12-WD-402 STOCKPILE FEED CONVEYOR WEIGHTOMETER Pulse Tonnes</t>
  </si>
  <si>
    <t xml:space="preserve">F12WD402 Weight Pulse </t>
  </si>
  <si>
    <t>XS12557</t>
  </si>
  <si>
    <t>XA12557</t>
  </si>
  <si>
    <t>F12-WD-402 STOCKPILE FEED CONVEYOR WEIGHTOMETER Alarm</t>
  </si>
  <si>
    <t>F12WD402 Weight Alarm</t>
  </si>
  <si>
    <t>F12SW101SD</t>
  </si>
  <si>
    <t>F12SW101_SD</t>
  </si>
  <si>
    <t>F12-SW-101 Surge Diverter Ok</t>
  </si>
  <si>
    <t>F12SW101 Surge Diverter</t>
  </si>
  <si>
    <t>LSHH12013</t>
  </si>
  <si>
    <t>LAHH12013</t>
  </si>
  <si>
    <t>F12-GE-101 Primary Crushing Essential Supply 415V Generator Fuel Level Switch High High</t>
  </si>
  <si>
    <t>F12GE101 Fuel Level</t>
  </si>
  <si>
    <t>LSH12013</t>
  </si>
  <si>
    <t>LAH12013</t>
  </si>
  <si>
    <t>F12-GE-101 Primary Crushing Essential Supply 415V Generator Fuel Level Switch High</t>
  </si>
  <si>
    <t>LSL12013</t>
  </si>
  <si>
    <t>LAL12013</t>
  </si>
  <si>
    <t>F12-GE-101 Primary Crushing Essential Supply 415V Generator Fuel Level Switch Low</t>
  </si>
  <si>
    <t>XS12562</t>
  </si>
  <si>
    <t>XA12562</t>
  </si>
  <si>
    <t>F12-DC-401 Primary Crusher 2 Dust Collector Alarm Feedback</t>
  </si>
  <si>
    <t>F12DC401 Alarm</t>
  </si>
  <si>
    <t>TBC Vendor Details.</t>
  </si>
  <si>
    <t>F12SW012HTY</t>
  </si>
  <si>
    <t>F12SW012_HTY</t>
  </si>
  <si>
    <t>F12-SW-012 Fuse Healthy</t>
  </si>
  <si>
    <t>F12SW012 Fuse Healthy</t>
  </si>
  <si>
    <t>ZSC12014</t>
  </si>
  <si>
    <t>ZAC12014</t>
  </si>
  <si>
    <t>F12-TR-001 PRIMARY CRUSHING 415V MCC TRANSFORMER Enclosure Door Position Switch Closed</t>
  </si>
  <si>
    <t>F12TR001 415VMCCDoor CL</t>
  </si>
  <si>
    <t>TOTALISERS</t>
  </si>
  <si>
    <t>Reset Period</t>
  </si>
  <si>
    <t>Units</t>
  </si>
  <si>
    <t>Shift</t>
  </si>
  <si>
    <t>Day</t>
  </si>
  <si>
    <t>Cont</t>
  </si>
  <si>
    <t>WQI12557</t>
  </si>
  <si>
    <t>WQI</t>
  </si>
  <si>
    <t>F12-CV-402 Weightometer Totaliser</t>
  </si>
  <si>
    <t>F12CV402 WeightTotaliser</t>
  </si>
  <si>
    <t>tonnes (wet)</t>
  </si>
  <si>
    <t>Running total of wet tonnes passing over Weightometer. Representation of crushing circuit total tonnes
WS12557 Pulse Tonnes utilised for totaliser calculation</t>
  </si>
  <si>
    <t>OPEN-CLOSE VALVES</t>
  </si>
  <si>
    <t>Permissives and Trips</t>
  </si>
  <si>
    <t>Valve Description</t>
  </si>
  <si>
    <t>Valve Type</t>
  </si>
  <si>
    <t>Fail Position</t>
  </si>
  <si>
    <t>Manual</t>
  </si>
  <si>
    <t>Auto</t>
  </si>
  <si>
    <t>Open Condition (Auto Mode)</t>
  </si>
  <si>
    <t>Close Condition (Auto Mode)</t>
  </si>
  <si>
    <t>#</t>
  </si>
  <si>
    <t>Condition</t>
  </si>
  <si>
    <t>Description (if required)</t>
  </si>
  <si>
    <t>Delay On</t>
  </si>
  <si>
    <t>Delay Off</t>
  </si>
  <si>
    <t>Open Permissive</t>
  </si>
  <si>
    <t>Close Permissive</t>
  </si>
  <si>
    <t>Open Interlock</t>
  </si>
  <si>
    <t>Close Interlock</t>
  </si>
  <si>
    <t>Bypass</t>
  </si>
  <si>
    <t>Reset Required</t>
  </si>
  <si>
    <t>XV12005</t>
  </si>
  <si>
    <t>F12-BN-401 Rom Bin Raw Water Valve</t>
  </si>
  <si>
    <t>F12BN401 Dust Spray</t>
  </si>
  <si>
    <t>DETAIL 7</t>
  </si>
  <si>
    <t>ZI12005A &lt; P_Lo OR
ZI12005B &lt; P_Lo</t>
  </si>
  <si>
    <r>
      <t xml:space="preserve">ZI12005A &gt; P_Hi AND 
ZI12005B &gt; P_Hi </t>
    </r>
    <r>
      <rPr>
        <strike/>
        <sz val="11"/>
        <color rgb="FF0000FF"/>
        <rFont val="Arial"/>
        <family val="2"/>
      </rPr>
      <t>for 5 seconds</t>
    </r>
  </si>
  <si>
    <t>CT1</t>
  </si>
  <si>
    <t>XV12005 Opened for &gt; 30 minutes</t>
  </si>
  <si>
    <t>ROM Dust Sprays Open &gt; 30mins</t>
  </si>
  <si>
    <t>Open condition is OR as Haul Truck on either side may be in dumping position. Close Auto Condition is AND as no haul trucks are present in order to stop dust suppression.</t>
  </si>
  <si>
    <t>XV12006</t>
  </si>
  <si>
    <t>F12-BN-405 Primary Crusher 2 Discharge Chamber Raw Water Valve</t>
  </si>
  <si>
    <t>F12BN405 Water Spray</t>
  </si>
  <si>
    <t>ZI12005A &lt; P_Lo OR
ZI12005B &lt; P_Lo OR
12CG401_AMPS &gt; P_Lo</t>
  </si>
  <si>
    <t>(ZI12005A &gt; P_Hi AND 
ZI12005B &gt; P_Hi) OR
12CG401_AMPS &lt; P_Lo for &gt; 20 seconds</t>
  </si>
  <si>
    <t>F12-FA-401 Primary Crusher 2 Discharge Apron Feeder Raw Water Valve</t>
  </si>
  <si>
    <t>F12FA401 Water Spray</t>
  </si>
  <si>
    <t>DETAIL 11</t>
  </si>
  <si>
    <t>F12-FA-401 Running for 3 seconds.</t>
  </si>
  <si>
    <t>F12-FA-401 Not Running for &gt; 10 seconds</t>
  </si>
  <si>
    <t>SV12550</t>
  </si>
  <si>
    <t>F12-CV-402 Stockpile Feed Conveyor Tail End Raw Water Valve</t>
  </si>
  <si>
    <t xml:space="preserve">F12CV402 Tail End Spray </t>
  </si>
  <si>
    <t>F12-FA-401 Running for 75 seconds.</t>
  </si>
  <si>
    <t>F12-CV-402 Not Running for &gt; 3 seconds OR F12-FA-401 Not Running for &gt; 75 seconds</t>
  </si>
  <si>
    <t>XV12551</t>
  </si>
  <si>
    <t>F12-CV-402 Stockpile Feed Conveyor Head End Raw Water Valve</t>
  </si>
  <si>
    <t xml:space="preserve">F12CV402 Head End Spray </t>
  </si>
  <si>
    <t>F12-FA-401 Running for 150 seconds.</t>
  </si>
  <si>
    <t>F12-CV-402 Not Running for &gt; 3 seconds OR F12-FA-401 Not Running for &gt; 150 seconds</t>
  </si>
  <si>
    <t>XV12259</t>
  </si>
  <si>
    <t>F12-TK-423 Primary Crusher 2 Cooling Water Tank Feed Valve Solenoid</t>
  </si>
  <si>
    <t>F12TK423 Top Up Water</t>
  </si>
  <si>
    <t>LI12260 &lt;= P_Lo</t>
  </si>
  <si>
    <t>LI12260 &gt;= P_Hi</t>
  </si>
  <si>
    <t>SV12090</t>
  </si>
  <si>
    <t>F12-CG-401 Primary Crusher 2 Mantle Lower Solenoid</t>
  </si>
  <si>
    <t>VENDOR</t>
  </si>
  <si>
    <t>F12-SEQ-0007 OR F12-SEQ-0005</t>
  </si>
  <si>
    <t>F12-SEQ-0006 OR F12-SEQ-0005</t>
  </si>
  <si>
    <t>OP1</t>
  </si>
  <si>
    <t>SV12089 NOT ENERGISED</t>
  </si>
  <si>
    <t>Mantle Raise N_Energised</t>
  </si>
  <si>
    <t>Part of F12-CG-401 Primary Crusher 2 package. Valve can be opened during Primary Crusher 2 running and under load. Please refer to 2000-ME001.1-M02-50001 for details.
Single digital output valve.</t>
  </si>
  <si>
    <t>F12PO404 AND F12PO405 Not Running</t>
  </si>
  <si>
    <t>Lubrication Pump Not Running</t>
  </si>
  <si>
    <t>During Mantle Raise or Lower operation, the lubrication pumps must be running.</t>
  </si>
  <si>
    <t>SV12089</t>
  </si>
  <si>
    <t>SV12090 NOT ENERGISED</t>
  </si>
  <si>
    <t>Mantle Lower N_Energised</t>
  </si>
  <si>
    <t>F12-CG-401 Primary Crusher 2 Mantle Raise Solenoid</t>
  </si>
  <si>
    <t>XV12122</t>
  </si>
  <si>
    <t>2000-ME001.1-E02-50001</t>
  </si>
  <si>
    <t>F12-LU-401 Primary Crusher 2 Lubrication System Heat Exchanger Drain Valve Solenoid Valve Open</t>
  </si>
  <si>
    <t>F12LU401 Lube System</t>
  </si>
  <si>
    <t>Duty F12-PO-404/405 Not Running</t>
  </si>
  <si>
    <t>Duty F12-PO-404/405 Running</t>
  </si>
  <si>
    <t>2 x DI and 1 x DO valve. Refer to Digital Input and Digital Output sheet under tag number 12122</t>
  </si>
  <si>
    <t xml:space="preserve">
</t>
  </si>
  <si>
    <t>CONTROL VALVES</t>
  </si>
  <si>
    <t>Permissive and Trips</t>
  </si>
  <si>
    <t>Close</t>
  </si>
  <si>
    <t>TCV12127</t>
  </si>
  <si>
    <t>F12-TCV-12127 Primary Crusher 2 Oil Chiller Cooling Water Control Valve</t>
  </si>
  <si>
    <t>F12LU401 Lube Coolng Wtr</t>
  </si>
  <si>
    <t>DETAIL 1</t>
  </si>
  <si>
    <t>Modes</t>
  </si>
  <si>
    <t>Setpoint</t>
  </si>
  <si>
    <t>Controlled/Manipulated Variable</t>
  </si>
  <si>
    <t>Comment</t>
  </si>
  <si>
    <t>Controller Description</t>
  </si>
  <si>
    <t>Normal Operating Mode</t>
  </si>
  <si>
    <t>Cascade</t>
  </si>
  <si>
    <t>Process Value Tag</t>
  </si>
  <si>
    <t>Range Min</t>
  </si>
  <si>
    <t>Range Max</t>
  </si>
  <si>
    <t>Lower Limit</t>
  </si>
  <si>
    <t>Upper Limit</t>
  </si>
  <si>
    <t>Destination Description</t>
  </si>
  <si>
    <t>Destination (Output) Tag</t>
  </si>
  <si>
    <t>Direct / Reverse Acting</t>
  </si>
  <si>
    <t>P</t>
  </si>
  <si>
    <t>I</t>
  </si>
  <si>
    <t>D</t>
  </si>
  <si>
    <t>TIT12127</t>
  </si>
  <si>
    <t>TIC12127</t>
  </si>
  <si>
    <t>F12-CG-401 Primary Crusher 2 Lube Oil Supply Temperature Transmitter</t>
  </si>
  <si>
    <t>F12CG401 Lube Oil Ctrl</t>
  </si>
  <si>
    <t>Automatic</t>
  </si>
  <si>
    <t xml:space="preserve">% Open </t>
  </si>
  <si>
    <t>Primary Crusher 2 Oil Chiller Water Pump Discharge Valve</t>
  </si>
  <si>
    <t>Direct</t>
  </si>
  <si>
    <t>Controls modulating valve, TCV12127 on F12-PW-425/426 pump discharge. As temperature (PV) rises, controller opens TCV12127.
Note this controller's PV is from cooled lube oil. When crusher is underload, it is assumed the returning lube oil will have warmed 10-15C.
A_HH: Crusher tripped.
A_Hi: Warning
P_Lo and P_Hi act as switchpoints for Chiller and Cooling Water Pump On/Off. See Drives.</t>
  </si>
  <si>
    <t>WIT12557</t>
  </si>
  <si>
    <t>WIC12557</t>
  </si>
  <si>
    <t>F12-WD-402 Stockpile Feed Conveyor Belt Weigher Weightometer Controller</t>
  </si>
  <si>
    <t>F12CV402 Mass Ctrl</t>
  </si>
  <si>
    <t>tph</t>
  </si>
  <si>
    <t>Mask when F12-CV-402 is NOT RUNNING.</t>
  </si>
  <si>
    <t>Primary Crusher 2 Discharge Apron Feeder VSD</t>
  </si>
  <si>
    <t>F12-FA-401 Motor VSD</t>
  </si>
  <si>
    <t>Reverse</t>
  </si>
  <si>
    <t>Nominal = 2634 t/h
Design = 3135 t/h
Alarms based on design and need to be confirmed during commissioning.
A_Hi: Warning
A_Lo: Warning
A_LL: Warning. No associated action. 
Controller to be configured such that controller output (MV) is held constant when F12-FA-401 is stopped and unheld when F12-FA-401 is started again.</t>
  </si>
  <si>
    <t>YIC12523</t>
  </si>
  <si>
    <t>F12-CAM-101 Crushing Circuit Particle Size Analyser P80 Controller</t>
  </si>
  <si>
    <t>F12CG401 PSD p80 Ctrl</t>
  </si>
  <si>
    <t>Mask when WIC12557 &lt; P_Lo</t>
  </si>
  <si>
    <t>ZIC12062_L1</t>
  </si>
  <si>
    <t>ZIC12062_H1</t>
  </si>
  <si>
    <t>F12-CG-401 Primary Crusher 2 Closed  Side Setting Controller</t>
  </si>
  <si>
    <t>ZIC12062</t>
  </si>
  <si>
    <t xml:space="preserve">FLS Particle Size Analyser Camera Indicator. Rolling /smoothed 10 minute average output of P80 in units of millimetres to be confirmed by Vendor Documentation (FLS).
PV Input Tag: vision/camera-name/p80
Please see: 2000-SPC-CS-110001 for details.
Deadband to be confirmed during commissioning. Nominal: 10mm. Same value for steady-state error such that controller. 
Set controller to be slow acting such that mantle position is adjusted every 10 minutes. </t>
  </si>
  <si>
    <t>F12CALC10007</t>
  </si>
  <si>
    <t>F12-CG-401 Primary Crusher 2 Mantle Controller</t>
  </si>
  <si>
    <t>F12CG401 CSS Ctrl</t>
  </si>
  <si>
    <t>DL = -35</t>
  </si>
  <si>
    <t>DL = 20</t>
  </si>
  <si>
    <t>DL = -50</t>
  </si>
  <si>
    <t>DL = -25</t>
  </si>
  <si>
    <t>DL = 12.5</t>
  </si>
  <si>
    <t>DL = 25</t>
  </si>
  <si>
    <t>RAISE</t>
  </si>
  <si>
    <t>LOWER</t>
  </si>
  <si>
    <t xml:space="preserve">RAISE AND ZIC12062.PV CANNOT GO BELOW ZIC12062 P_Lo. </t>
  </si>
  <si>
    <t>FUNCTION</t>
  </si>
  <si>
    <t>MANTLE RAISE SWITCH
MANTLE LOWER SWITCH</t>
  </si>
  <si>
    <t>HS12062 RAISE / F12-SEQ-0006
HS12063 LOWER / F12-SEQ-0007</t>
  </si>
  <si>
    <t>Direct (if PV&gt;SV, then raise; if PV&lt;SV, then lower)</t>
  </si>
  <si>
    <r>
      <t xml:space="preserve">This controller will raise and lower the mantle to the set-point within an accuracy/deadband of greater than +/- 5mm in deviation using ZIC12062_PV as feedback.
As per FLS I/O List 2000-ME001.1-F17-50001, the range and zero-point (contact point between mantle and shell) will be adjusted during Mantle Calibration Sequence (F12-SEQ-0005). ZI12061_H1 is part of this Sequence, which is used to calculate ZIC12062_H1 and ZIC12062_L1. Please refer to the Calculations tab.
The alarm setpoints are specific to the CSS setting in that they are alarms for deviations from the setpoint. Deviation setpoint = DL. Process deviation = ZIC12062_PV - ZIC12062_SV 
</t>
    </r>
    <r>
      <rPr>
        <b/>
        <sz val="10"/>
        <color rgb="FF0000FF"/>
        <rFont val="Arial"/>
        <family val="2"/>
      </rPr>
      <t xml:space="preserve">
When in AUTO, the controller is to initiate the control logic when (ZIC12062.SV </t>
    </r>
    <r>
      <rPr>
        <b/>
        <sz val="10"/>
        <color rgb="FF0000FF"/>
        <rFont val="Calibri"/>
        <family val="2"/>
      </rPr>
      <t>≠</t>
    </r>
    <r>
      <rPr>
        <b/>
        <sz val="10"/>
        <color rgb="FF0000FF"/>
        <rFont val="Arial"/>
        <family val="2"/>
      </rPr>
      <t xml:space="preserve"> ZIC12062.PV) == TRUE of greater than or equal to 5 mm to automatically adjust the mantle position. (The Controller will initiate and control F12-SEQ-0006/0007 as required to raise / lower mantle to the ZIC12062.SV. Programmers please integrate as part of the control logic)</t>
    </r>
    <r>
      <rPr>
        <sz val="10"/>
        <color rgb="FF0000FF"/>
        <rFont val="Arial"/>
        <family val="2"/>
      </rPr>
      <t xml:space="preserve">. </t>
    </r>
    <r>
      <rPr>
        <b/>
        <sz val="10"/>
        <color rgb="FF0000FF"/>
        <rFont val="Arial"/>
        <family val="2"/>
      </rPr>
      <t>The mantle may be adjusted within the limits of ZIC12062 P_Lo and P_Hi whilst the Crusher is running and under load. The Crusher mantle may be adjusted outside of these limits when the crusher is not running. It is the Operators responsibility when adjusting the mantle position outside the process switchpoint limits to ensure the crushing chamber is clear of material.</t>
    </r>
    <r>
      <rPr>
        <sz val="10"/>
        <color rgb="FF0000FF"/>
        <rFont val="Arial"/>
        <family val="2"/>
      </rPr>
      <t xml:space="preserve">
The alarm setpoints will notify the CRO if tramp material has passed and the mantle has lowered. The control logic stated above in bold will need to return the mantle back to the ZIC12062 set point value.
If the Controller is in MANUAL, the CRO will need to manually raise/lower the mantle via the DCS graphic buttons HS12062/HS12063. Otherwise, a field-operator will need to manually depress physical buttons HS12062/HS12063 on the Primary Crusher Junction Box with Crusher in LOCAL mode. 
The Low Process Switchpoint is used to prevent the Operator from manually raising the Mantle too high (via HS12062) when the Crusher is under load, and to avoid mantle and concave contact and other potential risks such as stalling the Crusher. An on-delay of zero seconds has been specified. Please refer to F12-SEQ-0006 description for further details. The High Process Switchpoint is to prevent the Operator from lowering the Mantle too much (via HS12063), thus causing a larger CSS than the setpoint value. This also has a zero second on-delay. </t>
    </r>
  </si>
  <si>
    <t>Name</t>
  </si>
  <si>
    <t>Drive Type</t>
  </si>
  <si>
    <t>Speed Min</t>
  </si>
  <si>
    <t>Speed Max</t>
  </si>
  <si>
    <t>Speed Units</t>
  </si>
  <si>
    <t>SP Lower Limit</t>
  </si>
  <si>
    <t>SP Upper Limit</t>
  </si>
  <si>
    <t>Current  Max</t>
  </si>
  <si>
    <t>Start Condition (Auto Mode)</t>
  </si>
  <si>
    <t>Stop Condition (Auto Mode)</t>
  </si>
  <si>
    <t>Start Permissive</t>
  </si>
  <si>
    <t>Process</t>
  </si>
  <si>
    <t>Critical</t>
  </si>
  <si>
    <t>Hardwired to Drive</t>
  </si>
  <si>
    <t>F12-CG-401</t>
  </si>
  <si>
    <t>Primary Crusher 2</t>
  </si>
  <si>
    <t>VSD</t>
  </si>
  <si>
    <t>F12-SEQ-0001 
OR
F12-SEQ-0003</t>
  </si>
  <si>
    <t>F12-SEQ-0002
OR 
F12-SEQ-0004
OR
12CG401_T3 Active</t>
  </si>
  <si>
    <t>MAIN DRIVE DELAYED STOP TIME IS REQUIRED IN STOPPING F12-CG-401 in AUTO. See 12CG401_T2 in Misc. Sheet. This applies for specified process interlocks.
12CG401_AMPS P_Lo = 34
Value to be confirmed during commissioning.</t>
  </si>
  <si>
    <t>Started manually by Operator</t>
  </si>
  <si>
    <t>Stopped manually by Operator</t>
  </si>
  <si>
    <t>F12-CG-401 Comms Failure</t>
  </si>
  <si>
    <t>F12-CG-401 Fail to Start / Stop</t>
  </si>
  <si>
    <t>F12-CG-401 Drive Fault</t>
  </si>
  <si>
    <t>F12-CG-401 E-Stop</t>
  </si>
  <si>
    <t>F12-CG-401 MCC Unhealthy</t>
  </si>
  <si>
    <t>F12-CG-401 Drive Out of Service</t>
  </si>
  <si>
    <t>F12-CG-401 Drive Ready</t>
  </si>
  <si>
    <t xml:space="preserve">YA12050 Healthy </t>
  </si>
  <si>
    <t>Siren to sound for 15 seconds before drive start.</t>
  </si>
  <si>
    <t>LAL12111 Normal &amp; Crusher Auto</t>
  </si>
  <si>
    <r>
      <t xml:space="preserve">Logic: LAL12111 Normal AND F12-CG-401 IN AUTO
</t>
    </r>
    <r>
      <rPr>
        <b/>
        <sz val="10"/>
        <color rgb="FF0000FF"/>
        <rFont val="Arial"/>
        <family val="2"/>
      </rPr>
      <t xml:space="preserve">VENDOR
</t>
    </r>
    <r>
      <rPr>
        <sz val="10"/>
        <color rgb="FF0000FF"/>
        <rFont val="Arial"/>
        <family val="2"/>
      </rPr>
      <t>Lube Reservoir Level greater than Low</t>
    </r>
  </si>
  <si>
    <t>LAL12081 Normal, Crusher Auto</t>
  </si>
  <si>
    <r>
      <t xml:space="preserve">Logic: LAL12081 Not Active AND F12-CG-401 IN AUTO
</t>
    </r>
    <r>
      <rPr>
        <b/>
        <sz val="10"/>
        <color rgb="FF0000FF"/>
        <rFont val="Arial"/>
        <family val="2"/>
      </rPr>
      <t>VENDOR</t>
    </r>
    <r>
      <rPr>
        <sz val="10"/>
        <color rgb="FF0000FF"/>
        <rFont val="Arial"/>
        <family val="2"/>
      </rPr>
      <t xml:space="preserve">
Hydraulic Reservoir Level less than Low</t>
    </r>
  </si>
  <si>
    <t>TI12128 &lt; A_Hi</t>
  </si>
  <si>
    <r>
      <t>Logic: TI12128 &lt; A_Hi</t>
    </r>
    <r>
      <rPr>
        <b/>
        <sz val="10"/>
        <color rgb="FF0000FF"/>
        <rFont val="Arial"/>
        <family val="2"/>
      </rPr>
      <t xml:space="preserve">
VENDOR</t>
    </r>
    <r>
      <rPr>
        <sz val="10"/>
        <color rgb="FF0000FF"/>
        <rFont val="Arial"/>
        <family val="2"/>
      </rPr>
      <t xml:space="preserve">
Return lube oil temperature less than high alarm setpoint</t>
    </r>
  </si>
  <si>
    <t>FI12071 &gt; A_Lo And Crusher Auto</t>
  </si>
  <si>
    <r>
      <t xml:space="preserve">Logic: FI12071 &gt; A_Lo AND F12-CG-401 IN AUTO
</t>
    </r>
    <r>
      <rPr>
        <b/>
        <sz val="10"/>
        <color rgb="FF0000FF"/>
        <rFont val="Arial"/>
        <family val="2"/>
      </rPr>
      <t>VENDOR</t>
    </r>
    <r>
      <rPr>
        <sz val="10"/>
        <color rgb="FF0000FF"/>
        <rFont val="Arial"/>
        <family val="2"/>
      </rPr>
      <t xml:space="preserve">
F12-CG-401 Primary Crusher Assembly Outer Eccentric Lube Flow Indicating Transmitter greater than Low alarm setpoint and Crusher in AUTO.
Delayed stop. See MISC sheet for further information.</t>
    </r>
  </si>
  <si>
    <t>FI12072 &gt; A_Lo And Crusher Auto</t>
  </si>
  <si>
    <r>
      <t xml:space="preserve">Logic: FI12072 &gt; A_Lo AND F12-CG-401 IN AUTO
</t>
    </r>
    <r>
      <rPr>
        <b/>
        <sz val="10"/>
        <color rgb="FF0000FF"/>
        <rFont val="Arial"/>
        <family val="2"/>
      </rPr>
      <t>VENDOR</t>
    </r>
    <r>
      <rPr>
        <sz val="10"/>
        <color rgb="FF0000FF"/>
        <rFont val="Arial"/>
        <family val="2"/>
      </rPr>
      <t xml:space="preserve">
F12-CG-401 Primary Crusher Assembly Upper Eccentric Lube Flow Indicating Transmitter greater than Low alarm setpoint and Crusher in AUTO.
Delayed stop. See MISC sheet for further information. </t>
    </r>
  </si>
  <si>
    <t>FI12073 &gt; A_Lo And Crusher Auto</t>
  </si>
  <si>
    <r>
      <t xml:space="preserve">Logic: FI12073 &gt; A_Lo AND F12-CG-401 IN AUTO
</t>
    </r>
    <r>
      <rPr>
        <b/>
        <sz val="10"/>
        <color rgb="FF0000FF"/>
        <rFont val="Arial"/>
        <family val="2"/>
      </rPr>
      <t>VENDOR</t>
    </r>
    <r>
      <rPr>
        <sz val="10"/>
        <color rgb="FF0000FF"/>
        <rFont val="Arial"/>
        <family val="2"/>
      </rPr>
      <t xml:space="preserve">
F12-CG-401 Primary Crusher Assembly Pinion Lube Flow Indicating Transmitter greater than Low alarm setpoint and Crusher in AUTO.
Delayed stop. See MISC sheet for further information. </t>
    </r>
  </si>
  <si>
    <t>FI12074 &gt; A_Lo And Crusher Auto</t>
  </si>
  <si>
    <r>
      <t xml:space="preserve">Logic: FI12074 &gt; A_Lo AND F12-CG-401 IN AUTO. 
</t>
    </r>
    <r>
      <rPr>
        <b/>
        <sz val="10"/>
        <color rgb="FF0000FF"/>
        <rFont val="Arial"/>
        <family val="2"/>
      </rPr>
      <t>VENDOR</t>
    </r>
    <r>
      <rPr>
        <sz val="10"/>
        <color rgb="FF0000FF"/>
        <rFont val="Arial"/>
        <family val="2"/>
      </rPr>
      <t xml:space="preserve">
F12-CG-401 Primary Crusher Assembly Countershaft Supply Flow Indicating Transmitter greater than Low alarm setpoint and Crusher in AUTO.
Delayed stop. See MISC sheet for further information. </t>
    </r>
  </si>
  <si>
    <t>FI12075 &gt; A_Lo And Crusher Auto</t>
  </si>
  <si>
    <r>
      <t xml:space="preserve">Logic: FI12075 &gt; A_Lo AND F12-CG-401 IN AUTO. </t>
    </r>
    <r>
      <rPr>
        <b/>
        <sz val="10"/>
        <color rgb="FF0000FF"/>
        <rFont val="Arial"/>
        <family val="2"/>
      </rPr>
      <t xml:space="preserve">
VENDOR</t>
    </r>
    <r>
      <rPr>
        <sz val="10"/>
        <color rgb="FF0000FF"/>
        <rFont val="Arial"/>
        <family val="2"/>
      </rPr>
      <t xml:space="preserve">
F12-CG-401 Primary Crusher Assembly Inner Eccentric Supply Flow Indicating Transmitter great than Low alarm setpoint &amp; Crusher in AUTO
Delayed stop. See MISC sheet for further information. </t>
    </r>
  </si>
  <si>
    <t>FI12079 &gt; A_Lo And Crusher Auto</t>
  </si>
  <si>
    <t>Logic: FI12079 &gt; A_Lo AND F12-CG-401 IN AUTO.
VENDOR
Dust Seal Flow greater than alarm setpoint low.</t>
  </si>
  <si>
    <t>TI12068 &lt; A_Hi</t>
  </si>
  <si>
    <r>
      <rPr>
        <sz val="10"/>
        <color rgb="FF0000FF"/>
        <rFont val="Arial"/>
        <family val="2"/>
      </rPr>
      <t>Logic: TI12068 &lt; A_Hi</t>
    </r>
    <r>
      <rPr>
        <b/>
        <sz val="10"/>
        <color rgb="FF0000FF"/>
        <rFont val="Arial"/>
        <family val="2"/>
      </rPr>
      <t xml:space="preserve">
VENDOR
</t>
    </r>
    <r>
      <rPr>
        <sz val="10"/>
        <color rgb="FF0000FF"/>
        <rFont val="Arial"/>
        <family val="2"/>
      </rPr>
      <t>Countershaft Inboard Bearing temp below the alarm setpoint high</t>
    </r>
  </si>
  <si>
    <t>TI12067 &lt; A_Hi</t>
  </si>
  <si>
    <r>
      <t>Logic: TI12067 &lt; A_Hi</t>
    </r>
    <r>
      <rPr>
        <b/>
        <sz val="10"/>
        <color rgb="FF0000FF"/>
        <rFont val="Arial"/>
        <family val="2"/>
      </rPr>
      <t xml:space="preserve">
VENDOR</t>
    </r>
    <r>
      <rPr>
        <sz val="10"/>
        <color rgb="FF0000FF"/>
        <rFont val="Arial"/>
        <family val="2"/>
      </rPr>
      <t xml:space="preserve">
Countershaft Outboard bearing temp below the alarm setpoint high</t>
    </r>
  </si>
  <si>
    <t>TI12066 &lt; A_Hi And Crusher Auto</t>
  </si>
  <si>
    <r>
      <t xml:space="preserve">TI12066 &lt; A_Hi AND F12-CG-401 IN AUTO.
</t>
    </r>
    <r>
      <rPr>
        <b/>
        <sz val="10"/>
        <color rgb="FF0000FF"/>
        <rFont val="Arial"/>
        <family val="2"/>
      </rPr>
      <t>VENDOR</t>
    </r>
    <r>
      <rPr>
        <sz val="10"/>
        <color rgb="FF0000FF"/>
        <rFont val="Arial"/>
        <family val="2"/>
      </rPr>
      <t xml:space="preserve">
Eccentric Lower Temp lower than alarm setpoint high.</t>
    </r>
  </si>
  <si>
    <t>TI12065 &lt; A_Hi And Crusher Auto</t>
  </si>
  <si>
    <t>TI12065 &lt; A_Hi AND F12-CG-401 IN AUTO.
VENDOR
Outer Eccentric Wear RingTemp lower than alarm setpoint high.</t>
  </si>
  <si>
    <t>TI12064 &lt; A_Hi And Crusher Auto</t>
  </si>
  <si>
    <r>
      <t xml:space="preserve">TI12064 &lt; A_Hi AND F12-CG-401 IN AUTO.
</t>
    </r>
    <r>
      <rPr>
        <b/>
        <sz val="10"/>
        <color rgb="FF0000FF"/>
        <rFont val="Arial"/>
        <family val="2"/>
      </rPr>
      <t>VENDOR</t>
    </r>
    <r>
      <rPr>
        <sz val="10"/>
        <color rgb="FF0000FF"/>
        <rFont val="Arial"/>
        <family val="2"/>
      </rPr>
      <t xml:space="preserve">
Outer Eccentric Upper less than alarm setpoint high.</t>
    </r>
  </si>
  <si>
    <t>ZIC12062 &lt; A_Hi And Crusher Auto</t>
  </si>
  <si>
    <r>
      <t xml:space="preserve">Logic: ZIC12062 &lt; A_Hi AND F12-CG-401 IN AUTO
</t>
    </r>
    <r>
      <rPr>
        <b/>
        <sz val="10"/>
        <color rgb="FF0000FF"/>
        <rFont val="Arial"/>
        <family val="2"/>
      </rPr>
      <t>VENDOR</t>
    </r>
    <r>
      <rPr>
        <sz val="10"/>
        <color rgb="FF0000FF"/>
        <rFont val="Arial"/>
        <family val="2"/>
      </rPr>
      <t xml:space="preserve">
Mantle Position not High</t>
    </r>
  </si>
  <si>
    <t>ZIC12062 &gt; A_Lo And Crusher Auto</t>
  </si>
  <si>
    <r>
      <t xml:space="preserve">Logic: ZIC12062 &gt; A_Lo AND F12-CG-401 IN AUTO
</t>
    </r>
    <r>
      <rPr>
        <b/>
        <sz val="10"/>
        <color rgb="FF0000FF"/>
        <rFont val="Arial"/>
        <family val="2"/>
      </rPr>
      <t>VENDOR</t>
    </r>
    <r>
      <rPr>
        <sz val="10"/>
        <color rgb="FF0000FF"/>
        <rFont val="Arial"/>
        <family val="2"/>
      </rPr>
      <t xml:space="preserve">
Mantle Position not Low</t>
    </r>
  </si>
  <si>
    <t>Mantle Calibration Inactive</t>
  </si>
  <si>
    <r>
      <t xml:space="preserve">Logic: F12-SEQ-0005 Inactive
</t>
    </r>
    <r>
      <rPr>
        <b/>
        <sz val="10"/>
        <color rgb="FF0000FF"/>
        <rFont val="Arial"/>
        <family val="2"/>
      </rPr>
      <t xml:space="preserve">
VENDOR</t>
    </r>
    <r>
      <rPr>
        <sz val="10"/>
        <color rgb="FF0000FF"/>
        <rFont val="Arial"/>
        <family val="2"/>
      </rPr>
      <t xml:space="preserve">
MANTLE CALIBRATION SEQUENCE IS NOT ACTIVE</t>
    </r>
  </si>
  <si>
    <t>Lube Pump Min Run Time Elapsed</t>
  </si>
  <si>
    <r>
      <t xml:space="preserve">Logic: 12LU401_T1 ELAPSED
</t>
    </r>
    <r>
      <rPr>
        <b/>
        <sz val="10"/>
        <color rgb="FF0000FF"/>
        <rFont val="Arial"/>
        <family val="2"/>
      </rPr>
      <t>VENDOR</t>
    </r>
    <r>
      <rPr>
        <sz val="10"/>
        <color rgb="FF0000FF"/>
        <rFont val="Arial"/>
        <family val="2"/>
      </rPr>
      <t xml:space="preserve">
Lubrication pump must run for 15 minutes prior to Crusher motor start. Please see MISC sheet for further details.</t>
    </r>
  </si>
  <si>
    <t>LALL12111 Closed &amp; Crusher Auto</t>
  </si>
  <si>
    <t>12CG401_T2</t>
  </si>
  <si>
    <r>
      <t xml:space="preserve">Logic: LALL12111 Active AND F12-CG-401 IN AUTO
</t>
    </r>
    <r>
      <rPr>
        <b/>
        <sz val="10"/>
        <color rgb="FF0000FF"/>
        <rFont val="Arial"/>
        <family val="2"/>
      </rPr>
      <t>VENDOR</t>
    </r>
    <r>
      <rPr>
        <sz val="10"/>
        <color rgb="FF0000FF"/>
        <rFont val="Arial"/>
        <family val="2"/>
      </rPr>
      <t xml:space="preserve">
Primary Crusher 2 Lube Oil Reservoir less than Low Low &amp; Crusher in AUTO mode.
Delayed stop. See MISC sheet for further information.</t>
    </r>
  </si>
  <si>
    <t>TI12128 &gt;= A_HH</t>
  </si>
  <si>
    <r>
      <t>Logic: TI12128 &gt;= A_HH</t>
    </r>
    <r>
      <rPr>
        <b/>
        <sz val="10"/>
        <color rgb="FF0000FF"/>
        <rFont val="Arial"/>
        <family val="2"/>
      </rPr>
      <t xml:space="preserve">
VENDOR
</t>
    </r>
    <r>
      <rPr>
        <sz val="10"/>
        <color rgb="FF0000FF"/>
        <rFont val="Arial"/>
        <family val="2"/>
      </rPr>
      <t>Primary Crusher 2 Lube Oil Return Temp greater than High High alarm setpoint &amp; Crusher in AUTO mode.
Delayed stop. See MISC sheet for further information.</t>
    </r>
  </si>
  <si>
    <t xml:space="preserve">FI12071 &lt;= A_LL </t>
  </si>
  <si>
    <r>
      <t xml:space="preserve">Logic: FI12071 &lt;= A_LL 
</t>
    </r>
    <r>
      <rPr>
        <b/>
        <sz val="10"/>
        <color rgb="FF0000FF"/>
        <rFont val="Arial"/>
        <family val="2"/>
      </rPr>
      <t xml:space="preserve">
VENDOR
</t>
    </r>
    <r>
      <rPr>
        <sz val="10"/>
        <color rgb="FF0000FF"/>
        <rFont val="Arial"/>
        <family val="2"/>
      </rPr>
      <t>F12-CG-401 Primary Crusher Assembly Outer Eccentric Lube Flow Indicating Transmitter PV less than Low-Low</t>
    </r>
  </si>
  <si>
    <t xml:space="preserve">FI12072 &lt;= A_LL </t>
  </si>
  <si>
    <r>
      <t xml:space="preserve">Logic: FI12072 &lt;= A_LL 
</t>
    </r>
    <r>
      <rPr>
        <b/>
        <sz val="10"/>
        <color rgb="FF0000FF"/>
        <rFont val="Arial"/>
        <family val="2"/>
      </rPr>
      <t>VENDOR</t>
    </r>
    <r>
      <rPr>
        <sz val="10"/>
        <color rgb="FF0000FF"/>
        <rFont val="Arial"/>
        <family val="2"/>
      </rPr>
      <t xml:space="preserve">
 F12-CG-401 Primary Crusher Assembly Upper Eccentric Lube Flow Indicating Transmitter PV less than Low-Low</t>
    </r>
  </si>
  <si>
    <t xml:space="preserve">FI12073 &lt;= A_LL </t>
  </si>
  <si>
    <r>
      <t xml:space="preserve">Logic: FI12073 &lt;= A_LL 
</t>
    </r>
    <r>
      <rPr>
        <b/>
        <sz val="10"/>
        <color rgb="FF0000FF"/>
        <rFont val="Arial"/>
        <family val="2"/>
      </rPr>
      <t xml:space="preserve">VENDOR </t>
    </r>
    <r>
      <rPr>
        <sz val="10"/>
        <color rgb="FF0000FF"/>
        <rFont val="Arial"/>
        <family val="2"/>
      </rPr>
      <t xml:space="preserve">
F12-CG-401 Primary Crusher Assembly Pinion Lube Flow Indicating Transmitter PV less than Low-Low</t>
    </r>
  </si>
  <si>
    <t xml:space="preserve">FI12074 &lt;= A_LL </t>
  </si>
  <si>
    <r>
      <t xml:space="preserve">Logic: FI12074 &lt;= A_LL 
</t>
    </r>
    <r>
      <rPr>
        <b/>
        <sz val="10"/>
        <color rgb="FF0000FF"/>
        <rFont val="Arial"/>
        <family val="2"/>
      </rPr>
      <t>VENDOR</t>
    </r>
    <r>
      <rPr>
        <sz val="10"/>
        <color rgb="FF0000FF"/>
        <rFont val="Arial"/>
        <family val="2"/>
      </rPr>
      <t xml:space="preserve">
F12-CG-401 Primary Crusher Assembly Countershaft Supply Flow Indicating Transmitter PV less than Low-Low</t>
    </r>
  </si>
  <si>
    <t xml:space="preserve">FI12075 &lt;= A_LL </t>
  </si>
  <si>
    <r>
      <t xml:space="preserve">Logic: FI12075 &lt;= A_LL 
</t>
    </r>
    <r>
      <rPr>
        <b/>
        <sz val="10"/>
        <color rgb="FF0000FF"/>
        <rFont val="Arial"/>
        <family val="2"/>
      </rPr>
      <t xml:space="preserve">
VENDOR
</t>
    </r>
    <r>
      <rPr>
        <sz val="10"/>
        <color rgb="FF0000FF"/>
        <rFont val="Arial"/>
        <family val="2"/>
      </rPr>
      <t>F12-CG-401 Primary Crusher Assembly Inner Eccentric Supply Flow Indicating Transmitter PV less than Low-Low</t>
    </r>
  </si>
  <si>
    <t xml:space="preserve">FI12079 &lt;= A_LL </t>
  </si>
  <si>
    <r>
      <t xml:space="preserve">Logic: FI12079 &lt;= A_LL
</t>
    </r>
    <r>
      <rPr>
        <b/>
        <sz val="10"/>
        <color rgb="FF0000FF"/>
        <rFont val="Arial"/>
        <family val="2"/>
      </rPr>
      <t xml:space="preserve">VENDOR
</t>
    </r>
    <r>
      <rPr>
        <sz val="10"/>
        <color rgb="FF0000FF"/>
        <rFont val="Arial"/>
        <family val="2"/>
      </rPr>
      <t>Dust Seal Flow lower than alarm setpoint low-low.</t>
    </r>
  </si>
  <si>
    <t>TI12068 &gt;= A_HH And Crusher Auto</t>
  </si>
  <si>
    <r>
      <t xml:space="preserve">Logic: TI12068 &gt;= A_HH AND F12-CG-401 IN AUTO
</t>
    </r>
    <r>
      <rPr>
        <b/>
        <sz val="10"/>
        <color rgb="FF0000FF"/>
        <rFont val="Arial"/>
        <family val="2"/>
      </rPr>
      <t>VENDOR</t>
    </r>
    <r>
      <rPr>
        <sz val="10"/>
        <color rgb="FF0000FF"/>
        <rFont val="Arial"/>
        <family val="2"/>
      </rPr>
      <t xml:space="preserve">
Countershaft Outboard Bearing Temp
Delayed stop. See MISC sheet for further information. </t>
    </r>
  </si>
  <si>
    <t>TI12067 &gt;= A_HH And Crusher Auto</t>
  </si>
  <si>
    <r>
      <t xml:space="preserve">Logic: TI12067 &gt;= A_HH AND F12-CG-401 IN AUTO. 
</t>
    </r>
    <r>
      <rPr>
        <b/>
        <sz val="10"/>
        <color rgb="FF0000FF"/>
        <rFont val="Arial"/>
        <family val="2"/>
      </rPr>
      <t>VENDOR</t>
    </r>
    <r>
      <rPr>
        <sz val="10"/>
        <color rgb="FF0000FF"/>
        <rFont val="Arial"/>
        <family val="2"/>
      </rPr>
      <t xml:space="preserve">
Countershaft Inboard Bearing Temp.
Delayed stop. See MISC sheet for further information. </t>
    </r>
  </si>
  <si>
    <t>TI12064 &gt;= A_HH And Crusher Auto</t>
  </si>
  <si>
    <r>
      <t xml:space="preserve">Logic: TI12064 &gt;= A_HH AND F12-CG-401 IN AUTO.
</t>
    </r>
    <r>
      <rPr>
        <b/>
        <sz val="10"/>
        <color rgb="FF0000FF"/>
        <rFont val="Arial"/>
        <family val="2"/>
      </rPr>
      <t>VENDOR</t>
    </r>
    <r>
      <rPr>
        <sz val="10"/>
        <color rgb="FF0000FF"/>
        <rFont val="Arial"/>
        <family val="2"/>
      </rPr>
      <t xml:space="preserve">
F12-CG-401 Primary Crusher Assembly Inner Pinion Shaft Bearing Temperature Transmitter. </t>
    </r>
  </si>
  <si>
    <t>TI12065 &gt;= A_HH And Crusher Auto</t>
  </si>
  <si>
    <r>
      <t xml:space="preserve">Logic: TI12065 &gt;= A_HH AND F12-CG-401 IN AUTO.
</t>
    </r>
    <r>
      <rPr>
        <b/>
        <sz val="10"/>
        <color rgb="FF0000FF"/>
        <rFont val="Arial"/>
        <family val="2"/>
      </rPr>
      <t>VENDOR</t>
    </r>
    <r>
      <rPr>
        <sz val="10"/>
        <color rgb="FF0000FF"/>
        <rFont val="Arial"/>
        <family val="2"/>
      </rPr>
      <t xml:space="preserve">
F12-CG-401 Primary Crusher Assembly Center Pinion Shaft Bearing Temperature Transmitter. </t>
    </r>
  </si>
  <si>
    <t>TI12066 &gt;= A_HH And Crusher Auto</t>
  </si>
  <si>
    <r>
      <t xml:space="preserve">Logic: TI12066 &gt;= A_HH AND F12-CG-401 IN AUTO.
</t>
    </r>
    <r>
      <rPr>
        <b/>
        <sz val="10"/>
        <color rgb="FF0000FF"/>
        <rFont val="Arial"/>
        <family val="2"/>
      </rPr>
      <t>VENDOR</t>
    </r>
    <r>
      <rPr>
        <sz val="10"/>
        <color rgb="FF0000FF"/>
        <rFont val="Arial"/>
        <family val="2"/>
      </rPr>
      <t xml:space="preserve">
F12-CG-401 Primary Crusher Assembly Outer Pinion Shaft Bearing Temperature Transmitter. </t>
    </r>
  </si>
  <si>
    <t>F12BW401 N_Run And Crusher Auto</t>
  </si>
  <si>
    <t>Logic: F12-BW-401 NOT RUNNING AND F12-CG-401 IN AUTO
VENDOR
Primary Crusher 2 Dust Seal Blower Not Running.
Delayed stop. See MISC sheet for further information.</t>
  </si>
  <si>
    <t>Spider Grease System Cycle Fault</t>
  </si>
  <si>
    <r>
      <t xml:space="preserve">Logic: F12LU402_T3 Active
</t>
    </r>
    <r>
      <rPr>
        <b/>
        <sz val="10"/>
        <color rgb="FF0000FF"/>
        <rFont val="Arial"/>
        <family val="2"/>
      </rPr>
      <t>VENDOR</t>
    </r>
    <r>
      <rPr>
        <sz val="10"/>
        <color rgb="FF0000FF"/>
        <rFont val="Arial"/>
        <family val="2"/>
      </rPr>
      <t xml:space="preserve">
Spider grease system fault. Please refer to MISC sheet for further details.</t>
    </r>
  </si>
  <si>
    <t>SI12059 &lt;= A_LL</t>
  </si>
  <si>
    <r>
      <rPr>
        <b/>
        <sz val="10"/>
        <color rgb="FF0000FF"/>
        <rFont val="Arial"/>
        <family val="2"/>
      </rPr>
      <t>VENDOR</t>
    </r>
    <r>
      <rPr>
        <sz val="10"/>
        <color rgb="FF0000FF"/>
        <rFont val="Arial"/>
        <family val="2"/>
      </rPr>
      <t xml:space="preserve">
F12-CG-401 Primary Crusher 2 Mantle Position Transmitter</t>
    </r>
  </si>
  <si>
    <t>ZIC12062 &gt;= A_HH</t>
  </si>
  <si>
    <r>
      <rPr>
        <b/>
        <sz val="10"/>
        <color rgb="FF0000FF"/>
        <rFont val="Arial"/>
        <family val="2"/>
      </rPr>
      <t>VENDOR</t>
    </r>
    <r>
      <rPr>
        <sz val="10"/>
        <color rgb="FF0000FF"/>
        <rFont val="Arial"/>
        <family val="2"/>
      </rPr>
      <t xml:space="preserve">
Primary Crusher 2 Mantle Position greater than High High
Mantle may be raised outside of these limits when Crusher stopped.</t>
    </r>
  </si>
  <si>
    <t>ZIC12062 &lt;= A_LL</t>
  </si>
  <si>
    <r>
      <rPr>
        <b/>
        <sz val="10"/>
        <color rgb="FF0000FF"/>
        <rFont val="Arial"/>
        <family val="2"/>
      </rPr>
      <t>VENDOR</t>
    </r>
    <r>
      <rPr>
        <sz val="10"/>
        <color rgb="FF0000FF"/>
        <rFont val="Arial"/>
        <family val="2"/>
      </rPr>
      <t xml:space="preserve">
Primary Crusher 2 Mantle Position lower than Low Low.
Mantle may be raised outside of these limits when Crusher stopped.</t>
    </r>
  </si>
  <si>
    <t>VI12057 &gt;= A_HH</t>
  </si>
  <si>
    <r>
      <rPr>
        <b/>
        <sz val="10"/>
        <color rgb="FF0000FF"/>
        <rFont val="Arial"/>
        <family val="2"/>
      </rPr>
      <t>VENDOR</t>
    </r>
    <r>
      <rPr>
        <sz val="10"/>
        <color rgb="FF0000FF"/>
        <rFont val="Arial"/>
        <family val="2"/>
      </rPr>
      <t xml:space="preserve">
F12-CG-401 Motor Load Bearing Vibration</t>
    </r>
  </si>
  <si>
    <t>VI12058 &gt;= A_HH</t>
  </si>
  <si>
    <r>
      <rPr>
        <b/>
        <sz val="10"/>
        <color rgb="FF0000FF"/>
        <rFont val="Arial"/>
        <family val="2"/>
      </rPr>
      <t>VENDOR</t>
    </r>
    <r>
      <rPr>
        <sz val="10"/>
        <color rgb="FF0000FF"/>
        <rFont val="Arial"/>
        <family val="2"/>
      </rPr>
      <t xml:space="preserve">
F12-CG-401 Motor Non-Load Bearing Vibration</t>
    </r>
  </si>
  <si>
    <t>LAH12201 Alarm</t>
  </si>
  <si>
    <t>F12BN405 Level Switch High Alarm</t>
  </si>
  <si>
    <t>LI12200 &gt;= A_HH</t>
  </si>
  <si>
    <t>F12BN405 Level High High.</t>
  </si>
  <si>
    <t>XI12019F Running</t>
  </si>
  <si>
    <t>Trip Primary Crusher if Rock Breaker is Running. Bypassable under Operator discretion.</t>
  </si>
  <si>
    <t>XI12019D N_Home</t>
  </si>
  <si>
    <t>Trip Primary Crusher if Rock Breaker is not in the Home position. Bypassable under Operator discretion.</t>
  </si>
  <si>
    <t>TIC12127 &gt;= A_HH</t>
  </si>
  <si>
    <t>Trip Primary Crusher if Cooling Water temperature is greater than High High setpoint.</t>
  </si>
  <si>
    <t>F12-PO-403</t>
  </si>
  <si>
    <t>Primary Crusher 2 Hydraulic Pump 1</t>
  </si>
  <si>
    <t>DOL</t>
  </si>
  <si>
    <t>F12-SEQ-0005 OR F12-SEQ-0006</t>
  </si>
  <si>
    <t>F12-PO-403/10_T1 Active AND
(F12-SEQ-0005 OR F12-SEQ-0006 NOT RUNNING).</t>
  </si>
  <si>
    <t>Started manually by Operator via Hydraulic HPU graphic Start/Stop buttons (Duty Hydraulic Pump to be selected)</t>
  </si>
  <si>
    <t>Stopped manually by Operator via Hydraulic HPU graphic Start/Stop buttons</t>
  </si>
  <si>
    <t>F12-PO-403 Comms Failure</t>
  </si>
  <si>
    <t>F12-PO-403 Fail to Start / Stop</t>
  </si>
  <si>
    <t>F12-PO-403 Drive Fault</t>
  </si>
  <si>
    <t>F12-PO-403 E-Stop</t>
  </si>
  <si>
    <t>F12-PO-403 MCC Unhealthy</t>
  </si>
  <si>
    <t>F12-PO-403 Drive Out of Service</t>
  </si>
  <si>
    <t>F12-PO-403 Drive Ready</t>
  </si>
  <si>
    <t>F12-PO-410 Running</t>
  </si>
  <si>
    <t>Standby pump is not running.</t>
  </si>
  <si>
    <t>LAL12081 Normal And Auto</t>
  </si>
  <si>
    <t>Logic: LAL12081 Normal And F12PO403 in Auto
Start permissive for hydraulic reservoir level.</t>
  </si>
  <si>
    <t>TI12080 &gt; A_Lo And Auto</t>
  </si>
  <si>
    <t>Logic: TI12080 &gt; A_Lo And F12PO403 in Auto
Start permissive for hydraulic reservoir temperature.</t>
  </si>
  <si>
    <t>LALL12081 Closed</t>
  </si>
  <si>
    <t>Hydraulic oil reservoir tank level low low</t>
  </si>
  <si>
    <t>TI12080 &lt;= A_LL</t>
  </si>
  <si>
    <t>Hydraulic oil reservoir tank temperature Low Low</t>
  </si>
  <si>
    <t>TI12080 &gt;= A_HH</t>
  </si>
  <si>
    <t>Hydraulic oil temperature high high</t>
  </si>
  <si>
    <t>SV12090 Open</t>
  </si>
  <si>
    <t>Solenoid Ports 2 &amp; 3 connected . F12CG401 Mantle Lower Solenoid Valve Open</t>
  </si>
  <si>
    <t>F12-PO-410</t>
  </si>
  <si>
    <t>Primary Crusher 2 Hydraulic Pump 2</t>
  </si>
  <si>
    <t>F12-PO-410 Comms Failure</t>
  </si>
  <si>
    <t>F12-PO-410 Fail to Start / Stop</t>
  </si>
  <si>
    <t>F12-PO-410 Drive Fault</t>
  </si>
  <si>
    <t>F12-PO-410 E-Stop</t>
  </si>
  <si>
    <t>F12-PO-410 MCC Unhealthy</t>
  </si>
  <si>
    <t>F12-PO-410 Drive Out of Service</t>
  </si>
  <si>
    <t>F12-PO-410 Drive Ready</t>
  </si>
  <si>
    <t>F12-PO-403 Running</t>
  </si>
  <si>
    <t>Standby pump not running.</t>
  </si>
  <si>
    <t>Logic: LAL12081 Normal And F12PO410 in Auto
Start permissive for hydraulic reservoir level.</t>
  </si>
  <si>
    <t>Logic: TI12080 &gt; A_Lo And F12PO410 in Auto
Start permissive for hydraulic reservoir temperature.</t>
  </si>
  <si>
    <t>Hydraulic oil reservoir tank temperature low low</t>
  </si>
  <si>
    <t>F12-PO-419</t>
  </si>
  <si>
    <t xml:space="preserve">Primary Crusher 2 Spider Lubrication Pump </t>
  </si>
  <si>
    <t>F12LU402_T1 (via XC12103 On)</t>
  </si>
  <si>
    <t>XA12100 Active OR F12LU402_T2 Elapsing (via XC12103 Off)</t>
  </si>
  <si>
    <t>Started manually by Operator via Lubrication Pack graphic Start/Stop buttons (Duty Hydraulic Pump to be selected) (via XC12103 On)</t>
  </si>
  <si>
    <t>Stopped manually by Operator via Lubrication Pack graphic Start/Stop buttons (via XC12103 Off)</t>
  </si>
  <si>
    <t>F12-PO-419 Comms Failure</t>
  </si>
  <si>
    <t>XC12103 Activated AND in LOCAL</t>
  </si>
  <si>
    <t>F12-PO-419 Fail to Start / Stop</t>
  </si>
  <si>
    <t>F12-PO-419 Drive Fault</t>
  </si>
  <si>
    <t>F12-PO-419 E-Stop</t>
  </si>
  <si>
    <t>F12-PO-419 MCC Unhealthy</t>
  </si>
  <si>
    <t>F12-PO-419 Drive Out of Service</t>
  </si>
  <si>
    <t>F12-PO-419 Drive Ready</t>
  </si>
  <si>
    <r>
      <t xml:space="preserve">F12-CG-401 </t>
    </r>
    <r>
      <rPr>
        <strike/>
        <sz val="11"/>
        <color rgb="FF0000FF"/>
        <rFont val="Arial"/>
        <family val="2"/>
      </rPr>
      <t>Not</t>
    </r>
    <r>
      <rPr>
        <sz val="11"/>
        <color rgb="FF0000FF"/>
        <rFont val="Arial"/>
        <family val="2"/>
      </rPr>
      <t xml:space="preserve"> Running</t>
    </r>
  </si>
  <si>
    <r>
      <t xml:space="preserve">VENDOR
</t>
    </r>
    <r>
      <rPr>
        <sz val="10"/>
        <color rgb="FF0000FF"/>
        <rFont val="Arial"/>
        <family val="2"/>
      </rPr>
      <t>FLS specified.</t>
    </r>
  </si>
  <si>
    <t>HI12101B On</t>
  </si>
  <si>
    <t>Maintenance Field Selector Switch Active.</t>
  </si>
  <si>
    <t>F12-PO-404</t>
  </si>
  <si>
    <t>Primary Crusher 2 Lubrication Pump 1</t>
  </si>
  <si>
    <t>F12-SEQ-0001</t>
  </si>
  <si>
    <t>12LU401_T2 ELAPSED AND TI12128 &lt; P_Lo == TRUE FOR 10 SECONDS</t>
  </si>
  <si>
    <t>STOP PERMISSIVE: 12LU401_T2 must elapse.</t>
  </si>
  <si>
    <t>Started manually by Operator via Lubrication Pack graphic Start/Stop buttons (Duty Lubrication Pump to be selected)</t>
  </si>
  <si>
    <t>Manually stopped by Operator.
Prompt CRO if 12LU401_T2 Not Elapsed</t>
  </si>
  <si>
    <t>F12-PO-404 Comms Failure</t>
  </si>
  <si>
    <t>F12-PO-404 Fail to Start / Stop</t>
  </si>
  <si>
    <t>F12-PO-404 Drive Fault</t>
  </si>
  <si>
    <t>F12-PO-404 E-Stop</t>
  </si>
  <si>
    <t>F12-PO-404 MCC Unhealthy</t>
  </si>
  <si>
    <t>F12-PO-404 Drive Out of Service</t>
  </si>
  <si>
    <t>F12-PO-404 Drive Ready</t>
  </si>
  <si>
    <t>F12-PO-405 Running</t>
  </si>
  <si>
    <t>Standby pump running. Delay to allow pump changeover without stopping Crusher. Delay duration to be confirmed during commissioning.</t>
  </si>
  <si>
    <t>LAL12111 Normal And Auto</t>
  </si>
  <si>
    <t>Logic: LAL12111 Normal And F12-PO-404 in Auto
Start permissive for lubrication reservoir level.</t>
  </si>
  <si>
    <t>TI12110 &gt;= P_Hi And Auto</t>
  </si>
  <si>
    <t>Logic: TI12110 &gt;= P_Hi and F12-PO-404 in Auto
Must be greater than or equal to 30C to start when the drive is in Auto.</t>
  </si>
  <si>
    <t>TI12110 &lt; A_Lo And Auto</t>
  </si>
  <si>
    <t>Logic: TI12110 &lt; A_Lo And F12PO404 in Auto
Interlock for running pump in Auto. Must be greater than A_Lo = 27C.</t>
  </si>
  <si>
    <t>PDAH12121 Alarm</t>
  </si>
  <si>
    <t>F12-LU-401 Lube Filters Differential Pressure</t>
  </si>
  <si>
    <t>LALL12111 Active</t>
  </si>
  <si>
    <t>Lube oil reservoir tank level low low.</t>
  </si>
  <si>
    <t xml:space="preserve">TI12110 &lt;= A_LL </t>
  </si>
  <si>
    <t>Logic: TI12110 &lt;= A_LL (MASK IF 12LU401_T3 NOT ELAPSED)
Lube oil reservoir tank temperature low low. 
Cannot start pumps and therefore crusher until heaters raise lube oil to temperature SP.
The interlock becomes applicable only after the 12LU401_T3 (Misc sheet) timer has elapsed.</t>
  </si>
  <si>
    <t>F12-PO-405</t>
  </si>
  <si>
    <t>Primary Crusher 2 Lubrication Pump 2</t>
  </si>
  <si>
    <t>Stopped manually by Operator
Prompt CRO if 12LU401_T2 Not Elapsed</t>
  </si>
  <si>
    <t>F12-PO-405 Comms Failure</t>
  </si>
  <si>
    <t>F12-PO-405 Fail to Start / Stop</t>
  </si>
  <si>
    <t>F12-PO-405 Drive Fault</t>
  </si>
  <si>
    <t>F12-PO-405 E-Stop</t>
  </si>
  <si>
    <t>F12-PO-405 MCC Unhealthy</t>
  </si>
  <si>
    <t>F12-PO-405 Drive Out of Service</t>
  </si>
  <si>
    <t>F12-PO-405 Drive Ready</t>
  </si>
  <si>
    <t>F12-PO-404 Running</t>
  </si>
  <si>
    <t>Logic: LAL12111 Normal And F12-PO-405 in Auto
Start permissive for lubrication reservoir level.</t>
  </si>
  <si>
    <t>Logic: TI12110 &gt;= P_Hi and F12-PO-405 in Auto
Must be greater than or equal to 30C to start when the drive is in Auto.</t>
  </si>
  <si>
    <t>Logic: TI12110 &lt; A_Lo And F12PO405 in Auto
Interlock for running pump in Auto. Must be greater than A_Lo = 27C.</t>
  </si>
  <si>
    <t>F12-BW-401</t>
  </si>
  <si>
    <t>Primary Crusher 2 Dust Seal Blower</t>
  </si>
  <si>
    <t>F12-SEQ-0003</t>
  </si>
  <si>
    <t>F12-SEQ-0004</t>
  </si>
  <si>
    <t>Manually started by Operator</t>
  </si>
  <si>
    <t>Manually stopped by Operator</t>
  </si>
  <si>
    <t>F12-BW-401 Comms Failure</t>
  </si>
  <si>
    <t>F12-BW-401 Fail to Start / Stop</t>
  </si>
  <si>
    <t>F12-BW-401 Drive Fault</t>
  </si>
  <si>
    <t>F12-BW-401 E-Stop</t>
  </si>
  <si>
    <t>F12-BW-401 MCC Unhealthy</t>
  </si>
  <si>
    <t>F12-BW-401 Drive Out of Service</t>
  </si>
  <si>
    <t>F12-BW-401 Drive Ready</t>
  </si>
  <si>
    <t>F12-HT-401</t>
  </si>
  <si>
    <t>PRIMARY CRUSHER 2 MOTOR SPACE HEATER</t>
  </si>
  <si>
    <t>F12-CG-401 NOT RUNNING</t>
  </si>
  <si>
    <t>F12-CG-401 RUNNING</t>
  </si>
  <si>
    <t>F12-HT-401 Comms Failure</t>
  </si>
  <si>
    <t>F12-HT-401 Fail to Start / Stop</t>
  </si>
  <si>
    <t>F12-HT-401 Drive Fault</t>
  </si>
  <si>
    <t>F12-HT-401 E-Stop</t>
  </si>
  <si>
    <t>F12-HT-401 MCC Unhealthy</t>
  </si>
  <si>
    <t>F12-HT-401 Drive Out of Service</t>
  </si>
  <si>
    <t>F12-HT-401 Drive Ready</t>
  </si>
  <si>
    <t>F12-HT-402</t>
  </si>
  <si>
    <t>ROCKBREAKER HPU OIL HEATER</t>
  </si>
  <si>
    <t>TBC</t>
  </si>
  <si>
    <t>Vendor PLC</t>
  </si>
  <si>
    <t>F12-HT-402 Comms Failure</t>
  </si>
  <si>
    <t>F12-HT-402 Fail to Start / Stop</t>
  </si>
  <si>
    <t>F12-HT-402 Drive Fault</t>
  </si>
  <si>
    <t>F12-HT-402 E-Stop</t>
  </si>
  <si>
    <t>F12-HT-402 MCC Unhealthy</t>
  </si>
  <si>
    <t>F12-HT-402 Drive Out of Service</t>
  </si>
  <si>
    <t>F12-HT-402 Drive Ready</t>
  </si>
  <si>
    <t>F12-HU-402</t>
  </si>
  <si>
    <t>ROCKBREAKER HPU</t>
  </si>
  <si>
    <t>Started in LOCAL or REMOTE  F12RB401 Start Request approved by CRO</t>
  </si>
  <si>
    <t>F12-HU-402 Comms Failure</t>
  </si>
  <si>
    <t>F12-HU-402 Fail to Start / Stop</t>
  </si>
  <si>
    <t>F12-HU-402 Drive Fault</t>
  </si>
  <si>
    <t>F12-HU-402 E-Stop</t>
  </si>
  <si>
    <t>F12-HU-402 MCC Unhealthy</t>
  </si>
  <si>
    <t>F12-HU-402 Drive Out of Service</t>
  </si>
  <si>
    <t>F12-HU-402 Drive Ready</t>
  </si>
  <si>
    <t>F12-PW-425</t>
  </si>
  <si>
    <t>PRIMARY CRUSHER 2 COOLING WATER PUMP 1</t>
  </si>
  <si>
    <t>TIC12127 &gt;= P_Hi AND DUTY F12-PO-404/405 RUNNING</t>
  </si>
  <si>
    <t>TIC12127 &lt;= P_Lo AND F12CU401 NOT RUNNING</t>
  </si>
  <si>
    <t>Cooling Water Pump to turn off after Chiller switches off when both are in auto.</t>
  </si>
  <si>
    <t>F12-PW-425 Comms Failure</t>
  </si>
  <si>
    <t>F12-PW-425 Fail to Start / Stop</t>
  </si>
  <si>
    <t>F12-PW-425 Drive Fault</t>
  </si>
  <si>
    <t>F12-PW-425 E-Stop</t>
  </si>
  <si>
    <t>F12-PW-425 MCC Unhealthy</t>
  </si>
  <si>
    <t>F12-PW-425 Drive Out of Service</t>
  </si>
  <si>
    <t>F12-PW-425 Drive Ready</t>
  </si>
  <si>
    <t>LI12260 &lt;= A_LL</t>
  </si>
  <si>
    <t>Primary Crusher 2 Cooling Water Tank Level Low Low</t>
  </si>
  <si>
    <t>TCV12127 CLOSED</t>
  </si>
  <si>
    <t>ZIC12262 Closed</t>
  </si>
  <si>
    <t>Suction Valve Closed.</t>
  </si>
  <si>
    <t>ZIC12263 Closed</t>
  </si>
  <si>
    <t>Discharge Valve Closed.</t>
  </si>
  <si>
    <t>FALL12266 Active</t>
  </si>
  <si>
    <t>Discharge flow switch alarm low low.</t>
  </si>
  <si>
    <t>F12-PW-426</t>
  </si>
  <si>
    <t>PRIMARY CRUSHER 2 COOLING WATER PUMP 2</t>
  </si>
  <si>
    <t>F12-PW-426 Comms Failure</t>
  </si>
  <si>
    <t>F12-PW-426 Fail to Start / Stop</t>
  </si>
  <si>
    <t>F12-PW-426 Drive Fault</t>
  </si>
  <si>
    <t>F12-PW-426 E-Stop</t>
  </si>
  <si>
    <t>F12-PW-426 MCC Unhealthy</t>
  </si>
  <si>
    <t>F12-PW-426 Drive Out of Service</t>
  </si>
  <si>
    <t>F12-PW-426 Drive Ready</t>
  </si>
  <si>
    <t>ZIC12264 Closed</t>
  </si>
  <si>
    <t>ZIC12265 Closed</t>
  </si>
  <si>
    <t>F12-CU-401</t>
  </si>
  <si>
    <t>PRIMARY CRUSHER 2 CHILLER</t>
  </si>
  <si>
    <t>FE</t>
  </si>
  <si>
    <t>TIC12127 &gt;= P_Hi AND DUTY F12-PO-404/405 RUNNING AND DUTY F12PW426/427 RUNNING (via HS12268STT)</t>
  </si>
  <si>
    <t>TIC12127 &lt;= P_Lo OR F12-PO-404 AND F12-PO-405 NOT RUNNING FOR 60 SECONDS (via HS12268STT)</t>
  </si>
  <si>
    <t>F12-CU-401 Comms Failure</t>
  </si>
  <si>
    <t>F12-CU-401 Fail to Start / Stop</t>
  </si>
  <si>
    <t>F12-CU-401 Drive Fault</t>
  </si>
  <si>
    <t>F12-CU-401 E-Stop</t>
  </si>
  <si>
    <t>F12-CU-401 MCC Unhealthy</t>
  </si>
  <si>
    <t>F12-CU-401 Drive Out of Service</t>
  </si>
  <si>
    <t>F12-CU-401 Drive Ready</t>
  </si>
  <si>
    <t>Duty Cooling Water Pump N_Rung</t>
  </si>
  <si>
    <t>Logic: F12-PW-425 NOT RUNNING AND F12-PW-426 NOT RUNNING</t>
  </si>
  <si>
    <t>HS12268 Start And Remote</t>
  </si>
  <si>
    <t>Logic: HS12268 Start Command Issued And F12CU401 in Remote Auto</t>
  </si>
  <si>
    <t>F12-PS-401</t>
  </si>
  <si>
    <t>PRIMARY CRUSHING 2 AREA SUMP PUMP</t>
  </si>
  <si>
    <t>DOL SP</t>
  </si>
  <si>
    <t>LSH12370 Alarm</t>
  </si>
  <si>
    <t>LSH12370 Normal for 5 seconds and 600 second timer elapsed</t>
  </si>
  <si>
    <t>F12-PS-401 Comms Failure</t>
  </si>
  <si>
    <t>F12-PS-401 Fail to Start / Stop</t>
  </si>
  <si>
    <t>F12-PS-401 Drive Fault</t>
  </si>
  <si>
    <t>F12-PS-401 E-Stop</t>
  </si>
  <si>
    <t>F12-PS-401 MCC Unhealthy</t>
  </si>
  <si>
    <t>F12-PS-401 Drive Out of Service</t>
  </si>
  <si>
    <t>F12-PS-401 Drive Ready</t>
  </si>
  <si>
    <t>F12-FN-410</t>
  </si>
  <si>
    <t>PRIMARY CRUSHER 2 BURIED VAULT VENTILATION FAN</t>
  </si>
  <si>
    <t>F12-SEQ-0002</t>
  </si>
  <si>
    <t>F12-FN-410 Comms Failure</t>
  </si>
  <si>
    <t>F12-FN-410 Fail to Start / Stop</t>
  </si>
  <si>
    <t>F12-FN-410 Drive Fault</t>
  </si>
  <si>
    <t>F12-FN-410 E-Stop</t>
  </si>
  <si>
    <t>F12-FN-410 MCC Unhealthy</t>
  </si>
  <si>
    <t>F12-FN-410 Drive Out of Service</t>
  </si>
  <si>
    <t>F12-FN-410 Drive Ready</t>
  </si>
  <si>
    <t>F12-HT-41X</t>
  </si>
  <si>
    <t>PRIMARY CRUSHER 2 HYDRAULIC RESERVOIR HEATER 1 &amp; 2</t>
  </si>
  <si>
    <t>TI12080 &lt;= P_Lo</t>
  </si>
  <si>
    <t>TI12080 &gt;= P_Hi</t>
  </si>
  <si>
    <t>Common motor control for F12-HT-417 &amp; 418</t>
  </si>
  <si>
    <t>F12-HT-417 Comms Failure</t>
  </si>
  <si>
    <t>F12-HT-417 Fail to Start / Stop</t>
  </si>
  <si>
    <t>F12-HT-417 Drive Fault</t>
  </si>
  <si>
    <t>F12-HT-417 E-Stop</t>
  </si>
  <si>
    <t>F12-HT-417 MCC Unhealthy</t>
  </si>
  <si>
    <t>F12-HT-417 Drive Out of Service</t>
  </si>
  <si>
    <t>F12-HT-417 Drive Ready</t>
  </si>
  <si>
    <t>LAL12081 Closed And Auto</t>
  </si>
  <si>
    <t>Logic: LAL12081 Normal And F12HT417 in Auto 
Hydraulic tank level Low</t>
  </si>
  <si>
    <t>Hydraulic tank level Low Low</t>
  </si>
  <si>
    <t>F12-HT-418</t>
  </si>
  <si>
    <t>PRIMARY CRUSHER 2 HYDRAULIC RESERVOIR HEATER 2</t>
  </si>
  <si>
    <t>F12-HT-418 Comms Failure</t>
  </si>
  <si>
    <t>F12-HT-418 Fail to Start / Stop</t>
  </si>
  <si>
    <t>F12-HT-418 Drive Fault</t>
  </si>
  <si>
    <t>F12-HT-418 E-Stop</t>
  </si>
  <si>
    <t>F12-HT-418 MCC Unhealthy</t>
  </si>
  <si>
    <t>F12-HT-418 Drive Out of Service</t>
  </si>
  <si>
    <t>F12-HT-418 Drive Ready</t>
  </si>
  <si>
    <t>Logic: LAL12081 Normal And F12HT418 in Auto 
Hydraulic tank level low</t>
  </si>
  <si>
    <t>F12-HT-419</t>
  </si>
  <si>
    <t>PRIMARY CRUSHER 2 SPIDER DRUM HEATER</t>
  </si>
  <si>
    <t>TS12096 Active
(Located on Heater)
Nil Programming Required</t>
  </si>
  <si>
    <t>TS12096 N_Active
(Located on Heater)
Nil Programming Required</t>
  </si>
  <si>
    <t>F12-HT-419 Comms Failure</t>
  </si>
  <si>
    <t>F12-HT-419 Fail to Start / Stop</t>
  </si>
  <si>
    <t>F12-HT-419 Drive Fault</t>
  </si>
  <si>
    <t>F12-HT-419 E-Stop</t>
  </si>
  <si>
    <t>F12-HT-419 MCC Unhealthy</t>
  </si>
  <si>
    <t>F12-HT-419 Drive Out of Service</t>
  </si>
  <si>
    <t>F12-HT-419 Drive Ready</t>
  </si>
  <si>
    <t>F12-HT-40X</t>
  </si>
  <si>
    <t>PRIMARY CRUSHER 2 LUBRICATION RESERVOIR HEATER 1, 2, 3 &amp; 4</t>
  </si>
  <si>
    <t>TI12110 &lt;= P_Lo</t>
  </si>
  <si>
    <t>TI12110 &gt;= P_Hi</t>
  </si>
  <si>
    <t>Common motor control for F12-HT-407, 408, 409, 410</t>
  </si>
  <si>
    <t>F12-HT-407 Comms Failure</t>
  </si>
  <si>
    <t>F12-HT-407 Fail to Start / Stop</t>
  </si>
  <si>
    <t>F12-HT-407 Drive Fault</t>
  </si>
  <si>
    <t>F12-HT-407 E-Stop</t>
  </si>
  <si>
    <t>F12-HT-407 MCC Unhealthy</t>
  </si>
  <si>
    <t>F12-HT-407 Drive Out of Service</t>
  </si>
  <si>
    <t>F12-HT-407 Drive Ready</t>
  </si>
  <si>
    <t>LALL12111 Closed</t>
  </si>
  <si>
    <t>Lube tank level less than Low Low</t>
  </si>
  <si>
    <t>LAL12111 And Auto</t>
  </si>
  <si>
    <t>Logic: LALL12111 Closed And F12HT407 In Auto
Lube tank level less than Low</t>
  </si>
  <si>
    <t>TI12110 &gt;= A_HH</t>
  </si>
  <si>
    <t>Lube tank temperature greater than High High SP.</t>
  </si>
  <si>
    <t>F12-HT-408</t>
  </si>
  <si>
    <t>PRIMARY CRUSHER 2 LUBRICATION RESERVOIR HEATER 2</t>
  </si>
  <si>
    <t>F12-HT-408 Comms Failure</t>
  </si>
  <si>
    <t>F12-HT-408 Fail to Start / Stop</t>
  </si>
  <si>
    <t>F12-HT-408 Drive Fault</t>
  </si>
  <si>
    <t>F12-HT-408 E-Stop</t>
  </si>
  <si>
    <t>F12-HT-408 MCC Unhealthy</t>
  </si>
  <si>
    <t>F12-HT-408 Drive Out of Service</t>
  </si>
  <si>
    <t>F12-HT-408 Drive Ready</t>
  </si>
  <si>
    <t>Logic: LALL12111 Closed And F12HT408 In Auto
Lube tank level less than Low</t>
  </si>
  <si>
    <t>F12-HT-409</t>
  </si>
  <si>
    <t>PRIMARY CRUSHER 2 LUBRICATION RESERVOIR HEATER 3</t>
  </si>
  <si>
    <t>F12-HT-409 Comms Failure</t>
  </si>
  <si>
    <t>F12-HT-409 Fail to Start / Stop</t>
  </si>
  <si>
    <t>F12-HT-409 Drive Fault</t>
  </si>
  <si>
    <t>F12-HT-409 E-Stop</t>
  </si>
  <si>
    <t>F12-HT-409 MCC Unhealthy</t>
  </si>
  <si>
    <t>F12-HT-409 Drive Out of Service</t>
  </si>
  <si>
    <t>F12-HT-409 Drive Ready</t>
  </si>
  <si>
    <t>Logic: LALL12111 Closed And F12HT409 In Auto
Lube tank level less than Low</t>
  </si>
  <si>
    <t>F12-HT-410</t>
  </si>
  <si>
    <t>PRIMARY CRUSHER 2 LUBRICATION RESERVOIR HEATER 4</t>
  </si>
  <si>
    <t>DOL HE</t>
  </si>
  <si>
    <t>F12-HT-410 Comms Failure</t>
  </si>
  <si>
    <t>F12-HT-410 Fail to Start / Stop</t>
  </si>
  <si>
    <t>F12-HT-410 Drive Fault</t>
  </si>
  <si>
    <t>F12-HT-410 E-Stop</t>
  </si>
  <si>
    <t>F12-HT-410 MCC Unhealthy</t>
  </si>
  <si>
    <t>F12-HT-410 Drive Out of Service</t>
  </si>
  <si>
    <t>F12-HT-410 Drive Ready</t>
  </si>
  <si>
    <t>LAL12111 AND IN AUTO</t>
  </si>
  <si>
    <t>Logic: LALL12111 Closed And F12HT410 In Auto
Lube tank level less than Low</t>
  </si>
  <si>
    <t>F12-FA-401</t>
  </si>
  <si>
    <t>PRIMARY CRUSHER 2 DISCHARGE APRON FEEDER</t>
  </si>
  <si>
    <t>LI12200 &gt; P_Lo</t>
  </si>
  <si>
    <t>LI12200 &lt;= P_LoLo</t>
  </si>
  <si>
    <t>Vendor specified minimum speed: 2.7RPM. VSD ramp-up to be greater than 10 seconds to maximum speed. To be confirmed during commissioning. 
Reversing of drive to be limited to 10% of maximum forward speed during maintenance only.
Source: 2000-ME004-M01-10001.</t>
  </si>
  <si>
    <t>F12-FA-401 Comms Failure</t>
  </si>
  <si>
    <t>F12-FA-401 Fail to Start / Stop</t>
  </si>
  <si>
    <t>F12-FA-401 Drive Fault</t>
  </si>
  <si>
    <t>F12-FA-401 E-Stop</t>
  </si>
  <si>
    <t>F12-FA-401 MCC Unhealthy</t>
  </si>
  <si>
    <t>F12-FA-401 Drive Out of Service</t>
  </si>
  <si>
    <t>F12-FA-401 Drive Ready</t>
  </si>
  <si>
    <t>LI12200 &lt;= A_LL</t>
  </si>
  <si>
    <t>Discharge Chamber Level Low Low</t>
  </si>
  <si>
    <t>LI12199 &lt;= A_LL</t>
  </si>
  <si>
    <t>PWA12221A Alarm</t>
  </si>
  <si>
    <t>Pullwire switch.</t>
  </si>
  <si>
    <t>PWA12221B Alarm</t>
  </si>
  <si>
    <t>Primary Crusher 2 Discharge Conveyor Not Running</t>
  </si>
  <si>
    <t>LAH12227 Alarm</t>
  </si>
  <si>
    <t>Apron Feeder Blocked Head Chute</t>
  </si>
  <si>
    <t>YA12223 Healthy</t>
  </si>
  <si>
    <t>Siren to sound prior to drive start.</t>
  </si>
  <si>
    <t>SAL12222 Alarm</t>
  </si>
  <si>
    <t>Mask for 10 seconds during startup.
Set at less than or equal &lt;= 2 RPM. To be confirmed during commissioning.</t>
  </si>
  <si>
    <t>LI13002 &gt;= A_Hi</t>
  </si>
  <si>
    <t>Stockpile Level High. Begin running belts out.</t>
  </si>
  <si>
    <t>12LU441_T3 Active</t>
  </si>
  <si>
    <t>Grease cycle switch not active during grease periods or low reservoir grease level for greater than 24 hours. See Misc. tab.</t>
  </si>
  <si>
    <t>TI12228 &gt;= A_HH</t>
  </si>
  <si>
    <t>Gearbox Sump Cooler Temperature &gt;= 90C. RTD.</t>
  </si>
  <si>
    <t>TI12229 &gt;= A_HH</t>
  </si>
  <si>
    <t>Gearbox High Speed Bearing Temperature &gt;= 90C. RTD</t>
  </si>
  <si>
    <t>PA12231 Active</t>
  </si>
  <si>
    <t>Gearbox Oil pressure switch low active</t>
  </si>
  <si>
    <t>F12PO436 Not Running</t>
  </si>
  <si>
    <t>Gearbox Oil Cooler Pump motor to be running prior to start-up of main motor drive.</t>
  </si>
  <si>
    <t>TI12228 &lt; P_Hi</t>
  </si>
  <si>
    <t>Oil Temperature must be less than 70C to start Apron Feeder drive.</t>
  </si>
  <si>
    <t>F12-LU-441</t>
  </si>
  <si>
    <t>PRIMARY CRUSHER 2 DISCHARGE APRON FEEDER AUTOLUBE GREASE SYSTEM</t>
  </si>
  <si>
    <t>12LU441_T2 In Progress</t>
  </si>
  <si>
    <t>12LU441_T2 Inactive</t>
  </si>
  <si>
    <t>Manual mode for commissioning and maintenance purposes.</t>
  </si>
  <si>
    <t>F12-LU-441 Comms Failure</t>
  </si>
  <si>
    <t>F12-LU-441 Fail to Start / Stop</t>
  </si>
  <si>
    <t>F12-LU-441 Drive Fault</t>
  </si>
  <si>
    <t>F12-LU-441 E-Stop</t>
  </si>
  <si>
    <t>F12-LU-441 MCC Unhealthy</t>
  </si>
  <si>
    <t>F12-LU-441 Drive Out of Service</t>
  </si>
  <si>
    <t>F12-LU-441 Drive Ready</t>
  </si>
  <si>
    <t>F12FA401 Not Running and Manual</t>
  </si>
  <si>
    <t>Logic: F12FA401 Not Running and F12-LU-441 in Manual
Bypass for commissioning purposes. Interlock if left in manual and feeder is not running.</t>
  </si>
  <si>
    <t>F12-FN-421</t>
  </si>
  <si>
    <t>PRIMARY CRUSHER 2 DISCHARGE APRON FEEDER GEARBOX COOLER FAN</t>
  </si>
  <si>
    <t>TSH12237 Activated</t>
  </si>
  <si>
    <t>TSH12237 Normal for 60 seconds</t>
  </si>
  <si>
    <t>On-delay 3 seconds for TSH12237.</t>
  </si>
  <si>
    <t>F12-FN-421 Comms Failure</t>
  </si>
  <si>
    <t>F12-FN-421 Fail to Start / Stop</t>
  </si>
  <si>
    <t>F12-FN-421 Drive Fault</t>
  </si>
  <si>
    <t>F12-FN-421 E-Stop</t>
  </si>
  <si>
    <t>F12-FN-421 MCC Unhealthy</t>
  </si>
  <si>
    <t>F12-FN-421 Drive Out of Service</t>
  </si>
  <si>
    <t>F12-FN-421 Drive Ready</t>
  </si>
  <si>
    <t>F12-PO-436</t>
  </si>
  <si>
    <t>PRIMARY CRUSHER 2 DISCHARGE APRON FEEDER GEARBOX COOLER OIL PUMP</t>
  </si>
  <si>
    <t>Pump to start prior to Apron Feeder Motor. Oil pressure to be &gt; 0.7 bar and oil temperature &lt; 70C prior to apron feeder motor energising.</t>
  </si>
  <si>
    <t>F12-PO-436 Comms Failure</t>
  </si>
  <si>
    <t>F12-PO-436 Fail to Start / Stop</t>
  </si>
  <si>
    <t>F12-PO-436 Drive Fault</t>
  </si>
  <si>
    <t>F12-PO-436 E-Stop</t>
  </si>
  <si>
    <t>F12-PO-436 MCC Unhealthy</t>
  </si>
  <si>
    <t>F12-PO-436 Drive Out of Service</t>
  </si>
  <si>
    <t>F12-PO-436 Drive Ready</t>
  </si>
  <si>
    <t>F12-CV-401</t>
  </si>
  <si>
    <t>PRIMARY CRUSHER 2 DISCHARGE CONVEYOR</t>
  </si>
  <si>
    <t>F12-CV-401 Comms Failure</t>
  </si>
  <si>
    <t>F12-CV-401 Fail to Start / Stop</t>
  </si>
  <si>
    <t>F12-CV-401 Drive Fault</t>
  </si>
  <si>
    <t>F12-CV-401 E-Stop</t>
  </si>
  <si>
    <t>F12-CV-401 MCC Unhealthy</t>
  </si>
  <si>
    <t>F12-CV-401 Drive Out of Service</t>
  </si>
  <si>
    <t>F12-CV-401 Drive Ready</t>
  </si>
  <si>
    <t>Sirens Healthy</t>
  </si>
  <si>
    <t>Logic: YA12505A Healthy AND YA12505B Healthy AND YA12505C Healthy
Siren to sound prior to drive start.</t>
  </si>
  <si>
    <t>LAH12511 Alarm</t>
  </si>
  <si>
    <t>Blocked chute switch on.</t>
  </si>
  <si>
    <t>F12-RP-401 Not Running</t>
  </si>
  <si>
    <t>BDA12503A Alarm</t>
  </si>
  <si>
    <t>Bypass for commissioning purposes.</t>
  </si>
  <si>
    <t>BDA12503B Alarm</t>
  </si>
  <si>
    <t>BDA12503C Alarm</t>
  </si>
  <si>
    <t>BDA12503D Alarm</t>
  </si>
  <si>
    <t>BDA12503E Alarm</t>
  </si>
  <si>
    <t>BDA12503F Alarm</t>
  </si>
  <si>
    <t>BRA12504 Alarm</t>
  </si>
  <si>
    <t>PWA12501A Alarm</t>
  </si>
  <si>
    <t>PWA12501B Alarm</t>
  </si>
  <si>
    <t>PWA12501C Alarm</t>
  </si>
  <si>
    <t>PWA12501D Alarm</t>
  </si>
  <si>
    <t>ZSA12506A Alarm</t>
  </si>
  <si>
    <t>Take-up switch (Upper)</t>
  </si>
  <si>
    <t>ZSA12506B Alarm</t>
  </si>
  <si>
    <t>Take-up switch (Lower)</t>
  </si>
  <si>
    <t>VI12507A &gt;= A_HH</t>
  </si>
  <si>
    <t>VI12507B &gt;= A_HH</t>
  </si>
  <si>
    <t>LI13002 &gt;= A_HH</t>
  </si>
  <si>
    <t>COS 2 Level High High</t>
  </si>
  <si>
    <t>SAL12510 Alarm</t>
  </si>
  <si>
    <t>Mask for 10 seconds during startup.</t>
  </si>
  <si>
    <t>F12-FN-403 Not Running</t>
  </si>
  <si>
    <t>F12-RP-401</t>
  </si>
  <si>
    <t>PRIMARY CRUSHER 2 ROOTPICKER</t>
  </si>
  <si>
    <t>F12-RP-401 Comms Failure</t>
  </si>
  <si>
    <t>F12-RP-401 Fail to Start / Stop</t>
  </si>
  <si>
    <t>F12-RP-401 Drive Fault</t>
  </si>
  <si>
    <t>F12-RP-401 E-Stop</t>
  </si>
  <si>
    <t>F12-RP-401 MCC Unhealthy</t>
  </si>
  <si>
    <t>F12-RP-401 Drive Out of Service</t>
  </si>
  <si>
    <t>F12-RP-401 Drive Ready</t>
  </si>
  <si>
    <t>F12-FN-403</t>
  </si>
  <si>
    <t>PRIMARY CRUSHER 2 DUST COLLECTOR FAN</t>
  </si>
  <si>
    <t>F12-FN-403 Comms Failure</t>
  </si>
  <si>
    <t>F12-FN-403 Fail to Start / Stop</t>
  </si>
  <si>
    <t>F12-FN-403 Drive Fault</t>
  </si>
  <si>
    <t>F12-FN-403 E-Stop</t>
  </si>
  <si>
    <t>F12-FN-403 MCC Unhealthy</t>
  </si>
  <si>
    <t>F12-FN-403 Drive Out of Service</t>
  </si>
  <si>
    <t>F12-FN-403 Drive Ready</t>
  </si>
  <si>
    <t>PDI12542 &gt;= A_HH</t>
  </si>
  <si>
    <t>Reclaim Dust Pressure Diff. 
Trip F12FN403 if PDI12542 &gt;= A_HH for more than 1 hour as per vendor advice.</t>
  </si>
  <si>
    <t>Reclaim Dust Rotary Valve. Prevent start-up or trip Dust Collector Fan if Rotary Valve is Not Running. Bypass for maintenance testing purposes.</t>
  </si>
  <si>
    <t>Primary Crusher 2 Discharge Conveyor Not Running.</t>
  </si>
  <si>
    <t>F12-VR-401</t>
  </si>
  <si>
    <t>PRIMARY CRUSHER 2 DUST COLLECTOR ROTARY VALVE</t>
  </si>
  <si>
    <t>F12-FN-403 STOPPED == TRUE FOR 5 MINUTES</t>
  </si>
  <si>
    <t>Vendor advice to stop Rotary Valve 3-5 minutes after Fan stopped.</t>
  </si>
  <si>
    <t>F12-VR-401 Comms Failure</t>
  </si>
  <si>
    <t>F12-VR-401 Fail to Start / Stop</t>
  </si>
  <si>
    <t>F12-VR-401 Drive Fault</t>
  </si>
  <si>
    <t>F12-VR-401 E-Stop</t>
  </si>
  <si>
    <t>F12-VR-401 MCC Unhealthy</t>
  </si>
  <si>
    <t>F12-VR-401 Drive Out of Service</t>
  </si>
  <si>
    <t>F12-VR-401 Drive Ready</t>
  </si>
  <si>
    <t>SAL12545 Alarm</t>
  </si>
  <si>
    <t>Trip Rotary Valve if Low Speed Switch Active</t>
  </si>
  <si>
    <t>F12CV401 Not Running</t>
  </si>
  <si>
    <t>F12-MG-401</t>
  </si>
  <si>
    <t>PRIMARY CRUSHER 2 TRAMP MAGNET 1</t>
  </si>
  <si>
    <t>F12-MG-401 Comms Failure</t>
  </si>
  <si>
    <t>F12-MG-401 Fail to Start / Stop</t>
  </si>
  <si>
    <t>F12-MG-401 Drive Fault</t>
  </si>
  <si>
    <t>F12-MG-401 E-Stop</t>
  </si>
  <si>
    <t>F12-MG-401 MCC Unhealthy</t>
  </si>
  <si>
    <t>F12-MG-401 Drive Out of Service</t>
  </si>
  <si>
    <t>F12-MG-401 Drive Ready</t>
  </si>
  <si>
    <t>XA12519 Alarm</t>
  </si>
  <si>
    <t>System Fault</t>
  </si>
  <si>
    <t>XC12520 Active</t>
  </si>
  <si>
    <t>Logic: XC12520 Active and F12MG401 in Remote
Remote Select Not Active</t>
  </si>
  <si>
    <t>F12-MG-402</t>
  </si>
  <si>
    <t>PRIMARY CRUSHER 2 TRAMP MAGNET 2</t>
  </si>
  <si>
    <t>F12-MG-402 Comms Failure</t>
  </si>
  <si>
    <t>F12-MG-402 Fail to Start / Stop</t>
  </si>
  <si>
    <t>F12-MG-402 Drive Fault</t>
  </si>
  <si>
    <t>F12-MG-402 E-Stop</t>
  </si>
  <si>
    <t>F12-MG-402 MCC Unhealthy</t>
  </si>
  <si>
    <t>F12-MG-402 Drive Out of Service</t>
  </si>
  <si>
    <t>F12-MG-402 Drive Ready</t>
  </si>
  <si>
    <t>XA12567 Alarm</t>
  </si>
  <si>
    <t>XC12568 Actove</t>
  </si>
  <si>
    <t>Logic: XC12568 Active and F12MG402 in Remote
Remote Select Not Active</t>
  </si>
  <si>
    <t>F12-RB-401</t>
  </si>
  <si>
    <t>ROCKBREAKER</t>
  </si>
  <si>
    <t>See DI tab for details.</t>
  </si>
  <si>
    <t>F12-RB-401 Comms Failure</t>
  </si>
  <si>
    <t>F12-RB-401 Fail to Start / Stop</t>
  </si>
  <si>
    <t>F12-RB-401 Drive Fault</t>
  </si>
  <si>
    <t>F12-RB-401 E-Stop</t>
  </si>
  <si>
    <t>F12-RB-401 MCC Unhealthy</t>
  </si>
  <si>
    <t>F12-RB-401 Drive Out of Service</t>
  </si>
  <si>
    <t>F12-RB-401 Drive Ready</t>
  </si>
  <si>
    <t>F12-RB-401 Fault</t>
  </si>
  <si>
    <t>F12-CR-401 Running</t>
  </si>
  <si>
    <t>Prevent starting of Rock Breaker if Crane in use.</t>
  </si>
  <si>
    <t>F12-FN-409</t>
  </si>
  <si>
    <t>ROCKBREAKER HPU COOLING FAN</t>
  </si>
  <si>
    <t>F12-FN-409 Comms Failure</t>
  </si>
  <si>
    <t>F12-FN-409 Fail to Start / Stop</t>
  </si>
  <si>
    <t>F12-FN-409 Drive Fault</t>
  </si>
  <si>
    <t>F12-FN-409 E-Stop</t>
  </si>
  <si>
    <t>F12-FN-409 MCC Unhealthy</t>
  </si>
  <si>
    <t>F12-FN-409 Drive Out of Service</t>
  </si>
  <si>
    <t>F12-FN-409 Drive Ready</t>
  </si>
  <si>
    <t>F12-PO-402</t>
  </si>
  <si>
    <t>ROCKBREAKER HPU HYDRAULIC PUMP</t>
  </si>
  <si>
    <t>F12-PO-402 Comms Failure</t>
  </si>
  <si>
    <t>F12-PO-402 Fail to Start / Stop</t>
  </si>
  <si>
    <t>F12-PO-402 Drive Fault</t>
  </si>
  <si>
    <t>F12-PO-402 E-Stop</t>
  </si>
  <si>
    <t>F12-PO-402 MCC Unhealthy</t>
  </si>
  <si>
    <t>F12-PO-402 Drive Out of Service</t>
  </si>
  <si>
    <t>F12-PO-402 Drive Ready</t>
  </si>
  <si>
    <t>F12-CV-402</t>
  </si>
  <si>
    <t>STOCKPILE FEED CONVEYOR</t>
  </si>
  <si>
    <t>F12-CV-402 Comms Failure</t>
  </si>
  <si>
    <t>F12-CV-402 Fail to Start / Stop</t>
  </si>
  <si>
    <t>F12-CV-402 Drive Fault</t>
  </si>
  <si>
    <t>F12-CV-402 E-Stop</t>
  </si>
  <si>
    <t>F12-CV-402 MCC Unhealthy</t>
  </si>
  <si>
    <t>F12-CV-402 Drive Out of Service</t>
  </si>
  <si>
    <t>F12-CV-402 Drive Ready</t>
  </si>
  <si>
    <t>Logic: YA12559A Healthy AND YA12559B Healthy
Siren to sound prior to drive start.</t>
  </si>
  <si>
    <t>LAHH13001 Active</t>
  </si>
  <si>
    <t>COS 2 Level Switch High High</t>
  </si>
  <si>
    <t>BDA12555A Alarm</t>
  </si>
  <si>
    <t>BDA12555B Alarm</t>
  </si>
  <si>
    <t>BDA12555C Alarm</t>
  </si>
  <si>
    <t>BDA12555D Alarm</t>
  </si>
  <si>
    <t>BDA12555E Alarm</t>
  </si>
  <si>
    <t>BDA12555F Alarm</t>
  </si>
  <si>
    <t>BDA12555G Alarm</t>
  </si>
  <si>
    <t>BDA12555H Alarm</t>
  </si>
  <si>
    <t>BRA12556 Alarm</t>
  </si>
  <si>
    <t>PWA12552A Alarm</t>
  </si>
  <si>
    <t>PWA12552B Alarm</t>
  </si>
  <si>
    <t>PWA12552C Alarm</t>
  </si>
  <si>
    <t>PWA12552D Alarm</t>
  </si>
  <si>
    <t>ZSA12558A Alarm</t>
  </si>
  <si>
    <t>ZSA12558B Alarm</t>
  </si>
  <si>
    <t>VI12560A &gt;= A_HH</t>
  </si>
  <si>
    <t>VI12560B &gt;= A_HH</t>
  </si>
  <si>
    <t>SAL12553 Alarm</t>
  </si>
  <si>
    <t>LAH12582 Alarm</t>
  </si>
  <si>
    <t>Blocked chute detector.</t>
  </si>
  <si>
    <t>F12-CR-401</t>
  </si>
  <si>
    <t>PRIMARY CRUSHER 2 OVERHEAD CRANE</t>
  </si>
  <si>
    <t>Controlled by field operator via pendant</t>
  </si>
  <si>
    <t>FC 24/10/24 : no control of crane</t>
  </si>
  <si>
    <t>F12-CR-401 Comms Failure</t>
  </si>
  <si>
    <t>F12-CR-401 Fail to Start / Stop</t>
  </si>
  <si>
    <t>F12-CR-401 Drive Fault</t>
  </si>
  <si>
    <t>F12-CR-401 E-Stop</t>
  </si>
  <si>
    <t>F12-CR-401 MCC Unhealthy</t>
  </si>
  <si>
    <t>F12-CR-401 Drive Out of Service</t>
  </si>
  <si>
    <t>F12-CR-401 Drive Ready</t>
  </si>
  <si>
    <t>F12-RB-401 Running</t>
  </si>
  <si>
    <t>Prevent use of crane if Rock Breaker is in use.</t>
  </si>
  <si>
    <t>F12-LE-401</t>
  </si>
  <si>
    <t>PRIMARY CRUSHER 2 INSPECTION TROLLEY</t>
  </si>
  <si>
    <t>Controlled by field operator via radio control</t>
  </si>
  <si>
    <t>Fc 24/10/24 : no control of inspection trolley</t>
  </si>
  <si>
    <t>F12-LE-401 Comms Failure</t>
  </si>
  <si>
    <t>F12-LE-401 Fail to Start / Stop</t>
  </si>
  <si>
    <t>F12-LE-401 Drive Fault</t>
  </si>
  <si>
    <t>F12-LE-401 E-Stop</t>
  </si>
  <si>
    <t>F12-LE-401 MCC Unhealthy</t>
  </si>
  <si>
    <t>F12-LE-401 Drive Out of Service</t>
  </si>
  <si>
    <t>F12-LE-401 Drive Ready</t>
  </si>
  <si>
    <t>F12-CG-401 Running</t>
  </si>
  <si>
    <t>Primary Crusher 2 Running</t>
  </si>
  <si>
    <t>F12-HU-401</t>
  </si>
  <si>
    <t>CRUSHING VAULT LOWER DOOR HYDRAULIC PUMP</t>
  </si>
  <si>
    <t>F12-HU-401  Comms Failure</t>
  </si>
  <si>
    <t>F12-HU-401  Fail to Start / Stop</t>
  </si>
  <si>
    <t>F12-HU-401  Drive Fault</t>
  </si>
  <si>
    <t>F12-HU-401  E-Stop</t>
  </si>
  <si>
    <t>F12-HU-401  MCC Unhealthy</t>
  </si>
  <si>
    <t>F12-HU-401  Drive Out of Service</t>
  </si>
  <si>
    <t>F12-HU-401  Drive Ready</t>
  </si>
  <si>
    <t>LAL12202 Active</t>
  </si>
  <si>
    <t>Hydraulic reservoir level low.</t>
  </si>
  <si>
    <t>SEQUENCES</t>
  </si>
  <si>
    <t>Seq No.</t>
  </si>
  <si>
    <t>Seq Description</t>
  </si>
  <si>
    <t>Step</t>
  </si>
  <si>
    <t>Action</t>
  </si>
  <si>
    <t>Tag / Item</t>
  </si>
  <si>
    <t>Next Step Delay (s)</t>
  </si>
  <si>
    <t>Step Advance Condition</t>
  </si>
  <si>
    <t>Equipment Permissives</t>
  </si>
  <si>
    <t>Recovery Seq. No if Step Faults</t>
  </si>
  <si>
    <t>PLEASE REFER TO SEQUENCE FLOWCHART DOCUMENT (2000-F12-LST-PR-10002)</t>
  </si>
  <si>
    <t>CALCULATIONS</t>
  </si>
  <si>
    <t>Inputs</t>
  </si>
  <si>
    <t>Operator Input</t>
  </si>
  <si>
    <t>Calc. Value</t>
  </si>
  <si>
    <t>Manual Input</t>
  </si>
  <si>
    <t>Description (Software Tag Only)</t>
  </si>
  <si>
    <t>Tag</t>
  </si>
  <si>
    <t>Nom</t>
  </si>
  <si>
    <t>Calculation</t>
  </si>
  <si>
    <t>F12CALC10001</t>
  </si>
  <si>
    <t>F12LU401 Lube Temp Differential</t>
  </si>
  <si>
    <t>TI12127</t>
  </si>
  <si>
    <t>Chilled Oil Supply to Crusher</t>
  </si>
  <si>
    <t>TDI12128 = TI12128 - TI12127</t>
  </si>
  <si>
    <t>Lube Oil Return from Crusher</t>
  </si>
  <si>
    <t>Oil Temperature Differential</t>
  </si>
  <si>
    <t>F12CALC10003</t>
  </si>
  <si>
    <t>F12CG401 Number of Calibrations</t>
  </si>
  <si>
    <t>count</t>
  </si>
  <si>
    <t>F12CALC0003 = F12CALC0003 + 1</t>
  </si>
  <si>
    <t>Calculation gets executed each time F12-SEQ-0005 is executed. Counter is resettable for new liner installation via Engineer login.</t>
  </si>
  <si>
    <t>Present calculation in DCS Graphic for Operator reference.</t>
  </si>
  <si>
    <t>F12CALC10004</t>
  </si>
  <si>
    <t>F12CG401 Time of Last CSS Calbrn</t>
  </si>
  <si>
    <t>time</t>
  </si>
  <si>
    <t>F12CALC10004 = Controller Current System Time</t>
  </si>
  <si>
    <t>Calculation is executed each time F12-SEQ-0005 is executed</t>
  </si>
  <si>
    <t>F12CALC10005</t>
  </si>
  <si>
    <t>F12CG401 Mantle RateofChange Low</t>
  </si>
  <si>
    <t>Value (mm/s)</t>
  </si>
  <si>
    <t>ZI12061.PV @ t=0</t>
  </si>
  <si>
    <t>Mantle Position at rolling basis t=0s</t>
  </si>
  <si>
    <t>ZI12061.PV_MantleROC =[ ZI12061.PV(t=10s rolling) - ZI12061.PV(t=0s rolling) ] / (10 - 0)</t>
  </si>
  <si>
    <t>Calculate rate of change over rolling 10 second basis. For input into F12-SEQ-0005. Sequence will time-out if mantle is moving reporting an ROC &gt; 0 and issue an error.</t>
  </si>
  <si>
    <t>ZI12061.PV @ t=10</t>
  </si>
  <si>
    <t>Mantle Position at rolling basis t=10s</t>
  </si>
  <si>
    <t>ZI12061.PV_MantleROC</t>
  </si>
  <si>
    <t xml:space="preserve">Mantle Position Change </t>
  </si>
  <si>
    <t xml:space="preserve">MantleROC parameter to be zero to indicate no change in mantle position. 
T=0s reference point to be taken when ROC = 0. </t>
  </si>
  <si>
    <t>F12CALC10006</t>
  </si>
  <si>
    <t>F12CG401 Mantle RateofChange Hi</t>
  </si>
  <si>
    <t>ZI12061.PV_MantleROC =[ ZI12061.PV(t=2s rolling) - ZI12061.PV(t=0s rolling) ] / (2 - 0)</t>
  </si>
  <si>
    <t>Calculate rate of change over rolling 2 second basis. For input into F12-SEQ-0005. Sequence will time-out if mantle is moving reporting an ROC &gt; 0 and issue an error.</t>
  </si>
  <si>
    <t>ZI12061.PV @ t=2</t>
  </si>
  <si>
    <t>Mantle Position at rolling basis t=2s</t>
  </si>
  <si>
    <t>F12CG401 CSS</t>
  </si>
  <si>
    <t>ZIC12062.PV = 457 * (ZI12061.PV - ZI12061_H1) / (0 - 457) for 0 =&lt; ZI12061.PV =&lt; 457</t>
  </si>
  <si>
    <t>ZI12061.PV</t>
  </si>
  <si>
    <t>F12CG401 Mantle Position</t>
  </si>
  <si>
    <t>Linear interpolation calculation using calibration concave / mantle contact point from F12-SEQ-0005 to adjust the range of ZIC12062. Zero point of ZIC12062 will vary based on liner wear and require calibration sequence to run to reflect accurate OSS value into controller.</t>
  </si>
  <si>
    <t>ZIC12062.PV</t>
  </si>
  <si>
    <t>ZI12061_H1</t>
  </si>
  <si>
    <t>F12CG401 Mantle/Concave Contact (from F12-SEQ-0005).</t>
  </si>
  <si>
    <t>F12CALC10008</t>
  </si>
  <si>
    <t>F12CG401 CSS Range High</t>
  </si>
  <si>
    <t>F12CG401 Range High</t>
  </si>
  <si>
    <t>ZIC12062_H1 = 457 * (0 - ZI12061_H1) / (0 - 457)</t>
  </si>
  <si>
    <t xml:space="preserve">Calculation inverts ZI12061 process value whereby the mantle and concave contact as determined during the Mantle Calibration Sequence. </t>
  </si>
  <si>
    <t>F12CALC10009</t>
  </si>
  <si>
    <t>F12CG401 CSS Range Low</t>
  </si>
  <si>
    <t>F12CG401 Range Low</t>
  </si>
  <si>
    <t>ZIC12062_L1 = 457 * (457 - ZI12061_H1) / (0 - 457)</t>
  </si>
  <si>
    <t>MISC. INSTRUMENTS AND CONTROLLERS</t>
  </si>
  <si>
    <t>Normal State</t>
  </si>
  <si>
    <t>Hardwired (y/n)</t>
  </si>
  <si>
    <t>12CG401_AMPS</t>
  </si>
  <si>
    <t xml:space="preserve"> </t>
  </si>
  <si>
    <t>-</t>
  </si>
  <si>
    <t>Primary Crusher 2 Amps
Process Switchpoint, P_Lo = 34
Setpoint to be confirmed during commissioning.</t>
  </si>
  <si>
    <t>12CG401_T1</t>
  </si>
  <si>
    <t>F12CG401 Mantle Calibration Timer</t>
  </si>
  <si>
    <t>Timer that runs until the Gyratory Crusher Mantle Calibration sequence is initiated. Count in HOURS when 12CG401_AMPS is non-zero. Reset timer after 2000-F12-SEQ-0005 has run.</t>
  </si>
  <si>
    <t>F12CG401 Stop Delay Time</t>
  </si>
  <si>
    <t>Please see 2000-ME001.1-M02-50001 Section 7.1 for further details.
Start timer when Crusher Main Drive is initiated to stop via sequence F12-SEQ-0002 OR a relevant interlock is true (see Drives sheet). When Crusher Drive in AUTO, this timer must elapse before crusher drive may be stopped.
Traffic lights on ROM will change to Red when this timer is active.
Provide CRO option to cancel this timer if it is in progress.
DEFAULT SETTING: 15 SECONDS.
OPERATOR CONFIGURABLE RANGE: 15 - 120 SECONDS.</t>
  </si>
  <si>
    <t>12CG401_T3</t>
  </si>
  <si>
    <t>F12CG401 Idle Time</t>
  </si>
  <si>
    <t>Please see 2000-ME001.1-M02-50001 Section 7.1 for further details.
Start timer when Crusher Main Drive Amps is equal to or less than P_Lo (Logic: F12CG401_AMPS &lt;= P_Lo). The value of P_Lo is to be confirmed during commissioning. For design:
F12CG401_AMPS P_Lo = 34
Timer:
DEFAULT SETTING: 3600 SECONDS.
OPERATOR CONFIGURABLE RANGE: 1800 - 3600 SECONDS.
Activate 12CG401_T3 if Timer elapses. Timer will stop F12CG401 when in Auto.
Timer will stop and reset if condition above is not met.</t>
  </si>
  <si>
    <t>12LU401_T1</t>
  </si>
  <si>
    <t>F12PO404/405 Lube Oil Startup</t>
  </si>
  <si>
    <t>Prior to starting F12CG401, the lubrication system shall run for 15 minutes to warm internal components. Duty lubrication pump to run for 15 minutes. 
Start on delay timer when F12-PO-404 OR F12-PO-405 running
FLS Ref: Lubrication Run Time
Timer duration: 15 minutes. Non-adjustable.
Please see 2000-ME001.1-M02-50001 Section 7.1 for further details.</t>
  </si>
  <si>
    <t>12LU401_T2</t>
  </si>
  <si>
    <t>F12PO404/405 Lube Oil Stop</t>
  </si>
  <si>
    <t>Timer duration: 30 minutes MINIMUM. Adjustable greater than 30 minutes only.
Auto-start timer when F12CG401 Drive confirmed Not Running. 
FLS Ref: Lubrication Delayed Stop
Please see 2000-ME001.1-M02-50001 Section 7.1 for further details.</t>
  </si>
  <si>
    <t>12LU401_T3</t>
  </si>
  <si>
    <t>F12PO404/405 Tank Temperature</t>
  </si>
  <si>
    <t>Temperature interlock mask for the start up of the Duty Lubrication Pump F12PO404/405.
Start timer when Duty F12-PO-404 OR F12-PO-405 is started. 
When timer elapses, relevant interlock masks are to deactivate (refer to F12-PO-404 and F12-PO-405 on Drives sheet).
FLS Ref: Tank Temperature L2 Delay
Timer duration: 300 seconds. Non-adjustable.
Please see 2000-ME001.1-M02-50001 Section 7.1 for further details.</t>
  </si>
  <si>
    <t>F12LU402_T1</t>
  </si>
  <si>
    <t>Spider Grease Run Timer (Master)</t>
  </si>
  <si>
    <t>Timer is started by F12-SEQ-0001 OR manually via a graphic start button on the faceplate for the Spider Grease System (F12-LU-401) within DCS:
When F12LU402_T1 ELAPSES, 
    • Start F12PO419 AND 
    • Reset and restart F12LU402_T1 timer AND
    • Start F12LU402_T2 AND 
    • Start F12LU402_T3 (or resume if timer already started in previous cycle).
The Timer is stopped by F12-SEQ-0002 OR manually via a graphic stop button  on the faceplate for the Spider Grease System (F12-LU-401) on the DCS. If Primary Crusher 2 (F12-CG-401) stops or trips, then this Timer (and therefore F12-LU-402) should also stop. 
FLS Ref: Grease Cycle Period
Grease Cycle Period Range = 60 - 1500 seconds (Engineer login configurable).
Grease Cycle Period Default = 150 seconds.
Please refer to 2000-ME001.1-M02-50001 for further details.</t>
  </si>
  <si>
    <t>F12LU402_T2</t>
  </si>
  <si>
    <t>Spider Cycle Fault Timer</t>
  </si>
  <si>
    <t>Timer is the maximum F12PO419 permissible run time in a cycle. 
Start F12LU402_T2 when F12LU402_T1 elapses. 
If F12LU402_T2 ELAPSES then STOP F12PO419,
OR stop and reset timer if XI12100 is active.
Grease Cycle Fault Alarm (F12LU402_T2A) needs to latch until XI12100 becomes active (a successful grease cycle occurs).
FLS Ref: Grease Cycle Fault
Grease Cycle Fault Timer: 15 seconds non-adjustable.
Please refer to 2000-ME001.1-M02-50001 for further details.</t>
  </si>
  <si>
    <t>F12LU402_T2A</t>
  </si>
  <si>
    <t>Grease Cycle Fault Alarm</t>
  </si>
  <si>
    <t>Alarm generated from F12LU402_T2 elapsed.</t>
  </si>
  <si>
    <t>F12LU402_T3</t>
  </si>
  <si>
    <t>Spider Lube Fault Timer</t>
  </si>
  <si>
    <t>Start F12LU402_T3 when F12LU402_T1 elapses.
When 12LU401_T3 elapses (completes 1500s), 
   • Trip F12CG401 AND 
   • Stop 12LU401_T1 AND 
   • Activate LOCAL indicator light XI12102.
Timer to stop and reset to 0 when activated. 
Spider Lube Fault Alarm (F12LU402_T3A) needs to latch until XI12100 becomes active (a successful grease cycle occurs).
FLS Ref: Spider Lube Fault
Spider Lube Fault Time: 1800 seconds Engineer adjustable only.
Please refer to 2000-ME001.1-M02-50001 for further details.</t>
  </si>
  <si>
    <t>F12LU402_T3A</t>
  </si>
  <si>
    <t>Spider Lube Fault Alarm</t>
  </si>
  <si>
    <t>Alarm generated from F12LU402_T3 elapsed.</t>
  </si>
  <si>
    <t>12PO403_10T1</t>
  </si>
  <si>
    <t>Hydraulic Pump Min. Runtime</t>
  </si>
  <si>
    <t>Duty Hydraulic Pump to run for 35 minutes until shut off in Auto mode. Please see Drives sheet.
Activate Timer when Duty Hydraulic Pump is started.
When timer elapses, activate Misc Tag / bit such that F12-PO-403/10_T1 = ACTIVE. 
Stop and reset Timer if Hydraulic Pump is stopped before timer elapses.</t>
  </si>
  <si>
    <t>12BN401_DUMP</t>
  </si>
  <si>
    <t>F12BN401 2 Trucks Dump</t>
  </si>
  <si>
    <t>ALARM IF (ZI12005A =&lt; P_Hi AND ZI12005B =&lt; P_Hi) == TRUE.</t>
  </si>
  <si>
    <t>12LU441_T1</t>
  </si>
  <si>
    <t>F12FA401 Grease Cycle Timer</t>
  </si>
  <si>
    <t>Source: 2000-ME004-M01-10001.
Timer is started (or resumed) by the following conditions:
- F12-SEQ-0001 OR 
- Manually via a graphic button on the DCS OR 
- F12-FA-401 Running (Group Start) OR
- 12LU441_T2 Elapsed.
When 12LU441_T1 ELAPSES, 
    • Start 12LU441_T2
The Timer is paused if:
- F12-SEQ-0002 Initiated
- Manually via a graphic button on the DCS. 
- If Apron Feeder (F12-FA-401) stops or trips, then this Timer (and therefore F12-LU-441) should also pause.
Timer Settings:
DEFAULT SETTING: 4680 SECONDS.
ENGINEER CONFIGURABLE RANGE: 3000 - 6000 SECONDS.</t>
  </si>
  <si>
    <t>12LU441_T2</t>
  </si>
  <si>
    <t>F12FA401 Grease Cycle On Timer</t>
  </si>
  <si>
    <t>Source: 2000-ME004-M01-10001.
Timer is started by 12LU441_T1 Elapsing.
Timer will start F12-LU-441 to start greasing. When timer elapses, 12LU441_T1 will restart to continue grease cycle.
The Timer is paused if:
- F12-SEQ-0002 Initiated
- Manually via  a graphic button on the DCS (same as T1 timer)
- If Apron Feeder (F12-FA-401) stops or trips, then this Timer (and therefore F12-LU-441) should also pause.
Timer Settings:
DEFAULT SETTING: 120 SECONDS.
ENGINEER CONFIGURABLE RANGE: 10 - 600 SECONDS.</t>
  </si>
  <si>
    <t>12LU441_T3</t>
  </si>
  <si>
    <t>F12FA401 24Hr Fault Timer</t>
  </si>
  <si>
    <t>Source: 2000-ME004-M01-10001.
Grease cycle switch not active during grease periods or low reservoir grease level for greater than 24 hours. 
Timer is started if:
- XS12224 Inactive (Not Pulsing) AND F12-LU-441 Running OR
- LAL12225 Active
Timer Settings:
DEFAULT SETTING: 86400 SECONDS
ENGINEER CONFIGURABLE RANGE: 3600 - 86400 SECONDS.
When timer elapses, activate bit (Activate 12LU441_T3). 12LU441_T3 = ACTIVE is interlocked to the apron feeder.
Stop and reset timer when 
- XS12224 Active AND F12-LU-441 Running AND
- LAL12225 Inactive</t>
  </si>
  <si>
    <t>12RB401_R1</t>
  </si>
  <si>
    <t>F12RB401 Start Request</t>
  </si>
  <si>
    <t>When Rock Breaker is attempted to be started either in LOCAL or REMOTE modes, prompt to appear in DCS "Approve use of Rock Breaker, note Primary Crusher 2 will interlock to stop &lt;&lt; YES &gt;&gt; &lt;&lt; CANCEL &gt;&gt;".
Rock Breaker will be locked out unless this is selected true.
Refer to Digital Input sheet for details.</t>
  </si>
  <si>
    <t>Variable for output from Calculation. See 11. Calculation for further information.</t>
  </si>
  <si>
    <t>F12CG401 Concave/Mantle Contact</t>
  </si>
  <si>
    <t>Determined and stored from F12-SEQ-0005 Mantle Calibration Sequence. Input into F12CALC10007/8/9 to determine ZIC12062.PV and Range Lower &amp; Upper limits.</t>
  </si>
  <si>
    <t>12AN407_P80</t>
  </si>
  <si>
    <t>F12AN407 p80 Rolling Average</t>
  </si>
  <si>
    <t>Miscellaneous tag: Calculate Rolling Average from Tag Input on 30 minute basis.
Tag Input: YE12523 p80. 
See FLS PVX IOM Manual for further details on FLS PlantVision Camera.</t>
  </si>
  <si>
    <t>XV12005_ALM</t>
  </si>
  <si>
    <t>XV12005 ROM Open 30min</t>
  </si>
  <si>
    <t>Timer: 30 minutes (1800s) 
Engineer login Configurable.
Start timer when XV12005 = Open.
Stop and reset timer when XV12005 = Closed.
Activate bit/alarm if XV12005 Open when timer elapses.</t>
  </si>
  <si>
    <t>ALARM DATABASE</t>
  </si>
  <si>
    <t>Alarm Value</t>
  </si>
  <si>
    <t>Alarm Units</t>
  </si>
  <si>
    <t>On Delay (sec)</t>
  </si>
  <si>
    <t>Alarm Masking 
Condition</t>
  </si>
  <si>
    <t>Impact</t>
  </si>
  <si>
    <t>Urgency</t>
  </si>
  <si>
    <t>Operator Response</t>
  </si>
  <si>
    <t>Digital</t>
  </si>
  <si>
    <t>Financial2: Loss equivalent greater than 1 hour and up to 6 hours production. Repairs costing $50k-$500k.</t>
  </si>
  <si>
    <t>Rapid (&gt;5 to &lt;15 minutes)</t>
  </si>
  <si>
    <t>High</t>
  </si>
  <si>
    <t>Operator to investigate cause of grease cycle fault.</t>
  </si>
  <si>
    <t>Plant Tripped</t>
  </si>
  <si>
    <t>Crusher tripped. Operator to investigate spider grease system before restart.</t>
  </si>
  <si>
    <t>Immediate (&lt;5 minutes)</t>
  </si>
  <si>
    <t>Urgent</t>
  </si>
  <si>
    <t>Operator to place XV12005 in manual and close valve as excessive water has been emptied into ROM Bin.</t>
  </si>
  <si>
    <t>None</t>
  </si>
  <si>
    <t>Not Urgent (&gt;30 minutes)</t>
  </si>
  <si>
    <t>No response required.</t>
  </si>
  <si>
    <t>Financial1: Loss equivalent up to 1 hour production. Repairs costing &lt;$50,000</t>
  </si>
  <si>
    <t>Prompt (&gt;15 to &lt;30 minutes)</t>
  </si>
  <si>
    <t>Low</t>
  </si>
  <si>
    <t>Operator to investigate in-field.</t>
  </si>
  <si>
    <t>Analogue</t>
  </si>
  <si>
    <t>Operator to investigate air conditioning and cause of high room temperatures.</t>
  </si>
  <si>
    <t>Financial3: Loss equivalent greater than 6 hours production. Repairs costing &gt;$500k</t>
  </si>
  <si>
    <t>Fire alarm Crushing Area Switchroom. Follow site specific Fire Emergency Plan.</t>
  </si>
  <si>
    <t>Fire alarm fault Crushing Area Switchroom. Follow site specific Fire Emergency Plan.</t>
  </si>
  <si>
    <t>Operator to ensure traffic light system is in AUTO to suspend haul truck dumping until dumping pocket level lowers via Primary Crusher 2 operation.</t>
  </si>
  <si>
    <t>Operator to investigate radar &amp; water sprays ON/OFF.</t>
  </si>
  <si>
    <t>Rock Breaker tripped. Operator to investigate on package HMI.</t>
  </si>
  <si>
    <t>Operator to investigate bearing.</t>
  </si>
  <si>
    <t>Equipment tripped. Operator to investigate.</t>
  </si>
  <si>
    <t>Operator to investigate cause of low countershaft rotational speed.</t>
  </si>
  <si>
    <t>Operator to investigate.</t>
  </si>
  <si>
    <t>Operator to investigate. Mantle position may be adjusted in LOCAL. Operator response circumstantial.</t>
  </si>
  <si>
    <t xml:space="preserve">Equipment tripped. Operator to investigate &amp; restart if safe to do so. </t>
  </si>
  <si>
    <t>Operator to investigate mantle position.</t>
  </si>
  <si>
    <t>Operator to investigate mantle position. May be due to tramp material passing through crusher and forcing hydraulic accumulator PRV to open to allow tramp material to pass. If so, Operator to place ZIC12062 in AUTO to allow Mantle Positioning System control logic to return Mantle to set value position or manually correct mantle position.</t>
  </si>
  <si>
    <t>Operator to investigate Lubrication Oil temperature &amp; Oil Chiller circuit.</t>
  </si>
  <si>
    <t>Operator to investigate Duty Lubrication Oil Pump.</t>
  </si>
  <si>
    <t>m3/hr</t>
  </si>
  <si>
    <t>Operator to investigate cause of high hydraulic oil temperature.</t>
  </si>
  <si>
    <t>Operator to investigate operation of heaters.</t>
  </si>
  <si>
    <t>Hydraulic oil level low. Operator to investigate.</t>
  </si>
  <si>
    <t>Operator to changeout filter and/or utilise standby filter.</t>
  </si>
  <si>
    <t>Operator to change-out lube filter.</t>
  </si>
  <si>
    <t>Operator to organise grease drum change-out. Require's downtime of Primary Crusher 2.</t>
  </si>
  <si>
    <t>Operator to investigate heater operation. Plant tripped.</t>
  </si>
  <si>
    <t>Operator to investigate correct operation of heaters and/or chiller.</t>
  </si>
  <si>
    <t>Operator to investigate chiller and heater operation.</t>
  </si>
  <si>
    <t>Operator to investigate Lubrication system for reservoir level and any loss of containment.</t>
  </si>
  <si>
    <t>Operator to investigate cause of high lubrication pump discharge pressure (blocked filter, faulty PRV).</t>
  </si>
  <si>
    <t>Operator to investigate Lubrication Oil Filter &amp; replacement.</t>
  </si>
  <si>
    <t>Operator to investigate Primary Crusher 2 Lubrication system for moisture in oil.</t>
  </si>
  <si>
    <t>Operator to investigate chiller &amp; cooling water system operation.</t>
  </si>
  <si>
    <t xml:space="preserve">Operator to investigate Lubrication Heater operation and Oil Chiller operation. </t>
  </si>
  <si>
    <t>Operator to investigate Lubrication Heater operation, Oil Chiller operation and Primary Crusher 2 mechanical components.</t>
  </si>
  <si>
    <t>Personnel2: Restricted Work Injury, Signficant, reversible health effect with potential to result in a medical treatment.</t>
  </si>
  <si>
    <t>Equipment tripped due to E-Stop activated. Operator to investigate.</t>
  </si>
  <si>
    <t>Pump discharge less than 0.7 bar. Operator to check the oil cooler assembly.</t>
  </si>
  <si>
    <t>Duty F12-PW-425/426 Cooling Water Pump tripped.</t>
  </si>
  <si>
    <t>2000-F24-PID-PR-10009</t>
  </si>
  <si>
    <t>Operator to investigate chiller and cooling system for Primary Crusher 2.</t>
  </si>
  <si>
    <t>Equipment tripped. Operator to investigate &amp; organise feed to Crusher.</t>
  </si>
  <si>
    <t>If Primary Crusher 2 is running, Operator to organise feed.</t>
  </si>
  <si>
    <t>Operator to halt further haul truck dumping into the ROM Bin until alarm cleared. Traffic lights are not in AUTO to prevent this condition.</t>
  </si>
  <si>
    <t>Operator to investigate Apron Feeder operation.</t>
  </si>
  <si>
    <t>Operator to investigate Primary Crusher 2 Vault Door HPU tank level.</t>
  </si>
  <si>
    <t>Vault Door Open.</t>
  </si>
  <si>
    <t>ZIO12203</t>
  </si>
  <si>
    <t>F12HU401 Door 2</t>
  </si>
  <si>
    <t>ZIO12204</t>
  </si>
  <si>
    <t>F12HU401 Door 3</t>
  </si>
  <si>
    <t>ZIO12205</t>
  </si>
  <si>
    <t>F12HU401 Door 4</t>
  </si>
  <si>
    <t>Potential personnel injury. Operator to advise Shift Supervisor and urgently investigate.</t>
  </si>
  <si>
    <t>Investigate source of low flow (insufficient grease level, leak in lines) and rectify immediately. Continue to run apron feeder until warning is active for 24 hours.</t>
  </si>
  <si>
    <t>Operator to investigate lubrication tank level. Failure to rectify within 24 hours will result in apron feeder tripping.</t>
  </si>
  <si>
    <t>Gearbox overloaded. Apron feeder tripped. Check gearbox for faults or overloading.</t>
  </si>
  <si>
    <t>High speed bearing temperature above 60C. Investigate source of high temperature. Continue to run apron feeder.</t>
  </si>
  <si>
    <t>High speed bearing temperature above 90C. Apron feeder motor tripped. Resolve source of high temperature.</t>
  </si>
  <si>
    <t xml:space="preserve">Operator to manually change over the duty/standby filter inserts and replace the used filter insert. </t>
  </si>
  <si>
    <t>Cooling Water Pumps tripped. Operator to investigate top-up water actuated valve and/or organise manual water top-up if required.</t>
  </si>
  <si>
    <t>Operator to investigate if actuated cooling water tank top-up valve is in manual and/or faulty. Inaction will result in Primary Crusher 2 downtime.</t>
  </si>
  <si>
    <t>Environmental1: Localised environmental impact, contained, with no regulatory reporting</t>
  </si>
  <si>
    <t>Operator to investigate if cooling water top-up valve is open and in manual and requires closing to prevent tank overflow.</t>
  </si>
  <si>
    <t>Operator to check function of Primary Crusher 2 Chiller (F12-CU-401) and Chiller discharge temperature indicator process value.</t>
  </si>
  <si>
    <t>Operator to check function of Primary Crusher 2 Chiller (F12-CU-401).</t>
  </si>
  <si>
    <t>Chiller tripped. Operator to investigate on package HMI.</t>
  </si>
  <si>
    <t>Spillage contained in bund. Operator to investigate operation of sump pump.</t>
  </si>
  <si>
    <t xml:space="preserve">Operator to investigate and initiate compressor changeover if alarm not cleared with fault finding. </t>
  </si>
  <si>
    <t>Operator to investigate and initiate line flushing if alarm not cleared with fault finding.</t>
  </si>
  <si>
    <t>F12BN401_DUMP</t>
  </si>
  <si>
    <t>Operator to radio haul truck operators to cease approach and dumping for safety concerns.</t>
  </si>
  <si>
    <t>Operator to investigate cause of low speed trip on F12CV401.</t>
  </si>
  <si>
    <t>Belt rip. Operator to investigate and safely shutdown crushing plant.</t>
  </si>
  <si>
    <t>F12CV401 tripped.
Advise Field Operator / Maintenance team to investigate take up pulley immediately.</t>
  </si>
  <si>
    <t>Operator to investigate cause of high vibration in drive pulley.</t>
  </si>
  <si>
    <t>Operator to investigate cause of excessive vibration in drive pulley.</t>
  </si>
  <si>
    <t>Operator to investigate system fault on F12MG401. Consult IOM.</t>
  </si>
  <si>
    <t>Operator to investigate OSS on Primary Crusher 2 and ensure it meets operational targets.</t>
  </si>
  <si>
    <t>Low delta alarm. Operator to investigate unit in-field.</t>
  </si>
  <si>
    <t>Logging Only. Stop Pulse Cleaning.</t>
  </si>
  <si>
    <t>Logging Only. Start Pulse Cleaning.</t>
  </si>
  <si>
    <t>High delta alarm. Operator to investigate unit in-field. Compressed air supply may be compromised. Consult Vendor Functional Description for further details.</t>
  </si>
  <si>
    <t>Operator to investigate cause of rotary valve underspeed switch being activated.</t>
  </si>
  <si>
    <t>Operator to review cause of low crushing plant tonnage.</t>
  </si>
  <si>
    <t>Operator to review cause of high crushing plant tonnage.</t>
  </si>
  <si>
    <t>F12CV402 tripped.
Advise Field Operator / Maintenance team to investigate take up pulley immediately.</t>
  </si>
  <si>
    <t>Operator to investigate cause of high winding temperature in-field.</t>
  </si>
  <si>
    <t>Operator to investigate cause of high bearing temperature in-field.</t>
  </si>
  <si>
    <t>Operator to investigate cause of blocked chute on Stockpile Feed Conveyor.</t>
  </si>
  <si>
    <t>Equipment tripped. Operator to investigate &amp; safely shutdown crushing plant.</t>
  </si>
  <si>
    <t>Operator to investigate wet plant status and decide whether to cease crushing.</t>
  </si>
  <si>
    <t>Operator to investigate wet plant status. Crushing plant production losses.</t>
  </si>
  <si>
    <t>Operator to investigate cause of low-low stockpile level. Crushing circuit in maintenance? Any emergency reserves?</t>
  </si>
  <si>
    <t>Operator to investigate cause of low stockpile level. Crushing circuit in maintenance? Any emergency reserves?</t>
  </si>
  <si>
    <t>Electrician to investigate</t>
  </si>
  <si>
    <t>Switchroom tripped. Electrician to investigate</t>
  </si>
  <si>
    <t>Fire alarm. Follow site specific Fire Emergency Plan.</t>
  </si>
  <si>
    <t>Fault with Weightometer. Operator to investigate in field.</t>
  </si>
  <si>
    <t>SWB tripped. Electrician to investigate/ to Confirm manual generator changeover in operation</t>
  </si>
  <si>
    <t>Environmental2: Minor on-site environmental impact, reportable to regulators.</t>
  </si>
  <si>
    <t>Operator to cease re-fuelling immediately, likely diesel spillage. Operator to investigat in-field and respond in-line with company combustible material spillage protocol.</t>
  </si>
  <si>
    <t>High fuel level in generator fuel reservoir. Operator to radio local field operator to cease re-fuelling.</t>
  </si>
  <si>
    <t>Operational risk for backup power. Operator to organise re-fuelling.</t>
  </si>
  <si>
    <t>Operator to investigate dust collector unit in-field. Likely issue with bag cleaning.</t>
  </si>
  <si>
    <t>°C</t>
  </si>
  <si>
    <t xml:space="preserve">Operator to inspect pulley in-field. </t>
  </si>
  <si>
    <t>Conveyor stopped. Operator to inspect pulley in-field.</t>
  </si>
  <si>
    <t>Operator to inspect pulley in-field.</t>
  </si>
  <si>
    <t>Operator to organise filter change-out or utilise standby filter (if fitted).</t>
  </si>
  <si>
    <t>Restricted work area potential safety breach/issue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</si>
</sst>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quot;$&quot;* #,##0.00_-;_-&quot;$&quot;* &quot;-&quot;??_-;_-@_-"/>
    <numFmt numFmtId="43" formatCode="_-* #,##0.00_-;\-* #,##0.00_-;_-* &quot;-&quot;??_-;_-@_-"/>
    <numFmt numFmtId="164" formatCode="0.0"/>
    <numFmt numFmtId="165" formatCode="&quot;XV-&quot;0000"/>
    <numFmt numFmtId="166" formatCode="0.00_)"/>
    <numFmt numFmtId="167" formatCode="[$-C09]dd\-mmm\-yy;@"/>
  </numFmts>
  <fonts count="89" x14ac:knownFonts="1">
    <font>
      <sz val="8"/>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Arial"/>
      <family val="2"/>
    </font>
    <font>
      <sz val="11"/>
      <name val="Arial"/>
      <family val="2"/>
    </font>
    <font>
      <b/>
      <sz val="11"/>
      <name val="Arial"/>
      <family val="2"/>
    </font>
    <font>
      <b/>
      <sz val="14"/>
      <name val="Arial"/>
      <family val="2"/>
    </font>
    <font>
      <sz val="10"/>
      <color indexed="8"/>
      <name val="Arial"/>
      <family val="2"/>
    </font>
    <font>
      <sz val="16"/>
      <name val="Arial"/>
      <family val="2"/>
    </font>
    <font>
      <sz val="10"/>
      <name val="Arial"/>
      <family val="2"/>
    </font>
    <font>
      <b/>
      <sz val="16"/>
      <name val="Arial"/>
      <family val="2"/>
    </font>
    <font>
      <b/>
      <sz val="10"/>
      <name val="Arial"/>
      <family val="2"/>
    </font>
    <font>
      <sz val="10"/>
      <name val="Arial"/>
      <family val="2"/>
    </font>
    <font>
      <sz val="11"/>
      <color indexed="12"/>
      <name val="Arial"/>
      <family val="2"/>
    </font>
    <font>
      <b/>
      <sz val="8"/>
      <name val="Arial"/>
      <family val="2"/>
    </font>
    <font>
      <sz val="10"/>
      <name val="Arial"/>
      <family val="2"/>
    </font>
    <font>
      <b/>
      <sz val="10"/>
      <color indexed="8"/>
      <name val="Arial"/>
      <family val="2"/>
    </font>
    <font>
      <sz val="11"/>
      <color rgb="FF0000FF"/>
      <name val="Arial"/>
      <family val="2"/>
    </font>
    <font>
      <b/>
      <sz val="11"/>
      <color rgb="FFFF0000"/>
      <name val="Arial"/>
      <family val="2"/>
    </font>
    <font>
      <sz val="11"/>
      <color rgb="FFFF0000"/>
      <name val="Arial"/>
      <family val="2"/>
    </font>
    <font>
      <b/>
      <sz val="11"/>
      <color rgb="FF0000FF"/>
      <name val="Arial"/>
      <family val="2"/>
    </font>
    <font>
      <sz val="10"/>
      <color rgb="FF0000FF"/>
      <name val="Arial"/>
      <family val="2"/>
    </font>
    <font>
      <sz val="10"/>
      <color theme="1"/>
      <name val="Arial"/>
      <family val="2"/>
    </font>
    <font>
      <sz val="11"/>
      <color rgb="FF3F3F76"/>
      <name val="Calibri"/>
      <family val="2"/>
      <scheme val="minor"/>
    </font>
    <font>
      <b/>
      <sz val="11"/>
      <color rgb="FF3F3F3F"/>
      <name val="Calibri"/>
      <family val="2"/>
      <scheme val="minor"/>
    </font>
    <font>
      <sz val="11"/>
      <color rgb="FFFA7D00"/>
      <name val="Calibri"/>
      <family val="2"/>
      <scheme val="minor"/>
    </font>
    <font>
      <sz val="10"/>
      <color rgb="FF3F3F76"/>
      <name val="Arial"/>
      <family val="2"/>
    </font>
    <font>
      <b/>
      <sz val="10"/>
      <color rgb="FF3F3F3F"/>
      <name val="Arial"/>
      <family val="2"/>
    </font>
    <font>
      <sz val="8"/>
      <name val="Arial"/>
      <family val="2"/>
    </font>
    <font>
      <sz val="24"/>
      <name val="Arial"/>
      <family val="2"/>
    </font>
    <font>
      <sz val="11"/>
      <color rgb="FF006100"/>
      <name val="Calibri"/>
      <family val="2"/>
      <scheme val="minor"/>
    </font>
    <font>
      <sz val="11"/>
      <color rgb="FF9C0006"/>
      <name val="Calibri"/>
      <family val="2"/>
      <scheme val="minor"/>
    </font>
    <font>
      <sz val="11"/>
      <color rgb="FF9C6500"/>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4"/>
      <name val="Arial"/>
      <family val="2"/>
    </font>
    <font>
      <sz val="14"/>
      <color rgb="FF0000FF"/>
      <name val="Arial"/>
      <family val="2"/>
    </font>
    <font>
      <sz val="8"/>
      <color rgb="FF0000FF"/>
      <name val="Arial"/>
      <family val="2"/>
    </font>
    <font>
      <sz val="10"/>
      <name val="MS Sans Serif"/>
      <family val="2"/>
    </font>
    <font>
      <b/>
      <sz val="24"/>
      <color rgb="FFFF0000"/>
      <name val="Arial"/>
      <family val="2"/>
    </font>
    <font>
      <sz val="14"/>
      <color rgb="FF00B0F0"/>
      <name val="Calibri"/>
      <family val="2"/>
      <scheme val="minor"/>
    </font>
    <font>
      <sz val="8"/>
      <color theme="1"/>
      <name val="Calibri"/>
      <family val="2"/>
      <scheme val="minor"/>
    </font>
    <font>
      <sz val="12"/>
      <color theme="1"/>
      <name val="Calibri"/>
      <family val="2"/>
      <scheme val="minor"/>
    </font>
    <font>
      <sz val="9"/>
      <color theme="1"/>
      <name val="Calibri"/>
      <family val="2"/>
      <scheme val="minor"/>
    </font>
    <font>
      <b/>
      <sz val="10"/>
      <color theme="1"/>
      <name val="Calibri"/>
      <family val="2"/>
      <scheme val="minor"/>
    </font>
    <font>
      <sz val="10"/>
      <color theme="1"/>
      <name val="Calibri"/>
      <family val="2"/>
      <scheme val="minor"/>
    </font>
    <font>
      <sz val="11"/>
      <color rgb="FF171717"/>
      <name val="Calibri"/>
      <family val="2"/>
    </font>
    <font>
      <sz val="8"/>
      <color rgb="FF000000"/>
      <name val="Arial"/>
      <family val="2"/>
    </font>
    <font>
      <b/>
      <sz val="8"/>
      <color rgb="FF000000"/>
      <name val="Arial"/>
      <family val="2"/>
    </font>
    <font>
      <sz val="10"/>
      <color rgb="FF000000"/>
      <name val="Arial"/>
      <family val="2"/>
    </font>
    <font>
      <b/>
      <sz val="14"/>
      <color rgb="FFFF0000"/>
      <name val="Arial"/>
      <family val="2"/>
    </font>
    <font>
      <b/>
      <sz val="11"/>
      <color theme="9"/>
      <name val="Arial"/>
      <family val="2"/>
    </font>
    <font>
      <i/>
      <sz val="12"/>
      <color rgb="FFFF0000"/>
      <name val="Arial"/>
      <family val="2"/>
    </font>
    <font>
      <b/>
      <sz val="12"/>
      <color rgb="FFFF0000"/>
      <name val="Arial"/>
      <family val="2"/>
    </font>
    <font>
      <sz val="12"/>
      <color rgb="FFFF0000"/>
      <name val="Arial"/>
      <family val="2"/>
    </font>
    <font>
      <b/>
      <sz val="10"/>
      <color rgb="FF0000FF"/>
      <name val="Arial"/>
      <family val="2"/>
    </font>
    <font>
      <b/>
      <sz val="11"/>
      <color theme="1"/>
      <name val="Arial"/>
      <family val="2"/>
    </font>
    <font>
      <sz val="11"/>
      <color theme="1"/>
      <name val="Arial"/>
      <family val="2"/>
    </font>
    <font>
      <sz val="11"/>
      <color rgb="FF000000"/>
      <name val="Calibri"/>
      <family val="2"/>
    </font>
    <font>
      <sz val="14"/>
      <color rgb="FFFF0000"/>
      <name val="Arial"/>
      <family val="2"/>
    </font>
    <font>
      <strike/>
      <sz val="11"/>
      <name val="Arial"/>
      <family val="2"/>
    </font>
    <font>
      <strike/>
      <sz val="11"/>
      <color rgb="FF0000FF"/>
      <name val="Arial"/>
      <family val="2"/>
    </font>
    <font>
      <b/>
      <sz val="8"/>
      <name val="Calibri"/>
      <family val="2"/>
      <scheme val="minor"/>
    </font>
    <font>
      <u/>
      <sz val="11"/>
      <color rgb="FF0000FF"/>
      <name val="Arial"/>
      <family val="2"/>
    </font>
    <font>
      <vertAlign val="superscript"/>
      <sz val="11"/>
      <color rgb="FF0000FF"/>
      <name val="Arial"/>
      <family val="2"/>
    </font>
    <font>
      <sz val="11"/>
      <color theme="0" tint="-0.14999847407452621"/>
      <name val="Arial"/>
      <family val="2"/>
    </font>
    <font>
      <b/>
      <i/>
      <sz val="11"/>
      <color rgb="FF0000FF"/>
      <name val="Arial"/>
      <family val="2"/>
    </font>
    <font>
      <b/>
      <sz val="20"/>
      <color rgb="FFFF0000"/>
      <name val="Arial"/>
      <family val="2"/>
    </font>
    <font>
      <b/>
      <sz val="8"/>
      <color rgb="FF0000FF"/>
      <name val="Arial"/>
      <family val="2"/>
    </font>
    <font>
      <strike/>
      <sz val="11"/>
      <color rgb="FFFF0000"/>
      <name val="Arial"/>
      <family val="2"/>
    </font>
    <font>
      <b/>
      <sz val="10"/>
      <color rgb="FF0000FF"/>
      <name val="Calibri"/>
      <family val="2"/>
    </font>
    <font>
      <strike/>
      <sz val="10"/>
      <color rgb="FF0000FF"/>
      <name val="Arial"/>
      <family val="2"/>
    </font>
    <font>
      <strike/>
      <sz val="11"/>
      <color theme="0" tint="-0.14999847407452621"/>
      <name val="Arial"/>
      <family val="2"/>
    </font>
    <font>
      <strike/>
      <sz val="11"/>
      <color theme="1"/>
      <name val="Arial"/>
      <family val="2"/>
    </font>
    <font>
      <b/>
      <strike/>
      <sz val="11"/>
      <name val="Arial"/>
      <family val="2"/>
    </font>
    <font>
      <strike/>
      <sz val="8"/>
      <name val="Arial"/>
      <family val="2"/>
    </font>
  </fonts>
  <fills count="19">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FFCC99"/>
      </patternFill>
    </fill>
    <fill>
      <patternFill patternType="solid">
        <fgColor rgb="FFF2F2F2"/>
      </patternFill>
    </fill>
    <fill>
      <patternFill patternType="solid">
        <fgColor rgb="FFFFFFCC"/>
      </patternFill>
    </fill>
    <fill>
      <patternFill patternType="solid">
        <fgColor rgb="FFC6EFCE"/>
      </patternFill>
    </fill>
    <fill>
      <patternFill patternType="solid">
        <fgColor rgb="FFFFC7CE"/>
      </patternFill>
    </fill>
    <fill>
      <patternFill patternType="solid">
        <fgColor rgb="FFFFEB9C"/>
      </patternFill>
    </fill>
    <fill>
      <patternFill patternType="solid">
        <fgColor rgb="FFA5A5A5"/>
      </patternFill>
    </fill>
    <fill>
      <patternFill patternType="solid">
        <fgColor theme="0" tint="-0.249977111117893"/>
        <bgColor indexed="64"/>
      </patternFill>
    </fill>
    <fill>
      <patternFill patternType="solid">
        <fgColor theme="0" tint="-0.14999847407452621"/>
        <bgColor indexed="64"/>
      </patternFill>
    </fill>
    <fill>
      <patternFill patternType="solid">
        <fgColor theme="1" tint="0.49998474074526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9" tint="0.59996337778862885"/>
        <bgColor indexed="64"/>
      </patternFill>
    </fill>
  </fills>
  <borders count="8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bottom/>
      <diagonal/>
    </border>
    <border>
      <left/>
      <right/>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top style="medium">
        <color indexed="64"/>
      </top>
      <bottom style="medium">
        <color indexed="64"/>
      </bottom>
      <diagonal/>
    </border>
    <border>
      <left/>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indexed="64"/>
      </left>
      <right/>
      <top style="medium">
        <color indexed="64"/>
      </top>
      <bottom style="medium">
        <color indexed="64"/>
      </bottom>
      <diagonal/>
    </border>
    <border>
      <left/>
      <right style="thin">
        <color indexed="64"/>
      </right>
      <top style="medium">
        <color indexed="64"/>
      </top>
      <bottom/>
      <diagonal/>
    </border>
    <border>
      <left style="thin">
        <color indexed="64"/>
      </left>
      <right/>
      <top style="medium">
        <color indexed="64"/>
      </top>
      <bottom/>
      <diagonal/>
    </border>
    <border>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auto="1"/>
      </left>
      <right style="thin">
        <color auto="1"/>
      </right>
      <top style="hair">
        <color auto="1"/>
      </top>
      <bottom style="thin">
        <color indexed="64"/>
      </bottom>
      <diagonal/>
    </border>
    <border>
      <left style="thin">
        <color indexed="64"/>
      </left>
      <right/>
      <top style="thin">
        <color indexed="64"/>
      </top>
      <bottom style="hair">
        <color indexed="64"/>
      </bottom>
      <diagonal/>
    </border>
    <border>
      <left style="thin">
        <color auto="1"/>
      </left>
      <right style="thin">
        <color auto="1"/>
      </right>
      <top/>
      <bottom style="hair">
        <color auto="1"/>
      </bottom>
      <diagonal/>
    </border>
    <border>
      <left style="thin">
        <color auto="1"/>
      </left>
      <right style="thin">
        <color auto="1"/>
      </right>
      <top style="hair">
        <color auto="1"/>
      </top>
      <bottom/>
      <diagonal/>
    </border>
    <border>
      <left style="thin">
        <color auto="1"/>
      </left>
      <right/>
      <top/>
      <bottom style="hair">
        <color auto="1"/>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top style="hair">
        <color indexed="64"/>
      </top>
      <bottom style="hair">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bottom style="thin">
        <color indexed="64"/>
      </bottom>
      <diagonal/>
    </border>
    <border>
      <left style="thin">
        <color indexed="64"/>
      </left>
      <right/>
      <top style="hair">
        <color indexed="64"/>
      </top>
      <bottom/>
      <diagonal/>
    </border>
    <border>
      <left/>
      <right/>
      <top style="thin">
        <color indexed="64"/>
      </top>
      <bottom style="hair">
        <color indexed="64"/>
      </bottom>
      <diagonal/>
    </border>
    <border>
      <left/>
      <right/>
      <top style="hair">
        <color auto="1"/>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auto="1"/>
      </bottom>
      <diagonal/>
    </border>
    <border>
      <left/>
      <right style="thin">
        <color indexed="64"/>
      </right>
      <top style="hair">
        <color indexed="64"/>
      </top>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top style="hair">
        <color auto="1"/>
      </top>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auto="1"/>
      </top>
      <bottom style="hair">
        <color auto="1"/>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style="medium">
        <color indexed="64"/>
      </left>
      <right style="thin">
        <color auto="1"/>
      </right>
      <top style="thin">
        <color auto="1"/>
      </top>
      <bottom style="hair">
        <color auto="1"/>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diagonal/>
    </border>
  </borders>
  <cellStyleXfs count="1755">
    <xf numFmtId="0" fontId="0" fillId="0" borderId="0"/>
    <xf numFmtId="0" fontId="21" fillId="0" borderId="0"/>
    <xf numFmtId="0" fontId="21" fillId="0" borderId="0"/>
    <xf numFmtId="9" fontId="15" fillId="0" borderId="0" applyFont="0" applyFill="0" applyBorder="0" applyAlignment="0" applyProtection="0"/>
    <xf numFmtId="0" fontId="27" fillId="0" borderId="0"/>
    <xf numFmtId="0" fontId="28" fillId="2" borderId="0"/>
    <xf numFmtId="0" fontId="14" fillId="0" borderId="0"/>
    <xf numFmtId="0" fontId="21" fillId="0" borderId="0"/>
    <xf numFmtId="0" fontId="14" fillId="0" borderId="0"/>
    <xf numFmtId="0" fontId="14" fillId="6" borderId="23" applyNumberFormat="0" applyFont="0" applyAlignment="0" applyProtection="0"/>
    <xf numFmtId="0" fontId="37" fillId="5" borderId="21" applyNumberFormat="0" applyFill="0" applyBorder="0" applyAlignment="0" applyProtection="0"/>
    <xf numFmtId="43" fontId="21" fillId="0" borderId="0" applyFont="0" applyFill="0" applyBorder="0" applyAlignment="0" applyProtection="0"/>
    <xf numFmtId="0" fontId="35" fillId="4" borderId="21" applyNumberFormat="0" applyAlignment="0" applyProtection="0"/>
    <xf numFmtId="0" fontId="38" fillId="4" borderId="21" applyNumberFormat="0" applyAlignment="0" applyProtection="0"/>
    <xf numFmtId="0" fontId="3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21" fillId="0" borderId="0"/>
    <xf numFmtId="0" fontId="34" fillId="0" borderId="0"/>
    <xf numFmtId="0" fontId="21" fillId="0" borderId="0"/>
    <xf numFmtId="0" fontId="21" fillId="0" borderId="0"/>
    <xf numFmtId="0" fontId="21" fillId="0" borderId="0"/>
    <xf numFmtId="0" fontId="36" fillId="5" borderId="22" applyNumberFormat="0" applyAlignment="0" applyProtection="0"/>
    <xf numFmtId="0" fontId="39" fillId="5" borderId="22" applyNumberFormat="0" applyAlignment="0" applyProtection="0"/>
    <xf numFmtId="9" fontId="3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15" fillId="0" borderId="0"/>
    <xf numFmtId="43" fontId="40" fillId="0" borderId="0" applyFont="0" applyFill="0" applyBorder="0" applyAlignment="0" applyProtection="0"/>
    <xf numFmtId="0" fontId="21" fillId="0" borderId="0"/>
    <xf numFmtId="0" fontId="13" fillId="0" borderId="0"/>
    <xf numFmtId="0" fontId="13" fillId="0" borderId="0"/>
    <xf numFmtId="0" fontId="13" fillId="6" borderId="23" applyNumberFormat="0" applyFont="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42" fillId="7" borderId="0" applyNumberFormat="0" applyBorder="0" applyAlignment="0" applyProtection="0"/>
    <xf numFmtId="0" fontId="43" fillId="8" borderId="0" applyNumberFormat="0" applyBorder="0" applyAlignment="0" applyProtection="0"/>
    <xf numFmtId="0" fontId="44" fillId="9" borderId="0" applyNumberFormat="0" applyBorder="0" applyAlignment="0" applyProtection="0"/>
    <xf numFmtId="0" fontId="35" fillId="4" borderId="21" applyNumberFormat="0" applyAlignment="0" applyProtection="0"/>
    <xf numFmtId="0" fontId="45" fillId="5" borderId="21" applyNumberFormat="0" applyAlignment="0" applyProtection="0"/>
    <xf numFmtId="0" fontId="37" fillId="0" borderId="24" applyNumberFormat="0" applyFill="0" applyAlignment="0" applyProtection="0"/>
    <xf numFmtId="0" fontId="46" fillId="10" borderId="25" applyNumberFormat="0" applyAlignment="0" applyProtection="0"/>
    <xf numFmtId="0" fontId="40" fillId="6" borderId="23" applyNumberFormat="0" applyFont="0" applyAlignment="0" applyProtection="0"/>
    <xf numFmtId="0" fontId="47" fillId="0" borderId="0" applyNumberFormat="0" applyFill="0" applyBorder="0" applyAlignment="0" applyProtection="0"/>
    <xf numFmtId="0" fontId="12" fillId="0" borderId="0"/>
    <xf numFmtId="9" fontId="11" fillId="0" borderId="0" applyFont="0" applyFill="0" applyBorder="0" applyAlignment="0" applyProtection="0"/>
    <xf numFmtId="9" fontId="34" fillId="0" borderId="0" applyFont="0" applyFill="0" applyBorder="0" applyAlignment="0" applyProtection="0"/>
    <xf numFmtId="166" fontId="21" fillId="0" borderId="0"/>
    <xf numFmtId="0" fontId="10" fillId="0" borderId="0"/>
    <xf numFmtId="0" fontId="10" fillId="0" borderId="0"/>
    <xf numFmtId="0" fontId="10" fillId="6" borderId="23" applyNumberFormat="0" applyFont="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43" fontId="15" fillId="0" borderId="0" applyFont="0" applyFill="0" applyBorder="0" applyAlignment="0" applyProtection="0"/>
    <xf numFmtId="0" fontId="10" fillId="0" borderId="0"/>
    <xf numFmtId="0" fontId="10" fillId="0" borderId="0"/>
    <xf numFmtId="0" fontId="10" fillId="6" borderId="23" applyNumberFormat="0" applyFont="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0" fontId="10" fillId="6" borderId="23" applyNumberFormat="0" applyFont="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43" fontId="15" fillId="0" borderId="0" applyFont="0" applyFill="0" applyBorder="0" applyAlignment="0" applyProtection="0"/>
    <xf numFmtId="0" fontId="10" fillId="0" borderId="0"/>
    <xf numFmtId="0" fontId="10" fillId="0" borderId="0"/>
    <xf numFmtId="0" fontId="10" fillId="6" borderId="23" applyNumberFormat="0" applyFont="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21" fillId="0" borderId="0"/>
    <xf numFmtId="0" fontId="10" fillId="0" borderId="0"/>
    <xf numFmtId="9" fontId="10" fillId="0" borderId="0" applyFont="0" applyFill="0" applyBorder="0" applyAlignment="0" applyProtection="0"/>
    <xf numFmtId="0" fontId="10" fillId="0" borderId="0"/>
    <xf numFmtId="0" fontId="10" fillId="0" borderId="0"/>
    <xf numFmtId="0" fontId="10" fillId="6" borderId="23" applyNumberFormat="0" applyFont="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6" borderId="23" applyNumberFormat="0" applyFont="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0" fontId="10" fillId="6" borderId="23" applyNumberFormat="0" applyFont="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6" borderId="23" applyNumberFormat="0" applyFont="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21" fillId="0" borderId="0"/>
    <xf numFmtId="0" fontId="10" fillId="0" borderId="0"/>
    <xf numFmtId="9" fontId="10" fillId="0" borderId="0" applyFont="0" applyFill="0" applyBorder="0" applyAlignment="0" applyProtection="0"/>
    <xf numFmtId="0" fontId="10" fillId="0" borderId="0"/>
    <xf numFmtId="0" fontId="10" fillId="0" borderId="0"/>
    <xf numFmtId="0" fontId="10" fillId="6" borderId="23" applyNumberFormat="0" applyFont="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6" borderId="23" applyNumberFormat="0" applyFont="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9" fillId="0" borderId="0"/>
    <xf numFmtId="0" fontId="9" fillId="0" borderId="0"/>
    <xf numFmtId="0" fontId="9" fillId="6" borderId="23" applyNumberFormat="0" applyFont="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6" borderId="23" applyNumberFormat="0" applyFont="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6" borderId="23" applyNumberFormat="0" applyFont="0" applyAlignment="0" applyProtection="0"/>
    <xf numFmtId="0" fontId="9" fillId="6" borderId="23" applyNumberFormat="0" applyFont="0" applyAlignment="0" applyProtection="0"/>
    <xf numFmtId="0" fontId="9" fillId="6" borderId="23" applyNumberFormat="0" applyFont="0" applyAlignment="0" applyProtection="0"/>
    <xf numFmtId="0" fontId="9" fillId="6" borderId="23" applyNumberFormat="0" applyFont="0" applyAlignment="0" applyProtection="0"/>
    <xf numFmtId="0" fontId="9" fillId="6" borderId="23" applyNumberFormat="0" applyFont="0" applyAlignment="0" applyProtection="0"/>
    <xf numFmtId="0" fontId="9" fillId="6" borderId="23" applyNumberFormat="0" applyFont="0" applyAlignment="0" applyProtection="0"/>
    <xf numFmtId="0" fontId="9" fillId="6" borderId="23" applyNumberFormat="0" applyFont="0" applyAlignment="0" applyProtection="0"/>
    <xf numFmtId="0" fontId="9" fillId="6" borderId="23" applyNumberFormat="0" applyFont="0" applyAlignment="0" applyProtection="0"/>
    <xf numFmtId="0" fontId="9" fillId="6" borderId="23" applyNumberFormat="0" applyFont="0" applyAlignment="0" applyProtection="0"/>
    <xf numFmtId="0" fontId="9" fillId="6" borderId="23" applyNumberFormat="0" applyFont="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8" fillId="0" borderId="0"/>
    <xf numFmtId="0" fontId="8" fillId="0" borderId="0"/>
    <xf numFmtId="0" fontId="8" fillId="6" borderId="23" applyNumberFormat="0" applyFont="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8" fillId="6" borderId="23" applyNumberFormat="0" applyFont="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0" fontId="8" fillId="0" borderId="0"/>
    <xf numFmtId="0" fontId="8" fillId="6" borderId="23" applyNumberFormat="0" applyFont="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8" fillId="6" borderId="23" applyNumberFormat="0" applyFont="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0" fontId="8" fillId="0" borderId="0"/>
    <xf numFmtId="0" fontId="8" fillId="6" borderId="23" applyNumberFormat="0" applyFont="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8" fillId="6" borderId="23" applyNumberFormat="0" applyFont="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0" fontId="8" fillId="0" borderId="0"/>
    <xf numFmtId="0" fontId="8" fillId="6" borderId="23" applyNumberFormat="0" applyFont="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8" fillId="6" borderId="23" applyNumberFormat="0" applyFont="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0" fontId="8" fillId="0" borderId="0"/>
    <xf numFmtId="0" fontId="8" fillId="6" borderId="23" applyNumberFormat="0" applyFont="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8" fillId="6" borderId="23" applyNumberFormat="0" applyFont="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0" fontId="8" fillId="0" borderId="0"/>
    <xf numFmtId="0" fontId="8" fillId="6" borderId="23" applyNumberFormat="0" applyFont="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8" fillId="6" borderId="23" applyNumberFormat="0" applyFont="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0" fontId="8" fillId="0" borderId="0"/>
    <xf numFmtId="0" fontId="21" fillId="0" borderId="0"/>
    <xf numFmtId="0" fontId="21" fillId="0" borderId="0"/>
    <xf numFmtId="0" fontId="21" fillId="0" borderId="0"/>
    <xf numFmtId="0" fontId="21" fillId="0" borderId="0"/>
    <xf numFmtId="0" fontId="19" fillId="0" borderId="0"/>
    <xf numFmtId="0" fontId="19" fillId="0" borderId="0"/>
    <xf numFmtId="0" fontId="21" fillId="0" borderId="0"/>
    <xf numFmtId="0" fontId="21" fillId="0" borderId="0"/>
    <xf numFmtId="0" fontId="21" fillId="0" borderId="0"/>
    <xf numFmtId="0" fontId="8" fillId="0" borderId="0"/>
    <xf numFmtId="0" fontId="8" fillId="0" borderId="0"/>
    <xf numFmtId="0" fontId="8" fillId="0" borderId="0"/>
    <xf numFmtId="0" fontId="8" fillId="0" borderId="0"/>
    <xf numFmtId="0" fontId="15" fillId="0" borderId="0"/>
    <xf numFmtId="9" fontId="15" fillId="0" borderId="0" applyFont="0" applyFill="0" applyBorder="0" applyAlignment="0" applyProtection="0"/>
    <xf numFmtId="0" fontId="8" fillId="0" borderId="0"/>
    <xf numFmtId="0" fontId="8" fillId="0" borderId="0"/>
    <xf numFmtId="0" fontId="8" fillId="6" borderId="23" applyNumberFormat="0" applyFont="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43" fontId="15" fillId="0" borderId="0" applyFont="0" applyFill="0" applyBorder="0" applyAlignment="0" applyProtection="0"/>
    <xf numFmtId="0" fontId="8" fillId="0" borderId="0"/>
    <xf numFmtId="0" fontId="8" fillId="0" borderId="0"/>
    <xf numFmtId="0" fontId="8" fillId="6" borderId="23" applyNumberFormat="0" applyFont="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0" fontId="8" fillId="0" borderId="0"/>
    <xf numFmtId="0" fontId="8" fillId="6" borderId="23" applyNumberFormat="0" applyFont="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8" fillId="6" borderId="23" applyNumberFormat="0" applyFont="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0" fontId="8" fillId="0" borderId="0"/>
    <xf numFmtId="0" fontId="8" fillId="6" borderId="23" applyNumberFormat="0" applyFont="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8" fillId="6" borderId="23" applyNumberFormat="0" applyFont="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0" fontId="8" fillId="0" borderId="0"/>
    <xf numFmtId="0" fontId="8" fillId="6" borderId="23" applyNumberFormat="0" applyFont="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8" fillId="6" borderId="23" applyNumberFormat="0" applyFont="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0" fontId="8" fillId="0" borderId="0"/>
    <xf numFmtId="0" fontId="8" fillId="6" borderId="23" applyNumberFormat="0" applyFont="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8" fillId="6" borderId="23" applyNumberFormat="0" applyFont="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0" fontId="8" fillId="0" borderId="0"/>
    <xf numFmtId="0" fontId="8" fillId="6" borderId="23" applyNumberFormat="0" applyFont="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8" fillId="6" borderId="23" applyNumberFormat="0" applyFont="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21" fillId="0" borderId="0"/>
    <xf numFmtId="0" fontId="51" fillId="0" borderId="0"/>
    <xf numFmtId="0" fontId="7" fillId="0" borderId="0"/>
    <xf numFmtId="0" fontId="6" fillId="0" borderId="0"/>
    <xf numFmtId="0" fontId="71" fillId="0" borderId="0"/>
    <xf numFmtId="0" fontId="21" fillId="0" borderId="0"/>
    <xf numFmtId="0" fontId="5" fillId="0" borderId="0"/>
    <xf numFmtId="0" fontId="4" fillId="0" borderId="0"/>
    <xf numFmtId="0" fontId="54" fillId="0" borderId="0"/>
    <xf numFmtId="0" fontId="75" fillId="14" borderId="1" applyNumberFormat="0" applyBorder="0" applyAlignment="0" applyProtection="0">
      <alignment horizontal="left" vertical="center" wrapText="1"/>
    </xf>
    <xf numFmtId="44" fontId="3" fillId="0" borderId="0" applyFont="0" applyFill="0" applyBorder="0" applyAlignment="0" applyProtection="0"/>
    <xf numFmtId="0" fontId="3" fillId="0" borderId="0"/>
    <xf numFmtId="0" fontId="3" fillId="0" borderId="0"/>
    <xf numFmtId="0" fontId="2" fillId="0" borderId="0"/>
  </cellStyleXfs>
  <cellXfs count="1121">
    <xf numFmtId="0" fontId="0" fillId="0" borderId="0" xfId="0"/>
    <xf numFmtId="0" fontId="16" fillId="0" borderId="0" xfId="0" applyFont="1"/>
    <xf numFmtId="0" fontId="16" fillId="0" borderId="0" xfId="0" applyFont="1" applyAlignment="1">
      <alignment vertical="center"/>
    </xf>
    <xf numFmtId="0" fontId="16" fillId="0" borderId="0" xfId="0" applyFont="1" applyAlignment="1">
      <alignment horizontal="center" vertical="center"/>
    </xf>
    <xf numFmtId="0" fontId="16" fillId="0" borderId="0" xfId="0" applyFont="1" applyAlignment="1">
      <alignment horizontal="left" vertical="center"/>
    </xf>
    <xf numFmtId="0" fontId="16" fillId="0" borderId="1" xfId="0" applyFont="1" applyBorder="1" applyAlignment="1">
      <alignment horizontal="center" vertical="center"/>
    </xf>
    <xf numFmtId="0" fontId="16" fillId="0" borderId="1" xfId="0" applyFont="1" applyBorder="1" applyAlignment="1">
      <alignment horizontal="left" vertical="center"/>
    </xf>
    <xf numFmtId="0" fontId="21" fillId="0" borderId="0" xfId="0" applyFont="1"/>
    <xf numFmtId="0" fontId="29" fillId="0" borderId="1" xfId="0" applyFont="1" applyBorder="1" applyAlignment="1">
      <alignment horizontal="left" vertical="center" wrapText="1"/>
    </xf>
    <xf numFmtId="0" fontId="24" fillId="0" borderId="0" xfId="0" applyFont="1" applyAlignment="1">
      <alignment vertical="center"/>
    </xf>
    <xf numFmtId="0" fontId="16" fillId="0" borderId="0" xfId="0" applyFont="1" applyAlignment="1">
      <alignment horizontal="right" vertical="center"/>
    </xf>
    <xf numFmtId="0" fontId="16" fillId="0" borderId="0" xfId="0" applyFont="1" applyAlignment="1">
      <alignment vertical="center" wrapText="1"/>
    </xf>
    <xf numFmtId="0" fontId="29" fillId="0" borderId="1" xfId="0" applyFont="1" applyBorder="1" applyAlignment="1">
      <alignment horizontal="center" vertical="center"/>
    </xf>
    <xf numFmtId="0" fontId="29" fillId="0" borderId="1" xfId="0" applyFont="1" applyBorder="1" applyAlignment="1">
      <alignment horizontal="center" vertical="center" wrapText="1"/>
    </xf>
    <xf numFmtId="0" fontId="29" fillId="0" borderId="0" xfId="0" applyFont="1" applyAlignment="1">
      <alignment horizontal="left" wrapText="1"/>
    </xf>
    <xf numFmtId="0" fontId="0" fillId="0" borderId="0" xfId="0" applyAlignment="1">
      <alignment vertical="center"/>
    </xf>
    <xf numFmtId="0" fontId="16" fillId="3" borderId="0" xfId="0" applyFont="1" applyFill="1" applyAlignment="1">
      <alignment horizontal="center" vertical="center"/>
    </xf>
    <xf numFmtId="0" fontId="16" fillId="0" borderId="4" xfId="0" applyFont="1" applyBorder="1" applyAlignment="1">
      <alignment horizontal="center" vertical="center"/>
    </xf>
    <xf numFmtId="3" fontId="16" fillId="0" borderId="0" xfId="0" applyNumberFormat="1" applyFont="1" applyAlignment="1">
      <alignment horizontal="center" vertical="center"/>
    </xf>
    <xf numFmtId="0" fontId="18" fillId="3" borderId="0" xfId="0" applyFont="1" applyFill="1" applyAlignment="1" applyProtection="1">
      <alignment horizontal="left" vertical="center"/>
      <protection locked="0"/>
    </xf>
    <xf numFmtId="0" fontId="18" fillId="3" borderId="3" xfId="0" applyFont="1" applyFill="1" applyBorder="1" applyAlignment="1" applyProtection="1">
      <alignment horizontal="center" vertical="center"/>
      <protection locked="0"/>
    </xf>
    <xf numFmtId="0" fontId="29" fillId="0" borderId="0" xfId="0" applyFont="1" applyAlignment="1">
      <alignment vertical="center"/>
    </xf>
    <xf numFmtId="0" fontId="29" fillId="0" borderId="0" xfId="0" applyFont="1" applyAlignment="1">
      <alignment horizontal="center" vertical="center"/>
    </xf>
    <xf numFmtId="0" fontId="16" fillId="0" borderId="0" xfId="0" applyFont="1" applyAlignment="1">
      <alignment horizontal="center" vertical="center" wrapText="1"/>
    </xf>
    <xf numFmtId="0" fontId="18" fillId="3" borderId="0" xfId="0" applyFont="1" applyFill="1" applyAlignment="1" applyProtection="1">
      <alignment horizontal="center" vertical="center"/>
      <protection locked="0"/>
    </xf>
    <xf numFmtId="0" fontId="48" fillId="3" borderId="0" xfId="2" applyFont="1" applyFill="1" applyAlignment="1">
      <alignment vertical="center"/>
    </xf>
    <xf numFmtId="0" fontId="48" fillId="3" borderId="0" xfId="0" applyFont="1" applyFill="1" applyAlignment="1">
      <alignment horizontal="center" vertical="center"/>
    </xf>
    <xf numFmtId="0" fontId="48" fillId="3" borderId="3" xfId="0" applyFont="1" applyFill="1" applyBorder="1" applyAlignment="1">
      <alignment horizontal="center" vertical="center"/>
    </xf>
    <xf numFmtId="0" fontId="18" fillId="3" borderId="0" xfId="2" applyFont="1" applyFill="1" applyAlignment="1">
      <alignment horizontal="center"/>
    </xf>
    <xf numFmtId="0" fontId="48" fillId="3" borderId="0" xfId="0" applyFont="1" applyFill="1" applyAlignment="1">
      <alignment horizontal="left" vertical="center"/>
    </xf>
    <xf numFmtId="0" fontId="48" fillId="3" borderId="0" xfId="0" applyFont="1" applyFill="1" applyAlignment="1">
      <alignment vertical="center"/>
    </xf>
    <xf numFmtId="0" fontId="48" fillId="3" borderId="0" xfId="0" applyFont="1" applyFill="1" applyAlignment="1">
      <alignment vertical="center" wrapText="1"/>
    </xf>
    <xf numFmtId="0" fontId="18" fillId="3" borderId="0" xfId="0" applyFont="1" applyFill="1" applyAlignment="1" applyProtection="1">
      <alignment horizontal="right" vertical="center"/>
      <protection locked="0"/>
    </xf>
    <xf numFmtId="0" fontId="48" fillId="3" borderId="3" xfId="0" applyFont="1" applyFill="1" applyBorder="1" applyAlignment="1">
      <alignment vertical="center"/>
    </xf>
    <xf numFmtId="0" fontId="18" fillId="3" borderId="0" xfId="0" applyFont="1" applyFill="1" applyAlignment="1" applyProtection="1">
      <alignment vertical="center"/>
      <protection locked="0"/>
    </xf>
    <xf numFmtId="0" fontId="18" fillId="3" borderId="0" xfId="0" applyFont="1" applyFill="1" applyAlignment="1">
      <alignment horizontal="left" vertical="center" wrapText="1"/>
    </xf>
    <xf numFmtId="0" fontId="18" fillId="3" borderId="3" xfId="0" applyFont="1" applyFill="1" applyBorder="1" applyAlignment="1" applyProtection="1">
      <alignment horizontal="left" vertical="center"/>
      <protection locked="0"/>
    </xf>
    <xf numFmtId="0" fontId="18" fillId="3" borderId="3" xfId="0" applyFont="1" applyFill="1" applyBorder="1" applyAlignment="1" applyProtection="1">
      <alignment horizontal="right" vertical="center"/>
      <protection locked="0"/>
    </xf>
    <xf numFmtId="0" fontId="48" fillId="3" borderId="3" xfId="0" applyFont="1" applyFill="1" applyBorder="1" applyAlignment="1">
      <alignment vertical="center" wrapText="1"/>
    </xf>
    <xf numFmtId="3" fontId="48" fillId="3" borderId="0" xfId="0" applyNumberFormat="1" applyFont="1" applyFill="1" applyAlignment="1">
      <alignment vertical="center"/>
    </xf>
    <xf numFmtId="3" fontId="48" fillId="3" borderId="3" xfId="0" applyNumberFormat="1" applyFont="1" applyFill="1" applyBorder="1" applyAlignment="1">
      <alignment vertical="center"/>
    </xf>
    <xf numFmtId="0" fontId="17" fillId="3" borderId="1" xfId="0" applyFont="1" applyFill="1" applyBorder="1" applyAlignment="1">
      <alignment horizontal="center" vertical="center" textRotation="90" wrapText="1"/>
    </xf>
    <xf numFmtId="0" fontId="16" fillId="3" borderId="0" xfId="0" applyFont="1" applyFill="1" applyAlignment="1">
      <alignment vertical="center"/>
    </xf>
    <xf numFmtId="0" fontId="17" fillId="3" borderId="7" xfId="0" applyFont="1" applyFill="1" applyBorder="1" applyAlignment="1">
      <alignment vertical="center"/>
    </xf>
    <xf numFmtId="0" fontId="17" fillId="3" borderId="12" xfId="0" applyFont="1" applyFill="1" applyBorder="1" applyAlignment="1">
      <alignment vertical="center"/>
    </xf>
    <xf numFmtId="0" fontId="17" fillId="3" borderId="1" xfId="0" applyFont="1" applyFill="1" applyBorder="1" applyAlignment="1">
      <alignment horizontal="center" vertical="center"/>
    </xf>
    <xf numFmtId="0" fontId="16" fillId="3" borderId="0" xfId="0" applyFont="1" applyFill="1" applyAlignment="1">
      <alignment horizontal="left" vertical="center"/>
    </xf>
    <xf numFmtId="0" fontId="17" fillId="3" borderId="0" xfId="0" applyFont="1" applyFill="1" applyAlignment="1">
      <alignment horizontal="center" vertical="center"/>
    </xf>
    <xf numFmtId="0" fontId="0" fillId="3" borderId="0" xfId="0" applyFill="1" applyAlignment="1">
      <alignment vertical="center"/>
    </xf>
    <xf numFmtId="0" fontId="16" fillId="3" borderId="12" xfId="0" applyFont="1" applyFill="1" applyBorder="1" applyAlignment="1">
      <alignment horizontal="left" vertical="center"/>
    </xf>
    <xf numFmtId="0" fontId="17" fillId="3" borderId="0" xfId="0" quotePrefix="1" applyFont="1" applyFill="1" applyAlignment="1">
      <alignment horizontal="center" vertical="center"/>
    </xf>
    <xf numFmtId="0" fontId="17" fillId="3" borderId="0" xfId="0" applyFont="1" applyFill="1" applyAlignment="1">
      <alignment vertical="center"/>
    </xf>
    <xf numFmtId="0" fontId="17" fillId="3" borderId="7" xfId="0" applyFont="1" applyFill="1" applyBorder="1" applyAlignment="1">
      <alignment horizontal="center" vertical="center"/>
    </xf>
    <xf numFmtId="0" fontId="20" fillId="3" borderId="0" xfId="2" applyFont="1" applyFill="1" applyAlignment="1">
      <alignment vertical="center"/>
    </xf>
    <xf numFmtId="0" fontId="22" fillId="3" borderId="0" xfId="2" applyFont="1" applyFill="1" applyAlignment="1">
      <alignment horizontal="center" vertical="center"/>
    </xf>
    <xf numFmtId="0" fontId="0" fillId="3" borderId="0" xfId="0" applyFill="1" applyAlignment="1">
      <alignment horizontal="center" vertical="center"/>
    </xf>
    <xf numFmtId="0" fontId="20" fillId="3" borderId="3" xfId="2" applyFont="1" applyFill="1" applyBorder="1" applyAlignment="1">
      <alignment vertical="center"/>
    </xf>
    <xf numFmtId="0" fontId="22" fillId="3" borderId="3" xfId="2" applyFont="1" applyFill="1" applyBorder="1" applyAlignment="1">
      <alignment horizontal="center" vertical="center"/>
    </xf>
    <xf numFmtId="0" fontId="0" fillId="3" borderId="3" xfId="0" applyFill="1" applyBorder="1" applyAlignment="1">
      <alignment horizontal="center" vertical="center"/>
    </xf>
    <xf numFmtId="0" fontId="0" fillId="3" borderId="3" xfId="0" applyFill="1" applyBorder="1" applyAlignment="1">
      <alignment vertical="center"/>
    </xf>
    <xf numFmtId="0" fontId="17" fillId="3" borderId="4" xfId="0" quotePrefix="1" applyFont="1" applyFill="1" applyBorder="1" applyAlignment="1">
      <alignment horizontal="center" vertical="center"/>
    </xf>
    <xf numFmtId="0" fontId="29" fillId="0" borderId="4" xfId="0" applyFont="1" applyBorder="1" applyAlignment="1">
      <alignment horizontal="left" vertical="center" wrapText="1"/>
    </xf>
    <xf numFmtId="0" fontId="41" fillId="0" borderId="0" xfId="0" applyFont="1" applyAlignment="1">
      <alignment vertical="center"/>
    </xf>
    <xf numFmtId="0" fontId="17" fillId="3" borderId="7" xfId="0" applyFont="1" applyFill="1" applyBorder="1" applyAlignment="1">
      <alignment horizontal="left" vertical="center"/>
    </xf>
    <xf numFmtId="0" fontId="17" fillId="3" borderId="12" xfId="0" applyFont="1" applyFill="1" applyBorder="1" applyAlignment="1">
      <alignment horizontal="left" vertical="center"/>
    </xf>
    <xf numFmtId="0" fontId="33" fillId="0" borderId="0" xfId="0" applyFont="1" applyAlignment="1">
      <alignment vertical="center"/>
    </xf>
    <xf numFmtId="0" fontId="29" fillId="0" borderId="0" xfId="0" applyFont="1" applyAlignment="1">
      <alignment vertical="center" wrapText="1"/>
    </xf>
    <xf numFmtId="3" fontId="17" fillId="3" borderId="1" xfId="0" applyNumberFormat="1" applyFont="1" applyFill="1" applyBorder="1" applyAlignment="1">
      <alignment horizontal="center" vertical="center" textRotation="90" wrapText="1"/>
    </xf>
    <xf numFmtId="0" fontId="29" fillId="0" borderId="4" xfId="0" applyFont="1" applyBorder="1" applyAlignment="1">
      <alignment horizontal="center" vertical="center" wrapText="1"/>
    </xf>
    <xf numFmtId="0" fontId="21" fillId="0" borderId="0" xfId="0" applyFont="1" applyAlignment="1">
      <alignment vertical="center"/>
    </xf>
    <xf numFmtId="0" fontId="50" fillId="0" borderId="0" xfId="0" applyFont="1" applyAlignment="1">
      <alignment horizontal="center" vertical="center"/>
    </xf>
    <xf numFmtId="0" fontId="50" fillId="0" borderId="0" xfId="0" applyFont="1" applyAlignment="1">
      <alignment vertical="center" wrapText="1"/>
    </xf>
    <xf numFmtId="0" fontId="29" fillId="0" borderId="0" xfId="0" applyFont="1" applyAlignment="1">
      <alignment horizontal="center" vertical="center" wrapText="1"/>
    </xf>
    <xf numFmtId="0" fontId="29" fillId="0" borderId="1" xfId="0" quotePrefix="1" applyFont="1" applyBorder="1" applyAlignment="1">
      <alignment horizontal="center" vertical="center" wrapText="1"/>
    </xf>
    <xf numFmtId="0" fontId="17" fillId="0" borderId="9" xfId="0" applyFont="1" applyBorder="1" applyAlignment="1">
      <alignment horizontal="center" vertical="center" wrapText="1"/>
    </xf>
    <xf numFmtId="0" fontId="18" fillId="0" borderId="0" xfId="2" applyFont="1" applyAlignment="1">
      <alignment horizontal="center" vertical="center"/>
    </xf>
    <xf numFmtId="0" fontId="48" fillId="3" borderId="0" xfId="0" applyFont="1" applyFill="1" applyAlignment="1" applyProtection="1">
      <alignment vertical="center"/>
      <protection locked="0"/>
    </xf>
    <xf numFmtId="0" fontId="48" fillId="3" borderId="0" xfId="0" quotePrefix="1" applyFont="1" applyFill="1" applyAlignment="1" applyProtection="1">
      <alignment vertical="center"/>
      <protection locked="0"/>
    </xf>
    <xf numFmtId="0" fontId="18" fillId="0" borderId="0" xfId="2" applyFont="1" applyAlignment="1">
      <alignment vertical="center"/>
    </xf>
    <xf numFmtId="0" fontId="18" fillId="3" borderId="0" xfId="0" applyFont="1" applyFill="1" applyAlignment="1" applyProtection="1">
      <alignment horizontal="center"/>
      <protection locked="0"/>
    </xf>
    <xf numFmtId="0" fontId="18" fillId="3" borderId="0" xfId="0" applyFont="1" applyFill="1" applyAlignment="1">
      <alignment vertical="center"/>
    </xf>
    <xf numFmtId="0" fontId="18" fillId="3" borderId="0" xfId="0" applyFont="1" applyFill="1" applyAlignment="1">
      <alignment horizontal="left" vertical="center"/>
    </xf>
    <xf numFmtId="0" fontId="16" fillId="3" borderId="1" xfId="55" applyFont="1" applyFill="1" applyBorder="1" applyAlignment="1">
      <alignment horizontal="center" vertical="center"/>
    </xf>
    <xf numFmtId="0" fontId="17" fillId="3" borderId="0" xfId="0" applyFont="1" applyFill="1" applyAlignment="1" applyProtection="1">
      <alignment horizontal="center"/>
      <protection locked="0"/>
    </xf>
    <xf numFmtId="2" fontId="16" fillId="0" borderId="0" xfId="0" applyNumberFormat="1" applyFont="1" applyAlignment="1">
      <alignment horizontal="right" vertical="center"/>
    </xf>
    <xf numFmtId="0" fontId="17" fillId="3" borderId="1" xfId="0" quotePrefix="1" applyFont="1" applyFill="1" applyBorder="1" applyAlignment="1">
      <alignment horizontal="center" vertical="center"/>
    </xf>
    <xf numFmtId="0" fontId="17" fillId="3" borderId="20" xfId="0" quotePrefix="1" applyFont="1" applyFill="1" applyBorder="1" applyAlignment="1">
      <alignment horizontal="center" vertical="center" wrapText="1"/>
    </xf>
    <xf numFmtId="0" fontId="17" fillId="0" borderId="1" xfId="0" applyFont="1" applyBorder="1" applyAlignment="1">
      <alignment horizontal="center" vertical="center"/>
    </xf>
    <xf numFmtId="0" fontId="30" fillId="0" borderId="0" xfId="0" applyFont="1" applyAlignment="1">
      <alignment vertical="center"/>
    </xf>
    <xf numFmtId="0" fontId="29" fillId="0" borderId="0" xfId="0" applyFont="1"/>
    <xf numFmtId="0" fontId="21" fillId="0" borderId="0" xfId="0" applyFont="1" applyAlignment="1">
      <alignment horizontal="left"/>
    </xf>
    <xf numFmtId="0" fontId="17" fillId="3" borderId="0" xfId="2" applyFont="1" applyFill="1"/>
    <xf numFmtId="0" fontId="18" fillId="3" borderId="0" xfId="2" applyFont="1" applyFill="1"/>
    <xf numFmtId="0" fontId="18" fillId="3" borderId="0" xfId="0" applyFont="1" applyFill="1" applyAlignment="1">
      <alignment horizontal="center"/>
    </xf>
    <xf numFmtId="0" fontId="18" fillId="3" borderId="0" xfId="0" applyFont="1" applyFill="1" applyAlignment="1">
      <alignment horizontal="center" vertical="center"/>
    </xf>
    <xf numFmtId="0" fontId="17" fillId="0" borderId="0" xfId="0" applyFont="1"/>
    <xf numFmtId="3" fontId="29" fillId="0" borderId="1" xfId="0" applyNumberFormat="1" applyFont="1" applyBorder="1" applyAlignment="1">
      <alignment horizontal="center" vertical="center" wrapText="1"/>
    </xf>
    <xf numFmtId="0" fontId="29" fillId="0" borderId="0" xfId="0" applyFont="1" applyAlignment="1">
      <alignment horizontal="center"/>
    </xf>
    <xf numFmtId="3" fontId="29" fillId="0" borderId="0" xfId="0" applyNumberFormat="1" applyFont="1"/>
    <xf numFmtId="0" fontId="18" fillId="3" borderId="0" xfId="0" applyFont="1" applyFill="1" applyAlignment="1" applyProtection="1">
      <alignment horizontal="left"/>
      <protection locked="0"/>
    </xf>
    <xf numFmtId="0" fontId="18" fillId="3" borderId="0" xfId="0" applyFont="1" applyFill="1"/>
    <xf numFmtId="0" fontId="18" fillId="3" borderId="0" xfId="0" applyFont="1" applyFill="1" applyProtection="1">
      <protection locked="0"/>
    </xf>
    <xf numFmtId="0" fontId="17" fillId="0" borderId="0" xfId="0" applyFont="1" applyAlignment="1">
      <alignment vertical="center"/>
    </xf>
    <xf numFmtId="0" fontId="18" fillId="3" borderId="0" xfId="0" applyFont="1" applyFill="1" applyAlignment="1">
      <alignment horizontal="left"/>
    </xf>
    <xf numFmtId="0" fontId="17" fillId="3" borderId="0" xfId="0" applyFont="1" applyFill="1" applyProtection="1">
      <protection locked="0"/>
    </xf>
    <xf numFmtId="0" fontId="33" fillId="0" borderId="0" xfId="0" applyFont="1" applyAlignment="1">
      <alignment horizontal="center" vertical="center"/>
    </xf>
    <xf numFmtId="0" fontId="18" fillId="3" borderId="0" xfId="2" applyFont="1" applyFill="1" applyAlignment="1">
      <alignment vertical="center"/>
    </xf>
    <xf numFmtId="0" fontId="18" fillId="3" borderId="0" xfId="0" quotePrefix="1" applyFont="1" applyFill="1" applyAlignment="1" applyProtection="1">
      <alignment vertical="center"/>
      <protection locked="0"/>
    </xf>
    <xf numFmtId="165" fontId="18" fillId="3" borderId="0" xfId="0" applyNumberFormat="1" applyFont="1" applyFill="1" applyAlignment="1">
      <alignment horizontal="center" vertical="center"/>
    </xf>
    <xf numFmtId="0" fontId="18" fillId="3" borderId="0" xfId="0" applyFont="1" applyFill="1" applyAlignment="1">
      <alignment vertical="center" wrapText="1"/>
    </xf>
    <xf numFmtId="0" fontId="26" fillId="3" borderId="0" xfId="0" applyFont="1" applyFill="1" applyAlignment="1">
      <alignment vertical="center"/>
    </xf>
    <xf numFmtId="0" fontId="33" fillId="0" borderId="0" xfId="0" applyFont="1" applyAlignment="1">
      <alignment vertical="center" wrapText="1"/>
    </xf>
    <xf numFmtId="0" fontId="52" fillId="0" borderId="0" xfId="0" applyFont="1" applyAlignment="1">
      <alignment vertical="center"/>
    </xf>
    <xf numFmtId="0" fontId="25" fillId="0" borderId="1" xfId="0" applyFont="1" applyBorder="1" applyAlignment="1">
      <alignment horizontal="center" vertical="center"/>
    </xf>
    <xf numFmtId="0" fontId="34" fillId="3" borderId="0" xfId="0" applyFont="1" applyFill="1" applyAlignment="1">
      <alignment horizontal="center" vertical="center"/>
    </xf>
    <xf numFmtId="0" fontId="25" fillId="3" borderId="0" xfId="0" applyFont="1" applyFill="1" applyAlignment="1">
      <alignment horizontal="center" vertical="center"/>
    </xf>
    <xf numFmtId="0" fontId="16" fillId="3" borderId="0" xfId="0" quotePrefix="1" applyFont="1" applyFill="1" applyAlignment="1">
      <alignment horizontal="center" vertical="center"/>
    </xf>
    <xf numFmtId="0" fontId="6" fillId="0" borderId="0" xfId="1744"/>
    <xf numFmtId="0" fontId="53" fillId="0" borderId="0" xfId="1744" applyFont="1" applyAlignment="1" applyProtection="1">
      <alignment vertical="center"/>
      <protection locked="0"/>
    </xf>
    <xf numFmtId="0" fontId="6" fillId="0" borderId="0" xfId="1744" applyProtection="1">
      <protection locked="0"/>
    </xf>
    <xf numFmtId="0" fontId="54" fillId="0" borderId="0" xfId="1744" applyFont="1"/>
    <xf numFmtId="0" fontId="55" fillId="0" borderId="0" xfId="1744" applyFont="1" applyProtection="1">
      <protection locked="0"/>
    </xf>
    <xf numFmtId="0" fontId="56" fillId="0" borderId="0" xfId="1744" applyFont="1" applyProtection="1">
      <protection locked="0"/>
    </xf>
    <xf numFmtId="0" fontId="57" fillId="12" borderId="1" xfId="1744" applyFont="1" applyFill="1" applyBorder="1" applyAlignment="1" applyProtection="1">
      <alignment horizontal="center" vertical="center"/>
      <protection locked="0"/>
    </xf>
    <xf numFmtId="0" fontId="58" fillId="0" borderId="32" xfId="1744" applyFont="1" applyBorder="1" applyAlignment="1" applyProtection="1">
      <alignment horizontal="center" vertical="center"/>
      <protection locked="0"/>
    </xf>
    <xf numFmtId="0" fontId="16" fillId="0" borderId="4" xfId="0" applyFont="1" applyBorder="1" applyAlignment="1">
      <alignment horizontal="left" vertical="center"/>
    </xf>
    <xf numFmtId="167" fontId="58" fillId="0" borderId="32" xfId="1744" applyNumberFormat="1" applyFont="1" applyBorder="1" applyAlignment="1" applyProtection="1">
      <alignment horizontal="center" vertical="center"/>
      <protection locked="0"/>
    </xf>
    <xf numFmtId="0" fontId="17" fillId="3" borderId="30" xfId="0" quotePrefix="1" applyFont="1" applyFill="1" applyBorder="1" applyAlignment="1">
      <alignment horizontal="center" vertical="center"/>
    </xf>
    <xf numFmtId="0" fontId="48" fillId="3" borderId="28" xfId="0" applyFont="1" applyFill="1" applyBorder="1" applyAlignment="1">
      <alignment vertical="center"/>
    </xf>
    <xf numFmtId="0" fontId="29" fillId="0" borderId="0" xfId="0" applyFont="1" applyAlignment="1">
      <alignment horizontal="left" vertical="center" wrapText="1"/>
    </xf>
    <xf numFmtId="3" fontId="29" fillId="0" borderId="0" xfId="0" applyNumberFormat="1" applyFont="1" applyAlignment="1">
      <alignment horizontal="center" vertical="center" wrapText="1"/>
    </xf>
    <xf numFmtId="0" fontId="59" fillId="0" borderId="0" xfId="0" applyFont="1"/>
    <xf numFmtId="0" fontId="16" fillId="3" borderId="0" xfId="0" applyFont="1" applyFill="1" applyAlignment="1" applyProtection="1">
      <alignment horizontal="left" vertical="center"/>
      <protection locked="0"/>
    </xf>
    <xf numFmtId="0" fontId="17" fillId="0" borderId="27" xfId="0" quotePrefix="1" applyFont="1" applyBorder="1" applyAlignment="1">
      <alignment horizontal="center" vertical="center" wrapText="1"/>
    </xf>
    <xf numFmtId="0" fontId="16" fillId="0" borderId="0" xfId="55" applyFont="1" applyAlignment="1">
      <alignment vertical="center"/>
    </xf>
    <xf numFmtId="0" fontId="16" fillId="0" borderId="0" xfId="55" applyFont="1" applyAlignment="1">
      <alignment horizontal="center" vertical="center"/>
    </xf>
    <xf numFmtId="0" fontId="16" fillId="0" borderId="0" xfId="55" applyFont="1" applyAlignment="1">
      <alignment horizontal="left" vertical="center"/>
    </xf>
    <xf numFmtId="0" fontId="29" fillId="0" borderId="0" xfId="55" applyFont="1" applyAlignment="1">
      <alignment horizontal="center" vertical="center"/>
    </xf>
    <xf numFmtId="3" fontId="16" fillId="0" borderId="0" xfId="210" applyNumberFormat="1" applyFont="1" applyAlignment="1">
      <alignment horizontal="center" vertical="center"/>
    </xf>
    <xf numFmtId="0" fontId="25" fillId="0" borderId="0" xfId="55" applyFont="1" applyAlignment="1">
      <alignment vertical="center" wrapText="1"/>
    </xf>
    <xf numFmtId="0" fontId="29" fillId="0" borderId="0" xfId="55" applyFont="1" applyAlignment="1">
      <alignment horizontal="center" vertical="center" wrapText="1"/>
    </xf>
    <xf numFmtId="0" fontId="25" fillId="0" borderId="0" xfId="55" applyFont="1" applyAlignment="1">
      <alignment horizontal="center" vertical="center" wrapText="1"/>
    </xf>
    <xf numFmtId="0" fontId="25" fillId="0" borderId="0" xfId="55" quotePrefix="1" applyFont="1" applyAlignment="1">
      <alignment horizontal="center" vertical="center" wrapText="1"/>
    </xf>
    <xf numFmtId="0" fontId="17" fillId="0" borderId="0" xfId="55" applyFont="1" applyAlignment="1">
      <alignment horizontal="center" vertical="center"/>
    </xf>
    <xf numFmtId="0" fontId="25" fillId="0" borderId="0" xfId="55" applyFont="1" applyAlignment="1">
      <alignment horizontal="left" vertical="center" wrapText="1"/>
    </xf>
    <xf numFmtId="0" fontId="29" fillId="0" borderId="0" xfId="55" quotePrefix="1" applyFont="1" applyAlignment="1">
      <alignment horizontal="left" vertical="center" wrapText="1"/>
    </xf>
    <xf numFmtId="3" fontId="17" fillId="0" borderId="0" xfId="210" applyNumberFormat="1" applyFont="1" applyFill="1" applyAlignment="1">
      <alignment horizontal="left" vertical="center"/>
    </xf>
    <xf numFmtId="0" fontId="16" fillId="3" borderId="0" xfId="55" applyFont="1" applyFill="1" applyAlignment="1">
      <alignment vertical="center"/>
    </xf>
    <xf numFmtId="0" fontId="17" fillId="3" borderId="1" xfId="55" applyFont="1" applyFill="1" applyBorder="1" applyAlignment="1">
      <alignment horizontal="center" vertical="center" textRotation="90" wrapText="1"/>
    </xf>
    <xf numFmtId="0" fontId="17" fillId="3" borderId="1" xfId="55" applyFont="1" applyFill="1" applyBorder="1" applyAlignment="1">
      <alignment horizontal="center" vertical="center" wrapText="1"/>
    </xf>
    <xf numFmtId="0" fontId="18" fillId="3" borderId="0" xfId="55" applyFont="1" applyFill="1" applyAlignment="1">
      <alignment vertical="center"/>
    </xf>
    <xf numFmtId="0" fontId="18" fillId="3" borderId="0" xfId="55" applyFont="1" applyFill="1" applyAlignment="1" applyProtection="1">
      <alignment horizontal="center" vertical="center"/>
      <protection locked="0"/>
    </xf>
    <xf numFmtId="0" fontId="18" fillId="3" borderId="0" xfId="55" applyFont="1" applyFill="1" applyAlignment="1" applyProtection="1">
      <alignment horizontal="left" vertical="center"/>
      <protection locked="0"/>
    </xf>
    <xf numFmtId="0" fontId="29" fillId="0" borderId="40" xfId="55" applyFont="1" applyBorder="1" applyAlignment="1">
      <alignment horizontal="center" vertical="center" wrapText="1"/>
    </xf>
    <xf numFmtId="0" fontId="29" fillId="0" borderId="2" xfId="55" applyFont="1" applyBorder="1" applyAlignment="1">
      <alignment horizontal="center" vertical="center" wrapText="1"/>
    </xf>
    <xf numFmtId="0" fontId="16" fillId="0" borderId="1" xfId="0" applyFont="1" applyBorder="1" applyAlignment="1">
      <alignment horizontal="left" vertical="center" wrapText="1"/>
    </xf>
    <xf numFmtId="0" fontId="61" fillId="0" borderId="33" xfId="0" applyFont="1" applyBorder="1" applyAlignment="1">
      <alignment vertical="center" wrapText="1"/>
    </xf>
    <xf numFmtId="0" fontId="61" fillId="0" borderId="34" xfId="0" applyFont="1" applyBorder="1" applyAlignment="1">
      <alignment vertical="center" wrapText="1"/>
    </xf>
    <xf numFmtId="0" fontId="61" fillId="0" borderId="42" xfId="0" applyFont="1" applyBorder="1" applyAlignment="1">
      <alignment vertical="center" wrapText="1"/>
    </xf>
    <xf numFmtId="0" fontId="17" fillId="0" borderId="20" xfId="0" quotePrefix="1" applyFont="1" applyBorder="1" applyAlignment="1">
      <alignment horizontal="center" vertical="center" wrapText="1"/>
    </xf>
    <xf numFmtId="0" fontId="16" fillId="3" borderId="19" xfId="0" applyFont="1" applyFill="1" applyBorder="1" applyAlignment="1">
      <alignment vertical="center"/>
    </xf>
    <xf numFmtId="0" fontId="29" fillId="0" borderId="4" xfId="0" applyFont="1" applyBorder="1" applyAlignment="1">
      <alignment horizontal="center" vertical="center"/>
    </xf>
    <xf numFmtId="0" fontId="29" fillId="0" borderId="5" xfId="0" applyFont="1" applyBorder="1" applyAlignment="1">
      <alignment horizontal="center" vertical="center"/>
    </xf>
    <xf numFmtId="0" fontId="29" fillId="0" borderId="6" xfId="0" applyFont="1" applyBorder="1" applyAlignment="1">
      <alignment horizontal="center" vertical="center" wrapText="1"/>
    </xf>
    <xf numFmtId="0" fontId="31" fillId="3" borderId="0" xfId="0" applyFont="1" applyFill="1" applyAlignment="1">
      <alignment horizontal="center" vertical="center"/>
    </xf>
    <xf numFmtId="0" fontId="63" fillId="3" borderId="0" xfId="0" applyFont="1" applyFill="1" applyAlignment="1">
      <alignment horizontal="center" vertical="center"/>
    </xf>
    <xf numFmtId="0" fontId="31" fillId="3" borderId="0" xfId="0" applyFont="1" applyFill="1" applyAlignment="1">
      <alignment vertical="center"/>
    </xf>
    <xf numFmtId="0" fontId="64" fillId="0" borderId="0" xfId="0" applyFont="1"/>
    <xf numFmtId="0" fontId="21" fillId="3" borderId="0" xfId="0" applyFont="1" applyFill="1" applyAlignment="1" applyProtection="1">
      <alignment horizontal="left" vertical="center"/>
      <protection locked="0"/>
    </xf>
    <xf numFmtId="0" fontId="21" fillId="3" borderId="0" xfId="0" applyFont="1" applyFill="1" applyAlignment="1" applyProtection="1">
      <alignment horizontal="center" vertical="center"/>
      <protection locked="0"/>
    </xf>
    <xf numFmtId="0" fontId="63" fillId="3" borderId="0" xfId="0" applyFont="1" applyFill="1" applyAlignment="1" applyProtection="1">
      <alignment horizontal="left" vertical="center"/>
      <protection locked="0"/>
    </xf>
    <xf numFmtId="0" fontId="29" fillId="0" borderId="1" xfId="0" applyFont="1" applyBorder="1" applyAlignment="1">
      <alignment horizontal="center"/>
    </xf>
    <xf numFmtId="0" fontId="29" fillId="0" borderId="1" xfId="0" applyFont="1" applyBorder="1"/>
    <xf numFmtId="3" fontId="29" fillId="0" borderId="1" xfId="0" applyNumberFormat="1" applyFont="1" applyBorder="1"/>
    <xf numFmtId="0" fontId="63" fillId="3" borderId="0" xfId="0" applyFont="1" applyFill="1" applyAlignment="1" applyProtection="1">
      <alignment horizontal="center"/>
      <protection locked="0"/>
    </xf>
    <xf numFmtId="0" fontId="16" fillId="0" borderId="7" xfId="0" applyFont="1" applyBorder="1" applyAlignment="1">
      <alignment horizontal="left" vertical="center"/>
    </xf>
    <xf numFmtId="0" fontId="63" fillId="3" borderId="0" xfId="0" applyFont="1" applyFill="1" applyAlignment="1">
      <alignment horizontal="left" vertical="center"/>
    </xf>
    <xf numFmtId="0" fontId="17" fillId="3" borderId="9" xfId="0" quotePrefix="1" applyFont="1" applyFill="1" applyBorder="1" applyAlignment="1">
      <alignment horizontal="center" vertical="center" wrapText="1"/>
    </xf>
    <xf numFmtId="0" fontId="29" fillId="0" borderId="1" xfId="0" applyFont="1" applyBorder="1" applyAlignment="1">
      <alignment horizontal="left"/>
    </xf>
    <xf numFmtId="0" fontId="0" fillId="0" borderId="0" xfId="0" applyAlignment="1">
      <alignment horizontal="center" vertical="center"/>
    </xf>
    <xf numFmtId="0" fontId="17" fillId="0" borderId="0" xfId="0" applyFont="1" applyAlignment="1">
      <alignment horizontal="center"/>
    </xf>
    <xf numFmtId="0" fontId="16" fillId="0" borderId="0" xfId="0" applyFont="1" applyAlignment="1">
      <alignment horizontal="center"/>
    </xf>
    <xf numFmtId="0" fontId="17" fillId="3" borderId="28" xfId="0" applyFont="1" applyFill="1" applyBorder="1" applyAlignment="1">
      <alignment horizontal="center" vertical="center" wrapText="1"/>
    </xf>
    <xf numFmtId="0" fontId="17" fillId="3" borderId="13" xfId="55" applyFont="1" applyFill="1" applyBorder="1" applyAlignment="1">
      <alignment horizontal="center" vertical="center" wrapText="1"/>
    </xf>
    <xf numFmtId="0" fontId="17" fillId="3" borderId="15" xfId="0" applyFont="1" applyFill="1" applyBorder="1" applyAlignment="1">
      <alignment horizontal="center" vertical="center" wrapText="1"/>
    </xf>
    <xf numFmtId="0" fontId="17" fillId="3" borderId="4" xfId="0" applyFont="1" applyFill="1" applyBorder="1" applyAlignment="1">
      <alignment vertical="center"/>
    </xf>
    <xf numFmtId="0" fontId="17" fillId="3" borderId="5" xfId="55" applyFont="1" applyFill="1" applyBorder="1" applyAlignment="1">
      <alignment horizontal="center" vertical="center" wrapText="1"/>
    </xf>
    <xf numFmtId="0" fontId="17" fillId="3" borderId="2" xfId="0" applyFont="1" applyFill="1" applyBorder="1" applyAlignment="1">
      <alignment vertical="center"/>
    </xf>
    <xf numFmtId="0" fontId="17" fillId="3" borderId="8" xfId="0" applyFont="1" applyFill="1" applyBorder="1" applyAlignment="1">
      <alignment vertical="center"/>
    </xf>
    <xf numFmtId="0" fontId="17" fillId="0" borderId="1" xfId="55" applyFont="1" applyBorder="1" applyAlignment="1">
      <alignment horizontal="center" textRotation="90" wrapText="1"/>
    </xf>
    <xf numFmtId="0" fontId="17" fillId="3" borderId="11" xfId="0" applyFont="1" applyFill="1" applyBorder="1" applyAlignment="1">
      <alignment vertical="center" wrapText="1"/>
    </xf>
    <xf numFmtId="0" fontId="17" fillId="3" borderId="11" xfId="0" applyFont="1" applyFill="1" applyBorder="1" applyAlignment="1">
      <alignment vertical="center"/>
    </xf>
    <xf numFmtId="0" fontId="17" fillId="0" borderId="57" xfId="0" applyFont="1" applyBorder="1" applyAlignment="1">
      <alignment horizontal="center" vertical="center" textRotation="90" wrapText="1"/>
    </xf>
    <xf numFmtId="0" fontId="17" fillId="3" borderId="6" xfId="0" applyFont="1" applyFill="1" applyBorder="1" applyAlignment="1">
      <alignment horizontal="right" vertical="center"/>
    </xf>
    <xf numFmtId="0" fontId="17" fillId="0" borderId="1" xfId="0" applyFont="1" applyBorder="1" applyAlignment="1">
      <alignment horizontal="center" vertical="center" textRotation="90" wrapText="1"/>
    </xf>
    <xf numFmtId="0" fontId="29" fillId="0" borderId="37" xfId="0" applyFont="1" applyBorder="1" applyAlignment="1">
      <alignment horizontal="center" vertical="center"/>
    </xf>
    <xf numFmtId="0" fontId="29" fillId="0" borderId="31" xfId="0" applyFont="1" applyBorder="1" applyAlignment="1">
      <alignment horizontal="center" vertical="center"/>
    </xf>
    <xf numFmtId="0" fontId="29" fillId="0" borderId="31" xfId="0" applyFont="1" applyBorder="1" applyAlignment="1">
      <alignment horizontal="center" vertical="center" wrapText="1"/>
    </xf>
    <xf numFmtId="0" fontId="29" fillId="0" borderId="1" xfId="55" applyFont="1" applyBorder="1" applyAlignment="1">
      <alignment horizontal="left" vertical="center" wrapText="1"/>
    </xf>
    <xf numFmtId="0" fontId="29" fillId="0" borderId="37" xfId="0" applyFont="1" applyBorder="1" applyAlignment="1">
      <alignment horizontal="center" vertical="center" wrapText="1"/>
    </xf>
    <xf numFmtId="0" fontId="17" fillId="3" borderId="4" xfId="55" applyFont="1" applyFill="1" applyBorder="1" applyAlignment="1">
      <alignment horizontal="center" vertical="center"/>
    </xf>
    <xf numFmtId="0" fontId="68" fillId="0" borderId="0" xfId="0" applyFont="1" applyAlignment="1">
      <alignment horizontal="center" vertical="center"/>
    </xf>
    <xf numFmtId="0" fontId="15" fillId="0" borderId="0" xfId="55"/>
    <xf numFmtId="0" fontId="29" fillId="0" borderId="0" xfId="55" quotePrefix="1" applyFont="1" applyAlignment="1">
      <alignment horizontal="center" vertical="center" wrapText="1"/>
    </xf>
    <xf numFmtId="0" fontId="29" fillId="0" borderId="0" xfId="55" applyFont="1" applyAlignment="1">
      <alignment horizontal="left" vertical="center" wrapText="1"/>
    </xf>
    <xf numFmtId="0" fontId="29" fillId="0" borderId="7" xfId="0" applyFont="1" applyBorder="1" applyAlignment="1">
      <alignment horizontal="center" vertical="center"/>
    </xf>
    <xf numFmtId="3" fontId="16" fillId="0" borderId="0" xfId="210" applyNumberFormat="1" applyFont="1" applyBorder="1" applyAlignment="1">
      <alignment horizontal="center" vertical="center"/>
    </xf>
    <xf numFmtId="0" fontId="31" fillId="0" borderId="0" xfId="55" applyFont="1" applyAlignment="1">
      <alignment horizontal="left" vertical="center"/>
    </xf>
    <xf numFmtId="0" fontId="16" fillId="0" borderId="0" xfId="55" applyFont="1" applyAlignment="1">
      <alignment horizontal="left" vertical="center" wrapText="1"/>
    </xf>
    <xf numFmtId="0" fontId="31" fillId="0" borderId="0" xfId="55" applyFont="1" applyAlignment="1">
      <alignment horizontal="left" vertical="center" wrapText="1"/>
    </xf>
    <xf numFmtId="0" fontId="25" fillId="0" borderId="0" xfId="55" quotePrefix="1" applyFont="1" applyAlignment="1">
      <alignment horizontal="left" vertical="center" wrapText="1"/>
    </xf>
    <xf numFmtId="0" fontId="67" fillId="0" borderId="0" xfId="55" applyFont="1"/>
    <xf numFmtId="0" fontId="17" fillId="0" borderId="4" xfId="55" applyFont="1" applyBorder="1" applyAlignment="1">
      <alignment horizontal="center" vertical="center" wrapText="1"/>
    </xf>
    <xf numFmtId="0" fontId="17" fillId="0" borderId="30" xfId="55" quotePrefix="1" applyFont="1" applyBorder="1" applyAlignment="1">
      <alignment horizontal="center" vertical="center"/>
    </xf>
    <xf numFmtId="0" fontId="29" fillId="0" borderId="1" xfId="55" applyFont="1" applyBorder="1" applyAlignment="1">
      <alignment horizontal="center" vertical="center"/>
    </xf>
    <xf numFmtId="3" fontId="29" fillId="0" borderId="0" xfId="210" applyNumberFormat="1" applyFont="1" applyFill="1" applyBorder="1" applyAlignment="1">
      <alignment horizontal="center" vertical="center" wrapText="1"/>
    </xf>
    <xf numFmtId="0" fontId="29" fillId="0" borderId="0" xfId="55" quotePrefix="1" applyFont="1" applyAlignment="1">
      <alignment horizontal="left" vertical="center"/>
    </xf>
    <xf numFmtId="0" fontId="16" fillId="0" borderId="7" xfId="0" applyFont="1" applyBorder="1" applyAlignment="1">
      <alignment horizontal="center" vertical="center" wrapText="1"/>
    </xf>
    <xf numFmtId="0" fontId="0" fillId="0" borderId="0" xfId="0" applyAlignment="1">
      <alignment vertical="center" wrapText="1"/>
    </xf>
    <xf numFmtId="0" fontId="70" fillId="0" borderId="0" xfId="55" applyFont="1" applyAlignment="1">
      <alignment horizontal="center" vertical="center" wrapText="1"/>
    </xf>
    <xf numFmtId="0" fontId="70" fillId="0" borderId="0" xfId="55" applyFont="1" applyAlignment="1">
      <alignment horizontal="center" vertical="center"/>
    </xf>
    <xf numFmtId="0" fontId="70" fillId="0" borderId="0" xfId="55" applyFont="1" applyAlignment="1">
      <alignment horizontal="left" vertical="center"/>
    </xf>
    <xf numFmtId="0" fontId="69" fillId="0" borderId="1" xfId="55" applyFont="1" applyBorder="1" applyAlignment="1">
      <alignment horizontal="center" vertical="center" textRotation="90" wrapText="1"/>
    </xf>
    <xf numFmtId="0" fontId="63" fillId="3" borderId="0" xfId="0" applyFont="1" applyFill="1" applyAlignment="1">
      <alignment vertical="center"/>
    </xf>
    <xf numFmtId="2" fontId="16" fillId="0" borderId="0" xfId="0" applyNumberFormat="1" applyFont="1" applyAlignment="1">
      <alignment horizontal="center" vertical="center"/>
    </xf>
    <xf numFmtId="3" fontId="17" fillId="0" borderId="1" xfId="0" applyNumberFormat="1" applyFont="1" applyBorder="1" applyAlignment="1">
      <alignment horizontal="center" vertical="center" textRotation="90" wrapText="1"/>
    </xf>
    <xf numFmtId="0" fontId="17" fillId="3" borderId="20" xfId="0" applyFont="1" applyFill="1" applyBorder="1" applyAlignment="1">
      <alignment vertical="center"/>
    </xf>
    <xf numFmtId="0" fontId="29" fillId="0" borderId="12" xfId="0" applyFont="1" applyBorder="1" applyAlignment="1">
      <alignment horizontal="center" vertical="center"/>
    </xf>
    <xf numFmtId="0" fontId="16" fillId="0" borderId="6" xfId="0" applyFont="1" applyBorder="1" applyAlignment="1">
      <alignment horizontal="center" vertical="center" wrapText="1"/>
    </xf>
    <xf numFmtId="0" fontId="29" fillId="0" borderId="0" xfId="0" applyFont="1" applyAlignment="1">
      <alignment horizontal="left" vertical="center"/>
    </xf>
    <xf numFmtId="0" fontId="63" fillId="3" borderId="0" xfId="0" applyFont="1" applyFill="1" applyAlignment="1">
      <alignment vertical="center" wrapText="1"/>
    </xf>
    <xf numFmtId="0" fontId="29" fillId="0" borderId="4" xfId="0" applyFont="1" applyBorder="1" applyAlignment="1">
      <alignment horizontal="left"/>
    </xf>
    <xf numFmtId="0" fontId="29" fillId="0" borderId="4" xfId="0" applyFont="1" applyBorder="1" applyAlignment="1">
      <alignment horizontal="center"/>
    </xf>
    <xf numFmtId="0" fontId="29" fillId="0" borderId="4" xfId="0" applyFont="1" applyBorder="1"/>
    <xf numFmtId="3" fontId="29" fillId="0" borderId="4" xfId="0" applyNumberFormat="1" applyFont="1" applyBorder="1"/>
    <xf numFmtId="3" fontId="16" fillId="3" borderId="1" xfId="56" applyNumberFormat="1" applyFont="1" applyFill="1" applyBorder="1" applyAlignment="1">
      <alignment horizontal="center" vertical="center"/>
    </xf>
    <xf numFmtId="3" fontId="16" fillId="3" borderId="1" xfId="3" applyNumberFormat="1" applyFont="1" applyFill="1" applyBorder="1" applyAlignment="1">
      <alignment horizontal="center" vertical="center"/>
    </xf>
    <xf numFmtId="0" fontId="17" fillId="3" borderId="1" xfId="55" applyFont="1" applyFill="1" applyBorder="1" applyAlignment="1">
      <alignment horizontal="center" vertical="center"/>
    </xf>
    <xf numFmtId="0" fontId="16" fillId="3" borderId="1" xfId="55" applyFont="1" applyFill="1" applyBorder="1" applyAlignment="1">
      <alignment vertical="center"/>
    </xf>
    <xf numFmtId="0" fontId="17" fillId="3" borderId="1" xfId="55" quotePrefix="1" applyFont="1" applyFill="1" applyBorder="1" applyAlignment="1">
      <alignment horizontal="center" vertical="center"/>
    </xf>
    <xf numFmtId="3" fontId="16" fillId="3" borderId="1" xfId="55" applyNumberFormat="1" applyFont="1" applyFill="1" applyBorder="1" applyAlignment="1">
      <alignment horizontal="center" vertical="center"/>
    </xf>
    <xf numFmtId="0" fontId="18" fillId="0" borderId="0" xfId="0" applyFont="1" applyAlignment="1">
      <alignment vertical="center"/>
    </xf>
    <xf numFmtId="0" fontId="17" fillId="0" borderId="4" xfId="0" quotePrefix="1" applyFont="1" applyBorder="1" applyAlignment="1">
      <alignment horizontal="center" vertical="center"/>
    </xf>
    <xf numFmtId="167" fontId="58" fillId="0" borderId="39" xfId="1744" applyNumberFormat="1" applyFont="1" applyBorder="1" applyAlignment="1" applyProtection="1">
      <alignment horizontal="center" vertical="center"/>
      <protection locked="0"/>
    </xf>
    <xf numFmtId="0" fontId="58" fillId="0" borderId="39" xfId="1744" applyFont="1" applyBorder="1" applyAlignment="1" applyProtection="1">
      <alignment horizontal="center" vertical="center"/>
      <protection locked="0"/>
    </xf>
    <xf numFmtId="49" fontId="55" fillId="0" borderId="0" xfId="1744" applyNumberFormat="1" applyFont="1" applyProtection="1">
      <protection locked="0"/>
    </xf>
    <xf numFmtId="14" fontId="34" fillId="3" borderId="49" xfId="1744" applyNumberFormat="1" applyFont="1" applyFill="1" applyBorder="1" applyAlignment="1">
      <alignment horizontal="center"/>
    </xf>
    <xf numFmtId="0" fontId="6" fillId="3" borderId="45" xfId="1744" applyFill="1" applyBorder="1"/>
    <xf numFmtId="0" fontId="6" fillId="3" borderId="36" xfId="1744" applyFill="1" applyBorder="1"/>
    <xf numFmtId="14" fontId="34" fillId="3" borderId="46" xfId="1744" applyNumberFormat="1" applyFont="1" applyFill="1" applyBorder="1" applyAlignment="1">
      <alignment horizontal="center"/>
    </xf>
    <xf numFmtId="0" fontId="6" fillId="3" borderId="43" xfId="1744" applyFill="1" applyBorder="1"/>
    <xf numFmtId="0" fontId="62" fillId="3" borderId="0" xfId="0" quotePrefix="1" applyFont="1" applyFill="1" applyAlignment="1">
      <alignment horizontal="left" vertical="center"/>
    </xf>
    <xf numFmtId="0" fontId="34" fillId="3" borderId="0" xfId="1744" quotePrefix="1" applyFont="1" applyFill="1"/>
    <xf numFmtId="0" fontId="6" fillId="3" borderId="0" xfId="1744" applyFill="1"/>
    <xf numFmtId="0" fontId="16" fillId="3" borderId="1" xfId="0" applyFont="1" applyFill="1" applyBorder="1" applyAlignment="1">
      <alignment horizontal="center" vertical="center"/>
    </xf>
    <xf numFmtId="0" fontId="29" fillId="3" borderId="1" xfId="0" applyFont="1" applyFill="1" applyBorder="1" applyAlignment="1">
      <alignment horizontal="center" vertical="center" wrapText="1"/>
    </xf>
    <xf numFmtId="0" fontId="29" fillId="3" borderId="1" xfId="0" applyFont="1" applyFill="1" applyBorder="1" applyAlignment="1">
      <alignment horizontal="center" vertical="center"/>
    </xf>
    <xf numFmtId="0" fontId="29" fillId="3" borderId="1" xfId="55" applyFont="1" applyFill="1" applyBorder="1" applyAlignment="1">
      <alignment horizontal="left" vertical="center" wrapText="1"/>
    </xf>
    <xf numFmtId="0" fontId="29" fillId="3" borderId="4" xfId="0" applyFont="1" applyFill="1" applyBorder="1" applyAlignment="1">
      <alignment horizontal="center" vertical="center" wrapText="1"/>
    </xf>
    <xf numFmtId="0" fontId="29" fillId="3" borderId="1" xfId="0" applyFont="1" applyFill="1" applyBorder="1" applyAlignment="1">
      <alignment horizontal="left" vertical="center" wrapText="1"/>
    </xf>
    <xf numFmtId="0" fontId="29" fillId="3" borderId="4" xfId="0" applyFont="1" applyFill="1" applyBorder="1" applyAlignment="1">
      <alignment horizontal="center" vertical="center"/>
    </xf>
    <xf numFmtId="0" fontId="74" fillId="3" borderId="1" xfId="0" applyFont="1" applyFill="1" applyBorder="1" applyAlignment="1">
      <alignment horizontal="center" vertical="center"/>
    </xf>
    <xf numFmtId="0" fontId="29" fillId="3" borderId="0" xfId="0" applyFont="1" applyFill="1" applyAlignment="1">
      <alignment horizontal="center" vertical="center"/>
    </xf>
    <xf numFmtId="0" fontId="74" fillId="3" borderId="1" xfId="0" applyFont="1" applyFill="1" applyBorder="1" applyAlignment="1">
      <alignment horizontal="center" vertical="center" wrapText="1"/>
    </xf>
    <xf numFmtId="0" fontId="29" fillId="3" borderId="31" xfId="0" applyFont="1" applyFill="1" applyBorder="1" applyAlignment="1">
      <alignment horizontal="center" vertical="center"/>
    </xf>
    <xf numFmtId="0" fontId="29" fillId="3" borderId="31" xfId="0" applyFont="1" applyFill="1" applyBorder="1" applyAlignment="1">
      <alignment horizontal="center" vertical="center" wrapText="1"/>
    </xf>
    <xf numFmtId="0" fontId="16" fillId="3" borderId="4" xfId="0" applyFont="1" applyFill="1" applyBorder="1" applyAlignment="1">
      <alignment horizontal="center" vertical="center"/>
    </xf>
    <xf numFmtId="0" fontId="29" fillId="3" borderId="37" xfId="0" applyFont="1" applyFill="1" applyBorder="1" applyAlignment="1">
      <alignment horizontal="center" vertical="center"/>
    </xf>
    <xf numFmtId="0" fontId="29" fillId="3" borderId="37" xfId="55" applyFont="1" applyFill="1" applyBorder="1" applyAlignment="1">
      <alignment horizontal="center" vertical="center"/>
    </xf>
    <xf numFmtId="0" fontId="29" fillId="3" borderId="4" xfId="0" applyFont="1" applyFill="1" applyBorder="1" applyAlignment="1">
      <alignment horizontal="left" vertical="center" wrapText="1"/>
    </xf>
    <xf numFmtId="0" fontId="70" fillId="3" borderId="31" xfId="0" applyFont="1" applyFill="1" applyBorder="1" applyAlignment="1">
      <alignment horizontal="center" vertical="center"/>
    </xf>
    <xf numFmtId="0" fontId="16" fillId="3" borderId="31" xfId="0" applyFont="1" applyFill="1" applyBorder="1" applyAlignment="1">
      <alignment horizontal="center" vertical="center"/>
    </xf>
    <xf numFmtId="0" fontId="29" fillId="3" borderId="39" xfId="0" applyFont="1" applyFill="1" applyBorder="1" applyAlignment="1">
      <alignment horizontal="center" vertical="center"/>
    </xf>
    <xf numFmtId="0" fontId="29" fillId="3" borderId="39" xfId="55" applyFont="1" applyFill="1" applyBorder="1" applyAlignment="1">
      <alignment horizontal="center" vertical="center"/>
    </xf>
    <xf numFmtId="0" fontId="29" fillId="3" borderId="2" xfId="55" applyFont="1" applyFill="1" applyBorder="1" applyAlignment="1">
      <alignment horizontal="center" vertical="center"/>
    </xf>
    <xf numFmtId="0" fontId="17" fillId="3" borderId="0" xfId="0" applyFont="1" applyFill="1" applyAlignment="1">
      <alignment horizontal="center"/>
    </xf>
    <xf numFmtId="3" fontId="29" fillId="3" borderId="4" xfId="0" applyNumberFormat="1" applyFont="1" applyFill="1" applyBorder="1" applyAlignment="1">
      <alignment horizontal="center" vertical="center" wrapText="1"/>
    </xf>
    <xf numFmtId="0" fontId="16" fillId="3" borderId="1" xfId="0" applyFont="1" applyFill="1" applyBorder="1" applyAlignment="1">
      <alignment horizontal="center" vertical="center" wrapText="1"/>
    </xf>
    <xf numFmtId="3" fontId="29" fillId="3" borderId="31" xfId="210" applyNumberFormat="1" applyFont="1" applyFill="1" applyBorder="1" applyAlignment="1">
      <alignment horizontal="center" vertical="center" wrapText="1"/>
    </xf>
    <xf numFmtId="0" fontId="29" fillId="3" borderId="31" xfId="55" applyFont="1" applyFill="1" applyBorder="1" applyAlignment="1">
      <alignment horizontal="center" vertical="center" wrapText="1"/>
    </xf>
    <xf numFmtId="0" fontId="29" fillId="3" borderId="31" xfId="55" quotePrefix="1" applyFont="1" applyFill="1" applyBorder="1" applyAlignment="1">
      <alignment horizontal="center" vertical="center" wrapText="1"/>
    </xf>
    <xf numFmtId="0" fontId="29" fillId="3" borderId="31" xfId="55" quotePrefix="1" applyFont="1" applyFill="1" applyBorder="1" applyAlignment="1">
      <alignment horizontal="center" vertical="center"/>
    </xf>
    <xf numFmtId="0" fontId="29" fillId="3" borderId="31" xfId="55" applyFont="1" applyFill="1" applyBorder="1" applyAlignment="1">
      <alignment horizontal="center" vertical="center"/>
    </xf>
    <xf numFmtId="0" fontId="29" fillId="3" borderId="31" xfId="55" applyFont="1" applyFill="1" applyBorder="1" applyAlignment="1">
      <alignment horizontal="left" vertical="center" wrapText="1"/>
    </xf>
    <xf numFmtId="0" fontId="16" fillId="3" borderId="41" xfId="55" applyFont="1" applyFill="1" applyBorder="1" applyAlignment="1">
      <alignment horizontal="center" vertical="center"/>
    </xf>
    <xf numFmtId="0" fontId="70" fillId="3" borderId="41" xfId="55" applyFont="1" applyFill="1" applyBorder="1" applyAlignment="1">
      <alignment horizontal="center" vertical="center"/>
    </xf>
    <xf numFmtId="0" fontId="29" fillId="3" borderId="39" xfId="55" applyFont="1" applyFill="1" applyBorder="1" applyAlignment="1">
      <alignment horizontal="left" vertical="center" wrapText="1"/>
    </xf>
    <xf numFmtId="0" fontId="70" fillId="3" borderId="32" xfId="55" applyFont="1" applyFill="1" applyBorder="1" applyAlignment="1">
      <alignment horizontal="center" vertical="center" wrapText="1"/>
    </xf>
    <xf numFmtId="0" fontId="29" fillId="3" borderId="32" xfId="55" applyFont="1" applyFill="1" applyBorder="1" applyAlignment="1">
      <alignment horizontal="center" vertical="center" wrapText="1"/>
    </xf>
    <xf numFmtId="0" fontId="29" fillId="3" borderId="32" xfId="55" quotePrefix="1" applyFont="1" applyFill="1" applyBorder="1" applyAlignment="1">
      <alignment horizontal="center" vertical="center" wrapText="1"/>
    </xf>
    <xf numFmtId="0" fontId="29" fillId="3" borderId="32" xfId="55" quotePrefix="1" applyFont="1" applyFill="1" applyBorder="1" applyAlignment="1">
      <alignment horizontal="left" vertical="center"/>
    </xf>
    <xf numFmtId="0" fontId="29" fillId="3" borderId="32" xfId="55" quotePrefix="1" applyFont="1" applyFill="1" applyBorder="1" applyAlignment="1">
      <alignment horizontal="left" vertical="center" wrapText="1"/>
    </xf>
    <xf numFmtId="0" fontId="29" fillId="3" borderId="32" xfId="55" applyFont="1" applyFill="1" applyBorder="1" applyAlignment="1">
      <alignment horizontal="left" vertical="center" wrapText="1"/>
    </xf>
    <xf numFmtId="0" fontId="29" fillId="3" borderId="32" xfId="55" applyFont="1" applyFill="1" applyBorder="1" applyAlignment="1">
      <alignment horizontal="center" vertical="center"/>
    </xf>
    <xf numFmtId="0" fontId="16" fillId="3" borderId="50" xfId="55" applyFont="1" applyFill="1" applyBorder="1" applyAlignment="1">
      <alignment horizontal="center" vertical="center"/>
    </xf>
    <xf numFmtId="0" fontId="70" fillId="3" borderId="50" xfId="55" applyFont="1" applyFill="1" applyBorder="1" applyAlignment="1">
      <alignment horizontal="center" vertical="center"/>
    </xf>
    <xf numFmtId="0" fontId="16" fillId="3" borderId="59" xfId="55" applyFont="1" applyFill="1" applyBorder="1" applyAlignment="1">
      <alignment horizontal="center" vertical="center"/>
    </xf>
    <xf numFmtId="0" fontId="70" fillId="3" borderId="40" xfId="55" applyFont="1" applyFill="1" applyBorder="1" applyAlignment="1">
      <alignment horizontal="center" vertical="center" wrapText="1"/>
    </xf>
    <xf numFmtId="0" fontId="29" fillId="3" borderId="39" xfId="55" applyFont="1" applyFill="1" applyBorder="1" applyAlignment="1">
      <alignment horizontal="center" vertical="center" wrapText="1"/>
    </xf>
    <xf numFmtId="0" fontId="29" fillId="3" borderId="39" xfId="55" quotePrefix="1" applyFont="1" applyFill="1" applyBorder="1" applyAlignment="1">
      <alignment horizontal="center" vertical="center" wrapText="1"/>
    </xf>
    <xf numFmtId="0" fontId="29" fillId="3" borderId="39" xfId="55" quotePrefix="1" applyFont="1" applyFill="1" applyBorder="1" applyAlignment="1">
      <alignment horizontal="left" vertical="center"/>
    </xf>
    <xf numFmtId="0" fontId="29" fillId="3" borderId="39" xfId="55" quotePrefix="1" applyFont="1" applyFill="1" applyBorder="1" applyAlignment="1">
      <alignment horizontal="left" vertical="center" wrapText="1"/>
    </xf>
    <xf numFmtId="0" fontId="70" fillId="3" borderId="37" xfId="55" applyFont="1" applyFill="1" applyBorder="1" applyAlignment="1">
      <alignment horizontal="center" vertical="center" wrapText="1"/>
    </xf>
    <xf numFmtId="0" fontId="16" fillId="3" borderId="2" xfId="0" applyFont="1" applyFill="1" applyBorder="1" applyAlignment="1">
      <alignment horizontal="center" vertical="center"/>
    </xf>
    <xf numFmtId="0" fontId="29" fillId="3" borderId="1" xfId="55" applyFont="1" applyFill="1" applyBorder="1" applyAlignment="1">
      <alignment horizontal="center" vertical="center"/>
    </xf>
    <xf numFmtId="0" fontId="29" fillId="3" borderId="1" xfId="55" quotePrefix="1" applyFont="1" applyFill="1" applyBorder="1" applyAlignment="1">
      <alignment horizontal="center" vertical="center"/>
    </xf>
    <xf numFmtId="0" fontId="29" fillId="3" borderId="1" xfId="55" applyFont="1" applyFill="1" applyBorder="1" applyAlignment="1">
      <alignment horizontal="left" vertical="center"/>
    </xf>
    <xf numFmtId="0" fontId="29" fillId="3" borderId="1" xfId="55" applyFont="1" applyFill="1" applyBorder="1" applyAlignment="1">
      <alignment horizontal="center" vertical="center" wrapText="1"/>
    </xf>
    <xf numFmtId="0" fontId="17" fillId="0" borderId="54" xfId="0" applyFont="1" applyBorder="1" applyAlignment="1">
      <alignment horizontal="center" vertical="center" textRotation="90" wrapText="1"/>
    </xf>
    <xf numFmtId="0" fontId="17" fillId="0" borderId="55" xfId="0" applyFont="1" applyBorder="1" applyAlignment="1">
      <alignment horizontal="center" vertical="center" textRotation="90" wrapText="1"/>
    </xf>
    <xf numFmtId="0" fontId="17" fillId="0" borderId="56" xfId="0" applyFont="1" applyBorder="1" applyAlignment="1">
      <alignment horizontal="center" vertical="center" textRotation="90" wrapText="1"/>
    </xf>
    <xf numFmtId="0" fontId="17" fillId="0" borderId="4" xfId="0" applyFont="1" applyBorder="1" applyAlignment="1">
      <alignment horizontal="center" vertical="center" textRotation="90" wrapText="1"/>
    </xf>
    <xf numFmtId="3" fontId="17" fillId="3" borderId="4" xfId="0" applyNumberFormat="1" applyFont="1" applyFill="1" applyBorder="1" applyAlignment="1">
      <alignment horizontal="center" vertical="center" textRotation="90" wrapText="1"/>
    </xf>
    <xf numFmtId="0" fontId="17" fillId="0" borderId="6" xfId="0" applyFont="1" applyBorder="1" applyAlignment="1">
      <alignment horizontal="center" vertical="center" textRotation="90" wrapText="1"/>
    </xf>
    <xf numFmtId="3" fontId="29" fillId="0" borderId="1" xfId="0" quotePrefix="1" applyNumberFormat="1" applyFont="1" applyBorder="1" applyAlignment="1">
      <alignment horizontal="center" vertical="center" wrapText="1"/>
    </xf>
    <xf numFmtId="0" fontId="29" fillId="0" borderId="1" xfId="0" quotePrefix="1" applyFont="1" applyBorder="1" applyAlignment="1">
      <alignment horizontal="left" vertical="center" wrapText="1"/>
    </xf>
    <xf numFmtId="0" fontId="29" fillId="0" borderId="1" xfId="0" applyFont="1" applyBorder="1" applyAlignment="1">
      <alignment horizontal="left" vertical="center"/>
    </xf>
    <xf numFmtId="0" fontId="29" fillId="0" borderId="1" xfId="0" applyFont="1" applyBorder="1" applyAlignment="1">
      <alignment vertical="center" wrapText="1"/>
    </xf>
    <xf numFmtId="0" fontId="29" fillId="3" borderId="7" xfId="0" applyFont="1" applyFill="1" applyBorder="1" applyAlignment="1">
      <alignment horizontal="center" vertical="center"/>
    </xf>
    <xf numFmtId="0" fontId="29" fillId="3" borderId="6" xfId="0" applyFont="1" applyFill="1" applyBorder="1" applyAlignment="1">
      <alignment horizontal="center" vertical="center" wrapText="1"/>
    </xf>
    <xf numFmtId="0" fontId="29" fillId="3" borderId="6" xfId="0" applyFont="1" applyFill="1" applyBorder="1" applyAlignment="1">
      <alignment horizontal="center" vertical="center"/>
    </xf>
    <xf numFmtId="0" fontId="29" fillId="3" borderId="6" xfId="55" applyFont="1" applyFill="1" applyBorder="1" applyAlignment="1">
      <alignment horizontal="center" vertical="center"/>
    </xf>
    <xf numFmtId="0" fontId="16" fillId="0" borderId="1" xfId="0" applyFont="1" applyBorder="1" applyAlignment="1">
      <alignment vertical="center"/>
    </xf>
    <xf numFmtId="0" fontId="29" fillId="3" borderId="9" xfId="0" applyFont="1" applyFill="1" applyBorder="1" applyAlignment="1">
      <alignment horizontal="center" vertical="center"/>
    </xf>
    <xf numFmtId="0" fontId="16" fillId="3" borderId="15" xfId="0" quotePrefix="1" applyFont="1" applyFill="1" applyBorder="1" applyAlignment="1">
      <alignment horizontal="center" vertical="center"/>
    </xf>
    <xf numFmtId="0" fontId="29" fillId="3" borderId="31" xfId="0" applyFont="1" applyFill="1" applyBorder="1" applyAlignment="1">
      <alignment vertical="center" wrapText="1"/>
    </xf>
    <xf numFmtId="0" fontId="16" fillId="3" borderId="32" xfId="0" applyFont="1" applyFill="1" applyBorder="1" applyAlignment="1">
      <alignment horizontal="center" vertical="center"/>
    </xf>
    <xf numFmtId="0" fontId="29" fillId="3" borderId="32" xfId="0" applyFont="1" applyFill="1" applyBorder="1" applyAlignment="1">
      <alignment vertical="center" wrapText="1"/>
    </xf>
    <xf numFmtId="0" fontId="29" fillId="3" borderId="50" xfId="0" applyFont="1" applyFill="1" applyBorder="1" applyAlignment="1">
      <alignment horizontal="center" vertical="center" wrapText="1"/>
    </xf>
    <xf numFmtId="0" fontId="16" fillId="3" borderId="8" xfId="0" applyFont="1" applyFill="1" applyBorder="1" applyAlignment="1">
      <alignment horizontal="center" vertical="center"/>
    </xf>
    <xf numFmtId="0" fontId="29" fillId="3" borderId="4" xfId="0" applyFont="1" applyFill="1" applyBorder="1" applyAlignment="1">
      <alignment horizontal="left" vertical="center"/>
    </xf>
    <xf numFmtId="0" fontId="16" fillId="3" borderId="38" xfId="0" quotePrefix="1" applyFont="1" applyFill="1" applyBorder="1" applyAlignment="1">
      <alignment horizontal="center" vertical="center"/>
    </xf>
    <xf numFmtId="0" fontId="29" fillId="3" borderId="32" xfId="0" applyFont="1" applyFill="1" applyBorder="1" applyAlignment="1">
      <alignment horizontal="center" vertical="center"/>
    </xf>
    <xf numFmtId="0" fontId="29" fillId="3" borderId="32" xfId="0" applyFont="1" applyFill="1" applyBorder="1" applyAlignment="1">
      <alignment horizontal="center" vertical="center" wrapText="1"/>
    </xf>
    <xf numFmtId="3" fontId="29" fillId="3" borderId="41" xfId="210" applyNumberFormat="1" applyFont="1" applyFill="1" applyBorder="1" applyAlignment="1">
      <alignment horizontal="center" vertical="center" wrapText="1"/>
    </xf>
    <xf numFmtId="0" fontId="70" fillId="3" borderId="41" xfId="0" applyFont="1" applyFill="1" applyBorder="1" applyAlignment="1">
      <alignment horizontal="center" vertical="center"/>
    </xf>
    <xf numFmtId="0" fontId="70" fillId="3" borderId="39" xfId="0" applyFont="1" applyFill="1" applyBorder="1" applyAlignment="1">
      <alignment horizontal="center" vertical="center"/>
    </xf>
    <xf numFmtId="0" fontId="29" fillId="3" borderId="39" xfId="55" quotePrefix="1" applyFont="1" applyFill="1" applyBorder="1" applyAlignment="1">
      <alignment horizontal="center" vertical="center"/>
    </xf>
    <xf numFmtId="0" fontId="29" fillId="0" borderId="32" xfId="55" applyFont="1" applyBorder="1" applyAlignment="1">
      <alignment horizontal="center" vertical="center" wrapText="1"/>
    </xf>
    <xf numFmtId="0" fontId="33" fillId="3" borderId="39" xfId="55" applyFont="1" applyFill="1" applyBorder="1" applyAlignment="1">
      <alignment horizontal="left" vertical="center" wrapText="1"/>
    </xf>
    <xf numFmtId="0" fontId="33" fillId="3" borderId="32" xfId="55" applyFont="1" applyFill="1" applyBorder="1" applyAlignment="1">
      <alignment horizontal="left" vertical="center" wrapText="1"/>
    </xf>
    <xf numFmtId="0" fontId="70" fillId="3" borderId="8" xfId="55" applyFont="1" applyFill="1" applyBorder="1" applyAlignment="1">
      <alignment horizontal="center" vertical="center"/>
    </xf>
    <xf numFmtId="0" fontId="29" fillId="3" borderId="2" xfId="55" applyFont="1" applyFill="1" applyBorder="1" applyAlignment="1">
      <alignment horizontal="left" vertical="center" wrapText="1"/>
    </xf>
    <xf numFmtId="0" fontId="29" fillId="3" borderId="2" xfId="55" applyFont="1" applyFill="1" applyBorder="1" applyAlignment="1">
      <alignment horizontal="center" vertical="center" wrapText="1"/>
    </xf>
    <xf numFmtId="0" fontId="29" fillId="3" borderId="2" xfId="55" quotePrefix="1" applyFont="1" applyFill="1" applyBorder="1" applyAlignment="1">
      <alignment horizontal="center" vertical="center" wrapText="1"/>
    </xf>
    <xf numFmtId="0" fontId="29" fillId="3" borderId="2" xfId="55" quotePrefix="1" applyFont="1" applyFill="1" applyBorder="1" applyAlignment="1">
      <alignment horizontal="left" vertical="center"/>
    </xf>
    <xf numFmtId="0" fontId="29" fillId="3" borderId="2" xfId="55" quotePrefix="1" applyFont="1" applyFill="1" applyBorder="1" applyAlignment="1">
      <alignment horizontal="left" vertical="center" wrapText="1"/>
    </xf>
    <xf numFmtId="0" fontId="33" fillId="3" borderId="40" xfId="55" applyFont="1" applyFill="1" applyBorder="1" applyAlignment="1">
      <alignment horizontal="left" vertical="center" wrapText="1"/>
    </xf>
    <xf numFmtId="0" fontId="70" fillId="3" borderId="38" xfId="55" applyFont="1" applyFill="1" applyBorder="1" applyAlignment="1">
      <alignment horizontal="center" vertical="center"/>
    </xf>
    <xf numFmtId="0" fontId="70" fillId="3" borderId="5" xfId="55" applyFont="1" applyFill="1" applyBorder="1" applyAlignment="1">
      <alignment horizontal="center" vertical="center" wrapText="1"/>
    </xf>
    <xf numFmtId="0" fontId="33" fillId="3" borderId="31" xfId="55" applyFont="1" applyFill="1" applyBorder="1" applyAlignment="1">
      <alignment horizontal="left" vertical="center" wrapText="1"/>
    </xf>
    <xf numFmtId="0" fontId="33" fillId="3" borderId="2" xfId="55" applyFont="1" applyFill="1" applyBorder="1" applyAlignment="1">
      <alignment horizontal="left" vertical="center" wrapText="1"/>
    </xf>
    <xf numFmtId="0" fontId="70" fillId="3" borderId="31" xfId="55" applyFont="1" applyFill="1" applyBorder="1" applyAlignment="1">
      <alignment horizontal="center" vertical="center" wrapText="1"/>
    </xf>
    <xf numFmtId="0" fontId="33" fillId="0" borderId="32" xfId="55" applyFont="1" applyBorder="1" applyAlignment="1">
      <alignment horizontal="left" vertical="center" wrapText="1"/>
    </xf>
    <xf numFmtId="0" fontId="16" fillId="3" borderId="63" xfId="55" applyFont="1" applyFill="1" applyBorder="1" applyAlignment="1">
      <alignment horizontal="center" vertical="center"/>
    </xf>
    <xf numFmtId="0" fontId="70" fillId="3" borderId="63" xfId="55" applyFont="1" applyFill="1" applyBorder="1" applyAlignment="1">
      <alignment horizontal="center" vertical="center"/>
    </xf>
    <xf numFmtId="0" fontId="29" fillId="3" borderId="37" xfId="55" applyFont="1" applyFill="1" applyBorder="1" applyAlignment="1">
      <alignment horizontal="left" vertical="center" wrapText="1"/>
    </xf>
    <xf numFmtId="0" fontId="29" fillId="3" borderId="37" xfId="55" applyFont="1" applyFill="1" applyBorder="1" applyAlignment="1">
      <alignment horizontal="center" vertical="center" wrapText="1"/>
    </xf>
    <xf numFmtId="0" fontId="29" fillId="3" borderId="37" xfId="55" quotePrefix="1" applyFont="1" applyFill="1" applyBorder="1" applyAlignment="1">
      <alignment horizontal="center" vertical="center" wrapText="1"/>
    </xf>
    <xf numFmtId="0" fontId="29" fillId="3" borderId="37" xfId="55" quotePrefix="1" applyFont="1" applyFill="1" applyBorder="1" applyAlignment="1">
      <alignment horizontal="left" vertical="center"/>
    </xf>
    <xf numFmtId="0" fontId="29" fillId="3" borderId="37" xfId="55" quotePrefix="1" applyFont="1" applyFill="1" applyBorder="1" applyAlignment="1">
      <alignment horizontal="left" vertical="center" wrapText="1"/>
    </xf>
    <xf numFmtId="0" fontId="33" fillId="3" borderId="37" xfId="55" applyFont="1" applyFill="1" applyBorder="1" applyAlignment="1">
      <alignment horizontal="left" vertical="center" wrapText="1"/>
    </xf>
    <xf numFmtId="0" fontId="70" fillId="3" borderId="1" xfId="55" applyFont="1" applyFill="1" applyBorder="1" applyAlignment="1">
      <alignment horizontal="center" vertical="center"/>
    </xf>
    <xf numFmtId="0" fontId="29" fillId="3" borderId="4" xfId="55" applyFont="1" applyFill="1" applyBorder="1" applyAlignment="1">
      <alignment horizontal="left" vertical="center" wrapText="1"/>
    </xf>
    <xf numFmtId="0" fontId="29" fillId="3" borderId="4" xfId="55" applyFont="1" applyFill="1" applyBorder="1" applyAlignment="1">
      <alignment horizontal="center" vertical="center" wrapText="1"/>
    </xf>
    <xf numFmtId="0" fontId="29" fillId="3" borderId="4" xfId="55" quotePrefix="1" applyFont="1" applyFill="1" applyBorder="1" applyAlignment="1">
      <alignment horizontal="center" vertical="center" wrapText="1"/>
    </xf>
    <xf numFmtId="0" fontId="70" fillId="3" borderId="59" xfId="55" applyFont="1" applyFill="1" applyBorder="1" applyAlignment="1">
      <alignment horizontal="center" vertical="center" wrapText="1"/>
    </xf>
    <xf numFmtId="0" fontId="29" fillId="0" borderId="32" xfId="55" applyFont="1" applyBorder="1" applyAlignment="1">
      <alignment horizontal="left" vertical="center" wrapText="1"/>
    </xf>
    <xf numFmtId="0" fontId="29" fillId="0" borderId="32" xfId="55" applyFont="1" applyBorder="1" applyAlignment="1">
      <alignment horizontal="center" vertical="center"/>
    </xf>
    <xf numFmtId="0" fontId="29" fillId="0" borderId="62" xfId="55" applyFont="1" applyBorder="1" applyAlignment="1">
      <alignment horizontal="center" vertical="center" wrapText="1"/>
    </xf>
    <xf numFmtId="0" fontId="29" fillId="0" borderId="62" xfId="55" applyFont="1" applyBorder="1" applyAlignment="1">
      <alignment horizontal="center" vertical="center"/>
    </xf>
    <xf numFmtId="0" fontId="29" fillId="0" borderId="64" xfId="55" applyFont="1" applyBorder="1" applyAlignment="1">
      <alignment horizontal="center" vertical="center" wrapText="1"/>
    </xf>
    <xf numFmtId="0" fontId="29" fillId="0" borderId="64" xfId="55" applyFont="1" applyBorder="1" applyAlignment="1">
      <alignment horizontal="center" vertical="center"/>
    </xf>
    <xf numFmtId="0" fontId="29" fillId="0" borderId="31" xfId="55" applyFont="1" applyBorder="1" applyAlignment="1">
      <alignment horizontal="center" vertical="center" wrapText="1"/>
    </xf>
    <xf numFmtId="0" fontId="29" fillId="0" borderId="31" xfId="55" quotePrefix="1" applyFont="1" applyBorder="1" applyAlignment="1">
      <alignment horizontal="center" vertical="center" wrapText="1"/>
    </xf>
    <xf numFmtId="0" fontId="29" fillId="0" borderId="39" xfId="55" applyFont="1" applyBorder="1" applyAlignment="1">
      <alignment horizontal="left" vertical="center" wrapText="1"/>
    </xf>
    <xf numFmtId="0" fontId="29" fillId="0" borderId="39" xfId="55" applyFont="1" applyBorder="1" applyAlignment="1">
      <alignment horizontal="center" vertical="center" wrapText="1"/>
    </xf>
    <xf numFmtId="0" fontId="29" fillId="0" borderId="39" xfId="55" applyFont="1" applyBorder="1" applyAlignment="1">
      <alignment horizontal="center" vertical="center"/>
    </xf>
    <xf numFmtId="0" fontId="0" fillId="0" borderId="0" xfId="55" applyFont="1"/>
    <xf numFmtId="0" fontId="16" fillId="3" borderId="37" xfId="0" applyFont="1" applyFill="1" applyBorder="1" applyAlignment="1">
      <alignment horizontal="center" vertical="center"/>
    </xf>
    <xf numFmtId="0" fontId="29" fillId="3" borderId="63" xfId="0" applyFont="1" applyFill="1" applyBorder="1" applyAlignment="1">
      <alignment horizontal="center" vertical="center"/>
    </xf>
    <xf numFmtId="0" fontId="29" fillId="3" borderId="37" xfId="0" applyFont="1" applyFill="1" applyBorder="1" applyAlignment="1">
      <alignment horizontal="center" vertical="center" wrapText="1"/>
    </xf>
    <xf numFmtId="0" fontId="29" fillId="15" borderId="4" xfId="0" applyFont="1" applyFill="1" applyBorder="1" applyAlignment="1">
      <alignment horizontal="left" vertical="center" wrapText="1"/>
    </xf>
    <xf numFmtId="0" fontId="29" fillId="11" borderId="31" xfId="0" quotePrefix="1" applyFont="1" applyFill="1" applyBorder="1" applyAlignment="1">
      <alignment horizontal="center" vertical="center" wrapText="1"/>
    </xf>
    <xf numFmtId="0" fontId="29" fillId="11" borderId="38" xfId="0" quotePrefix="1" applyFont="1" applyFill="1" applyBorder="1" applyAlignment="1">
      <alignment horizontal="center" vertical="center" wrapText="1"/>
    </xf>
    <xf numFmtId="0" fontId="29" fillId="11" borderId="31" xfId="0" quotePrefix="1" applyFont="1" applyFill="1" applyBorder="1" applyAlignment="1">
      <alignment horizontal="center" vertical="center"/>
    </xf>
    <xf numFmtId="0" fontId="29" fillId="11" borderId="50" xfId="0" quotePrefix="1" applyFont="1" applyFill="1" applyBorder="1" applyAlignment="1">
      <alignment horizontal="center" vertical="center" wrapText="1"/>
    </xf>
    <xf numFmtId="0" fontId="29" fillId="11" borderId="32" xfId="0" quotePrefix="1" applyFont="1" applyFill="1" applyBorder="1" applyAlignment="1">
      <alignment horizontal="center" vertical="center"/>
    </xf>
    <xf numFmtId="0" fontId="29" fillId="11" borderId="4" xfId="0" quotePrefix="1" applyFont="1" applyFill="1" applyBorder="1" applyAlignment="1">
      <alignment horizontal="center" vertical="center" wrapText="1"/>
    </xf>
    <xf numFmtId="0" fontId="29" fillId="11" borderId="9" xfId="0" quotePrefix="1" applyFont="1" applyFill="1" applyBorder="1" applyAlignment="1">
      <alignment horizontal="center" vertical="center" wrapText="1"/>
    </xf>
    <xf numFmtId="0" fontId="29" fillId="11" borderId="4" xfId="0" quotePrefix="1" applyFont="1" applyFill="1" applyBorder="1" applyAlignment="1">
      <alignment horizontal="center" vertical="center"/>
    </xf>
    <xf numFmtId="0" fontId="70" fillId="3" borderId="50" xfId="55" applyFont="1" applyFill="1" applyBorder="1" applyAlignment="1">
      <alignment horizontal="center" vertical="center" wrapText="1"/>
    </xf>
    <xf numFmtId="0" fontId="70" fillId="3" borderId="63" xfId="55" applyFont="1" applyFill="1" applyBorder="1" applyAlignment="1">
      <alignment horizontal="center" vertical="center" wrapText="1"/>
    </xf>
    <xf numFmtId="0" fontId="29" fillId="0" borderId="66" xfId="55" applyFont="1" applyBorder="1" applyAlignment="1">
      <alignment horizontal="center" vertical="center" wrapText="1"/>
    </xf>
    <xf numFmtId="0" fontId="29" fillId="0" borderId="37" xfId="55" applyFont="1" applyBorder="1" applyAlignment="1">
      <alignment horizontal="left" vertical="center" wrapText="1"/>
    </xf>
    <xf numFmtId="0" fontId="29" fillId="0" borderId="31" xfId="55" applyFont="1" applyBorder="1" applyAlignment="1">
      <alignment horizontal="left" vertical="center" wrapText="1"/>
    </xf>
    <xf numFmtId="3" fontId="29" fillId="0" borderId="4" xfId="0" quotePrefix="1" applyNumberFormat="1" applyFont="1" applyBorder="1" applyAlignment="1">
      <alignment horizontal="center" vertical="center" wrapText="1"/>
    </xf>
    <xf numFmtId="3" fontId="29" fillId="0" borderId="4" xfId="0" applyNumberFormat="1" applyFont="1" applyBorder="1" applyAlignment="1">
      <alignment horizontal="center" vertical="center" wrapText="1"/>
    </xf>
    <xf numFmtId="3" fontId="29" fillId="3" borderId="50" xfId="210" applyNumberFormat="1" applyFont="1" applyFill="1" applyBorder="1" applyAlignment="1">
      <alignment horizontal="center" vertical="center" wrapText="1"/>
    </xf>
    <xf numFmtId="0" fontId="70" fillId="3" borderId="50" xfId="0" applyFont="1" applyFill="1" applyBorder="1" applyAlignment="1">
      <alignment horizontal="center" vertical="center"/>
    </xf>
    <xf numFmtId="0" fontId="70" fillId="3" borderId="32" xfId="0" applyFont="1" applyFill="1" applyBorder="1" applyAlignment="1">
      <alignment horizontal="center" vertical="center"/>
    </xf>
    <xf numFmtId="0" fontId="33" fillId="0" borderId="39" xfId="55" applyFont="1" applyBorder="1" applyAlignment="1">
      <alignment horizontal="left" vertical="center" wrapText="1"/>
    </xf>
    <xf numFmtId="0" fontId="31" fillId="3" borderId="0" xfId="55" applyFont="1" applyFill="1" applyAlignment="1">
      <alignment vertical="center"/>
    </xf>
    <xf numFmtId="0" fontId="29" fillId="0" borderId="1" xfId="55" applyFont="1" applyBorder="1" applyAlignment="1">
      <alignment horizontal="center" vertical="center" wrapText="1"/>
    </xf>
    <xf numFmtId="0" fontId="70" fillId="3" borderId="59" xfId="55" applyFont="1" applyFill="1" applyBorder="1" applyAlignment="1">
      <alignment horizontal="center" vertical="center"/>
    </xf>
    <xf numFmtId="0" fontId="29" fillId="3" borderId="40" xfId="55" applyFont="1" applyFill="1" applyBorder="1" applyAlignment="1">
      <alignment horizontal="left" vertical="center" wrapText="1"/>
    </xf>
    <xf numFmtId="0" fontId="29" fillId="3" borderId="40" xfId="55" applyFont="1" applyFill="1" applyBorder="1" applyAlignment="1">
      <alignment horizontal="center" vertical="center" wrapText="1"/>
    </xf>
    <xf numFmtId="0" fontId="29" fillId="3" borderId="40" xfId="55" quotePrefix="1" applyFont="1" applyFill="1" applyBorder="1" applyAlignment="1">
      <alignment horizontal="center" vertical="center" wrapText="1"/>
    </xf>
    <xf numFmtId="0" fontId="29" fillId="3" borderId="40" xfId="55" applyFont="1" applyFill="1" applyBorder="1" applyAlignment="1">
      <alignment horizontal="center" vertical="center"/>
    </xf>
    <xf numFmtId="0" fontId="33" fillId="0" borderId="5" xfId="55" applyFont="1" applyBorder="1" applyAlignment="1">
      <alignment horizontal="left" vertical="center" wrapText="1"/>
    </xf>
    <xf numFmtId="0" fontId="29" fillId="3" borderId="1" xfId="0" applyFont="1" applyFill="1" applyBorder="1" applyAlignment="1">
      <alignment horizontal="left" vertical="center"/>
    </xf>
    <xf numFmtId="3" fontId="29" fillId="0" borderId="31" xfId="210" applyNumberFormat="1" applyFont="1" applyFill="1" applyBorder="1" applyAlignment="1">
      <alignment horizontal="center" vertical="center" wrapText="1"/>
    </xf>
    <xf numFmtId="0" fontId="70" fillId="0" borderId="31" xfId="0" applyFont="1" applyBorder="1" applyAlignment="1">
      <alignment horizontal="center" vertical="center"/>
    </xf>
    <xf numFmtId="0" fontId="70" fillId="0" borderId="31" xfId="55" applyFont="1" applyBorder="1" applyAlignment="1">
      <alignment horizontal="center" vertical="center" wrapText="1"/>
    </xf>
    <xf numFmtId="0" fontId="29" fillId="0" borderId="31" xfId="55" applyFont="1" applyBorder="1" applyAlignment="1">
      <alignment horizontal="center" vertical="center"/>
    </xf>
    <xf numFmtId="0" fontId="33" fillId="0" borderId="31" xfId="55" applyFont="1" applyBorder="1" applyAlignment="1">
      <alignment horizontal="left" vertical="center" wrapText="1"/>
    </xf>
    <xf numFmtId="0" fontId="70" fillId="0" borderId="32" xfId="55" applyFont="1" applyBorder="1" applyAlignment="1">
      <alignment horizontal="center" vertical="center" wrapText="1"/>
    </xf>
    <xf numFmtId="0" fontId="29" fillId="0" borderId="39" xfId="55" quotePrefix="1" applyFont="1" applyBorder="1" applyAlignment="1">
      <alignment horizontal="center" vertical="center" wrapText="1"/>
    </xf>
    <xf numFmtId="0" fontId="70" fillId="0" borderId="40" xfId="55" applyFont="1" applyBorder="1" applyAlignment="1">
      <alignment horizontal="center" vertical="center" wrapText="1"/>
    </xf>
    <xf numFmtId="0" fontId="70" fillId="0" borderId="8" xfId="55" applyFont="1" applyBorder="1" applyAlignment="1">
      <alignment horizontal="center" vertical="center"/>
    </xf>
    <xf numFmtId="0" fontId="29" fillId="0" borderId="2" xfId="55" applyFont="1" applyBorder="1" applyAlignment="1">
      <alignment horizontal="left" vertical="center" wrapText="1"/>
    </xf>
    <xf numFmtId="0" fontId="29" fillId="0" borderId="2" xfId="55" quotePrefix="1" applyFont="1" applyBorder="1" applyAlignment="1">
      <alignment horizontal="center" vertical="center" wrapText="1"/>
    </xf>
    <xf numFmtId="0" fontId="29" fillId="0" borderId="2" xfId="55" applyFont="1" applyBorder="1" applyAlignment="1">
      <alignment horizontal="center" vertical="center"/>
    </xf>
    <xf numFmtId="0" fontId="33" fillId="0" borderId="2" xfId="55" applyFont="1" applyBorder="1" applyAlignment="1">
      <alignment horizontal="left" vertical="center" wrapText="1"/>
    </xf>
    <xf numFmtId="0" fontId="29" fillId="0" borderId="32" xfId="55" quotePrefix="1" applyFont="1" applyBorder="1" applyAlignment="1">
      <alignment horizontal="center" vertical="center" wrapText="1"/>
    </xf>
    <xf numFmtId="0" fontId="29" fillId="0" borderId="37" xfId="0" applyFont="1" applyBorder="1" applyAlignment="1">
      <alignment horizontal="left" vertical="center"/>
    </xf>
    <xf numFmtId="0" fontId="32" fillId="3" borderId="4" xfId="0" applyFont="1" applyFill="1" applyBorder="1" applyAlignment="1">
      <alignment horizontal="center" vertical="center" wrapText="1"/>
    </xf>
    <xf numFmtId="0" fontId="29" fillId="3" borderId="31" xfId="0" applyFont="1" applyFill="1" applyBorder="1" applyAlignment="1">
      <alignment horizontal="left" vertical="center"/>
    </xf>
    <xf numFmtId="0" fontId="29" fillId="3" borderId="37" xfId="0" quotePrefix="1" applyFont="1" applyFill="1" applyBorder="1" applyAlignment="1">
      <alignment horizontal="center" vertical="center" wrapText="1"/>
    </xf>
    <xf numFmtId="0" fontId="29" fillId="0" borderId="1" xfId="0" applyFont="1" applyBorder="1" applyAlignment="1">
      <alignment vertical="center"/>
    </xf>
    <xf numFmtId="0" fontId="29" fillId="0" borderId="1" xfId="0" applyFont="1" applyBorder="1" applyAlignment="1">
      <alignment wrapText="1"/>
    </xf>
    <xf numFmtId="0" fontId="29" fillId="0" borderId="60" xfId="0" applyFont="1" applyBorder="1" applyAlignment="1">
      <alignment horizontal="center" vertical="center"/>
    </xf>
    <xf numFmtId="0" fontId="29" fillId="0" borderId="31" xfId="0" applyFont="1" applyBorder="1" applyAlignment="1">
      <alignment horizontal="left" vertical="center"/>
    </xf>
    <xf numFmtId="0" fontId="29" fillId="3" borderId="38" xfId="55" applyFont="1" applyFill="1" applyBorder="1" applyAlignment="1">
      <alignment horizontal="center" vertical="center"/>
    </xf>
    <xf numFmtId="0" fontId="29" fillId="0" borderId="59" xfId="0" applyFont="1" applyBorder="1" applyAlignment="1">
      <alignment vertical="center" wrapText="1"/>
    </xf>
    <xf numFmtId="0" fontId="29" fillId="0" borderId="40" xfId="0" applyFont="1" applyBorder="1" applyAlignment="1">
      <alignment vertical="center" wrapText="1"/>
    </xf>
    <xf numFmtId="0" fontId="16" fillId="0" borderId="40" xfId="0" applyFont="1" applyBorder="1" applyAlignment="1">
      <alignment horizontal="center"/>
    </xf>
    <xf numFmtId="0" fontId="29" fillId="0" borderId="40" xfId="0" applyFont="1" applyBorder="1" applyAlignment="1">
      <alignment horizontal="center" vertical="center"/>
    </xf>
    <xf numFmtId="0" fontId="29" fillId="0" borderId="59" xfId="0" applyFont="1" applyBorder="1" applyAlignment="1">
      <alignment horizontal="left" vertical="center"/>
    </xf>
    <xf numFmtId="0" fontId="29" fillId="0" borderId="40" xfId="0" applyFont="1" applyBorder="1" applyAlignment="1">
      <alignment horizontal="center" vertical="center" wrapText="1"/>
    </xf>
    <xf numFmtId="0" fontId="29" fillId="3" borderId="40" xfId="0" quotePrefix="1" applyFont="1" applyFill="1" applyBorder="1" applyAlignment="1">
      <alignment horizontal="center" vertical="center" wrapText="1"/>
    </xf>
    <xf numFmtId="0" fontId="29" fillId="0" borderId="39" xfId="0" applyFont="1" applyBorder="1" applyAlignment="1">
      <alignment horizontal="center" vertical="center"/>
    </xf>
    <xf numFmtId="0" fontId="29" fillId="0" borderId="39" xfId="0" applyFont="1" applyBorder="1" applyAlignment="1">
      <alignment horizontal="left" vertical="center"/>
    </xf>
    <xf numFmtId="0" fontId="29" fillId="0" borderId="39" xfId="0" applyFont="1" applyBorder="1" applyAlignment="1">
      <alignment horizontal="center" vertical="center" wrapText="1"/>
    </xf>
    <xf numFmtId="0" fontId="29" fillId="0" borderId="39" xfId="0" quotePrefix="1" applyFont="1" applyBorder="1" applyAlignment="1">
      <alignment horizontal="center" vertical="center" wrapText="1"/>
    </xf>
    <xf numFmtId="0" fontId="29" fillId="0" borderId="37" xfId="0" applyFont="1" applyBorder="1" applyAlignment="1">
      <alignment vertical="center" wrapText="1"/>
    </xf>
    <xf numFmtId="0" fontId="16" fillId="0" borderId="37" xfId="0" applyFont="1" applyBorder="1" applyAlignment="1">
      <alignment horizontal="center"/>
    </xf>
    <xf numFmtId="0" fontId="29" fillId="0" borderId="63" xfId="0" applyFont="1" applyBorder="1" applyAlignment="1">
      <alignment vertical="center" wrapText="1"/>
    </xf>
    <xf numFmtId="0" fontId="29" fillId="0" borderId="63" xfId="0" applyFont="1" applyBorder="1" applyAlignment="1">
      <alignment horizontal="left" vertical="center"/>
    </xf>
    <xf numFmtId="0" fontId="29" fillId="0" borderId="31" xfId="0" applyFont="1" applyBorder="1" applyAlignment="1">
      <alignment vertical="center" wrapText="1"/>
    </xf>
    <xf numFmtId="0" fontId="29" fillId="0" borderId="65" xfId="0" applyFont="1" applyBorder="1" applyAlignment="1">
      <alignment horizontal="center" vertical="center"/>
    </xf>
    <xf numFmtId="0" fontId="15" fillId="0" borderId="1" xfId="55" applyBorder="1"/>
    <xf numFmtId="0" fontId="29" fillId="0" borderId="1" xfId="55" quotePrefix="1" applyFont="1" applyBorder="1" applyAlignment="1">
      <alignment horizontal="center" vertical="center"/>
    </xf>
    <xf numFmtId="0" fontId="78" fillId="11" borderId="1" xfId="55" applyFont="1" applyFill="1" applyBorder="1" applyAlignment="1">
      <alignment horizontal="center" vertical="center" wrapText="1"/>
    </xf>
    <xf numFmtId="0" fontId="29" fillId="13" borderId="31" xfId="55" applyFont="1" applyFill="1" applyBorder="1" applyAlignment="1">
      <alignment horizontal="center" vertical="center" wrapText="1"/>
    </xf>
    <xf numFmtId="0" fontId="29" fillId="3" borderId="32" xfId="55" quotePrefix="1" applyFont="1" applyFill="1" applyBorder="1" applyAlignment="1">
      <alignment horizontal="center" vertical="center"/>
    </xf>
    <xf numFmtId="0" fontId="29" fillId="3" borderId="37" xfId="55" quotePrefix="1" applyFont="1" applyFill="1" applyBorder="1" applyAlignment="1">
      <alignment horizontal="center" vertical="center"/>
    </xf>
    <xf numFmtId="0" fontId="70" fillId="3" borderId="39" xfId="55" applyFont="1" applyFill="1" applyBorder="1" applyAlignment="1">
      <alignment horizontal="center" vertical="center" wrapText="1"/>
    </xf>
    <xf numFmtId="0" fontId="29" fillId="3" borderId="2" xfId="55" quotePrefix="1" applyFont="1" applyFill="1" applyBorder="1" applyAlignment="1">
      <alignment horizontal="center" vertical="center"/>
    </xf>
    <xf numFmtId="0" fontId="29" fillId="3" borderId="40" xfId="55" quotePrefix="1" applyFont="1" applyFill="1" applyBorder="1" applyAlignment="1">
      <alignment horizontal="center" vertical="center"/>
    </xf>
    <xf numFmtId="0" fontId="29" fillId="0" borderId="39" xfId="55" quotePrefix="1" applyFont="1" applyBorder="1" applyAlignment="1">
      <alignment horizontal="center" vertical="center"/>
    </xf>
    <xf numFmtId="0" fontId="29" fillId="13" borderId="39" xfId="55" applyFont="1" applyFill="1" applyBorder="1" applyAlignment="1">
      <alignment horizontal="center" vertical="center" wrapText="1"/>
    </xf>
    <xf numFmtId="0" fontId="29" fillId="3" borderId="5" xfId="55" applyFont="1" applyFill="1" applyBorder="1" applyAlignment="1">
      <alignment horizontal="center" vertical="center"/>
    </xf>
    <xf numFmtId="0" fontId="29" fillId="0" borderId="31" xfId="55" quotePrefix="1" applyFont="1" applyBorder="1" applyAlignment="1">
      <alignment horizontal="center" vertical="center"/>
    </xf>
    <xf numFmtId="0" fontId="29" fillId="0" borderId="9" xfId="0" applyFont="1" applyBorder="1" applyAlignment="1">
      <alignment horizontal="center" vertical="center"/>
    </xf>
    <xf numFmtId="0" fontId="29" fillId="3" borderId="2" xfId="0" applyFont="1" applyFill="1" applyBorder="1" applyAlignment="1">
      <alignment horizontal="center" vertical="center" wrapText="1"/>
    </xf>
    <xf numFmtId="0" fontId="29" fillId="3" borderId="40" xfId="0" applyFont="1" applyFill="1" applyBorder="1" applyAlignment="1">
      <alignment horizontal="center" vertical="center" wrapText="1"/>
    </xf>
    <xf numFmtId="15" fontId="6" fillId="3" borderId="45" xfId="1744" applyNumberFormat="1" applyFill="1" applyBorder="1" applyAlignment="1">
      <alignment horizontal="center"/>
    </xf>
    <xf numFmtId="0" fontId="62" fillId="3" borderId="47" xfId="0" quotePrefix="1" applyFont="1" applyFill="1" applyBorder="1" applyAlignment="1">
      <alignment vertical="center" wrapText="1"/>
    </xf>
    <xf numFmtId="0" fontId="62" fillId="3" borderId="0" xfId="0" quotePrefix="1" applyFont="1" applyFill="1" applyAlignment="1">
      <alignment vertical="center" wrapText="1"/>
    </xf>
    <xf numFmtId="0" fontId="62" fillId="3" borderId="45" xfId="0" quotePrefix="1" applyFont="1" applyFill="1" applyBorder="1" applyAlignment="1">
      <alignment vertical="center" wrapText="1"/>
    </xf>
    <xf numFmtId="15" fontId="6" fillId="3" borderId="44" xfId="1744" applyNumberFormat="1" applyFill="1" applyBorder="1" applyAlignment="1">
      <alignment horizontal="center"/>
    </xf>
    <xf numFmtId="0" fontId="17" fillId="3" borderId="2" xfId="55" applyFont="1" applyFill="1" applyBorder="1" applyAlignment="1">
      <alignment horizontal="center" vertical="center"/>
    </xf>
    <xf numFmtId="0" fontId="29" fillId="3" borderId="0" xfId="0" applyFont="1" applyFill="1" applyAlignment="1">
      <alignment horizontal="center" vertical="center" wrapText="1"/>
    </xf>
    <xf numFmtId="0" fontId="22" fillId="3" borderId="0" xfId="0" applyFont="1" applyFill="1" applyAlignment="1">
      <alignment horizontal="center" vertical="center"/>
    </xf>
    <xf numFmtId="0" fontId="70" fillId="3" borderId="2" xfId="55" applyFont="1" applyFill="1" applyBorder="1" applyAlignment="1">
      <alignment horizontal="center" vertical="center" wrapText="1"/>
    </xf>
    <xf numFmtId="0" fontId="31" fillId="3" borderId="50" xfId="55" applyFont="1" applyFill="1" applyBorder="1" applyAlignment="1">
      <alignment horizontal="center" vertical="center"/>
    </xf>
    <xf numFmtId="0" fontId="31" fillId="3" borderId="32" xfId="55" applyFont="1" applyFill="1" applyBorder="1" applyAlignment="1">
      <alignment horizontal="left" vertical="center" wrapText="1"/>
    </xf>
    <xf numFmtId="0" fontId="31" fillId="3" borderId="32" xfId="55" applyFont="1" applyFill="1" applyBorder="1" applyAlignment="1">
      <alignment horizontal="center" vertical="center" wrapText="1"/>
    </xf>
    <xf numFmtId="0" fontId="31" fillId="3" borderId="32" xfId="55" quotePrefix="1" applyFont="1" applyFill="1" applyBorder="1" applyAlignment="1">
      <alignment horizontal="center" vertical="center" wrapText="1"/>
    </xf>
    <xf numFmtId="0" fontId="31" fillId="3" borderId="32" xfId="55" quotePrefix="1" applyFont="1" applyFill="1" applyBorder="1" applyAlignment="1">
      <alignment horizontal="left" vertical="center"/>
    </xf>
    <xf numFmtId="0" fontId="31" fillId="3" borderId="32" xfId="55" quotePrefix="1" applyFont="1" applyFill="1" applyBorder="1" applyAlignment="1">
      <alignment horizontal="left" vertical="center" wrapText="1"/>
    </xf>
    <xf numFmtId="0" fontId="31" fillId="0" borderId="0" xfId="0" applyFont="1" applyAlignment="1">
      <alignment horizontal="left" wrapText="1"/>
    </xf>
    <xf numFmtId="0" fontId="29" fillId="3" borderId="1" xfId="55" quotePrefix="1" applyFont="1" applyFill="1" applyBorder="1" applyAlignment="1">
      <alignment horizontal="left" vertical="center" wrapText="1"/>
    </xf>
    <xf numFmtId="0" fontId="29" fillId="0" borderId="4" xfId="55" applyFont="1" applyBorder="1" applyAlignment="1">
      <alignment horizontal="center" vertical="center"/>
    </xf>
    <xf numFmtId="0" fontId="29" fillId="3" borderId="7" xfId="0" applyFont="1" applyFill="1" applyBorder="1" applyAlignment="1">
      <alignment horizontal="center" vertical="center" wrapText="1"/>
    </xf>
    <xf numFmtId="0" fontId="29" fillId="3" borderId="9" xfId="0" applyFont="1" applyFill="1" applyBorder="1" applyAlignment="1">
      <alignment horizontal="center" vertical="center" wrapText="1"/>
    </xf>
    <xf numFmtId="0" fontId="29" fillId="0" borderId="9" xfId="0" applyFont="1" applyBorder="1" applyAlignment="1">
      <alignment horizontal="center" vertical="center" wrapText="1"/>
    </xf>
    <xf numFmtId="0" fontId="17" fillId="3" borderId="54" xfId="0" applyFont="1" applyFill="1" applyBorder="1" applyAlignment="1">
      <alignment horizontal="center" vertical="center" wrapText="1"/>
    </xf>
    <xf numFmtId="0" fontId="17" fillId="3" borderId="55" xfId="0" applyFont="1" applyFill="1" applyBorder="1" applyAlignment="1">
      <alignment horizontal="center" vertical="center" wrapText="1"/>
    </xf>
    <xf numFmtId="0" fontId="29" fillId="3" borderId="54" xfId="0" applyFont="1" applyFill="1" applyBorder="1" applyAlignment="1">
      <alignment horizontal="center" vertical="center"/>
    </xf>
    <xf numFmtId="0" fontId="29" fillId="3" borderId="55" xfId="0" applyFont="1" applyFill="1" applyBorder="1" applyAlignment="1">
      <alignment horizontal="center" vertical="center"/>
    </xf>
    <xf numFmtId="0" fontId="29" fillId="3" borderId="54" xfId="0" applyFont="1" applyFill="1" applyBorder="1" applyAlignment="1">
      <alignment horizontal="center" vertical="center" wrapText="1"/>
    </xf>
    <xf numFmtId="0" fontId="29" fillId="3" borderId="55" xfId="0" applyFont="1" applyFill="1" applyBorder="1" applyAlignment="1">
      <alignment horizontal="center" vertical="center" wrapText="1"/>
    </xf>
    <xf numFmtId="3" fontId="29" fillId="0" borderId="54" xfId="0" quotePrefix="1" applyNumberFormat="1" applyFont="1" applyBorder="1" applyAlignment="1">
      <alignment horizontal="center" vertical="center" wrapText="1"/>
    </xf>
    <xf numFmtId="3" fontId="29" fillId="0" borderId="54" xfId="0" applyNumberFormat="1" applyFont="1" applyBorder="1" applyAlignment="1">
      <alignment horizontal="center" vertical="center" wrapText="1"/>
    </xf>
    <xf numFmtId="0" fontId="29" fillId="3" borderId="57" xfId="0" applyFont="1" applyFill="1" applyBorder="1" applyAlignment="1">
      <alignment horizontal="center" vertical="center"/>
    </xf>
    <xf numFmtId="3" fontId="29" fillId="0" borderId="56" xfId="0" quotePrefix="1" applyNumberFormat="1" applyFont="1" applyBorder="1" applyAlignment="1">
      <alignment horizontal="center" vertical="center" wrapText="1"/>
    </xf>
    <xf numFmtId="0" fontId="29" fillId="0" borderId="57" xfId="0" applyFont="1" applyBorder="1" applyAlignment="1">
      <alignment horizontal="center" vertical="center"/>
    </xf>
    <xf numFmtId="0" fontId="29" fillId="3" borderId="56" xfId="0" applyFont="1" applyFill="1" applyBorder="1" applyAlignment="1">
      <alignment horizontal="center" vertical="center"/>
    </xf>
    <xf numFmtId="0" fontId="29" fillId="3" borderId="56" xfId="0" applyFont="1" applyFill="1" applyBorder="1" applyAlignment="1">
      <alignment horizontal="center" vertical="center" wrapText="1"/>
    </xf>
    <xf numFmtId="0" fontId="29" fillId="0" borderId="54" xfId="0" applyFont="1" applyBorder="1" applyAlignment="1">
      <alignment horizontal="center" vertical="center"/>
    </xf>
    <xf numFmtId="0" fontId="29" fillId="0" borderId="55" xfId="0" applyFont="1" applyBorder="1" applyAlignment="1">
      <alignment horizontal="center" vertical="center" wrapText="1"/>
    </xf>
    <xf numFmtId="0" fontId="18" fillId="3" borderId="0" xfId="55" applyFont="1" applyFill="1" applyAlignment="1">
      <alignment horizontal="left" vertical="center" wrapText="1"/>
    </xf>
    <xf numFmtId="0" fontId="49" fillId="0" borderId="0" xfId="55" applyFont="1" applyAlignment="1">
      <alignment horizontal="left" vertical="center" wrapText="1"/>
    </xf>
    <xf numFmtId="0" fontId="49" fillId="3" borderId="0" xfId="55" applyFont="1" applyFill="1" applyAlignment="1">
      <alignment horizontal="center" vertical="center" wrapText="1"/>
    </xf>
    <xf numFmtId="0" fontId="31" fillId="3" borderId="0" xfId="55" applyFont="1" applyFill="1" applyAlignment="1">
      <alignment horizontal="center" vertical="center" wrapText="1"/>
    </xf>
    <xf numFmtId="0" fontId="72" fillId="3" borderId="0" xfId="55" applyFont="1" applyFill="1" applyAlignment="1">
      <alignment horizontal="left" vertical="center" wrapText="1"/>
    </xf>
    <xf numFmtId="0" fontId="49" fillId="3" borderId="0" xfId="55" applyFont="1" applyFill="1" applyAlignment="1">
      <alignment horizontal="left" vertical="center" wrapText="1"/>
    </xf>
    <xf numFmtId="0" fontId="49" fillId="3" borderId="0" xfId="55" applyFont="1" applyFill="1" applyAlignment="1">
      <alignment vertical="center" wrapText="1"/>
    </xf>
    <xf numFmtId="0" fontId="48" fillId="3" borderId="0" xfId="55" applyFont="1" applyFill="1" applyAlignment="1">
      <alignment vertical="center" wrapText="1"/>
    </xf>
    <xf numFmtId="0" fontId="63" fillId="3" borderId="0" xfId="55" applyFont="1" applyFill="1" applyAlignment="1">
      <alignment horizontal="left" vertical="center" wrapText="1"/>
    </xf>
    <xf numFmtId="0" fontId="49" fillId="0" borderId="0" xfId="55" applyFont="1" applyAlignment="1">
      <alignment vertical="center" wrapText="1"/>
    </xf>
    <xf numFmtId="0" fontId="72" fillId="3" borderId="0" xfId="55" applyFont="1" applyFill="1" applyAlignment="1">
      <alignment vertical="center" wrapText="1"/>
    </xf>
    <xf numFmtId="0" fontId="15" fillId="3" borderId="16" xfId="55" applyFill="1" applyBorder="1" applyAlignment="1">
      <alignment vertical="center" wrapText="1"/>
    </xf>
    <xf numFmtId="0" fontId="15" fillId="3" borderId="51" xfId="55" applyFill="1" applyBorder="1" applyAlignment="1">
      <alignment vertical="center" wrapText="1"/>
    </xf>
    <xf numFmtId="0" fontId="15" fillId="3" borderId="0" xfId="55" applyFill="1" applyAlignment="1">
      <alignment vertical="center" wrapText="1"/>
    </xf>
    <xf numFmtId="0" fontId="16" fillId="3" borderId="0" xfId="55" applyFont="1" applyFill="1" applyAlignment="1">
      <alignment horizontal="center" vertical="center" wrapText="1"/>
    </xf>
    <xf numFmtId="0" fontId="17" fillId="0" borderId="4" xfId="55" quotePrefix="1" applyFont="1" applyBorder="1" applyAlignment="1">
      <alignment horizontal="center" vertical="center" wrapText="1"/>
    </xf>
    <xf numFmtId="0" fontId="17" fillId="3" borderId="4" xfId="55" quotePrefix="1" applyFont="1" applyFill="1" applyBorder="1" applyAlignment="1">
      <alignment horizontal="center" vertical="center"/>
    </xf>
    <xf numFmtId="0" fontId="17" fillId="0" borderId="9" xfId="55" applyFont="1" applyBorder="1" applyAlignment="1">
      <alignment horizontal="center" vertical="center"/>
    </xf>
    <xf numFmtId="0" fontId="17" fillId="3" borderId="4" xfId="55" quotePrefix="1" applyFont="1" applyFill="1" applyBorder="1" applyAlignment="1">
      <alignment horizontal="center" vertical="center" wrapText="1"/>
    </xf>
    <xf numFmtId="0" fontId="17" fillId="3" borderId="20" xfId="55" applyFont="1" applyFill="1" applyBorder="1" applyAlignment="1">
      <alignment horizontal="center" vertical="center" wrapText="1"/>
    </xf>
    <xf numFmtId="0" fontId="17" fillId="3" borderId="0" xfId="55" applyFont="1" applyFill="1" applyAlignment="1">
      <alignment horizontal="center" vertical="center" wrapText="1"/>
    </xf>
    <xf numFmtId="0" fontId="16" fillId="3" borderId="5" xfId="55" applyFont="1" applyFill="1" applyBorder="1" applyAlignment="1">
      <alignment horizontal="center" vertical="center" wrapText="1"/>
    </xf>
    <xf numFmtId="0" fontId="79" fillId="3" borderId="5" xfId="55" applyFont="1" applyFill="1" applyBorder="1" applyAlignment="1">
      <alignment horizontal="left" vertical="center" wrapText="1"/>
    </xf>
    <xf numFmtId="0" fontId="29" fillId="3" borderId="5" xfId="55" quotePrefix="1" applyFont="1" applyFill="1" applyBorder="1" applyAlignment="1">
      <alignment horizontal="center" vertical="center" wrapText="1"/>
    </xf>
    <xf numFmtId="0" fontId="29" fillId="3" borderId="5" xfId="55" applyFont="1" applyFill="1" applyBorder="1" applyAlignment="1">
      <alignment horizontal="left" vertical="center" wrapText="1"/>
    </xf>
    <xf numFmtId="0" fontId="29" fillId="3" borderId="14" xfId="55" quotePrefix="1" applyFont="1" applyFill="1" applyBorder="1" applyAlignment="1">
      <alignment horizontal="left" vertical="center" wrapText="1"/>
    </xf>
    <xf numFmtId="0" fontId="29" fillId="3" borderId="15" xfId="55" applyFont="1" applyFill="1" applyBorder="1" applyAlignment="1">
      <alignment horizontal="center" vertical="center" wrapText="1"/>
    </xf>
    <xf numFmtId="0" fontId="29" fillId="3" borderId="5" xfId="55" applyFont="1" applyFill="1" applyBorder="1" applyAlignment="1">
      <alignment vertical="top" wrapText="1"/>
    </xf>
    <xf numFmtId="0" fontId="29" fillId="3" borderId="5" xfId="55" applyFont="1" applyFill="1" applyBorder="1" applyAlignment="1">
      <alignment horizontal="center" vertical="center" wrapText="1"/>
    </xf>
    <xf numFmtId="0" fontId="50" fillId="0" borderId="0" xfId="55" applyFont="1" applyAlignment="1">
      <alignment horizontal="center" vertical="center" wrapText="1"/>
    </xf>
    <xf numFmtId="0" fontId="50" fillId="0" borderId="0" xfId="55" applyFont="1" applyAlignment="1">
      <alignment vertical="center" wrapText="1"/>
    </xf>
    <xf numFmtId="0" fontId="16" fillId="3" borderId="2" xfId="55" applyFont="1" applyFill="1" applyBorder="1" applyAlignment="1">
      <alignment horizontal="center" vertical="center" wrapText="1"/>
    </xf>
    <xf numFmtId="0" fontId="31" fillId="3" borderId="2" xfId="55" applyFont="1" applyFill="1" applyBorder="1" applyAlignment="1">
      <alignment horizontal="left" vertical="center" wrapText="1"/>
    </xf>
    <xf numFmtId="0" fontId="29" fillId="3" borderId="8" xfId="55" applyFont="1" applyFill="1" applyBorder="1" applyAlignment="1">
      <alignment horizontal="center" vertical="center" wrapText="1"/>
    </xf>
    <xf numFmtId="0" fontId="29" fillId="3" borderId="10" xfId="55" quotePrefix="1" applyFont="1" applyFill="1" applyBorder="1" applyAlignment="1">
      <alignment horizontal="center" vertical="center" wrapText="1"/>
    </xf>
    <xf numFmtId="0" fontId="29" fillId="3" borderId="0" xfId="55" quotePrefix="1" applyFont="1" applyFill="1" applyAlignment="1">
      <alignment horizontal="left" vertical="center" wrapText="1"/>
    </xf>
    <xf numFmtId="0" fontId="29" fillId="3" borderId="2" xfId="55" applyFont="1" applyFill="1" applyBorder="1" applyAlignment="1">
      <alignment vertical="top" wrapText="1"/>
    </xf>
    <xf numFmtId="0" fontId="16" fillId="3" borderId="8" xfId="55" applyFont="1" applyFill="1" applyBorder="1" applyAlignment="1">
      <alignment horizontal="left" vertical="center" wrapText="1"/>
    </xf>
    <xf numFmtId="0" fontId="79" fillId="3" borderId="2" xfId="55" applyFont="1" applyFill="1" applyBorder="1" applyAlignment="1">
      <alignment horizontal="left" vertical="center" wrapText="1"/>
    </xf>
    <xf numFmtId="0" fontId="29" fillId="0" borderId="8" xfId="55" quotePrefix="1" applyFont="1" applyBorder="1" applyAlignment="1">
      <alignment horizontal="center" vertical="center" wrapText="1"/>
    </xf>
    <xf numFmtId="0" fontId="31" fillId="3" borderId="8" xfId="55" applyFont="1" applyFill="1" applyBorder="1" applyAlignment="1">
      <alignment horizontal="left" vertical="center" wrapText="1"/>
    </xf>
    <xf numFmtId="0" fontId="16" fillId="3" borderId="4" xfId="55" applyFont="1" applyFill="1" applyBorder="1" applyAlignment="1">
      <alignment horizontal="center" vertical="center" wrapText="1"/>
    </xf>
    <xf numFmtId="0" fontId="16" fillId="3" borderId="9" xfId="55" applyFont="1" applyFill="1" applyBorder="1" applyAlignment="1">
      <alignment horizontal="left" vertical="center" wrapText="1"/>
    </xf>
    <xf numFmtId="0" fontId="29" fillId="3" borderId="9" xfId="55" applyFont="1" applyFill="1" applyBorder="1" applyAlignment="1">
      <alignment horizontal="center" vertical="center" wrapText="1"/>
    </xf>
    <xf numFmtId="0" fontId="29" fillId="3" borderId="13" xfId="55" quotePrefix="1" applyFont="1" applyFill="1" applyBorder="1" applyAlignment="1">
      <alignment horizontal="center" vertical="center" wrapText="1"/>
    </xf>
    <xf numFmtId="0" fontId="29" fillId="3" borderId="11" xfId="55" quotePrefix="1" applyFont="1" applyFill="1" applyBorder="1" applyAlignment="1">
      <alignment horizontal="left" vertical="center" wrapText="1"/>
    </xf>
    <xf numFmtId="0" fontId="29" fillId="3" borderId="4" xfId="55" applyFont="1" applyFill="1" applyBorder="1" applyAlignment="1">
      <alignment vertical="top" wrapText="1"/>
    </xf>
    <xf numFmtId="0" fontId="32" fillId="0" borderId="0" xfId="55" applyFont="1" applyAlignment="1">
      <alignment vertical="center" wrapText="1"/>
    </xf>
    <xf numFmtId="0" fontId="81" fillId="0" borderId="0" xfId="55" applyFont="1" applyAlignment="1">
      <alignment horizontal="left" vertical="center" wrapText="1"/>
    </xf>
    <xf numFmtId="0" fontId="29" fillId="0" borderId="56" xfId="0" applyFont="1" applyBorder="1" applyAlignment="1">
      <alignment horizontal="center" vertical="center"/>
    </xf>
    <xf numFmtId="0" fontId="74" fillId="0" borderId="1" xfId="0" applyFont="1" applyBorder="1" applyAlignment="1">
      <alignment horizontal="center" vertical="center" wrapText="1"/>
    </xf>
    <xf numFmtId="0" fontId="74" fillId="0" borderId="1" xfId="0" applyFont="1" applyBorder="1" applyAlignment="1">
      <alignment horizontal="center" vertical="center"/>
    </xf>
    <xf numFmtId="0" fontId="29" fillId="3" borderId="41" xfId="55" quotePrefix="1" applyFont="1" applyFill="1" applyBorder="1" applyAlignment="1">
      <alignment horizontal="center" vertical="center"/>
    </xf>
    <xf numFmtId="3" fontId="29" fillId="3" borderId="39" xfId="210" applyNumberFormat="1" applyFont="1" applyFill="1" applyBorder="1" applyAlignment="1">
      <alignment horizontal="center" vertical="center" wrapText="1"/>
    </xf>
    <xf numFmtId="0" fontId="29" fillId="0" borderId="7" xfId="0" applyFont="1" applyBorder="1" applyAlignment="1">
      <alignment horizontal="left" vertical="center"/>
    </xf>
    <xf numFmtId="0" fontId="17" fillId="3" borderId="1" xfId="0" applyFont="1" applyFill="1" applyBorder="1" applyAlignment="1">
      <alignment vertical="center"/>
    </xf>
    <xf numFmtId="0" fontId="29" fillId="3" borderId="5" xfId="0" applyFont="1" applyFill="1" applyBorder="1" applyAlignment="1">
      <alignment horizontal="center" vertical="center"/>
    </xf>
    <xf numFmtId="0" fontId="29" fillId="3" borderId="5" xfId="0" applyFont="1" applyFill="1" applyBorder="1" applyAlignment="1">
      <alignment horizontal="center" vertical="center" wrapText="1"/>
    </xf>
    <xf numFmtId="0" fontId="29" fillId="0" borderId="5" xfId="0" applyFont="1" applyBorder="1" applyAlignment="1">
      <alignment horizontal="center" vertical="center" wrapText="1"/>
    </xf>
    <xf numFmtId="0" fontId="29" fillId="3" borderId="7" xfId="0" applyFont="1" applyFill="1" applyBorder="1" applyAlignment="1">
      <alignment horizontal="left" vertical="center"/>
    </xf>
    <xf numFmtId="0" fontId="29" fillId="3" borderId="1" xfId="0" quotePrefix="1" applyFont="1" applyFill="1" applyBorder="1" applyAlignment="1">
      <alignment horizontal="center" vertical="center" wrapText="1"/>
    </xf>
    <xf numFmtId="0" fontId="29" fillId="3" borderId="38" xfId="0" applyFont="1" applyFill="1" applyBorder="1" applyAlignment="1">
      <alignment horizontal="center" vertical="center"/>
    </xf>
    <xf numFmtId="0" fontId="17" fillId="3" borderId="2" xfId="0" applyFont="1" applyFill="1" applyBorder="1" applyAlignment="1">
      <alignment horizontal="center" vertical="center" wrapText="1"/>
    </xf>
    <xf numFmtId="3" fontId="17" fillId="3" borderId="2" xfId="0" applyNumberFormat="1" applyFont="1" applyFill="1" applyBorder="1" applyAlignment="1">
      <alignment horizontal="center" vertical="center" wrapText="1"/>
    </xf>
    <xf numFmtId="0" fontId="32" fillId="0" borderId="1" xfId="0" applyFont="1" applyBorder="1" applyAlignment="1">
      <alignment horizontal="center" vertical="center" wrapText="1"/>
    </xf>
    <xf numFmtId="0" fontId="29" fillId="0" borderId="7" xfId="0" applyFont="1" applyBorder="1" applyAlignment="1">
      <alignment horizontal="center" vertical="center" wrapText="1"/>
    </xf>
    <xf numFmtId="0" fontId="15" fillId="3" borderId="0" xfId="55" applyFill="1"/>
    <xf numFmtId="0" fontId="82" fillId="3" borderId="39" xfId="55" quotePrefix="1" applyFont="1" applyFill="1" applyBorder="1" applyAlignment="1">
      <alignment horizontal="center" vertical="center" wrapText="1"/>
    </xf>
    <xf numFmtId="0" fontId="29" fillId="11" borderId="1" xfId="55" applyFont="1" applyFill="1" applyBorder="1" applyAlignment="1">
      <alignment horizontal="center" vertical="center" wrapText="1"/>
    </xf>
    <xf numFmtId="0" fontId="68" fillId="3" borderId="40" xfId="55" applyFont="1" applyFill="1" applyBorder="1" applyAlignment="1">
      <alignment horizontal="left" vertical="center" wrapText="1"/>
    </xf>
    <xf numFmtId="0" fontId="29" fillId="3" borderId="50" xfId="55" quotePrefix="1" applyFont="1" applyFill="1" applyBorder="1" applyAlignment="1">
      <alignment horizontal="center" vertical="center"/>
    </xf>
    <xf numFmtId="0" fontId="17" fillId="3" borderId="39" xfId="55" applyFont="1" applyFill="1" applyBorder="1" applyAlignment="1">
      <alignment horizontal="left" vertical="center" wrapText="1"/>
    </xf>
    <xf numFmtId="0" fontId="17" fillId="0" borderId="32" xfId="55" applyFont="1" applyBorder="1" applyAlignment="1">
      <alignment horizontal="center" vertical="center" textRotation="90" wrapText="1"/>
    </xf>
    <xf numFmtId="0" fontId="17" fillId="3" borderId="32" xfId="55" applyFont="1" applyFill="1" applyBorder="1" applyAlignment="1">
      <alignment horizontal="center" vertical="center" textRotation="90" wrapText="1"/>
    </xf>
    <xf numFmtId="0" fontId="17" fillId="0" borderId="32" xfId="55" applyFont="1" applyBorder="1" applyAlignment="1">
      <alignment horizontal="center" textRotation="90" wrapText="1"/>
    </xf>
    <xf numFmtId="0" fontId="17" fillId="3" borderId="62" xfId="55" applyFont="1" applyFill="1" applyBorder="1" applyAlignment="1">
      <alignment horizontal="center" vertical="center" wrapText="1"/>
    </xf>
    <xf numFmtId="0" fontId="16" fillId="3" borderId="32" xfId="55" applyFont="1" applyFill="1" applyBorder="1" applyAlignment="1">
      <alignment horizontal="center" vertical="center"/>
    </xf>
    <xf numFmtId="0" fontId="29" fillId="0" borderId="40" xfId="55" applyFont="1" applyBorder="1" applyAlignment="1">
      <alignment horizontal="center" vertical="center"/>
    </xf>
    <xf numFmtId="0" fontId="29" fillId="0" borderId="37" xfId="55" applyFont="1" applyBorder="1" applyAlignment="1">
      <alignment horizontal="center" vertical="center" wrapText="1"/>
    </xf>
    <xf numFmtId="0" fontId="29" fillId="0" borderId="37" xfId="55" applyFont="1" applyBorder="1" applyAlignment="1">
      <alignment horizontal="center" vertical="center"/>
    </xf>
    <xf numFmtId="0" fontId="29" fillId="3" borderId="41" xfId="55" quotePrefix="1" applyFont="1" applyFill="1" applyBorder="1" applyAlignment="1">
      <alignment horizontal="center" vertical="center" wrapText="1"/>
    </xf>
    <xf numFmtId="0" fontId="29" fillId="0" borderId="66" xfId="55" applyFont="1" applyBorder="1" applyAlignment="1">
      <alignment horizontal="center" vertical="center"/>
    </xf>
    <xf numFmtId="0" fontId="70" fillId="0" borderId="2" xfId="55" applyFont="1" applyBorder="1" applyAlignment="1">
      <alignment horizontal="center" vertical="center" wrapText="1"/>
    </xf>
    <xf numFmtId="0" fontId="70" fillId="0" borderId="50" xfId="55" applyFont="1" applyBorder="1" applyAlignment="1">
      <alignment horizontal="center" vertical="center"/>
    </xf>
    <xf numFmtId="0" fontId="29" fillId="0" borderId="32" xfId="55" quotePrefix="1" applyFont="1" applyBorder="1" applyAlignment="1">
      <alignment horizontal="center" vertical="center"/>
    </xf>
    <xf numFmtId="0" fontId="70" fillId="0" borderId="37" xfId="55" applyFont="1" applyBorder="1" applyAlignment="1">
      <alignment horizontal="center" vertical="center" wrapText="1"/>
    </xf>
    <xf numFmtId="0" fontId="70" fillId="0" borderId="63" xfId="55" applyFont="1" applyBorder="1" applyAlignment="1">
      <alignment horizontal="center" vertical="center"/>
    </xf>
    <xf numFmtId="0" fontId="29" fillId="0" borderId="37" xfId="55" quotePrefix="1" applyFont="1" applyBorder="1" applyAlignment="1">
      <alignment horizontal="center" vertical="center" wrapText="1"/>
    </xf>
    <xf numFmtId="0" fontId="29" fillId="0" borderId="37" xfId="55" quotePrefix="1" applyFont="1" applyBorder="1" applyAlignment="1">
      <alignment horizontal="center" vertical="center"/>
    </xf>
    <xf numFmtId="0" fontId="33" fillId="0" borderId="37" xfId="55" applyFont="1" applyBorder="1" applyAlignment="1">
      <alignment horizontal="left" vertical="center" wrapText="1"/>
    </xf>
    <xf numFmtId="3" fontId="29" fillId="0" borderId="2" xfId="210" applyNumberFormat="1" applyFont="1" applyFill="1" applyBorder="1" applyAlignment="1">
      <alignment horizontal="center" vertical="center" wrapText="1"/>
    </xf>
    <xf numFmtId="0" fontId="70" fillId="0" borderId="2" xfId="0" applyFont="1" applyBorder="1" applyAlignment="1">
      <alignment horizontal="center" vertical="center"/>
    </xf>
    <xf numFmtId="0" fontId="29" fillId="3" borderId="63" xfId="55" quotePrefix="1" applyFont="1" applyFill="1" applyBorder="1" applyAlignment="1">
      <alignment horizontal="center" vertical="center"/>
    </xf>
    <xf numFmtId="0" fontId="29" fillId="0" borderId="67" xfId="0" applyFont="1" applyBorder="1" applyAlignment="1">
      <alignment horizontal="center" vertical="center"/>
    </xf>
    <xf numFmtId="0" fontId="29" fillId="0" borderId="38" xfId="0" applyFont="1" applyBorder="1" applyAlignment="1">
      <alignment horizontal="left" vertical="center"/>
    </xf>
    <xf numFmtId="0" fontId="29" fillId="0" borderId="50" xfId="0" applyFont="1" applyBorder="1" applyAlignment="1">
      <alignment vertical="center" wrapText="1"/>
    </xf>
    <xf numFmtId="0" fontId="29" fillId="0" borderId="32" xfId="0" applyFont="1" applyBorder="1" applyAlignment="1">
      <alignment vertical="center" wrapText="1"/>
    </xf>
    <xf numFmtId="0" fontId="29" fillId="0" borderId="32" xfId="0" applyFont="1" applyBorder="1" applyAlignment="1">
      <alignment horizontal="center" vertical="center"/>
    </xf>
    <xf numFmtId="0" fontId="29" fillId="0" borderId="61" xfId="0" applyFont="1" applyBorder="1" applyAlignment="1">
      <alignment horizontal="center" vertical="center"/>
    </xf>
    <xf numFmtId="0" fontId="29" fillId="0" borderId="50" xfId="0" applyFont="1" applyBorder="1" applyAlignment="1">
      <alignment horizontal="left" vertical="center"/>
    </xf>
    <xf numFmtId="0" fontId="29" fillId="0" borderId="32" xfId="0" applyFont="1" applyBorder="1" applyAlignment="1">
      <alignment horizontal="center" vertical="center" wrapText="1"/>
    </xf>
    <xf numFmtId="0" fontId="16" fillId="0" borderId="32" xfId="0" applyFont="1" applyBorder="1" applyAlignment="1">
      <alignment horizontal="center"/>
    </xf>
    <xf numFmtId="0" fontId="29" fillId="3" borderId="73" xfId="0" applyFont="1" applyFill="1" applyBorder="1" applyAlignment="1">
      <alignment vertical="center" wrapText="1"/>
    </xf>
    <xf numFmtId="0" fontId="29" fillId="3" borderId="62" xfId="0" applyFont="1" applyFill="1" applyBorder="1" applyAlignment="1">
      <alignment vertical="center" wrapText="1"/>
    </xf>
    <xf numFmtId="0" fontId="29" fillId="3" borderId="66" xfId="0" applyFont="1" applyFill="1" applyBorder="1" applyAlignment="1">
      <alignment horizontal="left" vertical="center"/>
    </xf>
    <xf numFmtId="0" fontId="29" fillId="11" borderId="32" xfId="0" applyFont="1" applyFill="1" applyBorder="1" applyAlignment="1">
      <alignment horizontal="center" vertical="center"/>
    </xf>
    <xf numFmtId="0" fontId="29" fillId="11" borderId="50" xfId="0" applyFont="1" applyFill="1" applyBorder="1" applyAlignment="1">
      <alignment horizontal="left" vertical="center"/>
    </xf>
    <xf numFmtId="0" fontId="29" fillId="11" borderId="32" xfId="0" applyFont="1" applyFill="1" applyBorder="1" applyAlignment="1">
      <alignment horizontal="center" vertical="center" wrapText="1"/>
    </xf>
    <xf numFmtId="0" fontId="29" fillId="11" borderId="37" xfId="0" applyFont="1" applyFill="1" applyBorder="1" applyAlignment="1">
      <alignment horizontal="center" vertical="center"/>
    </xf>
    <xf numFmtId="0" fontId="29" fillId="11" borderId="63" xfId="0" applyFont="1" applyFill="1" applyBorder="1" applyAlignment="1">
      <alignment horizontal="left" vertical="center"/>
    </xf>
    <xf numFmtId="0" fontId="29" fillId="11" borderId="37" xfId="0" applyFont="1" applyFill="1" applyBorder="1" applyAlignment="1">
      <alignment horizontal="center" vertical="center" wrapText="1"/>
    </xf>
    <xf numFmtId="0" fontId="17" fillId="0" borderId="7" xfId="0" applyFont="1" applyBorder="1" applyAlignment="1">
      <alignment horizontal="center" vertical="center" textRotation="90" wrapText="1"/>
    </xf>
    <xf numFmtId="0" fontId="17" fillId="0" borderId="58" xfId="0" applyFont="1" applyBorder="1" applyAlignment="1">
      <alignment horizontal="center" vertical="center" wrapText="1"/>
    </xf>
    <xf numFmtId="0" fontId="29" fillId="3" borderId="60" xfId="0" applyFont="1" applyFill="1" applyBorder="1" applyAlignment="1">
      <alignment horizontal="center" vertical="center"/>
    </xf>
    <xf numFmtId="0" fontId="29" fillId="0" borderId="74" xfId="0" applyFont="1" applyBorder="1" applyAlignment="1">
      <alignment horizontal="center" vertical="center"/>
    </xf>
    <xf numFmtId="0" fontId="29" fillId="0" borderId="71" xfId="0" applyFont="1" applyBorder="1" applyAlignment="1">
      <alignment horizontal="center" vertical="center"/>
    </xf>
    <xf numFmtId="0" fontId="29" fillId="0" borderId="55" xfId="0" applyFont="1" applyBorder="1" applyAlignment="1">
      <alignment horizontal="center" vertical="center"/>
    </xf>
    <xf numFmtId="0" fontId="29" fillId="15" borderId="31" xfId="55" applyFont="1" applyFill="1" applyBorder="1" applyAlignment="1">
      <alignment horizontal="center" vertical="center" wrapText="1"/>
    </xf>
    <xf numFmtId="0" fontId="29" fillId="0" borderId="38" xfId="0" applyFont="1" applyBorder="1" applyAlignment="1">
      <alignment horizontal="center" vertical="center" wrapText="1"/>
    </xf>
    <xf numFmtId="0" fontId="16" fillId="0" borderId="50" xfId="0" applyFont="1" applyBorder="1" applyAlignment="1">
      <alignment horizontal="center" wrapText="1"/>
    </xf>
    <xf numFmtId="0" fontId="16" fillId="0" borderId="63" xfId="0" applyFont="1" applyBorder="1" applyAlignment="1">
      <alignment horizontal="center" wrapText="1"/>
    </xf>
    <xf numFmtId="0" fontId="68" fillId="3" borderId="39" xfId="55" applyFont="1" applyFill="1" applyBorder="1" applyAlignment="1">
      <alignment horizontal="left" vertical="center" wrapText="1"/>
    </xf>
    <xf numFmtId="0" fontId="17" fillId="3" borderId="13" xfId="0" applyFont="1" applyFill="1" applyBorder="1" applyAlignment="1">
      <alignment horizontal="center" vertical="center"/>
    </xf>
    <xf numFmtId="0" fontId="29" fillId="3" borderId="13" xfId="0" applyFont="1" applyFill="1" applyBorder="1" applyAlignment="1">
      <alignment horizontal="center" vertical="center" wrapText="1"/>
    </xf>
    <xf numFmtId="0" fontId="29" fillId="0" borderId="13" xfId="0" applyFont="1" applyBorder="1" applyAlignment="1">
      <alignment horizontal="center" vertical="center" wrapText="1"/>
    </xf>
    <xf numFmtId="0" fontId="16" fillId="0" borderId="59" xfId="55" applyFont="1" applyBorder="1" applyAlignment="1">
      <alignment horizontal="center" vertical="center"/>
    </xf>
    <xf numFmtId="0" fontId="70" fillId="0" borderId="41" xfId="55" applyFont="1" applyBorder="1" applyAlignment="1">
      <alignment horizontal="center" vertical="center"/>
    </xf>
    <xf numFmtId="0" fontId="16" fillId="0" borderId="63" xfId="55" applyFont="1" applyBorder="1" applyAlignment="1">
      <alignment horizontal="center" vertical="center"/>
    </xf>
    <xf numFmtId="0" fontId="70" fillId="0" borderId="39" xfId="0" applyFont="1" applyBorder="1" applyAlignment="1">
      <alignment horizontal="center" vertical="center"/>
    </xf>
    <xf numFmtId="0" fontId="70" fillId="0" borderId="39" xfId="55" applyFont="1" applyBorder="1" applyAlignment="1">
      <alignment horizontal="center" vertical="center" wrapText="1"/>
    </xf>
    <xf numFmtId="3" fontId="29" fillId="0" borderId="41" xfId="210" applyNumberFormat="1" applyFont="1" applyFill="1" applyBorder="1" applyAlignment="1">
      <alignment horizontal="center" vertical="center" wrapText="1"/>
    </xf>
    <xf numFmtId="0" fontId="70" fillId="0" borderId="41" xfId="0" applyFont="1" applyBorder="1" applyAlignment="1">
      <alignment horizontal="center" vertical="center"/>
    </xf>
    <xf numFmtId="0" fontId="16" fillId="0" borderId="41" xfId="55" applyFont="1" applyBorder="1" applyAlignment="1">
      <alignment horizontal="center" vertical="center"/>
    </xf>
    <xf numFmtId="0" fontId="29" fillId="0" borderId="39" xfId="55" quotePrefix="1" applyFont="1" applyBorder="1" applyAlignment="1">
      <alignment horizontal="left" vertical="center"/>
    </xf>
    <xf numFmtId="0" fontId="29" fillId="0" borderId="39" xfId="55" quotePrefix="1" applyFont="1" applyBorder="1" applyAlignment="1">
      <alignment horizontal="left" vertical="center" wrapText="1"/>
    </xf>
    <xf numFmtId="3" fontId="29" fillId="3" borderId="8" xfId="210" applyNumberFormat="1" applyFont="1" applyFill="1" applyBorder="1" applyAlignment="1">
      <alignment horizontal="center" vertical="center" wrapText="1"/>
    </xf>
    <xf numFmtId="0" fontId="69" fillId="3" borderId="1" xfId="55" quotePrefix="1" applyFont="1" applyFill="1" applyBorder="1" applyAlignment="1">
      <alignment horizontal="center" vertical="center" wrapText="1"/>
    </xf>
    <xf numFmtId="0" fontId="17" fillId="3" borderId="1" xfId="55" quotePrefix="1" applyFont="1" applyFill="1" applyBorder="1" applyAlignment="1">
      <alignment horizontal="center" vertical="center" wrapText="1"/>
    </xf>
    <xf numFmtId="0" fontId="17" fillId="0" borderId="1" xfId="55" applyFont="1" applyBorder="1" applyAlignment="1">
      <alignment horizontal="center" vertical="center" textRotation="90" wrapText="1"/>
    </xf>
    <xf numFmtId="0" fontId="17" fillId="3" borderId="4" xfId="55" applyFont="1" applyFill="1" applyBorder="1" applyAlignment="1">
      <alignment horizontal="center" vertical="center" wrapText="1"/>
    </xf>
    <xf numFmtId="0" fontId="17" fillId="3" borderId="6" xfId="55" applyFont="1" applyFill="1" applyBorder="1" applyAlignment="1">
      <alignment horizontal="center" vertical="center" wrapText="1"/>
    </xf>
    <xf numFmtId="0" fontId="17" fillId="0" borderId="1" xfId="55" applyFont="1" applyBorder="1" applyAlignment="1">
      <alignment horizontal="center" vertical="center"/>
    </xf>
    <xf numFmtId="0" fontId="16" fillId="0" borderId="7" xfId="0" applyFont="1" applyBorder="1" applyAlignment="1">
      <alignment horizontal="center" vertical="center"/>
    </xf>
    <xf numFmtId="0" fontId="29" fillId="0" borderId="75" xfId="0" applyFont="1" applyBorder="1" applyAlignment="1">
      <alignment horizontal="center" vertical="center"/>
    </xf>
    <xf numFmtId="0" fontId="29" fillId="0" borderId="76" xfId="0" applyFont="1" applyBorder="1" applyAlignment="1">
      <alignment horizontal="center" vertical="center"/>
    </xf>
    <xf numFmtId="0" fontId="29" fillId="0" borderId="12" xfId="0" applyFont="1" applyBorder="1" applyAlignment="1">
      <alignment vertical="center"/>
    </xf>
    <xf numFmtId="0" fontId="29" fillId="0" borderId="11" xfId="0" applyFont="1" applyBorder="1" applyAlignment="1">
      <alignment horizontal="center" vertical="center" wrapText="1"/>
    </xf>
    <xf numFmtId="0" fontId="29" fillId="0" borderId="7" xfId="0" applyFont="1" applyBorder="1" applyAlignment="1">
      <alignment vertical="center"/>
    </xf>
    <xf numFmtId="3" fontId="29" fillId="0" borderId="39" xfId="210" applyNumberFormat="1" applyFont="1" applyFill="1" applyBorder="1" applyAlignment="1">
      <alignment horizontal="center" vertical="center" wrapText="1"/>
    </xf>
    <xf numFmtId="0" fontId="70" fillId="0" borderId="59" xfId="55" applyFont="1" applyBorder="1" applyAlignment="1">
      <alignment horizontal="center" vertical="center"/>
    </xf>
    <xf numFmtId="0" fontId="29" fillId="0" borderId="40" xfId="55" applyFont="1" applyBorder="1" applyAlignment="1">
      <alignment horizontal="left" vertical="center" wrapText="1"/>
    </xf>
    <xf numFmtId="0" fontId="29" fillId="0" borderId="40" xfId="55" quotePrefix="1" applyFont="1" applyBorder="1" applyAlignment="1">
      <alignment horizontal="center" vertical="center" wrapText="1"/>
    </xf>
    <xf numFmtId="0" fontId="29" fillId="0" borderId="40" xfId="55" quotePrefix="1" applyFont="1" applyBorder="1" applyAlignment="1">
      <alignment horizontal="center" vertical="center"/>
    </xf>
    <xf numFmtId="0" fontId="29" fillId="0" borderId="1" xfId="55" applyFont="1" applyBorder="1" applyAlignment="1">
      <alignment horizontal="left" vertical="center"/>
    </xf>
    <xf numFmtId="0" fontId="29" fillId="0" borderId="31" xfId="55" applyFont="1" applyBorder="1" applyAlignment="1">
      <alignment horizontal="left" vertical="center"/>
    </xf>
    <xf numFmtId="0" fontId="29" fillId="11" borderId="31" xfId="0" applyFont="1" applyFill="1" applyBorder="1" applyAlignment="1">
      <alignment horizontal="center" vertical="center"/>
    </xf>
    <xf numFmtId="0" fontId="29" fillId="11" borderId="38" xfId="0" applyFont="1" applyFill="1" applyBorder="1" applyAlignment="1">
      <alignment horizontal="left" vertical="center"/>
    </xf>
    <xf numFmtId="0" fontId="29" fillId="11" borderId="31" xfId="0" applyFont="1" applyFill="1" applyBorder="1" applyAlignment="1">
      <alignment horizontal="center" vertical="center" wrapText="1"/>
    </xf>
    <xf numFmtId="0" fontId="16" fillId="3" borderId="63" xfId="0" applyFont="1" applyFill="1" applyBorder="1" applyAlignment="1">
      <alignment horizontal="center" vertical="center"/>
    </xf>
    <xf numFmtId="0" fontId="16" fillId="3" borderId="37" xfId="0" applyFont="1" applyFill="1" applyBorder="1" applyAlignment="1">
      <alignment horizontal="left" vertical="center"/>
    </xf>
    <xf numFmtId="0" fontId="29" fillId="3" borderId="40" xfId="55" quotePrefix="1" applyFont="1" applyFill="1" applyBorder="1" applyAlignment="1">
      <alignment horizontal="left" vertical="center"/>
    </xf>
    <xf numFmtId="0" fontId="29" fillId="3" borderId="40" xfId="55" quotePrefix="1" applyFont="1" applyFill="1" applyBorder="1" applyAlignment="1">
      <alignment horizontal="left" vertical="center" wrapText="1"/>
    </xf>
    <xf numFmtId="0" fontId="29" fillId="0" borderId="6" xfId="0" applyFont="1" applyBorder="1" applyAlignment="1">
      <alignment vertical="center"/>
    </xf>
    <xf numFmtId="0" fontId="29" fillId="0" borderId="38" xfId="55" applyFont="1" applyBorder="1" applyAlignment="1">
      <alignment horizontal="center" vertical="center"/>
    </xf>
    <xf numFmtId="0" fontId="16" fillId="0" borderId="50" xfId="55" applyFont="1" applyBorder="1" applyAlignment="1">
      <alignment horizontal="center" vertical="center"/>
    </xf>
    <xf numFmtId="0" fontId="29" fillId="0" borderId="37" xfId="55" quotePrefix="1" applyFont="1" applyBorder="1" applyAlignment="1">
      <alignment horizontal="left" vertical="center"/>
    </xf>
    <xf numFmtId="0" fontId="29" fillId="0" borderId="37" xfId="55" quotePrefix="1" applyFont="1" applyBorder="1" applyAlignment="1">
      <alignment horizontal="left" vertical="center" wrapText="1"/>
    </xf>
    <xf numFmtId="0" fontId="29" fillId="3" borderId="4" xfId="55" applyFont="1" applyFill="1" applyBorder="1" applyAlignment="1">
      <alignment horizontal="center" vertical="center"/>
    </xf>
    <xf numFmtId="0" fontId="70" fillId="0" borderId="9" xfId="55" applyFont="1" applyBorder="1" applyAlignment="1">
      <alignment horizontal="center" vertical="center"/>
    </xf>
    <xf numFmtId="0" fontId="29" fillId="0" borderId="4" xfId="55" applyFont="1" applyBorder="1" applyAlignment="1">
      <alignment horizontal="left" vertical="center" wrapText="1"/>
    </xf>
    <xf numFmtId="0" fontId="29" fillId="0" borderId="4" xfId="55" applyFont="1" applyBorder="1" applyAlignment="1">
      <alignment horizontal="center" vertical="center" wrapText="1"/>
    </xf>
    <xf numFmtId="0" fontId="29" fillId="0" borderId="4" xfId="55" quotePrefix="1" applyFont="1" applyBorder="1" applyAlignment="1">
      <alignment horizontal="center" vertical="center" wrapText="1"/>
    </xf>
    <xf numFmtId="0" fontId="29" fillId="0" borderId="4" xfId="55" quotePrefix="1" applyFont="1" applyBorder="1" applyAlignment="1">
      <alignment horizontal="left" vertical="center"/>
    </xf>
    <xf numFmtId="0" fontId="29" fillId="0" borderId="4" xfId="55" quotePrefix="1" applyFont="1" applyBorder="1" applyAlignment="1">
      <alignment horizontal="left" vertical="center" wrapText="1"/>
    </xf>
    <xf numFmtId="0" fontId="33" fillId="0" borderId="4" xfId="55" applyFont="1" applyBorder="1" applyAlignment="1">
      <alignment horizontal="left" vertical="center" wrapText="1"/>
    </xf>
    <xf numFmtId="0" fontId="21" fillId="3" borderId="3" xfId="0" applyFont="1" applyFill="1" applyBorder="1" applyAlignment="1" applyProtection="1">
      <alignment horizontal="left" vertical="center"/>
      <protection locked="0"/>
    </xf>
    <xf numFmtId="0" fontId="21" fillId="3" borderId="3" xfId="0" quotePrefix="1" applyFont="1" applyFill="1" applyBorder="1" applyAlignment="1" applyProtection="1">
      <alignment horizontal="left" vertical="center"/>
      <protection locked="0"/>
    </xf>
    <xf numFmtId="0" fontId="21" fillId="3" borderId="3" xfId="0" quotePrefix="1" applyFont="1" applyFill="1" applyBorder="1" applyAlignment="1" applyProtection="1">
      <alignment horizontal="center" vertical="center"/>
      <protection locked="0"/>
    </xf>
    <xf numFmtId="0" fontId="29" fillId="3" borderId="62" xfId="55" applyFont="1" applyFill="1" applyBorder="1" applyAlignment="1">
      <alignment horizontal="left" vertical="center" wrapText="1"/>
    </xf>
    <xf numFmtId="0" fontId="29" fillId="13" borderId="31" xfId="55" quotePrefix="1" applyFont="1" applyFill="1" applyBorder="1" applyAlignment="1">
      <alignment horizontal="center" vertical="center" wrapText="1"/>
    </xf>
    <xf numFmtId="3" fontId="29" fillId="0" borderId="8" xfId="210" applyNumberFormat="1" applyFont="1" applyFill="1" applyBorder="1" applyAlignment="1">
      <alignment horizontal="center" vertical="center" wrapText="1"/>
    </xf>
    <xf numFmtId="0" fontId="16" fillId="0" borderId="32" xfId="55" applyFont="1" applyBorder="1" applyAlignment="1">
      <alignment horizontal="center" vertical="center"/>
    </xf>
    <xf numFmtId="0" fontId="70" fillId="0" borderId="32" xfId="55" applyFont="1" applyBorder="1" applyAlignment="1">
      <alignment horizontal="center" vertical="center"/>
    </xf>
    <xf numFmtId="0" fontId="29" fillId="0" borderId="59" xfId="55" applyFont="1" applyBorder="1" applyAlignment="1">
      <alignment horizontal="center" vertical="center"/>
    </xf>
    <xf numFmtId="0" fontId="70" fillId="0" borderId="40" xfId="0" applyFont="1" applyBorder="1" applyAlignment="1">
      <alignment horizontal="center" vertical="center"/>
    </xf>
    <xf numFmtId="0" fontId="29" fillId="0" borderId="40" xfId="55" quotePrefix="1" applyFont="1" applyBorder="1" applyAlignment="1">
      <alignment horizontal="left" vertical="center"/>
    </xf>
    <xf numFmtId="0" fontId="29" fillId="0" borderId="40" xfId="55" quotePrefix="1" applyFont="1" applyBorder="1" applyAlignment="1">
      <alignment horizontal="left" vertical="center" wrapText="1"/>
    </xf>
    <xf numFmtId="0" fontId="33" fillId="0" borderId="40" xfId="55" applyFont="1" applyBorder="1" applyAlignment="1">
      <alignment horizontal="left" vertical="center" wrapText="1"/>
    </xf>
    <xf numFmtId="0" fontId="33" fillId="0" borderId="62" xfId="55" applyFont="1" applyBorder="1" applyAlignment="1">
      <alignment horizontal="left" vertical="center" wrapText="1"/>
    </xf>
    <xf numFmtId="0" fontId="29" fillId="3" borderId="6" xfId="55" applyFont="1" applyFill="1" applyBorder="1" applyAlignment="1">
      <alignment horizontal="center" vertical="center" wrapText="1"/>
    </xf>
    <xf numFmtId="0" fontId="29" fillId="0" borderId="6" xfId="55" applyFont="1" applyBorder="1" applyAlignment="1">
      <alignment horizontal="center" vertical="center" wrapText="1"/>
    </xf>
    <xf numFmtId="164" fontId="29" fillId="3" borderId="39" xfId="55" applyNumberFormat="1" applyFont="1" applyFill="1" applyBorder="1" applyAlignment="1">
      <alignment horizontal="center" vertical="center" wrapText="1"/>
    </xf>
    <xf numFmtId="164" fontId="29" fillId="0" borderId="1" xfId="55" applyNumberFormat="1" applyFont="1" applyBorder="1" applyAlignment="1">
      <alignment horizontal="center" vertical="center" wrapText="1"/>
    </xf>
    <xf numFmtId="2" fontId="29" fillId="0" borderId="1" xfId="55" applyNumberFormat="1" applyFont="1" applyBorder="1" applyAlignment="1">
      <alignment horizontal="center" vertical="center" wrapText="1"/>
    </xf>
    <xf numFmtId="0" fontId="33" fillId="3" borderId="1" xfId="0" applyFont="1" applyFill="1" applyBorder="1" applyAlignment="1">
      <alignment vertical="center" wrapText="1"/>
    </xf>
    <xf numFmtId="0" fontId="16" fillId="0" borderId="1" xfId="0" applyFont="1" applyBorder="1" applyAlignment="1">
      <alignment horizontal="center" vertical="center" wrapText="1"/>
    </xf>
    <xf numFmtId="1" fontId="29" fillId="0" borderId="31" xfId="55" applyNumberFormat="1" applyFont="1" applyBorder="1" applyAlignment="1">
      <alignment horizontal="center" vertical="center" wrapText="1"/>
    </xf>
    <xf numFmtId="15" fontId="1" fillId="3" borderId="44" xfId="1744" applyNumberFormat="1" applyFont="1" applyFill="1" applyBorder="1" applyAlignment="1">
      <alignment horizontal="center"/>
    </xf>
    <xf numFmtId="0" fontId="74" fillId="17" borderId="1" xfId="0" applyFont="1" applyFill="1" applyBorder="1" applyAlignment="1">
      <alignment horizontal="center" vertical="center"/>
    </xf>
    <xf numFmtId="0" fontId="74" fillId="17" borderId="1" xfId="0" applyFont="1" applyFill="1" applyBorder="1" applyAlignment="1">
      <alignment horizontal="center" vertical="center" wrapText="1"/>
    </xf>
    <xf numFmtId="0" fontId="29" fillId="17" borderId="1" xfId="0" applyFont="1" applyFill="1" applyBorder="1" applyAlignment="1">
      <alignment horizontal="center" vertical="center" wrapText="1"/>
    </xf>
    <xf numFmtId="0" fontId="16" fillId="17" borderId="1" xfId="0" applyFont="1" applyFill="1" applyBorder="1" applyAlignment="1">
      <alignment horizontal="center" vertical="center"/>
    </xf>
    <xf numFmtId="0" fontId="29" fillId="17" borderId="1" xfId="0" applyFont="1" applyFill="1" applyBorder="1" applyAlignment="1">
      <alignment horizontal="center" vertical="center"/>
    </xf>
    <xf numFmtId="0" fontId="29" fillId="17" borderId="4" xfId="0" applyFont="1" applyFill="1" applyBorder="1" applyAlignment="1">
      <alignment horizontal="center" vertical="center" wrapText="1"/>
    </xf>
    <xf numFmtId="0" fontId="29" fillId="17" borderId="4" xfId="0" applyFont="1" applyFill="1" applyBorder="1" applyAlignment="1">
      <alignment horizontal="center" vertical="center"/>
    </xf>
    <xf numFmtId="0" fontId="16" fillId="17" borderId="4" xfId="0" applyFont="1" applyFill="1" applyBorder="1" applyAlignment="1">
      <alignment horizontal="center" vertical="center"/>
    </xf>
    <xf numFmtId="0" fontId="29" fillId="17" borderId="1" xfId="0" applyFont="1" applyFill="1" applyBorder="1" applyAlignment="1">
      <alignment vertical="center" wrapText="1"/>
    </xf>
    <xf numFmtId="0" fontId="29" fillId="17" borderId="4" xfId="0" applyFont="1" applyFill="1" applyBorder="1" applyAlignment="1">
      <alignment horizontal="left" vertical="center" wrapText="1"/>
    </xf>
    <xf numFmtId="0" fontId="58" fillId="0" borderId="39" xfId="1744" applyFont="1" applyBorder="1" applyAlignment="1" applyProtection="1">
      <alignment horizontal="center" vertical="center" wrapText="1"/>
      <protection locked="0"/>
    </xf>
    <xf numFmtId="0" fontId="31" fillId="0" borderId="0" xfId="0" applyFont="1"/>
    <xf numFmtId="0" fontId="67" fillId="0" borderId="0" xfId="0" applyFont="1"/>
    <xf numFmtId="0" fontId="29" fillId="0" borderId="7" xfId="55" applyFont="1" applyBorder="1" applyAlignment="1">
      <alignment horizontal="center" vertical="center" wrapText="1"/>
    </xf>
    <xf numFmtId="0" fontId="29" fillId="17" borderId="7" xfId="0" applyFont="1" applyFill="1" applyBorder="1" applyAlignment="1">
      <alignment horizontal="center" vertical="center"/>
    </xf>
    <xf numFmtId="164" fontId="29" fillId="0" borderId="4" xfId="0" applyNumberFormat="1" applyFont="1" applyBorder="1" applyAlignment="1">
      <alignment horizontal="center" vertical="center"/>
    </xf>
    <xf numFmtId="1" fontId="29" fillId="0" borderId="4" xfId="0" applyNumberFormat="1" applyFont="1" applyBorder="1" applyAlignment="1">
      <alignment horizontal="center" vertical="center"/>
    </xf>
    <xf numFmtId="3" fontId="29" fillId="0" borderId="55" xfId="0" applyNumberFormat="1" applyFont="1" applyBorder="1" applyAlignment="1">
      <alignment horizontal="center" vertical="center" wrapText="1"/>
    </xf>
    <xf numFmtId="3" fontId="29" fillId="0" borderId="75" xfId="0" applyNumberFormat="1" applyFont="1" applyBorder="1" applyAlignment="1">
      <alignment horizontal="center" vertical="center" wrapText="1"/>
    </xf>
    <xf numFmtId="3" fontId="29" fillId="0" borderId="5" xfId="0" applyNumberFormat="1" applyFont="1" applyBorder="1" applyAlignment="1">
      <alignment horizontal="center" vertical="center" wrapText="1"/>
    </xf>
    <xf numFmtId="3" fontId="29" fillId="0" borderId="76" xfId="0" applyNumberFormat="1" applyFont="1" applyBorder="1" applyAlignment="1">
      <alignment horizontal="center" vertical="center" wrapText="1"/>
    </xf>
    <xf numFmtId="0" fontId="29" fillId="0" borderId="12" xfId="0" applyFont="1" applyBorder="1" applyAlignment="1">
      <alignment horizontal="left" vertical="center" wrapText="1"/>
    </xf>
    <xf numFmtId="0" fontId="17" fillId="0" borderId="40" xfId="55" applyFont="1" applyBorder="1" applyAlignment="1">
      <alignment horizontal="center" textRotation="90" wrapText="1"/>
    </xf>
    <xf numFmtId="0" fontId="17" fillId="0" borderId="40" xfId="55" applyFont="1" applyBorder="1" applyAlignment="1">
      <alignment horizontal="center" vertical="center" textRotation="90" wrapText="1"/>
    </xf>
    <xf numFmtId="0" fontId="74" fillId="17" borderId="6" xfId="0" applyFont="1" applyFill="1" applyBorder="1" applyAlignment="1">
      <alignment horizontal="center" vertical="center" wrapText="1"/>
    </xf>
    <xf numFmtId="0" fontId="74" fillId="17" borderId="6" xfId="0" applyFont="1" applyFill="1" applyBorder="1" applyAlignment="1">
      <alignment horizontal="center" vertical="center"/>
    </xf>
    <xf numFmtId="0" fontId="74" fillId="17" borderId="6" xfId="55" applyFont="1" applyFill="1" applyBorder="1" applyAlignment="1">
      <alignment horizontal="center" vertical="center"/>
    </xf>
    <xf numFmtId="0" fontId="74" fillId="17" borderId="1" xfId="0" applyFont="1" applyFill="1" applyBorder="1" applyAlignment="1">
      <alignment horizontal="left" vertical="center" wrapText="1"/>
    </xf>
    <xf numFmtId="0" fontId="16" fillId="0" borderId="4" xfId="55" applyFont="1" applyBorder="1" applyAlignment="1">
      <alignment horizontal="center" vertical="center"/>
    </xf>
    <xf numFmtId="0" fontId="29" fillId="17" borderId="1" xfId="55" applyFont="1" applyFill="1" applyBorder="1" applyAlignment="1">
      <alignment horizontal="center" vertical="center"/>
    </xf>
    <xf numFmtId="0" fontId="29" fillId="17" borderId="1" xfId="55" quotePrefix="1" applyFont="1" applyFill="1" applyBorder="1" applyAlignment="1">
      <alignment horizontal="center" vertical="center"/>
    </xf>
    <xf numFmtId="0" fontId="29" fillId="17" borderId="1" xfId="55" applyFont="1" applyFill="1" applyBorder="1" applyAlignment="1">
      <alignment horizontal="left" vertical="center"/>
    </xf>
    <xf numFmtId="0" fontId="29" fillId="17" borderId="1" xfId="55" applyFont="1" applyFill="1" applyBorder="1" applyAlignment="1">
      <alignment horizontal="center" vertical="center" wrapText="1"/>
    </xf>
    <xf numFmtId="0" fontId="29" fillId="17" borderId="1" xfId="55" applyFont="1" applyFill="1" applyBorder="1" applyAlignment="1">
      <alignment horizontal="left" vertical="center" wrapText="1"/>
    </xf>
    <xf numFmtId="0" fontId="29" fillId="17" borderId="1" xfId="0" applyFont="1" applyFill="1" applyBorder="1" applyAlignment="1">
      <alignment horizontal="left" vertical="center" wrapText="1"/>
    </xf>
    <xf numFmtId="0" fontId="29" fillId="17" borderId="56" xfId="0" applyFont="1" applyFill="1" applyBorder="1" applyAlignment="1">
      <alignment horizontal="center" vertical="center"/>
    </xf>
    <xf numFmtId="0" fontId="74" fillId="17" borderId="1" xfId="55" applyFont="1" applyFill="1" applyBorder="1" applyAlignment="1">
      <alignment horizontal="center" vertical="center"/>
    </xf>
    <xf numFmtId="0" fontId="74" fillId="17" borderId="1" xfId="55" quotePrefix="1" applyFont="1" applyFill="1" applyBorder="1" applyAlignment="1">
      <alignment horizontal="center" vertical="center"/>
    </xf>
    <xf numFmtId="0" fontId="74" fillId="17" borderId="1" xfId="55" applyFont="1" applyFill="1" applyBorder="1" applyAlignment="1">
      <alignment horizontal="center" vertical="center" wrapText="1"/>
    </xf>
    <xf numFmtId="0" fontId="74" fillId="17" borderId="1" xfId="55" applyFont="1" applyFill="1" applyBorder="1" applyAlignment="1">
      <alignment horizontal="left" vertical="center" wrapText="1"/>
    </xf>
    <xf numFmtId="0" fontId="29" fillId="17" borderId="39" xfId="55" applyFont="1" applyFill="1" applyBorder="1" applyAlignment="1">
      <alignment horizontal="center" vertical="center"/>
    </xf>
    <xf numFmtId="0" fontId="73" fillId="17" borderId="1" xfId="0" applyFont="1" applyFill="1" applyBorder="1" applyAlignment="1">
      <alignment horizontal="center" vertical="center"/>
    </xf>
    <xf numFmtId="0" fontId="73" fillId="17" borderId="1" xfId="0" applyFont="1" applyFill="1" applyBorder="1" applyAlignment="1">
      <alignment horizontal="center" vertical="center" wrapText="1"/>
    </xf>
    <xf numFmtId="0" fontId="74" fillId="17" borderId="1" xfId="0" quotePrefix="1" applyFont="1" applyFill="1" applyBorder="1" applyAlignment="1">
      <alignment horizontal="center" vertical="center" wrapText="1"/>
    </xf>
    <xf numFmtId="0" fontId="29" fillId="17" borderId="39" xfId="55" quotePrefix="1" applyFont="1" applyFill="1" applyBorder="1" applyAlignment="1">
      <alignment horizontal="center" vertical="center" wrapText="1"/>
    </xf>
    <xf numFmtId="0" fontId="29" fillId="17" borderId="32" xfId="55" applyFont="1" applyFill="1" applyBorder="1" applyAlignment="1">
      <alignment horizontal="left" vertical="center" wrapText="1"/>
    </xf>
    <xf numFmtId="0" fontId="29" fillId="17" borderId="32" xfId="55" applyFont="1" applyFill="1" applyBorder="1" applyAlignment="1">
      <alignment horizontal="center" vertical="center"/>
    </xf>
    <xf numFmtId="0" fontId="29" fillId="17" borderId="39" xfId="55" applyFont="1" applyFill="1" applyBorder="1" applyAlignment="1">
      <alignment horizontal="center" vertical="center" wrapText="1"/>
    </xf>
    <xf numFmtId="0" fontId="74" fillId="17" borderId="39" xfId="55" applyFont="1" applyFill="1" applyBorder="1" applyAlignment="1">
      <alignment horizontal="center" vertical="center"/>
    </xf>
    <xf numFmtId="0" fontId="29" fillId="17" borderId="31" xfId="55" quotePrefix="1" applyFont="1" applyFill="1" applyBorder="1" applyAlignment="1">
      <alignment horizontal="center" vertical="center" wrapText="1"/>
    </xf>
    <xf numFmtId="0" fontId="29" fillId="17" borderId="31" xfId="55" applyFont="1" applyFill="1" applyBorder="1" applyAlignment="1">
      <alignment horizontal="center" vertical="center"/>
    </xf>
    <xf numFmtId="0" fontId="74" fillId="17" borderId="32" xfId="55" applyFont="1" applyFill="1" applyBorder="1" applyAlignment="1">
      <alignment horizontal="left" vertical="center" wrapText="1"/>
    </xf>
    <xf numFmtId="0" fontId="74" fillId="17" borderId="32" xfId="55" applyFont="1" applyFill="1" applyBorder="1" applyAlignment="1">
      <alignment horizontal="center" vertical="center" wrapText="1"/>
    </xf>
    <xf numFmtId="0" fontId="74" fillId="17" borderId="32" xfId="55" applyFont="1" applyFill="1" applyBorder="1" applyAlignment="1">
      <alignment horizontal="center" vertical="center"/>
    </xf>
    <xf numFmtId="0" fontId="84" fillId="17" borderId="32" xfId="55" applyFont="1" applyFill="1" applyBorder="1" applyAlignment="1">
      <alignment horizontal="left" vertical="center" wrapText="1"/>
    </xf>
    <xf numFmtId="0" fontId="85" fillId="17" borderId="1" xfId="55" applyFont="1" applyFill="1" applyBorder="1" applyAlignment="1">
      <alignment horizontal="center" vertical="center" wrapText="1"/>
    </xf>
    <xf numFmtId="0" fontId="70" fillId="17" borderId="41" xfId="0" applyFont="1" applyFill="1" applyBorder="1" applyAlignment="1">
      <alignment horizontal="center" vertical="center"/>
    </xf>
    <xf numFmtId="0" fontId="29" fillId="17" borderId="39" xfId="55" applyFont="1" applyFill="1" applyBorder="1" applyAlignment="1">
      <alignment horizontal="left" vertical="center" wrapText="1"/>
    </xf>
    <xf numFmtId="0" fontId="70" fillId="17" borderId="39" xfId="55" applyFont="1" applyFill="1" applyBorder="1" applyAlignment="1">
      <alignment horizontal="center" vertical="center" wrapText="1"/>
    </xf>
    <xf numFmtId="0" fontId="33" fillId="17" borderId="32" xfId="55" applyFont="1" applyFill="1" applyBorder="1" applyAlignment="1">
      <alignment horizontal="left" vertical="center" wrapText="1"/>
    </xf>
    <xf numFmtId="0" fontId="33" fillId="17" borderId="39" xfId="55" applyFont="1" applyFill="1" applyBorder="1" applyAlignment="1">
      <alignment horizontal="left" vertical="center" wrapText="1"/>
    </xf>
    <xf numFmtId="0" fontId="16" fillId="17" borderId="59" xfId="55" applyFont="1" applyFill="1" applyBorder="1" applyAlignment="1">
      <alignment horizontal="center" vertical="center"/>
    </xf>
    <xf numFmtId="0" fontId="70" fillId="17" borderId="41" xfId="55" applyFont="1" applyFill="1" applyBorder="1" applyAlignment="1">
      <alignment horizontal="center" vertical="center"/>
    </xf>
    <xf numFmtId="0" fontId="29" fillId="17" borderId="39" xfId="55" quotePrefix="1" applyFont="1" applyFill="1" applyBorder="1" applyAlignment="1">
      <alignment horizontal="left" vertical="center"/>
    </xf>
    <xf numFmtId="0" fontId="29" fillId="17" borderId="39" xfId="55" quotePrefix="1" applyFont="1" applyFill="1" applyBorder="1" applyAlignment="1">
      <alignment horizontal="left" vertical="center" wrapText="1"/>
    </xf>
    <xf numFmtId="0" fontId="29" fillId="17" borderId="32" xfId="55" applyFont="1" applyFill="1" applyBorder="1" applyAlignment="1">
      <alignment horizontal="center" vertical="center" wrapText="1"/>
    </xf>
    <xf numFmtId="0" fontId="16" fillId="17" borderId="1" xfId="0" applyFont="1" applyFill="1" applyBorder="1" applyAlignment="1">
      <alignment horizontal="center" vertical="center" wrapText="1"/>
    </xf>
    <xf numFmtId="0" fontId="74" fillId="17" borderId="1" xfId="0" applyFont="1" applyFill="1" applyBorder="1" applyAlignment="1">
      <alignment vertical="center" wrapText="1"/>
    </xf>
    <xf numFmtId="0" fontId="73" fillId="17" borderId="4" xfId="0" applyFont="1" applyFill="1" applyBorder="1" applyAlignment="1">
      <alignment horizontal="center" vertical="center"/>
    </xf>
    <xf numFmtId="0" fontId="74" fillId="17" borderId="4" xfId="0" applyFont="1" applyFill="1" applyBorder="1" applyAlignment="1">
      <alignment horizontal="center" vertical="center"/>
    </xf>
    <xf numFmtId="0" fontId="74" fillId="17" borderId="4" xfId="0" applyFont="1" applyFill="1" applyBorder="1" applyAlignment="1">
      <alignment horizontal="center" vertical="center" wrapText="1"/>
    </xf>
    <xf numFmtId="0" fontId="74" fillId="17" borderId="4" xfId="0" applyFont="1" applyFill="1" applyBorder="1" applyAlignment="1">
      <alignment horizontal="left" vertical="center" wrapText="1"/>
    </xf>
    <xf numFmtId="0" fontId="74" fillId="0" borderId="1" xfId="55" quotePrefix="1" applyFont="1" applyBorder="1" applyAlignment="1">
      <alignment horizontal="center" vertical="center"/>
    </xf>
    <xf numFmtId="0" fontId="74" fillId="0" borderId="1" xfId="55" applyFont="1" applyBorder="1" applyAlignment="1">
      <alignment horizontal="center" vertical="center"/>
    </xf>
    <xf numFmtId="0" fontId="74" fillId="0" borderId="1" xfId="55" applyFont="1" applyBorder="1" applyAlignment="1">
      <alignment horizontal="center" vertical="center" wrapText="1"/>
    </xf>
    <xf numFmtId="0" fontId="85" fillId="11" borderId="1" xfId="55" applyFont="1" applyFill="1" applyBorder="1" applyAlignment="1">
      <alignment horizontal="center" vertical="center" wrapText="1"/>
    </xf>
    <xf numFmtId="0" fontId="74" fillId="0" borderId="1" xfId="55" applyFont="1" applyBorder="1" applyAlignment="1">
      <alignment horizontal="left" vertical="center" wrapText="1"/>
    </xf>
    <xf numFmtId="0" fontId="74" fillId="17" borderId="7" xfId="55" applyFont="1" applyFill="1" applyBorder="1" applyAlignment="1">
      <alignment horizontal="center" vertical="center" wrapText="1"/>
    </xf>
    <xf numFmtId="0" fontId="29" fillId="17" borderId="1" xfId="0" quotePrefix="1" applyFont="1" applyFill="1" applyBorder="1" applyAlignment="1">
      <alignment horizontal="center" vertical="center" wrapText="1"/>
    </xf>
    <xf numFmtId="0" fontId="29" fillId="0" borderId="4" xfId="0" quotePrefix="1" applyFont="1" applyBorder="1" applyAlignment="1">
      <alignment horizontal="center" vertical="center" wrapText="1"/>
    </xf>
    <xf numFmtId="0" fontId="74" fillId="0" borderId="4" xfId="0" applyFont="1" applyBorder="1" applyAlignment="1">
      <alignment horizontal="center" vertical="center" wrapText="1"/>
    </xf>
    <xf numFmtId="0" fontId="29" fillId="0" borderId="4" xfId="0" applyFont="1" applyBorder="1" applyAlignment="1">
      <alignment vertical="center" wrapText="1"/>
    </xf>
    <xf numFmtId="0" fontId="29" fillId="17" borderId="4" xfId="0" applyFont="1" applyFill="1" applyBorder="1" applyAlignment="1">
      <alignment vertical="center" wrapText="1"/>
    </xf>
    <xf numFmtId="0" fontId="29" fillId="18" borderId="1" xfId="0" applyFont="1" applyFill="1" applyBorder="1" applyAlignment="1">
      <alignment horizontal="left" vertical="center" wrapText="1"/>
    </xf>
    <xf numFmtId="0" fontId="16" fillId="18" borderId="1" xfId="0" applyFont="1" applyFill="1" applyBorder="1" applyAlignment="1">
      <alignment horizontal="center" vertical="center"/>
    </xf>
    <xf numFmtId="0" fontId="16" fillId="18" borderId="5" xfId="0" applyFont="1" applyFill="1" applyBorder="1" applyAlignment="1">
      <alignment horizontal="center" vertical="center"/>
    </xf>
    <xf numFmtId="0" fontId="29" fillId="18" borderId="31" xfId="0" quotePrefix="1" applyFont="1" applyFill="1" applyBorder="1" applyAlignment="1">
      <alignment horizontal="center" vertical="center" wrapText="1"/>
    </xf>
    <xf numFmtId="0" fontId="29" fillId="18" borderId="39" xfId="0" quotePrefix="1" applyFont="1" applyFill="1" applyBorder="1" applyAlignment="1">
      <alignment horizontal="center" vertical="center" wrapText="1"/>
    </xf>
    <xf numFmtId="0" fontId="29" fillId="18" borderId="1" xfId="55" applyFont="1" applyFill="1" applyBorder="1" applyAlignment="1">
      <alignment horizontal="left" vertical="center" wrapText="1"/>
    </xf>
    <xf numFmtId="0" fontId="29" fillId="18" borderId="1" xfId="0" applyFont="1" applyFill="1" applyBorder="1" applyAlignment="1">
      <alignment horizontal="center" vertical="center" wrapText="1"/>
    </xf>
    <xf numFmtId="0" fontId="29" fillId="18" borderId="39" xfId="55" applyFont="1" applyFill="1" applyBorder="1" applyAlignment="1">
      <alignment horizontal="left" vertical="center" wrapText="1"/>
    </xf>
    <xf numFmtId="0" fontId="29" fillId="18" borderId="1" xfId="55" applyFont="1" applyFill="1" applyBorder="1" applyAlignment="1">
      <alignment horizontal="center" vertical="center"/>
    </xf>
    <xf numFmtId="0" fontId="29" fillId="18" borderId="0" xfId="0" applyFont="1" applyFill="1" applyAlignment="1">
      <alignment vertical="center" wrapText="1"/>
    </xf>
    <xf numFmtId="0" fontId="29" fillId="18" borderId="32" xfId="55" applyFont="1" applyFill="1" applyBorder="1" applyAlignment="1">
      <alignment horizontal="center" vertical="center" wrapText="1"/>
    </xf>
    <xf numFmtId="0" fontId="29" fillId="18" borderId="39" xfId="55" quotePrefix="1" applyFont="1" applyFill="1" applyBorder="1" applyAlignment="1">
      <alignment horizontal="center" vertical="center" wrapText="1"/>
    </xf>
    <xf numFmtId="0" fontId="33" fillId="18" borderId="39" xfId="55" applyFont="1" applyFill="1" applyBorder="1" applyAlignment="1">
      <alignment horizontal="left" vertical="center" wrapText="1"/>
    </xf>
    <xf numFmtId="0" fontId="29" fillId="17" borderId="32" xfId="0" applyFont="1" applyFill="1" applyBorder="1" applyAlignment="1">
      <alignment horizontal="left" vertical="center" wrapText="1"/>
    </xf>
    <xf numFmtId="0" fontId="29" fillId="3" borderId="41" xfId="55" applyFont="1" applyFill="1" applyBorder="1" applyAlignment="1">
      <alignment horizontal="center" vertical="center" wrapText="1"/>
    </xf>
    <xf numFmtId="0" fontId="29" fillId="3" borderId="72" xfId="55" applyFont="1" applyFill="1" applyBorder="1" applyAlignment="1">
      <alignment horizontal="center" vertical="center" wrapText="1"/>
    </xf>
    <xf numFmtId="0" fontId="33" fillId="18" borderId="32" xfId="55" applyFont="1" applyFill="1" applyBorder="1" applyAlignment="1">
      <alignment horizontal="left" vertical="center" wrapText="1"/>
    </xf>
    <xf numFmtId="0" fontId="29" fillId="18" borderId="31" xfId="55" quotePrefix="1" applyFont="1" applyFill="1" applyBorder="1" applyAlignment="1">
      <alignment horizontal="center" vertical="center" wrapText="1"/>
    </xf>
    <xf numFmtId="0" fontId="29" fillId="18" borderId="31" xfId="55" quotePrefix="1" applyFont="1" applyFill="1" applyBorder="1" applyAlignment="1">
      <alignment horizontal="center" vertical="center"/>
    </xf>
    <xf numFmtId="0" fontId="29" fillId="18" borderId="32" xfId="55" applyFont="1" applyFill="1" applyBorder="1" applyAlignment="1">
      <alignment horizontal="left" vertical="center" wrapText="1"/>
    </xf>
    <xf numFmtId="0" fontId="16" fillId="0" borderId="4" xfId="0" applyFont="1" applyBorder="1" applyAlignment="1">
      <alignment horizontal="center"/>
    </xf>
    <xf numFmtId="0" fontId="29" fillId="0" borderId="4" xfId="0" applyFont="1" applyBorder="1" applyAlignment="1">
      <alignment horizontal="left" wrapText="1"/>
    </xf>
    <xf numFmtId="0" fontId="17" fillId="0" borderId="48" xfId="0" applyFont="1" applyBorder="1" applyAlignment="1">
      <alignment horizontal="center" vertical="center"/>
    </xf>
    <xf numFmtId="0" fontId="17" fillId="0" borderId="17" xfId="0" applyFont="1" applyBorder="1" applyAlignment="1">
      <alignment horizontal="center" vertical="center"/>
    </xf>
    <xf numFmtId="0" fontId="17" fillId="0" borderId="47" xfId="0" applyFont="1" applyBorder="1" applyAlignment="1">
      <alignment horizontal="center"/>
    </xf>
    <xf numFmtId="0" fontId="29" fillId="0" borderId="47" xfId="0" applyFont="1" applyBorder="1" applyAlignment="1">
      <alignment horizontal="center" vertical="center"/>
    </xf>
    <xf numFmtId="0" fontId="29" fillId="17" borderId="55" xfId="0" applyFont="1" applyFill="1" applyBorder="1" applyAlignment="1">
      <alignment horizontal="center" vertical="center" wrapText="1"/>
    </xf>
    <xf numFmtId="0" fontId="29" fillId="16" borderId="47" xfId="0" applyFont="1" applyFill="1" applyBorder="1" applyAlignment="1">
      <alignment horizontal="center" vertical="center"/>
    </xf>
    <xf numFmtId="0" fontId="29" fillId="16" borderId="0" xfId="0" applyFont="1" applyFill="1" applyAlignment="1">
      <alignment horizontal="center" vertical="center"/>
    </xf>
    <xf numFmtId="0" fontId="16" fillId="16" borderId="0" xfId="0" applyFont="1" applyFill="1" applyAlignment="1">
      <alignment horizontal="center" vertical="center"/>
    </xf>
    <xf numFmtId="0" fontId="16" fillId="0" borderId="47" xfId="0" applyFont="1" applyBorder="1"/>
    <xf numFmtId="0" fontId="16" fillId="0" borderId="35" xfId="0" applyFont="1" applyBorder="1"/>
    <xf numFmtId="0" fontId="16" fillId="0" borderId="69" xfId="0" applyFont="1" applyBorder="1" applyAlignment="1">
      <alignment horizontal="center" vertical="center"/>
    </xf>
    <xf numFmtId="0" fontId="29" fillId="0" borderId="69" xfId="0" applyFont="1" applyBorder="1" applyAlignment="1">
      <alignment horizontal="center" vertical="center"/>
    </xf>
    <xf numFmtId="0" fontId="16" fillId="0" borderId="69" xfId="0" applyFont="1" applyBorder="1" applyAlignment="1">
      <alignment horizontal="center" vertical="center" wrapText="1"/>
    </xf>
    <xf numFmtId="0" fontId="29" fillId="0" borderId="69" xfId="0" applyFont="1" applyBorder="1" applyAlignment="1">
      <alignment horizontal="center" vertical="center" wrapText="1"/>
    </xf>
    <xf numFmtId="0" fontId="29" fillId="0" borderId="77" xfId="0" applyFont="1" applyBorder="1" applyAlignment="1">
      <alignment horizontal="center" vertical="center" wrapText="1"/>
    </xf>
    <xf numFmtId="3" fontId="29" fillId="0" borderId="69" xfId="0" applyNumberFormat="1" applyFont="1" applyBorder="1" applyAlignment="1">
      <alignment horizontal="center" vertical="center" wrapText="1"/>
    </xf>
    <xf numFmtId="3" fontId="29" fillId="0" borderId="78" xfId="0" applyNumberFormat="1" applyFont="1" applyBorder="1" applyAlignment="1">
      <alignment horizontal="center" vertical="center" wrapText="1"/>
    </xf>
    <xf numFmtId="3" fontId="29" fillId="0" borderId="70" xfId="0" applyNumberFormat="1" applyFont="1" applyBorder="1" applyAlignment="1">
      <alignment horizontal="center" vertical="center" wrapText="1"/>
    </xf>
    <xf numFmtId="0" fontId="29" fillId="0" borderId="69" xfId="0" applyFont="1" applyBorder="1" applyAlignment="1">
      <alignment horizontal="left" vertical="center" wrapText="1"/>
    </xf>
    <xf numFmtId="0" fontId="29" fillId="0" borderId="70" xfId="0" applyFont="1" applyBorder="1" applyAlignment="1">
      <alignment horizontal="center" vertical="center" wrapText="1"/>
    </xf>
    <xf numFmtId="0" fontId="17" fillId="3" borderId="57" xfId="0" applyFont="1" applyFill="1" applyBorder="1" applyAlignment="1">
      <alignment vertical="center" wrapText="1"/>
    </xf>
    <xf numFmtId="0" fontId="50" fillId="0" borderId="0" xfId="55" applyFont="1" applyAlignment="1">
      <alignment horizontal="center" vertical="center"/>
    </xf>
    <xf numFmtId="0" fontId="21" fillId="3" borderId="0" xfId="0" applyFont="1" applyFill="1" applyAlignment="1">
      <alignment vertical="center"/>
    </xf>
    <xf numFmtId="0" fontId="0" fillId="3" borderId="0" xfId="0" applyFill="1"/>
    <xf numFmtId="0" fontId="29" fillId="18" borderId="39" xfId="55" applyFont="1" applyFill="1" applyBorder="1" applyAlignment="1">
      <alignment horizontal="center" vertical="center" wrapText="1"/>
    </xf>
    <xf numFmtId="0" fontId="29" fillId="18" borderId="40" xfId="55" applyFont="1" applyFill="1" applyBorder="1" applyAlignment="1">
      <alignment horizontal="center" vertical="center" wrapText="1"/>
    </xf>
    <xf numFmtId="0" fontId="29" fillId="18" borderId="62" xfId="55" applyFont="1" applyFill="1" applyBorder="1" applyAlignment="1">
      <alignment horizontal="center" vertical="center" wrapText="1"/>
    </xf>
    <xf numFmtId="0" fontId="29" fillId="18" borderId="64" xfId="55" applyFont="1" applyFill="1" applyBorder="1" applyAlignment="1">
      <alignment horizontal="center" vertical="center" wrapText="1"/>
    </xf>
    <xf numFmtId="0" fontId="29" fillId="17" borderId="31" xfId="0" applyFont="1" applyFill="1" applyBorder="1" applyAlignment="1">
      <alignment horizontal="center" vertical="center" wrapText="1"/>
    </xf>
    <xf numFmtId="0" fontId="23" fillId="0" borderId="0" xfId="0" applyFont="1" applyAlignment="1">
      <alignment vertical="center"/>
    </xf>
    <xf numFmtId="0" fontId="15" fillId="0" borderId="0" xfId="0" applyFont="1"/>
    <xf numFmtId="3" fontId="74" fillId="17" borderId="31" xfId="210" applyNumberFormat="1" applyFont="1" applyFill="1" applyBorder="1" applyAlignment="1">
      <alignment horizontal="center" vertical="center" wrapText="1"/>
    </xf>
    <xf numFmtId="0" fontId="86" fillId="17" borderId="38" xfId="55" applyFont="1" applyFill="1" applyBorder="1" applyAlignment="1">
      <alignment horizontal="center" vertical="center"/>
    </xf>
    <xf numFmtId="0" fontId="74" fillId="17" borderId="31" xfId="55" applyFont="1" applyFill="1" applyBorder="1" applyAlignment="1">
      <alignment horizontal="left" vertical="center" wrapText="1"/>
    </xf>
    <xf numFmtId="0" fontId="86" fillId="17" borderId="31" xfId="55" applyFont="1" applyFill="1" applyBorder="1" applyAlignment="1">
      <alignment horizontal="center" vertical="center" wrapText="1"/>
    </xf>
    <xf numFmtId="0" fontId="74" fillId="17" borderId="31" xfId="55" applyFont="1" applyFill="1" applyBorder="1" applyAlignment="1">
      <alignment horizontal="center" vertical="center" wrapText="1"/>
    </xf>
    <xf numFmtId="164" fontId="74" fillId="17" borderId="31" xfId="55" applyNumberFormat="1" applyFont="1" applyFill="1" applyBorder="1" applyAlignment="1">
      <alignment horizontal="center" vertical="center" wrapText="1"/>
    </xf>
    <xf numFmtId="0" fontId="74" fillId="17" borderId="31" xfId="55" quotePrefix="1" applyFont="1" applyFill="1" applyBorder="1" applyAlignment="1">
      <alignment horizontal="center" vertical="center" wrapText="1"/>
    </xf>
    <xf numFmtId="0" fontId="74" fillId="17" borderId="31" xfId="55" quotePrefix="1" applyFont="1" applyFill="1" applyBorder="1" applyAlignment="1">
      <alignment horizontal="center" vertical="center"/>
    </xf>
    <xf numFmtId="0" fontId="74" fillId="17" borderId="31" xfId="55" applyFont="1" applyFill="1" applyBorder="1" applyAlignment="1">
      <alignment horizontal="center" vertical="center"/>
    </xf>
    <xf numFmtId="0" fontId="84" fillId="17" borderId="31" xfId="55" applyFont="1" applyFill="1" applyBorder="1" applyAlignment="1">
      <alignment horizontal="left" vertical="center" wrapText="1"/>
    </xf>
    <xf numFmtId="0" fontId="86" fillId="17" borderId="59" xfId="55" applyFont="1" applyFill="1" applyBorder="1" applyAlignment="1">
      <alignment horizontal="center" vertical="center" wrapText="1"/>
    </xf>
    <xf numFmtId="0" fontId="86" fillId="17" borderId="41" xfId="55" applyFont="1" applyFill="1" applyBorder="1" applyAlignment="1">
      <alignment horizontal="center" vertical="center"/>
    </xf>
    <xf numFmtId="0" fontId="74" fillId="17" borderId="39" xfId="55" applyFont="1" applyFill="1" applyBorder="1" applyAlignment="1">
      <alignment horizontal="left" vertical="center" wrapText="1"/>
    </xf>
    <xf numFmtId="0" fontId="86" fillId="17" borderId="40" xfId="55" applyFont="1" applyFill="1" applyBorder="1" applyAlignment="1">
      <alignment horizontal="center" vertical="center" wrapText="1"/>
    </xf>
    <xf numFmtId="0" fontId="74" fillId="17" borderId="39" xfId="55" applyFont="1" applyFill="1" applyBorder="1" applyAlignment="1">
      <alignment horizontal="center" vertical="center" wrapText="1"/>
    </xf>
    <xf numFmtId="0" fontId="74" fillId="17" borderId="39" xfId="55" quotePrefix="1" applyFont="1" applyFill="1" applyBorder="1" applyAlignment="1">
      <alignment horizontal="center" vertical="center" wrapText="1"/>
    </xf>
    <xf numFmtId="0" fontId="74" fillId="17" borderId="39" xfId="55" quotePrefix="1" applyFont="1" applyFill="1" applyBorder="1" applyAlignment="1">
      <alignment horizontal="center" vertical="center"/>
    </xf>
    <xf numFmtId="0" fontId="87" fillId="17" borderId="62" xfId="55" applyFont="1" applyFill="1" applyBorder="1" applyAlignment="1">
      <alignment horizontal="center" vertical="center" wrapText="1"/>
    </xf>
    <xf numFmtId="0" fontId="87" fillId="17" borderId="32" xfId="55" applyFont="1" applyFill="1" applyBorder="1" applyAlignment="1">
      <alignment horizontal="center" textRotation="90" wrapText="1"/>
    </xf>
    <xf numFmtId="0" fontId="87" fillId="17" borderId="32" xfId="55" applyFont="1" applyFill="1" applyBorder="1" applyAlignment="1">
      <alignment horizontal="center" vertical="center" textRotation="90" wrapText="1"/>
    </xf>
    <xf numFmtId="0" fontId="74" fillId="17" borderId="62" xfId="55" applyFont="1" applyFill="1" applyBorder="1" applyAlignment="1">
      <alignment horizontal="center" vertical="center" wrapText="1"/>
    </xf>
    <xf numFmtId="0" fontId="74" fillId="17" borderId="62" xfId="55" applyFont="1" applyFill="1" applyBorder="1" applyAlignment="1">
      <alignment horizontal="center" vertical="center"/>
    </xf>
    <xf numFmtId="0" fontId="84" fillId="17" borderId="39" xfId="55" applyFont="1" applyFill="1" applyBorder="1" applyAlignment="1">
      <alignment horizontal="left" vertical="center" wrapText="1"/>
    </xf>
    <xf numFmtId="0" fontId="86" fillId="17" borderId="50" xfId="55" applyFont="1" applyFill="1" applyBorder="1" applyAlignment="1">
      <alignment horizontal="center" vertical="center" wrapText="1"/>
    </xf>
    <xf numFmtId="0" fontId="86" fillId="17" borderId="50" xfId="55" applyFont="1" applyFill="1" applyBorder="1" applyAlignment="1">
      <alignment horizontal="center" vertical="center"/>
    </xf>
    <xf numFmtId="0" fontId="86" fillId="17" borderId="32" xfId="55" applyFont="1" applyFill="1" applyBorder="1" applyAlignment="1">
      <alignment horizontal="center" vertical="center" wrapText="1"/>
    </xf>
    <xf numFmtId="0" fontId="74" fillId="17" borderId="32" xfId="55" quotePrefix="1" applyFont="1" applyFill="1" applyBorder="1" applyAlignment="1">
      <alignment horizontal="center" vertical="center" wrapText="1"/>
    </xf>
    <xf numFmtId="0" fontId="74" fillId="17" borderId="32" xfId="55" quotePrefix="1" applyFont="1" applyFill="1" applyBorder="1" applyAlignment="1">
      <alignment horizontal="center" vertical="center"/>
    </xf>
    <xf numFmtId="0" fontId="86" fillId="17" borderId="8" xfId="55" applyFont="1" applyFill="1" applyBorder="1" applyAlignment="1">
      <alignment horizontal="center" vertical="center" wrapText="1"/>
    </xf>
    <xf numFmtId="0" fontId="86" fillId="17" borderId="8" xfId="55" applyFont="1" applyFill="1" applyBorder="1" applyAlignment="1">
      <alignment horizontal="center" vertical="center"/>
    </xf>
    <xf numFmtId="0" fontId="74" fillId="17" borderId="2" xfId="55" applyFont="1" applyFill="1" applyBorder="1" applyAlignment="1">
      <alignment horizontal="left" vertical="center" wrapText="1"/>
    </xf>
    <xf numFmtId="0" fontId="86" fillId="17" borderId="2" xfId="55" applyFont="1" applyFill="1" applyBorder="1" applyAlignment="1">
      <alignment horizontal="center" vertical="center" wrapText="1"/>
    </xf>
    <xf numFmtId="0" fontId="74" fillId="17" borderId="2" xfId="55" applyFont="1" applyFill="1" applyBorder="1" applyAlignment="1">
      <alignment horizontal="center" vertical="center" wrapText="1"/>
    </xf>
    <xf numFmtId="0" fontId="74" fillId="17" borderId="2" xfId="55" quotePrefix="1" applyFont="1" applyFill="1" applyBorder="1" applyAlignment="1">
      <alignment horizontal="center" vertical="center" wrapText="1"/>
    </xf>
    <xf numFmtId="0" fontId="74" fillId="17" borderId="2" xfId="55" quotePrefix="1" applyFont="1" applyFill="1" applyBorder="1" applyAlignment="1">
      <alignment horizontal="center" vertical="center"/>
    </xf>
    <xf numFmtId="0" fontId="74" fillId="17" borderId="72" xfId="55" applyFont="1" applyFill="1" applyBorder="1" applyAlignment="1">
      <alignment horizontal="center" vertical="center" wrapText="1"/>
    </xf>
    <xf numFmtId="0" fontId="74" fillId="17" borderId="10" xfId="55" applyFont="1" applyFill="1" applyBorder="1" applyAlignment="1">
      <alignment horizontal="center" vertical="center" wrapText="1"/>
    </xf>
    <xf numFmtId="0" fontId="74" fillId="17" borderId="72" xfId="55" applyFont="1" applyFill="1" applyBorder="1" applyAlignment="1">
      <alignment horizontal="center" vertical="center"/>
    </xf>
    <xf numFmtId="0" fontId="74" fillId="17" borderId="2" xfId="55" applyFont="1" applyFill="1" applyBorder="1" applyAlignment="1">
      <alignment horizontal="center" vertical="center"/>
    </xf>
    <xf numFmtId="3" fontId="29" fillId="17" borderId="31" xfId="210" applyNumberFormat="1" applyFont="1" applyFill="1" applyBorder="1" applyAlignment="1">
      <alignment horizontal="center" vertical="center" wrapText="1"/>
    </xf>
    <xf numFmtId="0" fontId="33" fillId="17" borderId="31" xfId="55" applyFont="1" applyFill="1" applyBorder="1" applyAlignment="1">
      <alignment horizontal="left" vertical="center" wrapText="1"/>
    </xf>
    <xf numFmtId="0" fontId="29" fillId="17" borderId="31" xfId="55" applyFont="1" applyFill="1" applyBorder="1" applyAlignment="1">
      <alignment horizontal="left" vertical="center" wrapText="1"/>
    </xf>
    <xf numFmtId="1" fontId="29" fillId="17" borderId="4" xfId="0" applyNumberFormat="1" applyFont="1" applyFill="1" applyBorder="1" applyAlignment="1">
      <alignment horizontal="center" vertical="center"/>
    </xf>
    <xf numFmtId="0" fontId="29" fillId="17" borderId="39" xfId="55" quotePrefix="1" applyFont="1" applyFill="1" applyBorder="1" applyAlignment="1">
      <alignment horizontal="center" vertical="center"/>
    </xf>
    <xf numFmtId="0" fontId="74" fillId="17" borderId="0" xfId="0" applyFont="1" applyFill="1" applyAlignment="1">
      <alignment horizontal="center" vertical="center"/>
    </xf>
    <xf numFmtId="0" fontId="29" fillId="17" borderId="4" xfId="0" applyFont="1" applyFill="1" applyBorder="1" applyAlignment="1">
      <alignment horizontal="left" vertical="center"/>
    </xf>
    <xf numFmtId="0" fontId="29" fillId="17" borderId="2" xfId="55" applyFont="1" applyFill="1" applyBorder="1" applyAlignment="1">
      <alignment horizontal="center" vertical="center"/>
    </xf>
    <xf numFmtId="0" fontId="29" fillId="17" borderId="40" xfId="55" applyFont="1" applyFill="1" applyBorder="1" applyAlignment="1">
      <alignment horizontal="left" vertical="center" wrapText="1"/>
    </xf>
    <xf numFmtId="0" fontId="29" fillId="17" borderId="40" xfId="55" applyFont="1" applyFill="1" applyBorder="1" applyAlignment="1">
      <alignment horizontal="center" vertical="center" wrapText="1"/>
    </xf>
    <xf numFmtId="0" fontId="29" fillId="17" borderId="40" xfId="55" applyFont="1" applyFill="1" applyBorder="1" applyAlignment="1">
      <alignment horizontal="center" vertical="center"/>
    </xf>
    <xf numFmtId="0" fontId="33" fillId="17" borderId="40" xfId="55" applyFont="1" applyFill="1" applyBorder="1" applyAlignment="1">
      <alignment horizontal="left" vertical="center" wrapText="1"/>
    </xf>
    <xf numFmtId="0" fontId="29" fillId="17" borderId="37" xfId="55" applyFont="1" applyFill="1" applyBorder="1" applyAlignment="1">
      <alignment horizontal="left" vertical="center" wrapText="1"/>
    </xf>
    <xf numFmtId="0" fontId="29" fillId="17" borderId="37" xfId="55" applyFont="1" applyFill="1" applyBorder="1" applyAlignment="1">
      <alignment horizontal="center" vertical="center" wrapText="1"/>
    </xf>
    <xf numFmtId="0" fontId="29" fillId="17" borderId="37" xfId="55" applyFont="1" applyFill="1" applyBorder="1" applyAlignment="1">
      <alignment horizontal="center" vertical="center"/>
    </xf>
    <xf numFmtId="0" fontId="33" fillId="17" borderId="37" xfId="55" applyFont="1" applyFill="1" applyBorder="1" applyAlignment="1">
      <alignment horizontal="left" vertical="center" wrapText="1"/>
    </xf>
    <xf numFmtId="0" fontId="29" fillId="17" borderId="2" xfId="55" applyFont="1" applyFill="1" applyBorder="1" applyAlignment="1">
      <alignment horizontal="center" vertical="center" wrapText="1"/>
    </xf>
    <xf numFmtId="3" fontId="74" fillId="17" borderId="39" xfId="210" applyNumberFormat="1" applyFont="1" applyFill="1" applyBorder="1" applyAlignment="1">
      <alignment horizontal="center" vertical="center" wrapText="1"/>
    </xf>
    <xf numFmtId="0" fontId="74" fillId="17" borderId="64" xfId="55" applyFont="1" applyFill="1" applyBorder="1" applyAlignment="1">
      <alignment horizontal="center" vertical="center" wrapText="1"/>
    </xf>
    <xf numFmtId="0" fontId="74" fillId="17" borderId="40" xfId="55" applyFont="1" applyFill="1" applyBorder="1" applyAlignment="1">
      <alignment horizontal="left" vertical="center" wrapText="1"/>
    </xf>
    <xf numFmtId="0" fontId="84" fillId="17" borderId="40" xfId="55" applyFont="1" applyFill="1" applyBorder="1" applyAlignment="1">
      <alignment horizontal="left" vertical="center" wrapText="1"/>
    </xf>
    <xf numFmtId="0" fontId="86" fillId="17" borderId="63" xfId="55" applyFont="1" applyFill="1" applyBorder="1" applyAlignment="1">
      <alignment horizontal="center" vertical="center" wrapText="1"/>
    </xf>
    <xf numFmtId="0" fontId="86" fillId="17" borderId="63" xfId="55" applyFont="1" applyFill="1" applyBorder="1" applyAlignment="1">
      <alignment horizontal="center" vertical="center"/>
    </xf>
    <xf numFmtId="0" fontId="74" fillId="17" borderId="37" xfId="55" applyFont="1" applyFill="1" applyBorder="1" applyAlignment="1">
      <alignment horizontal="left" vertical="center" wrapText="1"/>
    </xf>
    <xf numFmtId="0" fontId="86" fillId="17" borderId="37" xfId="55" applyFont="1" applyFill="1" applyBorder="1" applyAlignment="1">
      <alignment horizontal="center" vertical="center" wrapText="1"/>
    </xf>
    <xf numFmtId="0" fontId="74" fillId="17" borderId="37" xfId="55" applyFont="1" applyFill="1" applyBorder="1" applyAlignment="1">
      <alignment horizontal="center" vertical="center" wrapText="1"/>
    </xf>
    <xf numFmtId="0" fontId="74" fillId="17" borderId="37" xfId="55" quotePrefix="1" applyFont="1" applyFill="1" applyBorder="1" applyAlignment="1">
      <alignment horizontal="center" vertical="center" wrapText="1"/>
    </xf>
    <xf numFmtId="0" fontId="74" fillId="17" borderId="37" xfId="55" quotePrefix="1" applyFont="1" applyFill="1" applyBorder="1" applyAlignment="1">
      <alignment horizontal="center" vertical="center"/>
    </xf>
    <xf numFmtId="0" fontId="74" fillId="17" borderId="66" xfId="55" applyFont="1" applyFill="1" applyBorder="1" applyAlignment="1">
      <alignment horizontal="center" vertical="center" wrapText="1"/>
    </xf>
    <xf numFmtId="0" fontId="74" fillId="17" borderId="66" xfId="55" applyFont="1" applyFill="1" applyBorder="1" applyAlignment="1">
      <alignment horizontal="center" vertical="center"/>
    </xf>
    <xf numFmtId="0" fontId="84" fillId="17" borderId="37" xfId="55" applyFont="1" applyFill="1" applyBorder="1" applyAlignment="1">
      <alignment horizontal="left" vertical="center" wrapText="1"/>
    </xf>
    <xf numFmtId="0" fontId="74" fillId="17" borderId="37" xfId="55" applyFont="1" applyFill="1" applyBorder="1" applyAlignment="1">
      <alignment horizontal="center" vertical="center"/>
    </xf>
    <xf numFmtId="0" fontId="86" fillId="17" borderId="59" xfId="55" applyFont="1" applyFill="1" applyBorder="1" applyAlignment="1">
      <alignment horizontal="center" vertical="center"/>
    </xf>
    <xf numFmtId="0" fontId="74" fillId="17" borderId="40" xfId="55" applyFont="1" applyFill="1" applyBorder="1" applyAlignment="1">
      <alignment horizontal="center" vertical="center" wrapText="1"/>
    </xf>
    <xf numFmtId="0" fontId="74" fillId="17" borderId="40" xfId="55" quotePrefix="1" applyFont="1" applyFill="1" applyBorder="1" applyAlignment="1">
      <alignment horizontal="center" vertical="center" wrapText="1"/>
    </xf>
    <xf numFmtId="0" fontId="74" fillId="17" borderId="40" xfId="55" quotePrefix="1" applyFont="1" applyFill="1" applyBorder="1" applyAlignment="1">
      <alignment horizontal="center" vertical="center"/>
    </xf>
    <xf numFmtId="0" fontId="74" fillId="17" borderId="64" xfId="55" applyFont="1" applyFill="1" applyBorder="1" applyAlignment="1">
      <alignment horizontal="center" vertical="center"/>
    </xf>
    <xf numFmtId="0" fontId="86" fillId="17" borderId="39" xfId="55" applyFont="1" applyFill="1" applyBorder="1" applyAlignment="1">
      <alignment horizontal="center" vertical="center" wrapText="1"/>
    </xf>
    <xf numFmtId="0" fontId="74" fillId="17" borderId="39" xfId="55" quotePrefix="1" applyFont="1" applyFill="1" applyBorder="1" applyAlignment="1">
      <alignment horizontal="left" vertical="center"/>
    </xf>
    <xf numFmtId="0" fontId="74" fillId="17" borderId="39" xfId="55" quotePrefix="1" applyFont="1" applyFill="1" applyBorder="1" applyAlignment="1">
      <alignment horizontal="left" vertical="center" wrapText="1"/>
    </xf>
    <xf numFmtId="0" fontId="74" fillId="17" borderId="2" xfId="55" quotePrefix="1" applyFont="1" applyFill="1" applyBorder="1" applyAlignment="1">
      <alignment horizontal="left" vertical="center"/>
    </xf>
    <xf numFmtId="0" fontId="74" fillId="17" borderId="2" xfId="55" quotePrefix="1" applyFont="1" applyFill="1" applyBorder="1" applyAlignment="1">
      <alignment horizontal="left" vertical="center" wrapText="1"/>
    </xf>
    <xf numFmtId="0" fontId="74" fillId="17" borderId="32" xfId="55" quotePrefix="1" applyFont="1" applyFill="1" applyBorder="1" applyAlignment="1">
      <alignment horizontal="left" vertical="center"/>
    </xf>
    <xf numFmtId="0" fontId="74" fillId="17" borderId="32" xfId="55" quotePrefix="1" applyFont="1" applyFill="1" applyBorder="1" applyAlignment="1">
      <alignment horizontal="left" vertical="center" wrapText="1"/>
    </xf>
    <xf numFmtId="0" fontId="74" fillId="17" borderId="37" xfId="55" quotePrefix="1" applyFont="1" applyFill="1" applyBorder="1" applyAlignment="1">
      <alignment horizontal="left" vertical="center"/>
    </xf>
    <xf numFmtId="0" fontId="74" fillId="17" borderId="37" xfId="55" quotePrefix="1" applyFont="1" applyFill="1" applyBorder="1" applyAlignment="1">
      <alignment horizontal="left" vertical="center" wrapText="1"/>
    </xf>
    <xf numFmtId="0" fontId="88" fillId="17" borderId="1" xfId="55" applyFont="1" applyFill="1" applyBorder="1"/>
    <xf numFmtId="0" fontId="29" fillId="17" borderId="1" xfId="0" applyFont="1" applyFill="1" applyBorder="1" applyAlignment="1">
      <alignment horizontal="left" vertical="center"/>
    </xf>
    <xf numFmtId="0" fontId="29" fillId="17" borderId="12" xfId="0" applyFont="1" applyFill="1" applyBorder="1" applyAlignment="1">
      <alignment horizontal="left" vertical="center" wrapText="1"/>
    </xf>
    <xf numFmtId="167" fontId="58" fillId="0" borderId="4" xfId="1744" applyNumberFormat="1" applyFont="1" applyBorder="1" applyAlignment="1" applyProtection="1">
      <alignment horizontal="center" vertical="center"/>
      <protection locked="0"/>
    </xf>
    <xf numFmtId="0" fontId="58" fillId="0" borderId="4" xfId="1744" applyFont="1" applyBorder="1" applyAlignment="1" applyProtection="1">
      <alignment horizontal="center" vertical="center"/>
      <protection locked="0"/>
    </xf>
    <xf numFmtId="0" fontId="15" fillId="0" borderId="0" xfId="0" applyFont="1" applyAlignment="1">
      <alignment vertical="center"/>
    </xf>
    <xf numFmtId="15" fontId="6" fillId="3" borderId="46" xfId="1744" applyNumberFormat="1" applyFill="1" applyBorder="1" applyAlignment="1">
      <alignment horizontal="center"/>
    </xf>
    <xf numFmtId="15" fontId="6" fillId="3" borderId="43" xfId="1744" applyNumberFormat="1" applyFill="1" applyBorder="1" applyAlignment="1">
      <alignment horizontal="center"/>
    </xf>
    <xf numFmtId="0" fontId="62" fillId="3" borderId="17" xfId="0" quotePrefix="1" applyFont="1" applyFill="1" applyBorder="1" applyAlignment="1">
      <alignment vertical="center" wrapText="1"/>
    </xf>
    <xf numFmtId="0" fontId="62" fillId="3" borderId="49" xfId="0" quotePrefix="1" applyFont="1" applyFill="1" applyBorder="1" applyAlignment="1">
      <alignment vertical="center" wrapText="1"/>
    </xf>
    <xf numFmtId="0" fontId="62" fillId="3" borderId="48" xfId="0" quotePrefix="1" applyFont="1" applyFill="1" applyBorder="1" applyAlignment="1">
      <alignment vertical="center"/>
    </xf>
    <xf numFmtId="0" fontId="25" fillId="17" borderId="1" xfId="0" applyFont="1" applyFill="1" applyBorder="1" applyAlignment="1">
      <alignment horizontal="justify" vertical="center" wrapText="1"/>
    </xf>
    <xf numFmtId="0" fontId="17" fillId="0" borderId="1" xfId="0" applyFont="1" applyBorder="1" applyAlignment="1">
      <alignment horizontal="center"/>
    </xf>
    <xf numFmtId="0" fontId="17" fillId="3" borderId="4" xfId="0" applyFont="1" applyFill="1" applyBorder="1" applyAlignment="1">
      <alignment vertical="center" wrapText="1"/>
    </xf>
    <xf numFmtId="0" fontId="17" fillId="3" borderId="5" xfId="0" quotePrefix="1" applyFont="1" applyFill="1" applyBorder="1" applyAlignment="1">
      <alignment horizontal="center" vertical="center" wrapText="1"/>
    </xf>
    <xf numFmtId="0" fontId="17" fillId="0" borderId="2" xfId="55" applyFont="1" applyBorder="1" applyAlignment="1">
      <alignment horizontal="center" vertical="center" textRotation="90" wrapText="1"/>
    </xf>
    <xf numFmtId="0" fontId="17" fillId="3" borderId="2" xfId="55" applyFont="1" applyFill="1" applyBorder="1" applyAlignment="1">
      <alignment horizontal="center" vertical="center" textRotation="90" wrapText="1"/>
    </xf>
    <xf numFmtId="0" fontId="17" fillId="3" borderId="5" xfId="55" applyFont="1" applyFill="1" applyBorder="1" applyAlignment="1">
      <alignment horizontal="center" vertical="center" textRotation="90" wrapText="1"/>
    </xf>
    <xf numFmtId="0" fontId="16" fillId="0" borderId="4" xfId="0" applyFont="1" applyBorder="1" applyAlignment="1">
      <alignment horizontal="left" vertical="center" wrapText="1"/>
    </xf>
    <xf numFmtId="0" fontId="29" fillId="0" borderId="0" xfId="0" quotePrefix="1" applyFont="1" applyAlignment="1">
      <alignment horizontal="center" vertical="center" wrapText="1"/>
    </xf>
    <xf numFmtId="0" fontId="16" fillId="0" borderId="4" xfId="0" applyFont="1" applyBorder="1" applyAlignment="1">
      <alignment vertical="center"/>
    </xf>
    <xf numFmtId="0" fontId="70" fillId="0" borderId="1" xfId="0" applyFont="1" applyBorder="1" applyAlignment="1">
      <alignment horizontal="left" vertical="center"/>
    </xf>
    <xf numFmtId="0" fontId="31" fillId="0" borderId="1" xfId="0" applyFont="1" applyBorder="1" applyAlignment="1">
      <alignment horizontal="center" vertical="center"/>
    </xf>
    <xf numFmtId="0" fontId="16" fillId="17" borderId="38" xfId="55" applyFont="1" applyFill="1" applyBorder="1" applyAlignment="1">
      <alignment horizontal="center" vertical="center"/>
    </xf>
    <xf numFmtId="0" fontId="70" fillId="17" borderId="31" xfId="0" applyFont="1" applyFill="1" applyBorder="1" applyAlignment="1">
      <alignment horizontal="center" vertical="center"/>
    </xf>
    <xf numFmtId="0" fontId="29" fillId="17" borderId="31" xfId="55" applyFont="1" applyFill="1" applyBorder="1" applyAlignment="1">
      <alignment horizontal="center" vertical="center" wrapText="1"/>
    </xf>
    <xf numFmtId="0" fontId="16" fillId="17" borderId="63" xfId="55" applyFont="1" applyFill="1" applyBorder="1" applyAlignment="1">
      <alignment horizontal="center" vertical="center"/>
    </xf>
    <xf numFmtId="0" fontId="70" fillId="17" borderId="63" xfId="55" applyFont="1" applyFill="1" applyBorder="1" applyAlignment="1">
      <alignment horizontal="center" vertical="center"/>
    </xf>
    <xf numFmtId="0" fontId="29" fillId="17" borderId="37" xfId="55" quotePrefix="1" applyFont="1" applyFill="1" applyBorder="1" applyAlignment="1">
      <alignment horizontal="center" vertical="center" wrapText="1"/>
    </xf>
    <xf numFmtId="0" fontId="29" fillId="17" borderId="37" xfId="55" quotePrefix="1" applyFont="1" applyFill="1" applyBorder="1" applyAlignment="1">
      <alignment horizontal="left" vertical="center"/>
    </xf>
    <xf numFmtId="0" fontId="29" fillId="17" borderId="37" xfId="55" quotePrefix="1" applyFont="1" applyFill="1" applyBorder="1" applyAlignment="1">
      <alignment horizontal="left" vertical="center" wrapText="1"/>
    </xf>
    <xf numFmtId="0" fontId="33" fillId="18" borderId="31" xfId="55" applyFont="1" applyFill="1" applyBorder="1" applyAlignment="1">
      <alignment horizontal="left" vertical="center" wrapText="1"/>
    </xf>
    <xf numFmtId="164" fontId="29" fillId="0" borderId="31" xfId="55" applyNumberFormat="1" applyFont="1" applyBorder="1" applyAlignment="1">
      <alignment horizontal="center" vertical="center" wrapText="1"/>
    </xf>
    <xf numFmtId="2" fontId="29" fillId="0" borderId="39" xfId="55" applyNumberFormat="1" applyFont="1" applyBorder="1" applyAlignment="1">
      <alignment horizontal="center" vertical="center" wrapText="1"/>
    </xf>
    <xf numFmtId="2" fontId="29" fillId="0" borderId="31" xfId="55" applyNumberFormat="1" applyFont="1" applyBorder="1" applyAlignment="1">
      <alignment horizontal="center" vertical="center" wrapText="1"/>
    </xf>
    <xf numFmtId="0" fontId="29" fillId="17" borderId="12" xfId="0" applyFont="1" applyFill="1" applyBorder="1" applyAlignment="1">
      <alignment horizontal="center" vertical="center" wrapText="1"/>
    </xf>
    <xf numFmtId="0" fontId="74" fillId="17" borderId="38" xfId="55" applyFont="1" applyFill="1" applyBorder="1" applyAlignment="1">
      <alignment horizontal="center" vertical="center"/>
    </xf>
    <xf numFmtId="0" fontId="86" fillId="17" borderId="31" xfId="0" applyFont="1" applyFill="1" applyBorder="1" applyAlignment="1">
      <alignment horizontal="center" vertical="center"/>
    </xf>
    <xf numFmtId="0" fontId="86" fillId="17" borderId="41" xfId="0" applyFont="1" applyFill="1" applyBorder="1" applyAlignment="1">
      <alignment horizontal="center" vertical="center"/>
    </xf>
    <xf numFmtId="0" fontId="74" fillId="17" borderId="62" xfId="55" applyFont="1" applyFill="1" applyBorder="1" applyAlignment="1">
      <alignment horizontal="left" vertical="center" wrapText="1"/>
    </xf>
    <xf numFmtId="0" fontId="73" fillId="17" borderId="59" xfId="55" applyFont="1" applyFill="1" applyBorder="1" applyAlignment="1">
      <alignment horizontal="center" vertical="center"/>
    </xf>
    <xf numFmtId="0" fontId="73" fillId="17" borderId="50" xfId="55" applyFont="1" applyFill="1" applyBorder="1" applyAlignment="1">
      <alignment horizontal="center" vertical="center"/>
    </xf>
    <xf numFmtId="0" fontId="60" fillId="3" borderId="0" xfId="0" applyFont="1" applyFill="1" applyAlignment="1">
      <alignment horizontal="left" vertical="center"/>
    </xf>
    <xf numFmtId="0" fontId="60" fillId="3" borderId="45" xfId="0" applyFont="1" applyFill="1" applyBorder="1" applyAlignment="1">
      <alignment horizontal="left" vertical="center"/>
    </xf>
    <xf numFmtId="0" fontId="17" fillId="3" borderId="4" xfId="0" applyFont="1" applyFill="1" applyBorder="1" applyAlignment="1">
      <alignment horizontal="center" vertical="center" wrapText="1"/>
    </xf>
    <xf numFmtId="0" fontId="17" fillId="3" borderId="1" xfId="0" applyFont="1" applyFill="1" applyBorder="1" applyAlignment="1">
      <alignment horizontal="center" vertical="center" wrapText="1"/>
    </xf>
    <xf numFmtId="0" fontId="17" fillId="3" borderId="2" xfId="0" quotePrefix="1" applyFont="1" applyFill="1" applyBorder="1" applyAlignment="1">
      <alignment horizontal="center" vertical="center" wrapText="1"/>
    </xf>
    <xf numFmtId="0" fontId="17" fillId="3" borderId="4" xfId="0" quotePrefix="1" applyFont="1" applyFill="1" applyBorder="1" applyAlignment="1">
      <alignment horizontal="center" vertical="center" wrapText="1"/>
    </xf>
    <xf numFmtId="0" fontId="17" fillId="3" borderId="9" xfId="0" applyFont="1" applyFill="1" applyBorder="1" applyAlignment="1">
      <alignment horizontal="center" vertical="center"/>
    </xf>
    <xf numFmtId="0" fontId="17" fillId="3" borderId="1" xfId="0" quotePrefix="1" applyFont="1" applyFill="1" applyBorder="1" applyAlignment="1">
      <alignment horizontal="center" vertical="center" wrapText="1"/>
    </xf>
    <xf numFmtId="0" fontId="17" fillId="3" borderId="0" xfId="0" applyFont="1" applyFill="1" applyAlignment="1">
      <alignment horizontal="center" vertical="center" wrapText="1"/>
    </xf>
    <xf numFmtId="0" fontId="17" fillId="3" borderId="10" xfId="0" applyFont="1" applyFill="1" applyBorder="1" applyAlignment="1">
      <alignment horizontal="center" vertical="center" wrapText="1"/>
    </xf>
    <xf numFmtId="0" fontId="17" fillId="3" borderId="9" xfId="0" applyFont="1" applyFill="1" applyBorder="1" applyAlignment="1">
      <alignment horizontal="center" vertical="center" wrapText="1"/>
    </xf>
    <xf numFmtId="0" fontId="17" fillId="3" borderId="13" xfId="55" applyFont="1" applyFill="1" applyBorder="1" applyAlignment="1">
      <alignment horizontal="center" vertical="center"/>
    </xf>
    <xf numFmtId="0" fontId="17" fillId="0" borderId="53" xfId="0" applyFont="1" applyBorder="1" applyAlignment="1">
      <alignment horizontal="center" vertical="center"/>
    </xf>
    <xf numFmtId="0" fontId="17" fillId="3" borderId="7" xfId="0" applyFont="1" applyFill="1" applyBorder="1" applyAlignment="1">
      <alignment horizontal="center" vertical="center" wrapText="1"/>
    </xf>
    <xf numFmtId="0" fontId="17" fillId="3" borderId="6" xfId="0" applyFont="1" applyFill="1" applyBorder="1" applyAlignment="1">
      <alignment horizontal="center" vertical="center" wrapText="1"/>
    </xf>
    <xf numFmtId="0" fontId="17" fillId="3" borderId="28" xfId="0" quotePrefix="1" applyFont="1" applyFill="1" applyBorder="1" applyAlignment="1">
      <alignment horizontal="center" vertical="center" wrapText="1"/>
    </xf>
    <xf numFmtId="0" fontId="17" fillId="3" borderId="4" xfId="0" applyFont="1" applyFill="1" applyBorder="1" applyAlignment="1">
      <alignment horizontal="center" vertical="center" textRotation="90" wrapText="1"/>
    </xf>
    <xf numFmtId="0" fontId="29" fillId="3" borderId="5" xfId="0" quotePrefix="1" applyFont="1" applyFill="1" applyBorder="1" applyAlignment="1">
      <alignment horizontal="center" vertical="center" wrapText="1"/>
    </xf>
    <xf numFmtId="0" fontId="29" fillId="3" borderId="4" xfId="0" quotePrefix="1" applyFont="1" applyFill="1" applyBorder="1" applyAlignment="1">
      <alignment horizontal="center" vertical="center" wrapText="1"/>
    </xf>
    <xf numFmtId="0" fontId="29" fillId="0" borderId="31" xfId="0" quotePrefix="1" applyFont="1" applyBorder="1" applyAlignment="1">
      <alignment horizontal="center" vertical="center" wrapText="1"/>
    </xf>
    <xf numFmtId="0" fontId="29" fillId="0" borderId="32" xfId="0" quotePrefix="1" applyFont="1" applyBorder="1" applyAlignment="1">
      <alignment horizontal="center" vertical="center" wrapText="1"/>
    </xf>
    <xf numFmtId="0" fontId="29" fillId="0" borderId="37" xfId="0" quotePrefix="1" applyFont="1" applyBorder="1" applyAlignment="1">
      <alignment horizontal="center" vertical="center" wrapText="1"/>
    </xf>
    <xf numFmtId="0" fontId="62" fillId="3" borderId="47" xfId="0" quotePrefix="1" applyFont="1" applyFill="1" applyBorder="1" applyAlignment="1">
      <alignment vertical="center"/>
    </xf>
    <xf numFmtId="0" fontId="62" fillId="3" borderId="35" xfId="0" quotePrefix="1" applyFont="1" applyFill="1" applyBorder="1" applyAlignment="1">
      <alignment vertical="center"/>
    </xf>
    <xf numFmtId="0" fontId="62" fillId="3" borderId="3" xfId="0" quotePrefix="1" applyFont="1" applyFill="1" applyBorder="1" applyAlignment="1">
      <alignment vertical="center"/>
    </xf>
    <xf numFmtId="0" fontId="62" fillId="3" borderId="36" xfId="0" quotePrefix="1" applyFont="1" applyFill="1" applyBorder="1" applyAlignment="1">
      <alignment vertical="center"/>
    </xf>
    <xf numFmtId="0" fontId="29" fillId="0" borderId="79" xfId="0" applyFont="1" applyBorder="1" applyAlignment="1">
      <alignment horizontal="center" vertical="center"/>
    </xf>
    <xf numFmtId="0" fontId="29" fillId="0" borderId="11" xfId="0" applyFont="1" applyBorder="1" applyAlignment="1">
      <alignment horizontal="center" vertical="center"/>
    </xf>
    <xf numFmtId="0" fontId="16" fillId="0" borderId="11" xfId="0" applyFont="1" applyBorder="1" applyAlignment="1">
      <alignment horizontal="center" vertical="center"/>
    </xf>
    <xf numFmtId="0" fontId="29" fillId="0" borderId="80" xfId="0" applyFont="1" applyBorder="1" applyAlignment="1">
      <alignment horizontal="center" vertical="center"/>
    </xf>
    <xf numFmtId="0" fontId="29" fillId="0" borderId="14" xfId="0" applyFont="1" applyBorder="1" applyAlignment="1">
      <alignment horizontal="center" vertical="center"/>
    </xf>
    <xf numFmtId="0" fontId="16" fillId="0" borderId="14" xfId="0" applyFont="1" applyBorder="1" applyAlignment="1">
      <alignment horizontal="center" vertical="center"/>
    </xf>
    <xf numFmtId="0" fontId="29" fillId="17" borderId="55" xfId="0" applyFont="1" applyFill="1" applyBorder="1" applyAlignment="1">
      <alignment horizontal="center" vertical="center"/>
    </xf>
    <xf numFmtId="0" fontId="17" fillId="3" borderId="15" xfId="0" applyFont="1" applyFill="1" applyBorder="1" applyAlignment="1">
      <alignment vertical="center"/>
    </xf>
    <xf numFmtId="0" fontId="17" fillId="3" borderId="14" xfId="0" applyFont="1" applyFill="1" applyBorder="1" applyAlignment="1">
      <alignment vertical="center"/>
    </xf>
    <xf numFmtId="0" fontId="17" fillId="3" borderId="5" xfId="0" applyFont="1" applyFill="1" applyBorder="1" applyAlignment="1">
      <alignment horizontal="center" vertical="center" textRotation="90" wrapText="1"/>
    </xf>
    <xf numFmtId="0" fontId="17" fillId="3" borderId="5" xfId="0" applyFont="1" applyFill="1" applyBorder="1" applyAlignment="1">
      <alignment horizontal="center" vertical="center" wrapText="1"/>
    </xf>
    <xf numFmtId="0" fontId="17" fillId="0" borderId="7" xfId="0" applyFont="1" applyBorder="1" applyAlignment="1">
      <alignment horizontal="center" vertical="center" wrapText="1"/>
    </xf>
    <xf numFmtId="0" fontId="17" fillId="3" borderId="6" xfId="0" applyFont="1" applyFill="1" applyBorder="1" applyAlignment="1">
      <alignment vertical="center"/>
    </xf>
    <xf numFmtId="0" fontId="16" fillId="18" borderId="38" xfId="0" applyFont="1" applyFill="1" applyBorder="1" applyAlignment="1">
      <alignment horizontal="center" vertical="center"/>
    </xf>
    <xf numFmtId="0" fontId="16" fillId="18" borderId="41" xfId="0" applyFont="1" applyFill="1" applyBorder="1" applyAlignment="1">
      <alignment horizontal="center" vertical="center"/>
    </xf>
    <xf numFmtId="0" fontId="16" fillId="0" borderId="59" xfId="0" applyFont="1" applyBorder="1" applyAlignment="1">
      <alignment horizontal="center"/>
    </xf>
    <xf numFmtId="0" fontId="16" fillId="0" borderId="50" xfId="0" applyFont="1" applyBorder="1" applyAlignment="1">
      <alignment horizontal="center"/>
    </xf>
    <xf numFmtId="0" fontId="16" fillId="0" borderId="63" xfId="0" applyFont="1" applyBorder="1" applyAlignment="1">
      <alignment horizontal="center"/>
    </xf>
    <xf numFmtId="0" fontId="29" fillId="17" borderId="31" xfId="55" quotePrefix="1" applyFont="1" applyFill="1" applyBorder="1" applyAlignment="1">
      <alignment horizontal="left" vertical="center"/>
    </xf>
    <xf numFmtId="0" fontId="29" fillId="17" borderId="31" xfId="55" quotePrefix="1" applyFont="1" applyFill="1" applyBorder="1" applyAlignment="1">
      <alignment horizontal="left" vertical="center" wrapText="1"/>
    </xf>
    <xf numFmtId="0" fontId="29" fillId="0" borderId="68" xfId="0" applyFont="1" applyBorder="1" applyAlignment="1">
      <alignment horizontal="center" vertical="center"/>
    </xf>
    <xf numFmtId="0" fontId="16" fillId="0" borderId="12" xfId="0" applyFont="1" applyBorder="1" applyAlignment="1">
      <alignment horizontal="center" vertical="center"/>
    </xf>
    <xf numFmtId="0" fontId="17" fillId="3" borderId="11" xfId="0" applyFont="1" applyFill="1" applyBorder="1" applyAlignment="1">
      <alignment horizontal="center" vertical="center"/>
    </xf>
    <xf numFmtId="0" fontId="18" fillId="3" borderId="0" xfId="55" applyFont="1" applyFill="1" applyAlignment="1">
      <alignment horizontal="center" vertical="center"/>
    </xf>
    <xf numFmtId="0" fontId="65" fillId="3" borderId="0" xfId="55" applyFont="1" applyFill="1" applyAlignment="1" applyProtection="1">
      <alignment horizontal="left" vertical="center"/>
      <protection locked="0"/>
    </xf>
    <xf numFmtId="0" fontId="18" fillId="3" borderId="0" xfId="55" quotePrefix="1" applyFont="1" applyFill="1" applyAlignment="1" applyProtection="1">
      <alignment vertical="center"/>
      <protection locked="0"/>
    </xf>
    <xf numFmtId="0" fontId="62" fillId="3" borderId="48" xfId="0" applyFont="1" applyFill="1" applyBorder="1" applyAlignment="1">
      <alignment horizontal="center" vertical="center"/>
    </xf>
    <xf numFmtId="0" fontId="62" fillId="3" borderId="49" xfId="0" applyFont="1" applyFill="1" applyBorder="1" applyAlignment="1">
      <alignment horizontal="center" vertical="center"/>
    </xf>
    <xf numFmtId="0" fontId="62" fillId="3" borderId="47" xfId="0" applyFont="1" applyFill="1" applyBorder="1" applyAlignment="1">
      <alignment horizontal="center" vertical="center"/>
    </xf>
    <xf numFmtId="0" fontId="62" fillId="3" borderId="45" xfId="0" applyFont="1" applyFill="1" applyBorder="1" applyAlignment="1">
      <alignment horizontal="center" vertical="center"/>
    </xf>
    <xf numFmtId="0" fontId="62" fillId="3" borderId="35" xfId="0" applyFont="1" applyFill="1" applyBorder="1" applyAlignment="1">
      <alignment horizontal="center" vertical="center"/>
    </xf>
    <xf numFmtId="0" fontId="62" fillId="3" borderId="36" xfId="0" applyFont="1" applyFill="1" applyBorder="1" applyAlignment="1">
      <alignment horizontal="center" vertical="center"/>
    </xf>
    <xf numFmtId="0" fontId="62" fillId="3" borderId="35" xfId="0" quotePrefix="1" applyFont="1" applyFill="1" applyBorder="1" applyAlignment="1">
      <alignment horizontal="left" vertical="center" wrapText="1"/>
    </xf>
    <xf numFmtId="0" fontId="62" fillId="3" borderId="3" xfId="0" quotePrefix="1" applyFont="1" applyFill="1" applyBorder="1" applyAlignment="1">
      <alignment horizontal="left" vertical="center" wrapText="1"/>
    </xf>
    <xf numFmtId="0" fontId="62" fillId="3" borderId="36" xfId="0" quotePrefix="1" applyFont="1" applyFill="1" applyBorder="1" applyAlignment="1">
      <alignment horizontal="left" vertical="center" wrapText="1"/>
    </xf>
    <xf numFmtId="0" fontId="62" fillId="3" borderId="48" xfId="0" quotePrefix="1" applyFont="1" applyFill="1" applyBorder="1" applyAlignment="1">
      <alignment horizontal="left" vertical="center"/>
    </xf>
    <xf numFmtId="0" fontId="62" fillId="3" borderId="17" xfId="0" quotePrefix="1" applyFont="1" applyFill="1" applyBorder="1" applyAlignment="1">
      <alignment horizontal="left" vertical="center"/>
    </xf>
    <xf numFmtId="0" fontId="62" fillId="3" borderId="49" xfId="0" quotePrefix="1" applyFont="1" applyFill="1" applyBorder="1" applyAlignment="1">
      <alignment horizontal="left" vertical="center"/>
    </xf>
    <xf numFmtId="0" fontId="61" fillId="0" borderId="33" xfId="0" applyFont="1" applyBorder="1" applyAlignment="1">
      <alignment horizontal="center" vertical="center" wrapText="1"/>
    </xf>
    <xf numFmtId="0" fontId="61" fillId="0" borderId="16" xfId="0" applyFont="1" applyBorder="1" applyAlignment="1">
      <alignment horizontal="center" vertical="center" wrapText="1"/>
    </xf>
    <xf numFmtId="0" fontId="61" fillId="0" borderId="34" xfId="0" applyFont="1" applyBorder="1" applyAlignment="1">
      <alignment horizontal="center" vertical="center" wrapText="1"/>
    </xf>
    <xf numFmtId="0" fontId="62" fillId="3" borderId="35" xfId="0" quotePrefix="1" applyFont="1" applyFill="1" applyBorder="1" applyAlignment="1">
      <alignment horizontal="left" vertical="center"/>
    </xf>
    <xf numFmtId="0" fontId="62" fillId="3" borderId="3" xfId="0" quotePrefix="1" applyFont="1" applyFill="1" applyBorder="1" applyAlignment="1">
      <alignment horizontal="left" vertical="center"/>
    </xf>
    <xf numFmtId="0" fontId="62" fillId="3" borderId="36" xfId="0" quotePrefix="1" applyFont="1" applyFill="1" applyBorder="1" applyAlignment="1">
      <alignment horizontal="left" vertical="center"/>
    </xf>
    <xf numFmtId="0" fontId="62" fillId="3" borderId="47" xfId="0" quotePrefix="1" applyFont="1" applyFill="1" applyBorder="1" applyAlignment="1">
      <alignment horizontal="left" vertical="center"/>
    </xf>
    <xf numFmtId="0" fontId="62" fillId="3" borderId="0" xfId="0" quotePrefix="1" applyFont="1" applyFill="1" applyAlignment="1">
      <alignment horizontal="left" vertical="center"/>
    </xf>
    <xf numFmtId="0" fontId="62" fillId="3" borderId="45" xfId="0" quotePrefix="1" applyFont="1" applyFill="1" applyBorder="1" applyAlignment="1">
      <alignment horizontal="left" vertical="center"/>
    </xf>
    <xf numFmtId="0" fontId="62" fillId="3" borderId="48" xfId="0" applyFont="1" applyFill="1" applyBorder="1" applyAlignment="1">
      <alignment horizontal="center" vertical="center" wrapText="1"/>
    </xf>
    <xf numFmtId="0" fontId="62" fillId="3" borderId="49" xfId="0" applyFont="1" applyFill="1" applyBorder="1" applyAlignment="1">
      <alignment horizontal="center" vertical="center" wrapText="1"/>
    </xf>
    <xf numFmtId="0" fontId="62" fillId="3" borderId="47" xfId="0" applyFont="1" applyFill="1" applyBorder="1" applyAlignment="1">
      <alignment horizontal="center" vertical="center" wrapText="1"/>
    </xf>
    <xf numFmtId="0" fontId="62" fillId="3" borderId="45" xfId="0" applyFont="1" applyFill="1" applyBorder="1" applyAlignment="1">
      <alignment horizontal="center" vertical="center" wrapText="1"/>
    </xf>
    <xf numFmtId="0" fontId="62" fillId="3" borderId="35" xfId="0" applyFont="1" applyFill="1" applyBorder="1" applyAlignment="1">
      <alignment horizontal="center" vertical="center" wrapText="1"/>
    </xf>
    <xf numFmtId="0" fontId="62" fillId="3" borderId="36" xfId="0" applyFont="1" applyFill="1" applyBorder="1" applyAlignment="1">
      <alignment horizontal="center" vertical="center" wrapText="1"/>
    </xf>
    <xf numFmtId="0" fontId="16" fillId="3" borderId="7" xfId="55" applyFont="1" applyFill="1" applyBorder="1" applyAlignment="1">
      <alignment horizontal="left" vertical="center" indent="1"/>
    </xf>
    <xf numFmtId="0" fontId="16" fillId="3" borderId="12" xfId="55" applyFont="1" applyFill="1" applyBorder="1" applyAlignment="1">
      <alignment horizontal="left" vertical="center" indent="1"/>
    </xf>
    <xf numFmtId="0" fontId="16" fillId="3" borderId="6" xfId="55" applyFont="1" applyFill="1" applyBorder="1" applyAlignment="1">
      <alignment horizontal="left" vertical="center" indent="1"/>
    </xf>
    <xf numFmtId="0" fontId="22" fillId="3" borderId="17" xfId="0" applyFont="1" applyFill="1" applyBorder="1" applyAlignment="1">
      <alignment horizontal="center" vertical="center"/>
    </xf>
    <xf numFmtId="0" fontId="17" fillId="3" borderId="7" xfId="0" quotePrefix="1" applyFont="1" applyFill="1" applyBorder="1" applyAlignment="1">
      <alignment horizontal="center" vertical="center"/>
    </xf>
    <xf numFmtId="0" fontId="17" fillId="3" borderId="12" xfId="0" quotePrefix="1" applyFont="1" applyFill="1" applyBorder="1" applyAlignment="1">
      <alignment horizontal="center" vertical="center"/>
    </xf>
    <xf numFmtId="0" fontId="17" fillId="3" borderId="6" xfId="0" quotePrefix="1" applyFont="1" applyFill="1" applyBorder="1" applyAlignment="1">
      <alignment horizontal="center" vertical="center"/>
    </xf>
    <xf numFmtId="0" fontId="22" fillId="3" borderId="33" xfId="0" applyFont="1" applyFill="1" applyBorder="1" applyAlignment="1" applyProtection="1">
      <alignment horizontal="center" vertical="center"/>
      <protection locked="0"/>
    </xf>
    <xf numFmtId="0" fontId="22" fillId="3" borderId="16" xfId="0" applyFont="1" applyFill="1" applyBorder="1" applyAlignment="1" applyProtection="1">
      <alignment horizontal="center" vertical="center"/>
      <protection locked="0"/>
    </xf>
    <xf numFmtId="0" fontId="22" fillId="3" borderId="34" xfId="0" applyFont="1" applyFill="1" applyBorder="1" applyAlignment="1" applyProtection="1">
      <alignment horizontal="center" vertical="center"/>
      <protection locked="0"/>
    </xf>
    <xf numFmtId="0" fontId="17" fillId="3" borderId="52" xfId="0" applyFont="1" applyFill="1" applyBorder="1" applyAlignment="1">
      <alignment horizontal="center" vertical="center"/>
    </xf>
    <xf numFmtId="0" fontId="17" fillId="3" borderId="29" xfId="0" applyFont="1" applyFill="1" applyBorder="1" applyAlignment="1">
      <alignment horizontal="center" vertical="center"/>
    </xf>
    <xf numFmtId="0" fontId="17" fillId="3" borderId="53" xfId="0" applyFont="1" applyFill="1" applyBorder="1" applyAlignment="1">
      <alignment horizontal="center" vertical="center"/>
    </xf>
    <xf numFmtId="0" fontId="17" fillId="3" borderId="20" xfId="0" applyFont="1" applyFill="1" applyBorder="1" applyAlignment="1">
      <alignment horizontal="center" vertical="center" wrapText="1"/>
    </xf>
    <xf numFmtId="0" fontId="17" fillId="3" borderId="4" xfId="0" applyFont="1" applyFill="1" applyBorder="1" applyAlignment="1">
      <alignment horizontal="center" vertical="center" wrapText="1"/>
    </xf>
    <xf numFmtId="0" fontId="17" fillId="3" borderId="20" xfId="0" quotePrefix="1" applyFont="1" applyFill="1" applyBorder="1" applyAlignment="1">
      <alignment horizontal="center" vertical="center" wrapText="1"/>
    </xf>
    <xf numFmtId="0" fontId="17" fillId="3" borderId="4" xfId="0" quotePrefix="1" applyFont="1" applyFill="1" applyBorder="1" applyAlignment="1">
      <alignment horizontal="center" vertical="center" wrapText="1"/>
    </xf>
    <xf numFmtId="0" fontId="17" fillId="3" borderId="18" xfId="0" applyFont="1" applyFill="1" applyBorder="1" applyAlignment="1">
      <alignment horizontal="center" vertical="center"/>
    </xf>
    <xf numFmtId="0" fontId="17" fillId="3" borderId="19" xfId="0" applyFont="1" applyFill="1" applyBorder="1" applyAlignment="1">
      <alignment horizontal="center" vertical="center"/>
    </xf>
    <xf numFmtId="0" fontId="22" fillId="3" borderId="48" xfId="0" applyFont="1" applyFill="1" applyBorder="1" applyAlignment="1">
      <alignment horizontal="center" vertical="center"/>
    </xf>
    <xf numFmtId="0" fontId="22" fillId="3" borderId="49" xfId="0" applyFont="1" applyFill="1" applyBorder="1" applyAlignment="1">
      <alignment horizontal="center" vertical="center"/>
    </xf>
    <xf numFmtId="0" fontId="22" fillId="3" borderId="35" xfId="0" applyFont="1" applyFill="1" applyBorder="1" applyAlignment="1">
      <alignment horizontal="center" vertical="center"/>
    </xf>
    <xf numFmtId="0" fontId="22" fillId="3" borderId="3" xfId="0" applyFont="1" applyFill="1" applyBorder="1" applyAlignment="1">
      <alignment horizontal="center" vertical="center"/>
    </xf>
    <xf numFmtId="0" fontId="22" fillId="3" borderId="36" xfId="0" applyFont="1" applyFill="1" applyBorder="1" applyAlignment="1">
      <alignment horizontal="center" vertical="center"/>
    </xf>
    <xf numFmtId="0" fontId="22" fillId="3" borderId="33" xfId="0" applyFont="1" applyFill="1" applyBorder="1" applyAlignment="1">
      <alignment horizontal="center" vertical="center"/>
    </xf>
    <xf numFmtId="0" fontId="22" fillId="3" borderId="16" xfId="0" applyFont="1" applyFill="1" applyBorder="1" applyAlignment="1">
      <alignment horizontal="center" vertical="center"/>
    </xf>
    <xf numFmtId="0" fontId="22" fillId="3" borderId="34" xfId="0" applyFont="1" applyFill="1" applyBorder="1" applyAlignment="1">
      <alignment horizontal="center" vertical="center"/>
    </xf>
    <xf numFmtId="0" fontId="17" fillId="3" borderId="18" xfId="0" applyFont="1" applyFill="1" applyBorder="1" applyAlignment="1">
      <alignment horizontal="center" vertical="center" wrapText="1"/>
    </xf>
    <xf numFmtId="0" fontId="17" fillId="3" borderId="29" xfId="0" applyFont="1" applyFill="1" applyBorder="1" applyAlignment="1">
      <alignment horizontal="center" vertical="center" wrapText="1"/>
    </xf>
    <xf numFmtId="0" fontId="17" fillId="3" borderId="19" xfId="0" applyFont="1" applyFill="1" applyBorder="1" applyAlignment="1">
      <alignment horizontal="center" vertical="center" wrapText="1"/>
    </xf>
    <xf numFmtId="0" fontId="17" fillId="3" borderId="18" xfId="55" applyFont="1" applyFill="1" applyBorder="1" applyAlignment="1">
      <alignment horizontal="center" vertical="center"/>
    </xf>
    <xf numFmtId="0" fontId="17" fillId="3" borderId="29" xfId="55" applyFont="1" applyFill="1" applyBorder="1" applyAlignment="1">
      <alignment horizontal="center" vertical="center"/>
    </xf>
    <xf numFmtId="0" fontId="17" fillId="3" borderId="19" xfId="55" applyFont="1" applyFill="1" applyBorder="1" applyAlignment="1">
      <alignment horizontal="center" vertical="center"/>
    </xf>
    <xf numFmtId="0" fontId="17" fillId="3" borderId="18" xfId="0" quotePrefix="1" applyFont="1" applyFill="1" applyBorder="1" applyAlignment="1">
      <alignment horizontal="center" vertical="center"/>
    </xf>
    <xf numFmtId="0" fontId="17" fillId="3" borderId="29" xfId="0" quotePrefix="1" applyFont="1" applyFill="1" applyBorder="1" applyAlignment="1">
      <alignment horizontal="center" vertical="center"/>
    </xf>
    <xf numFmtId="0" fontId="17" fillId="3" borderId="19" xfId="0" quotePrefix="1" applyFont="1" applyFill="1" applyBorder="1" applyAlignment="1">
      <alignment horizontal="center" vertical="center"/>
    </xf>
    <xf numFmtId="0" fontId="22" fillId="3" borderId="26" xfId="0" applyFont="1" applyFill="1" applyBorder="1" applyAlignment="1">
      <alignment horizontal="center" vertical="center"/>
    </xf>
    <xf numFmtId="0" fontId="22" fillId="3" borderId="51" xfId="0" applyFont="1" applyFill="1" applyBorder="1" applyAlignment="1">
      <alignment horizontal="center" vertical="center"/>
    </xf>
    <xf numFmtId="0" fontId="17" fillId="0" borderId="52" xfId="0" applyFont="1" applyBorder="1" applyAlignment="1">
      <alignment horizontal="center" vertical="center"/>
    </xf>
    <xf numFmtId="0" fontId="17" fillId="0" borderId="29" xfId="0" applyFont="1" applyBorder="1" applyAlignment="1">
      <alignment horizontal="center" vertical="center"/>
    </xf>
    <xf numFmtId="0" fontId="17" fillId="0" borderId="53" xfId="0" applyFont="1" applyBorder="1" applyAlignment="1">
      <alignment horizontal="center" vertical="center"/>
    </xf>
    <xf numFmtId="0" fontId="17" fillId="3" borderId="52" xfId="0" applyFont="1" applyFill="1" applyBorder="1" applyAlignment="1">
      <alignment horizontal="center" vertical="center" wrapText="1"/>
    </xf>
    <xf numFmtId="0" fontId="17" fillId="3" borderId="18" xfId="0" quotePrefix="1" applyFont="1" applyFill="1" applyBorder="1" applyAlignment="1">
      <alignment horizontal="center" vertical="center" wrapText="1"/>
    </xf>
    <xf numFmtId="0" fontId="17" fillId="3" borderId="29" xfId="0" quotePrefix="1" applyFont="1" applyFill="1" applyBorder="1" applyAlignment="1">
      <alignment horizontal="center" vertical="center" wrapText="1"/>
    </xf>
    <xf numFmtId="0" fontId="17" fillId="3" borderId="19" xfId="0" quotePrefix="1" applyFont="1" applyFill="1" applyBorder="1" applyAlignment="1">
      <alignment horizontal="center" vertical="center" wrapText="1"/>
    </xf>
    <xf numFmtId="0" fontId="17" fillId="0" borderId="18" xfId="0" applyFont="1" applyBorder="1" applyAlignment="1">
      <alignment horizontal="center" vertical="center"/>
    </xf>
    <xf numFmtId="0" fontId="22" fillId="3" borderId="16" xfId="55" applyFont="1" applyFill="1" applyBorder="1" applyAlignment="1">
      <alignment horizontal="center" vertical="center"/>
    </xf>
    <xf numFmtId="0" fontId="22" fillId="3" borderId="26" xfId="55" applyFont="1" applyFill="1" applyBorder="1" applyAlignment="1">
      <alignment horizontal="center" vertical="center"/>
    </xf>
    <xf numFmtId="0" fontId="80" fillId="3" borderId="8" xfId="55" quotePrefix="1" applyFont="1" applyFill="1" applyBorder="1" applyAlignment="1">
      <alignment horizontal="center" vertical="center" wrapText="1"/>
    </xf>
    <xf numFmtId="0" fontId="80" fillId="3" borderId="0" xfId="55" quotePrefix="1" applyFont="1" applyFill="1" applyAlignment="1">
      <alignment horizontal="center" vertical="center" wrapText="1"/>
    </xf>
    <xf numFmtId="0" fontId="80" fillId="3" borderId="10" xfId="55" quotePrefix="1" applyFont="1" applyFill="1" applyBorder="1" applyAlignment="1">
      <alignment horizontal="center" vertical="center" wrapText="1"/>
    </xf>
    <xf numFmtId="0" fontId="29" fillId="0" borderId="5" xfId="0" quotePrefix="1" applyFont="1" applyBorder="1" applyAlignment="1">
      <alignment horizontal="center" vertical="center"/>
    </xf>
    <xf numFmtId="0" fontId="29" fillId="0" borderId="4" xfId="0" quotePrefix="1" applyFont="1" applyBorder="1" applyAlignment="1">
      <alignment horizontal="center" vertical="center"/>
    </xf>
    <xf numFmtId="0" fontId="22" fillId="3" borderId="52" xfId="0" applyFont="1" applyFill="1" applyBorder="1" applyAlignment="1">
      <alignment horizontal="center" vertical="center"/>
    </xf>
    <xf numFmtId="0" fontId="22" fillId="3" borderId="29" xfId="0" applyFont="1" applyFill="1" applyBorder="1" applyAlignment="1">
      <alignment horizontal="center" vertical="center"/>
    </xf>
    <xf numFmtId="0" fontId="22" fillId="3" borderId="53" xfId="0" applyFont="1" applyFill="1" applyBorder="1" applyAlignment="1">
      <alignment horizontal="center" vertical="center"/>
    </xf>
    <xf numFmtId="0" fontId="17" fillId="3" borderId="5" xfId="0" applyFont="1" applyFill="1" applyBorder="1" applyAlignment="1">
      <alignment horizontal="center" vertical="center" textRotation="90" wrapText="1"/>
    </xf>
    <xf numFmtId="0" fontId="17" fillId="3" borderId="4" xfId="0" applyFont="1" applyFill="1" applyBorder="1" applyAlignment="1">
      <alignment horizontal="center" vertical="center" textRotation="90" wrapText="1"/>
    </xf>
    <xf numFmtId="0" fontId="17" fillId="3" borderId="5" xfId="0" applyFont="1" applyFill="1" applyBorder="1" applyAlignment="1">
      <alignment horizontal="center" vertical="center" wrapText="1"/>
    </xf>
    <xf numFmtId="0" fontId="17" fillId="0" borderId="7" xfId="0" applyFont="1" applyBorder="1" applyAlignment="1">
      <alignment horizontal="center" vertical="center" wrapText="1"/>
    </xf>
    <xf numFmtId="0" fontId="17" fillId="0" borderId="12" xfId="0" applyFont="1" applyBorder="1" applyAlignment="1">
      <alignment horizontal="center" vertical="center" wrapText="1"/>
    </xf>
    <xf numFmtId="0" fontId="17" fillId="0" borderId="6" xfId="0" applyFont="1" applyBorder="1" applyAlignment="1">
      <alignment horizontal="center" vertical="center" wrapText="1"/>
    </xf>
    <xf numFmtId="0" fontId="17" fillId="3" borderId="7" xfId="0" applyFont="1" applyFill="1" applyBorder="1" applyAlignment="1">
      <alignment horizontal="center" vertical="center" wrapText="1"/>
    </xf>
    <xf numFmtId="0" fontId="17" fillId="3" borderId="12" xfId="0" applyFont="1" applyFill="1" applyBorder="1" applyAlignment="1">
      <alignment horizontal="center" vertical="center" wrapText="1"/>
    </xf>
    <xf numFmtId="0" fontId="17" fillId="3" borderId="6" xfId="0" applyFont="1" applyFill="1" applyBorder="1" applyAlignment="1">
      <alignment horizontal="center" vertical="center" wrapText="1"/>
    </xf>
    <xf numFmtId="0" fontId="29" fillId="3" borderId="5" xfId="0" quotePrefix="1" applyFont="1" applyFill="1" applyBorder="1" applyAlignment="1">
      <alignment horizontal="center" vertical="center" wrapText="1"/>
    </xf>
    <xf numFmtId="0" fontId="29" fillId="3" borderId="2" xfId="0" quotePrefix="1" applyFont="1" applyFill="1" applyBorder="1" applyAlignment="1">
      <alignment horizontal="center" vertical="center" wrapText="1"/>
    </xf>
    <xf numFmtId="0" fontId="29" fillId="3" borderId="4" xfId="0" quotePrefix="1" applyFont="1" applyFill="1" applyBorder="1" applyAlignment="1">
      <alignment horizontal="center" vertical="center" wrapText="1"/>
    </xf>
    <xf numFmtId="0" fontId="29" fillId="0" borderId="5" xfId="0" quotePrefix="1" applyFont="1" applyBorder="1" applyAlignment="1">
      <alignment horizontal="center" vertical="center" wrapText="1"/>
    </xf>
    <xf numFmtId="0" fontId="29" fillId="0" borderId="2" xfId="0" quotePrefix="1" applyFont="1" applyBorder="1" applyAlignment="1">
      <alignment horizontal="center" vertical="center" wrapText="1"/>
    </xf>
    <xf numFmtId="0" fontId="29" fillId="0" borderId="4" xfId="0" quotePrefix="1" applyFont="1" applyBorder="1" applyAlignment="1">
      <alignment horizontal="center" vertical="center" wrapText="1"/>
    </xf>
    <xf numFmtId="0" fontId="66" fillId="3" borderId="0" xfId="55" applyFont="1" applyFill="1" applyAlignment="1" applyProtection="1">
      <alignment horizontal="center" vertical="center"/>
      <protection locked="0"/>
    </xf>
    <xf numFmtId="0" fontId="22" fillId="0" borderId="48" xfId="55" applyFont="1" applyBorder="1" applyAlignment="1">
      <alignment horizontal="center" vertical="center"/>
    </xf>
    <xf numFmtId="0" fontId="22" fillId="0" borderId="17" xfId="55" applyFont="1" applyBorder="1" applyAlignment="1">
      <alignment horizontal="center" vertical="center"/>
    </xf>
    <xf numFmtId="0" fontId="22" fillId="0" borderId="49" xfId="55" applyFont="1" applyBorder="1" applyAlignment="1">
      <alignment horizontal="center" vertical="center"/>
    </xf>
    <xf numFmtId="0" fontId="22" fillId="0" borderId="35" xfId="55" applyFont="1" applyBorder="1" applyAlignment="1">
      <alignment horizontal="center" vertical="center"/>
    </xf>
    <xf numFmtId="0" fontId="22" fillId="0" borderId="3" xfId="55" applyFont="1" applyBorder="1" applyAlignment="1">
      <alignment horizontal="center" vertical="center"/>
    </xf>
    <xf numFmtId="0" fontId="22" fillId="0" borderId="36" xfId="55" applyFont="1" applyBorder="1" applyAlignment="1">
      <alignment horizontal="center" vertical="center"/>
    </xf>
  </cellXfs>
  <cellStyles count="1755">
    <cellStyle name="Bad" xfId="92" builtinId="27" hidden="1"/>
    <cellStyle name="Calculation" xfId="95" builtinId="22" hidden="1"/>
    <cellStyle name="Calculation 2" xfId="10" xr:uid="{00000000-0005-0000-0000-000002000000}"/>
    <cellStyle name="Check Cell" xfId="97" builtinId="23" hidden="1"/>
    <cellStyle name="Comma" xfId="56" builtinId="3"/>
    <cellStyle name="Comma 2" xfId="11" xr:uid="{00000000-0005-0000-0000-000005000000}"/>
    <cellStyle name="Comma 3" xfId="210" xr:uid="{00000000-0005-0000-0000-000006000000}"/>
    <cellStyle name="Comma 4" xfId="139" xr:uid="{00000000-0005-0000-0000-000007000000}"/>
    <cellStyle name="Comma 5" xfId="1350" xr:uid="{00000000-0005-0000-0000-000008000000}"/>
    <cellStyle name="Currency 2" xfId="1751" xr:uid="{6FA99AEF-4990-45BF-B322-9AAF67CB4412}"/>
    <cellStyle name="Explanatory Text" xfId="99" builtinId="53" hidden="1"/>
    <cellStyle name="Good" xfId="91" builtinId="26" hidden="1"/>
    <cellStyle name="Input" xfId="94" builtinId="20" hidden="1"/>
    <cellStyle name="Input 2" xfId="12" xr:uid="{00000000-0005-0000-0000-00000C000000}"/>
    <cellStyle name="Input 3" xfId="13" xr:uid="{00000000-0005-0000-0000-00000D000000}"/>
    <cellStyle name="Linked Cell" xfId="96" builtinId="24" hidden="1"/>
    <cellStyle name="Neutral" xfId="93" builtinId="28" hidden="1"/>
    <cellStyle name="Normal" xfId="0" builtinId="0"/>
    <cellStyle name="Normal 10" xfId="6" xr:uid="{00000000-0005-0000-0000-000011000000}"/>
    <cellStyle name="Normal 10 2" xfId="58" xr:uid="{00000000-0005-0000-0000-000012000000}"/>
    <cellStyle name="Normal 10 2 2" xfId="211" xr:uid="{00000000-0005-0000-0000-000013000000}"/>
    <cellStyle name="Normal 10 2 2 2" xfId="352" xr:uid="{00000000-0005-0000-0000-000014000000}"/>
    <cellStyle name="Normal 10 2 2 2 2" xfId="529" xr:uid="{00000000-0005-0000-0000-000015000000}"/>
    <cellStyle name="Normal 10 2 2 2 2 2" xfId="1631" xr:uid="{00000000-0005-0000-0000-000016000000}"/>
    <cellStyle name="Normal 10 2 2 2 3" xfId="1193" xr:uid="{00000000-0005-0000-0000-000017000000}"/>
    <cellStyle name="Normal 10 2 2 3" xfId="528" xr:uid="{00000000-0005-0000-0000-000018000000}"/>
    <cellStyle name="Normal 10 2 2 3 2" xfId="1491" xr:uid="{00000000-0005-0000-0000-000019000000}"/>
    <cellStyle name="Normal 10 2 2 4" xfId="1053" xr:uid="{00000000-0005-0000-0000-00001A000000}"/>
    <cellStyle name="Normal 10 2 3" xfId="282" xr:uid="{00000000-0005-0000-0000-00001B000000}"/>
    <cellStyle name="Normal 10 2 3 2" xfId="530" xr:uid="{00000000-0005-0000-0000-00001C000000}"/>
    <cellStyle name="Normal 10 2 3 2 2" xfId="1561" xr:uid="{00000000-0005-0000-0000-00001D000000}"/>
    <cellStyle name="Normal 10 2 3 3" xfId="1123" xr:uid="{00000000-0005-0000-0000-00001E000000}"/>
    <cellStyle name="Normal 10 2 4" xfId="423" xr:uid="{00000000-0005-0000-0000-00001F000000}"/>
    <cellStyle name="Normal 10 2 4 2" xfId="531" xr:uid="{00000000-0005-0000-0000-000020000000}"/>
    <cellStyle name="Normal 10 2 4 2 2" xfId="1701" xr:uid="{00000000-0005-0000-0000-000021000000}"/>
    <cellStyle name="Normal 10 2 4 3" xfId="1263" xr:uid="{00000000-0005-0000-0000-000022000000}"/>
    <cellStyle name="Normal 10 2 5" xfId="140" xr:uid="{00000000-0005-0000-0000-000023000000}"/>
    <cellStyle name="Normal 10 2 5 2" xfId="532" xr:uid="{00000000-0005-0000-0000-000024000000}"/>
    <cellStyle name="Normal 10 2 5 2 2" xfId="1421" xr:uid="{00000000-0005-0000-0000-000025000000}"/>
    <cellStyle name="Normal 10 2 5 3" xfId="983" xr:uid="{00000000-0005-0000-0000-000026000000}"/>
    <cellStyle name="Normal 10 2 6" xfId="493" xr:uid="{00000000-0005-0000-0000-000027000000}"/>
    <cellStyle name="Normal 10 2 6 2" xfId="1351" xr:uid="{00000000-0005-0000-0000-000028000000}"/>
    <cellStyle name="Normal 10 2 7" xfId="913" xr:uid="{00000000-0005-0000-0000-000029000000}"/>
    <cellStyle name="Normal 10 3" xfId="175" xr:uid="{00000000-0005-0000-0000-00002A000000}"/>
    <cellStyle name="Normal 10 3 2" xfId="317" xr:uid="{00000000-0005-0000-0000-00002B000000}"/>
    <cellStyle name="Normal 10 3 2 2" xfId="534" xr:uid="{00000000-0005-0000-0000-00002C000000}"/>
    <cellStyle name="Normal 10 3 2 2 2" xfId="1596" xr:uid="{00000000-0005-0000-0000-00002D000000}"/>
    <cellStyle name="Normal 10 3 2 3" xfId="1158" xr:uid="{00000000-0005-0000-0000-00002E000000}"/>
    <cellStyle name="Normal 10 3 3" xfId="533" xr:uid="{00000000-0005-0000-0000-00002F000000}"/>
    <cellStyle name="Normal 10 3 3 2" xfId="1456" xr:uid="{00000000-0005-0000-0000-000030000000}"/>
    <cellStyle name="Normal 10 3 4" xfId="1018" xr:uid="{00000000-0005-0000-0000-000031000000}"/>
    <cellStyle name="Normal 10 4" xfId="247" xr:uid="{00000000-0005-0000-0000-000032000000}"/>
    <cellStyle name="Normal 10 4 2" xfId="535" xr:uid="{00000000-0005-0000-0000-000033000000}"/>
    <cellStyle name="Normal 10 4 2 2" xfId="1526" xr:uid="{00000000-0005-0000-0000-000034000000}"/>
    <cellStyle name="Normal 10 4 3" xfId="1088" xr:uid="{00000000-0005-0000-0000-000035000000}"/>
    <cellStyle name="Normal 10 5" xfId="388" xr:uid="{00000000-0005-0000-0000-000036000000}"/>
    <cellStyle name="Normal 10 5 2" xfId="536" xr:uid="{00000000-0005-0000-0000-000037000000}"/>
    <cellStyle name="Normal 10 5 2 2" xfId="1666" xr:uid="{00000000-0005-0000-0000-000038000000}"/>
    <cellStyle name="Normal 10 5 3" xfId="1228" xr:uid="{00000000-0005-0000-0000-000039000000}"/>
    <cellStyle name="Normal 10 6" xfId="104" xr:uid="{00000000-0005-0000-0000-00003A000000}"/>
    <cellStyle name="Normal 10 6 2" xfId="537" xr:uid="{00000000-0005-0000-0000-00003B000000}"/>
    <cellStyle name="Normal 10 6 2 2" xfId="1386" xr:uid="{00000000-0005-0000-0000-00003C000000}"/>
    <cellStyle name="Normal 10 6 3" xfId="948" xr:uid="{00000000-0005-0000-0000-00003D000000}"/>
    <cellStyle name="Normal 10 7" xfId="458" xr:uid="{00000000-0005-0000-0000-00003E000000}"/>
    <cellStyle name="Normal 10 7 2" xfId="1315" xr:uid="{00000000-0005-0000-0000-00003F000000}"/>
    <cellStyle name="Normal 10 8" xfId="878" xr:uid="{00000000-0005-0000-0000-000040000000}"/>
    <cellStyle name="Normal 11" xfId="55" xr:uid="{00000000-0005-0000-0000-000041000000}"/>
    <cellStyle name="Normal 12" xfId="100" xr:uid="{00000000-0005-0000-0000-000042000000}"/>
    <cellStyle name="Normal 12 2" xfId="245" xr:uid="{00000000-0005-0000-0000-000043000000}"/>
    <cellStyle name="Normal 12 2 2" xfId="386" xr:uid="{00000000-0005-0000-0000-000044000000}"/>
    <cellStyle name="Normal 12 2 2 2" xfId="539" xr:uid="{00000000-0005-0000-0000-000045000000}"/>
    <cellStyle name="Normal 12 2 2 2 2" xfId="1664" xr:uid="{00000000-0005-0000-0000-000046000000}"/>
    <cellStyle name="Normal 12 2 2 3" xfId="1226" xr:uid="{00000000-0005-0000-0000-000047000000}"/>
    <cellStyle name="Normal 12 2 3" xfId="538" xr:uid="{00000000-0005-0000-0000-000048000000}"/>
    <cellStyle name="Normal 12 2 3 2" xfId="1524" xr:uid="{00000000-0005-0000-0000-000049000000}"/>
    <cellStyle name="Normal 12 2 4" xfId="1086" xr:uid="{00000000-0005-0000-0000-00004A000000}"/>
    <cellStyle name="Normal 12 3" xfId="315" xr:uid="{00000000-0005-0000-0000-00004B000000}"/>
    <cellStyle name="Normal 12 3 2" xfId="540" xr:uid="{00000000-0005-0000-0000-00004C000000}"/>
    <cellStyle name="Normal 12 3 2 2" xfId="1594" xr:uid="{00000000-0005-0000-0000-00004D000000}"/>
    <cellStyle name="Normal 12 3 3" xfId="1156" xr:uid="{00000000-0005-0000-0000-00004E000000}"/>
    <cellStyle name="Normal 12 4" xfId="456" xr:uid="{00000000-0005-0000-0000-00004F000000}"/>
    <cellStyle name="Normal 12 4 2" xfId="541" xr:uid="{00000000-0005-0000-0000-000050000000}"/>
    <cellStyle name="Normal 12 4 2 2" xfId="1734" xr:uid="{00000000-0005-0000-0000-000051000000}"/>
    <cellStyle name="Normal 12 4 3" xfId="1296" xr:uid="{00000000-0005-0000-0000-000052000000}"/>
    <cellStyle name="Normal 12 5" xfId="173" xr:uid="{00000000-0005-0000-0000-000053000000}"/>
    <cellStyle name="Normal 12 5 2" xfId="542" xr:uid="{00000000-0005-0000-0000-000054000000}"/>
    <cellStyle name="Normal 12 5 2 2" xfId="1454" xr:uid="{00000000-0005-0000-0000-000055000000}"/>
    <cellStyle name="Normal 12 5 3" xfId="1016" xr:uid="{00000000-0005-0000-0000-000056000000}"/>
    <cellStyle name="Normal 12 6" xfId="526" xr:uid="{00000000-0005-0000-0000-000057000000}"/>
    <cellStyle name="Normal 12 6 2" xfId="1384" xr:uid="{00000000-0005-0000-0000-000058000000}"/>
    <cellStyle name="Normal 12 7" xfId="946" xr:uid="{00000000-0005-0000-0000-000059000000}"/>
    <cellStyle name="Normal 12 8" xfId="1745" xr:uid="{A3061215-BABE-4CEF-B91C-CF10091138B7}"/>
    <cellStyle name="Normal 12 9" xfId="1753" xr:uid="{70CFB0E2-ADAE-49BF-BDD6-A003F82FF0D7}"/>
    <cellStyle name="Normal 13" xfId="244" xr:uid="{00000000-0005-0000-0000-00005A000000}"/>
    <cellStyle name="Normal 13 2" xfId="385" xr:uid="{00000000-0005-0000-0000-00005B000000}"/>
    <cellStyle name="Normal 14" xfId="1313" xr:uid="{00000000-0005-0000-0000-00005C000000}"/>
    <cellStyle name="Normal 15" xfId="1312" xr:uid="{00000000-0005-0000-0000-00005D000000}"/>
    <cellStyle name="Normal 16" xfId="1742" xr:uid="{00000000-0005-0000-0000-00005E000000}"/>
    <cellStyle name="Normal 17" xfId="1743" xr:uid="{00000000-0005-0000-0000-00005F000000}"/>
    <cellStyle name="Normal 18" xfId="1744" xr:uid="{00000000-0005-0000-0000-000060000000}"/>
    <cellStyle name="Normal 19" xfId="1747" xr:uid="{A7556A72-2467-466E-92CC-F3B5C965FEC0}"/>
    <cellStyle name="Normal 2" xfId="1" xr:uid="{00000000-0005-0000-0000-000061000000}"/>
    <cellStyle name="Normal 2 15" xfId="1308" xr:uid="{00000000-0005-0000-0000-000062000000}"/>
    <cellStyle name="Normal 2 2" xfId="15" xr:uid="{00000000-0005-0000-0000-000063000000}"/>
    <cellStyle name="Normal 2 2 10" xfId="881" xr:uid="{00000000-0005-0000-0000-000064000000}"/>
    <cellStyle name="Normal 2 2 2" xfId="16" xr:uid="{00000000-0005-0000-0000-000065000000}"/>
    <cellStyle name="Normal 2 2 2 2" xfId="17" xr:uid="{00000000-0005-0000-0000-000066000000}"/>
    <cellStyle name="Normal 2 2 2 2 2" xfId="63" xr:uid="{00000000-0005-0000-0000-000067000000}"/>
    <cellStyle name="Normal 2 2 2 2 2 2" xfId="216" xr:uid="{00000000-0005-0000-0000-000068000000}"/>
    <cellStyle name="Normal 2 2 2 2 2 2 2" xfId="357" xr:uid="{00000000-0005-0000-0000-000069000000}"/>
    <cellStyle name="Normal 2 2 2 2 2 2 2 2" xfId="544" xr:uid="{00000000-0005-0000-0000-00006A000000}"/>
    <cellStyle name="Normal 2 2 2 2 2 2 2 2 2" xfId="1636" xr:uid="{00000000-0005-0000-0000-00006B000000}"/>
    <cellStyle name="Normal 2 2 2 2 2 2 2 3" xfId="1198" xr:uid="{00000000-0005-0000-0000-00006C000000}"/>
    <cellStyle name="Normal 2 2 2 2 2 2 3" xfId="543" xr:uid="{00000000-0005-0000-0000-00006D000000}"/>
    <cellStyle name="Normal 2 2 2 2 2 2 3 2" xfId="1496" xr:uid="{00000000-0005-0000-0000-00006E000000}"/>
    <cellStyle name="Normal 2 2 2 2 2 2 4" xfId="1058" xr:uid="{00000000-0005-0000-0000-00006F000000}"/>
    <cellStyle name="Normal 2 2 2 2 2 3" xfId="287" xr:uid="{00000000-0005-0000-0000-000070000000}"/>
    <cellStyle name="Normal 2 2 2 2 2 3 2" xfId="545" xr:uid="{00000000-0005-0000-0000-000071000000}"/>
    <cellStyle name="Normal 2 2 2 2 2 3 2 2" xfId="1566" xr:uid="{00000000-0005-0000-0000-000072000000}"/>
    <cellStyle name="Normal 2 2 2 2 2 3 3" xfId="1128" xr:uid="{00000000-0005-0000-0000-000073000000}"/>
    <cellStyle name="Normal 2 2 2 2 2 4" xfId="428" xr:uid="{00000000-0005-0000-0000-000074000000}"/>
    <cellStyle name="Normal 2 2 2 2 2 4 2" xfId="546" xr:uid="{00000000-0005-0000-0000-000075000000}"/>
    <cellStyle name="Normal 2 2 2 2 2 4 2 2" xfId="1706" xr:uid="{00000000-0005-0000-0000-000076000000}"/>
    <cellStyle name="Normal 2 2 2 2 2 4 3" xfId="1268" xr:uid="{00000000-0005-0000-0000-000077000000}"/>
    <cellStyle name="Normal 2 2 2 2 2 5" xfId="145" xr:uid="{00000000-0005-0000-0000-000078000000}"/>
    <cellStyle name="Normal 2 2 2 2 2 5 2" xfId="547" xr:uid="{00000000-0005-0000-0000-000079000000}"/>
    <cellStyle name="Normal 2 2 2 2 2 5 2 2" xfId="1426" xr:uid="{00000000-0005-0000-0000-00007A000000}"/>
    <cellStyle name="Normal 2 2 2 2 2 5 3" xfId="988" xr:uid="{00000000-0005-0000-0000-00007B000000}"/>
    <cellStyle name="Normal 2 2 2 2 2 6" xfId="498" xr:uid="{00000000-0005-0000-0000-00007C000000}"/>
    <cellStyle name="Normal 2 2 2 2 2 6 2" xfId="1356" xr:uid="{00000000-0005-0000-0000-00007D000000}"/>
    <cellStyle name="Normal 2 2 2 2 2 7" xfId="918" xr:uid="{00000000-0005-0000-0000-00007E000000}"/>
    <cellStyle name="Normal 2 2 2 2 3" xfId="180" xr:uid="{00000000-0005-0000-0000-00007F000000}"/>
    <cellStyle name="Normal 2 2 2 2 3 2" xfId="322" xr:uid="{00000000-0005-0000-0000-000080000000}"/>
    <cellStyle name="Normal 2 2 2 2 3 2 2" xfId="549" xr:uid="{00000000-0005-0000-0000-000081000000}"/>
    <cellStyle name="Normal 2 2 2 2 3 2 2 2" xfId="1601" xr:uid="{00000000-0005-0000-0000-000082000000}"/>
    <cellStyle name="Normal 2 2 2 2 3 2 3" xfId="1163" xr:uid="{00000000-0005-0000-0000-000083000000}"/>
    <cellStyle name="Normal 2 2 2 2 3 3" xfId="548" xr:uid="{00000000-0005-0000-0000-000084000000}"/>
    <cellStyle name="Normal 2 2 2 2 3 3 2" xfId="1461" xr:uid="{00000000-0005-0000-0000-000085000000}"/>
    <cellStyle name="Normal 2 2 2 2 3 4" xfId="1023" xr:uid="{00000000-0005-0000-0000-000086000000}"/>
    <cellStyle name="Normal 2 2 2 2 4" xfId="252" xr:uid="{00000000-0005-0000-0000-000087000000}"/>
    <cellStyle name="Normal 2 2 2 2 4 2" xfId="550" xr:uid="{00000000-0005-0000-0000-000088000000}"/>
    <cellStyle name="Normal 2 2 2 2 4 2 2" xfId="1531" xr:uid="{00000000-0005-0000-0000-000089000000}"/>
    <cellStyle name="Normal 2 2 2 2 4 3" xfId="1093" xr:uid="{00000000-0005-0000-0000-00008A000000}"/>
    <cellStyle name="Normal 2 2 2 2 5" xfId="393" xr:uid="{00000000-0005-0000-0000-00008B000000}"/>
    <cellStyle name="Normal 2 2 2 2 5 2" xfId="551" xr:uid="{00000000-0005-0000-0000-00008C000000}"/>
    <cellStyle name="Normal 2 2 2 2 5 2 2" xfId="1671" xr:uid="{00000000-0005-0000-0000-00008D000000}"/>
    <cellStyle name="Normal 2 2 2 2 5 3" xfId="1233" xr:uid="{00000000-0005-0000-0000-00008E000000}"/>
    <cellStyle name="Normal 2 2 2 2 6" xfId="109" xr:uid="{00000000-0005-0000-0000-00008F000000}"/>
    <cellStyle name="Normal 2 2 2 2 6 2" xfId="552" xr:uid="{00000000-0005-0000-0000-000090000000}"/>
    <cellStyle name="Normal 2 2 2 2 6 2 2" xfId="1391" xr:uid="{00000000-0005-0000-0000-000091000000}"/>
    <cellStyle name="Normal 2 2 2 2 6 3" xfId="953" xr:uid="{00000000-0005-0000-0000-000092000000}"/>
    <cellStyle name="Normal 2 2 2 2 7" xfId="463" xr:uid="{00000000-0005-0000-0000-000093000000}"/>
    <cellStyle name="Normal 2 2 2 2 7 2" xfId="1320" xr:uid="{00000000-0005-0000-0000-000094000000}"/>
    <cellStyle name="Normal 2 2 2 2 8" xfId="883" xr:uid="{00000000-0005-0000-0000-000095000000}"/>
    <cellStyle name="Normal 2 2 2 3" xfId="62" xr:uid="{00000000-0005-0000-0000-000096000000}"/>
    <cellStyle name="Normal 2 2 2 3 2" xfId="215" xr:uid="{00000000-0005-0000-0000-000097000000}"/>
    <cellStyle name="Normal 2 2 2 3 2 2" xfId="356" xr:uid="{00000000-0005-0000-0000-000098000000}"/>
    <cellStyle name="Normal 2 2 2 3 2 2 2" xfId="554" xr:uid="{00000000-0005-0000-0000-000099000000}"/>
    <cellStyle name="Normal 2 2 2 3 2 2 2 2" xfId="1635" xr:uid="{00000000-0005-0000-0000-00009A000000}"/>
    <cellStyle name="Normal 2 2 2 3 2 2 3" xfId="1197" xr:uid="{00000000-0005-0000-0000-00009B000000}"/>
    <cellStyle name="Normal 2 2 2 3 2 3" xfId="553" xr:uid="{00000000-0005-0000-0000-00009C000000}"/>
    <cellStyle name="Normal 2 2 2 3 2 3 2" xfId="1495" xr:uid="{00000000-0005-0000-0000-00009D000000}"/>
    <cellStyle name="Normal 2 2 2 3 2 4" xfId="1057" xr:uid="{00000000-0005-0000-0000-00009E000000}"/>
    <cellStyle name="Normal 2 2 2 3 3" xfId="286" xr:uid="{00000000-0005-0000-0000-00009F000000}"/>
    <cellStyle name="Normal 2 2 2 3 3 2" xfId="555" xr:uid="{00000000-0005-0000-0000-0000A0000000}"/>
    <cellStyle name="Normal 2 2 2 3 3 2 2" xfId="1565" xr:uid="{00000000-0005-0000-0000-0000A1000000}"/>
    <cellStyle name="Normal 2 2 2 3 3 3" xfId="1127" xr:uid="{00000000-0005-0000-0000-0000A2000000}"/>
    <cellStyle name="Normal 2 2 2 3 4" xfId="427" xr:uid="{00000000-0005-0000-0000-0000A3000000}"/>
    <cellStyle name="Normal 2 2 2 3 4 2" xfId="556" xr:uid="{00000000-0005-0000-0000-0000A4000000}"/>
    <cellStyle name="Normal 2 2 2 3 4 2 2" xfId="1705" xr:uid="{00000000-0005-0000-0000-0000A5000000}"/>
    <cellStyle name="Normal 2 2 2 3 4 3" xfId="1267" xr:uid="{00000000-0005-0000-0000-0000A6000000}"/>
    <cellStyle name="Normal 2 2 2 3 5" xfId="144" xr:uid="{00000000-0005-0000-0000-0000A7000000}"/>
    <cellStyle name="Normal 2 2 2 3 5 2" xfId="557" xr:uid="{00000000-0005-0000-0000-0000A8000000}"/>
    <cellStyle name="Normal 2 2 2 3 5 2 2" xfId="1425" xr:uid="{00000000-0005-0000-0000-0000A9000000}"/>
    <cellStyle name="Normal 2 2 2 3 5 3" xfId="987" xr:uid="{00000000-0005-0000-0000-0000AA000000}"/>
    <cellStyle name="Normal 2 2 2 3 6" xfId="497" xr:uid="{00000000-0005-0000-0000-0000AB000000}"/>
    <cellStyle name="Normal 2 2 2 3 6 2" xfId="1355" xr:uid="{00000000-0005-0000-0000-0000AC000000}"/>
    <cellStyle name="Normal 2 2 2 3 7" xfId="917" xr:uid="{00000000-0005-0000-0000-0000AD000000}"/>
    <cellStyle name="Normal 2 2 2 4" xfId="179" xr:uid="{00000000-0005-0000-0000-0000AE000000}"/>
    <cellStyle name="Normal 2 2 2 4 2" xfId="321" xr:uid="{00000000-0005-0000-0000-0000AF000000}"/>
    <cellStyle name="Normal 2 2 2 4 2 2" xfId="559" xr:uid="{00000000-0005-0000-0000-0000B0000000}"/>
    <cellStyle name="Normal 2 2 2 4 2 2 2" xfId="1600" xr:uid="{00000000-0005-0000-0000-0000B1000000}"/>
    <cellStyle name="Normal 2 2 2 4 2 3" xfId="1162" xr:uid="{00000000-0005-0000-0000-0000B2000000}"/>
    <cellStyle name="Normal 2 2 2 4 3" xfId="558" xr:uid="{00000000-0005-0000-0000-0000B3000000}"/>
    <cellStyle name="Normal 2 2 2 4 3 2" xfId="1460" xr:uid="{00000000-0005-0000-0000-0000B4000000}"/>
    <cellStyle name="Normal 2 2 2 4 4" xfId="1022" xr:uid="{00000000-0005-0000-0000-0000B5000000}"/>
    <cellStyle name="Normal 2 2 2 5" xfId="251" xr:uid="{00000000-0005-0000-0000-0000B6000000}"/>
    <cellStyle name="Normal 2 2 2 5 2" xfId="560" xr:uid="{00000000-0005-0000-0000-0000B7000000}"/>
    <cellStyle name="Normal 2 2 2 5 2 2" xfId="1530" xr:uid="{00000000-0005-0000-0000-0000B8000000}"/>
    <cellStyle name="Normal 2 2 2 5 3" xfId="1092" xr:uid="{00000000-0005-0000-0000-0000B9000000}"/>
    <cellStyle name="Normal 2 2 2 6" xfId="392" xr:uid="{00000000-0005-0000-0000-0000BA000000}"/>
    <cellStyle name="Normal 2 2 2 6 2" xfId="561" xr:uid="{00000000-0005-0000-0000-0000BB000000}"/>
    <cellStyle name="Normal 2 2 2 6 2 2" xfId="1670" xr:uid="{00000000-0005-0000-0000-0000BC000000}"/>
    <cellStyle name="Normal 2 2 2 6 3" xfId="1232" xr:uid="{00000000-0005-0000-0000-0000BD000000}"/>
    <cellStyle name="Normal 2 2 2 7" xfId="108" xr:uid="{00000000-0005-0000-0000-0000BE000000}"/>
    <cellStyle name="Normal 2 2 2 7 2" xfId="562" xr:uid="{00000000-0005-0000-0000-0000BF000000}"/>
    <cellStyle name="Normal 2 2 2 7 2 2" xfId="1390" xr:uid="{00000000-0005-0000-0000-0000C0000000}"/>
    <cellStyle name="Normal 2 2 2 7 3" xfId="952" xr:uid="{00000000-0005-0000-0000-0000C1000000}"/>
    <cellStyle name="Normal 2 2 2 8" xfId="462" xr:uid="{00000000-0005-0000-0000-0000C2000000}"/>
    <cellStyle name="Normal 2 2 2 8 2" xfId="1319" xr:uid="{00000000-0005-0000-0000-0000C3000000}"/>
    <cellStyle name="Normal 2 2 2 9" xfId="882" xr:uid="{00000000-0005-0000-0000-0000C4000000}"/>
    <cellStyle name="Normal 2 2 3" xfId="18" xr:uid="{00000000-0005-0000-0000-0000C5000000}"/>
    <cellStyle name="Normal 2 2 3 2" xfId="64" xr:uid="{00000000-0005-0000-0000-0000C6000000}"/>
    <cellStyle name="Normal 2 2 3 2 2" xfId="217" xr:uid="{00000000-0005-0000-0000-0000C7000000}"/>
    <cellStyle name="Normal 2 2 3 2 2 2" xfId="358" xr:uid="{00000000-0005-0000-0000-0000C8000000}"/>
    <cellStyle name="Normal 2 2 3 2 2 2 2" xfId="564" xr:uid="{00000000-0005-0000-0000-0000C9000000}"/>
    <cellStyle name="Normal 2 2 3 2 2 2 2 2" xfId="1637" xr:uid="{00000000-0005-0000-0000-0000CA000000}"/>
    <cellStyle name="Normal 2 2 3 2 2 2 3" xfId="1199" xr:uid="{00000000-0005-0000-0000-0000CB000000}"/>
    <cellStyle name="Normal 2 2 3 2 2 3" xfId="563" xr:uid="{00000000-0005-0000-0000-0000CC000000}"/>
    <cellStyle name="Normal 2 2 3 2 2 3 2" xfId="1497" xr:uid="{00000000-0005-0000-0000-0000CD000000}"/>
    <cellStyle name="Normal 2 2 3 2 2 4" xfId="1059" xr:uid="{00000000-0005-0000-0000-0000CE000000}"/>
    <cellStyle name="Normal 2 2 3 2 3" xfId="288" xr:uid="{00000000-0005-0000-0000-0000CF000000}"/>
    <cellStyle name="Normal 2 2 3 2 3 2" xfId="565" xr:uid="{00000000-0005-0000-0000-0000D0000000}"/>
    <cellStyle name="Normal 2 2 3 2 3 2 2" xfId="1567" xr:uid="{00000000-0005-0000-0000-0000D1000000}"/>
    <cellStyle name="Normal 2 2 3 2 3 3" xfId="1129" xr:uid="{00000000-0005-0000-0000-0000D2000000}"/>
    <cellStyle name="Normal 2 2 3 2 4" xfId="429" xr:uid="{00000000-0005-0000-0000-0000D3000000}"/>
    <cellStyle name="Normal 2 2 3 2 4 2" xfId="566" xr:uid="{00000000-0005-0000-0000-0000D4000000}"/>
    <cellStyle name="Normal 2 2 3 2 4 2 2" xfId="1707" xr:uid="{00000000-0005-0000-0000-0000D5000000}"/>
    <cellStyle name="Normal 2 2 3 2 4 3" xfId="1269" xr:uid="{00000000-0005-0000-0000-0000D6000000}"/>
    <cellStyle name="Normal 2 2 3 2 5" xfId="146" xr:uid="{00000000-0005-0000-0000-0000D7000000}"/>
    <cellStyle name="Normal 2 2 3 2 5 2" xfId="567" xr:uid="{00000000-0005-0000-0000-0000D8000000}"/>
    <cellStyle name="Normal 2 2 3 2 5 2 2" xfId="1427" xr:uid="{00000000-0005-0000-0000-0000D9000000}"/>
    <cellStyle name="Normal 2 2 3 2 5 3" xfId="989" xr:uid="{00000000-0005-0000-0000-0000DA000000}"/>
    <cellStyle name="Normal 2 2 3 2 6" xfId="499" xr:uid="{00000000-0005-0000-0000-0000DB000000}"/>
    <cellStyle name="Normal 2 2 3 2 6 2" xfId="1357" xr:uid="{00000000-0005-0000-0000-0000DC000000}"/>
    <cellStyle name="Normal 2 2 3 2 7" xfId="919" xr:uid="{00000000-0005-0000-0000-0000DD000000}"/>
    <cellStyle name="Normal 2 2 3 3" xfId="181" xr:uid="{00000000-0005-0000-0000-0000DE000000}"/>
    <cellStyle name="Normal 2 2 3 3 2" xfId="323" xr:uid="{00000000-0005-0000-0000-0000DF000000}"/>
    <cellStyle name="Normal 2 2 3 3 2 2" xfId="569" xr:uid="{00000000-0005-0000-0000-0000E0000000}"/>
    <cellStyle name="Normal 2 2 3 3 2 2 2" xfId="1602" xr:uid="{00000000-0005-0000-0000-0000E1000000}"/>
    <cellStyle name="Normal 2 2 3 3 2 3" xfId="1164" xr:uid="{00000000-0005-0000-0000-0000E2000000}"/>
    <cellStyle name="Normal 2 2 3 3 3" xfId="568" xr:uid="{00000000-0005-0000-0000-0000E3000000}"/>
    <cellStyle name="Normal 2 2 3 3 3 2" xfId="1462" xr:uid="{00000000-0005-0000-0000-0000E4000000}"/>
    <cellStyle name="Normal 2 2 3 3 4" xfId="1024" xr:uid="{00000000-0005-0000-0000-0000E5000000}"/>
    <cellStyle name="Normal 2 2 3 4" xfId="253" xr:uid="{00000000-0005-0000-0000-0000E6000000}"/>
    <cellStyle name="Normal 2 2 3 4 2" xfId="570" xr:uid="{00000000-0005-0000-0000-0000E7000000}"/>
    <cellStyle name="Normal 2 2 3 4 2 2" xfId="1532" xr:uid="{00000000-0005-0000-0000-0000E8000000}"/>
    <cellStyle name="Normal 2 2 3 4 3" xfId="1094" xr:uid="{00000000-0005-0000-0000-0000E9000000}"/>
    <cellStyle name="Normal 2 2 3 5" xfId="394" xr:uid="{00000000-0005-0000-0000-0000EA000000}"/>
    <cellStyle name="Normal 2 2 3 5 2" xfId="571" xr:uid="{00000000-0005-0000-0000-0000EB000000}"/>
    <cellStyle name="Normal 2 2 3 5 2 2" xfId="1672" xr:uid="{00000000-0005-0000-0000-0000EC000000}"/>
    <cellStyle name="Normal 2 2 3 5 3" xfId="1234" xr:uid="{00000000-0005-0000-0000-0000ED000000}"/>
    <cellStyle name="Normal 2 2 3 6" xfId="110" xr:uid="{00000000-0005-0000-0000-0000EE000000}"/>
    <cellStyle name="Normal 2 2 3 6 2" xfId="572" xr:uid="{00000000-0005-0000-0000-0000EF000000}"/>
    <cellStyle name="Normal 2 2 3 6 2 2" xfId="1392" xr:uid="{00000000-0005-0000-0000-0000F0000000}"/>
    <cellStyle name="Normal 2 2 3 6 3" xfId="954" xr:uid="{00000000-0005-0000-0000-0000F1000000}"/>
    <cellStyle name="Normal 2 2 3 7" xfId="464" xr:uid="{00000000-0005-0000-0000-0000F2000000}"/>
    <cellStyle name="Normal 2 2 3 7 2" xfId="1321" xr:uid="{00000000-0005-0000-0000-0000F3000000}"/>
    <cellStyle name="Normal 2 2 3 8" xfId="884" xr:uid="{00000000-0005-0000-0000-0000F4000000}"/>
    <cellStyle name="Normal 2 2 4" xfId="61" xr:uid="{00000000-0005-0000-0000-0000F5000000}"/>
    <cellStyle name="Normal 2 2 4 2" xfId="214" xr:uid="{00000000-0005-0000-0000-0000F6000000}"/>
    <cellStyle name="Normal 2 2 4 2 2" xfId="355" xr:uid="{00000000-0005-0000-0000-0000F7000000}"/>
    <cellStyle name="Normal 2 2 4 2 2 2" xfId="574" xr:uid="{00000000-0005-0000-0000-0000F8000000}"/>
    <cellStyle name="Normal 2 2 4 2 2 2 2" xfId="1634" xr:uid="{00000000-0005-0000-0000-0000F9000000}"/>
    <cellStyle name="Normal 2 2 4 2 2 3" xfId="1196" xr:uid="{00000000-0005-0000-0000-0000FA000000}"/>
    <cellStyle name="Normal 2 2 4 2 3" xfId="573" xr:uid="{00000000-0005-0000-0000-0000FB000000}"/>
    <cellStyle name="Normal 2 2 4 2 3 2" xfId="1494" xr:uid="{00000000-0005-0000-0000-0000FC000000}"/>
    <cellStyle name="Normal 2 2 4 2 4" xfId="1056" xr:uid="{00000000-0005-0000-0000-0000FD000000}"/>
    <cellStyle name="Normal 2 2 4 3" xfId="285" xr:uid="{00000000-0005-0000-0000-0000FE000000}"/>
    <cellStyle name="Normal 2 2 4 3 2" xfId="575" xr:uid="{00000000-0005-0000-0000-0000FF000000}"/>
    <cellStyle name="Normal 2 2 4 3 2 2" xfId="1564" xr:uid="{00000000-0005-0000-0000-000000010000}"/>
    <cellStyle name="Normal 2 2 4 3 3" xfId="1126" xr:uid="{00000000-0005-0000-0000-000001010000}"/>
    <cellStyle name="Normal 2 2 4 4" xfId="426" xr:uid="{00000000-0005-0000-0000-000002010000}"/>
    <cellStyle name="Normal 2 2 4 4 2" xfId="576" xr:uid="{00000000-0005-0000-0000-000003010000}"/>
    <cellStyle name="Normal 2 2 4 4 2 2" xfId="1704" xr:uid="{00000000-0005-0000-0000-000004010000}"/>
    <cellStyle name="Normal 2 2 4 4 3" xfId="1266" xr:uid="{00000000-0005-0000-0000-000005010000}"/>
    <cellStyle name="Normal 2 2 4 5" xfId="143" xr:uid="{00000000-0005-0000-0000-000006010000}"/>
    <cellStyle name="Normal 2 2 4 5 2" xfId="577" xr:uid="{00000000-0005-0000-0000-000007010000}"/>
    <cellStyle name="Normal 2 2 4 5 2 2" xfId="1424" xr:uid="{00000000-0005-0000-0000-000008010000}"/>
    <cellStyle name="Normal 2 2 4 5 3" xfId="986" xr:uid="{00000000-0005-0000-0000-000009010000}"/>
    <cellStyle name="Normal 2 2 4 6" xfId="496" xr:uid="{00000000-0005-0000-0000-00000A010000}"/>
    <cellStyle name="Normal 2 2 4 6 2" xfId="1354" xr:uid="{00000000-0005-0000-0000-00000B010000}"/>
    <cellStyle name="Normal 2 2 4 7" xfId="916" xr:uid="{00000000-0005-0000-0000-00000C010000}"/>
    <cellStyle name="Normal 2 2 5" xfId="178" xr:uid="{00000000-0005-0000-0000-00000D010000}"/>
    <cellStyle name="Normal 2 2 5 2" xfId="320" xr:uid="{00000000-0005-0000-0000-00000E010000}"/>
    <cellStyle name="Normal 2 2 5 2 2" xfId="579" xr:uid="{00000000-0005-0000-0000-00000F010000}"/>
    <cellStyle name="Normal 2 2 5 2 2 2" xfId="1599" xr:uid="{00000000-0005-0000-0000-000010010000}"/>
    <cellStyle name="Normal 2 2 5 2 3" xfId="1161" xr:uid="{00000000-0005-0000-0000-000011010000}"/>
    <cellStyle name="Normal 2 2 5 3" xfId="578" xr:uid="{00000000-0005-0000-0000-000012010000}"/>
    <cellStyle name="Normal 2 2 5 3 2" xfId="1459" xr:uid="{00000000-0005-0000-0000-000013010000}"/>
    <cellStyle name="Normal 2 2 5 4" xfId="1021" xr:uid="{00000000-0005-0000-0000-000014010000}"/>
    <cellStyle name="Normal 2 2 6" xfId="250" xr:uid="{00000000-0005-0000-0000-000015010000}"/>
    <cellStyle name="Normal 2 2 6 2" xfId="580" xr:uid="{00000000-0005-0000-0000-000016010000}"/>
    <cellStyle name="Normal 2 2 6 2 2" xfId="1529" xr:uid="{00000000-0005-0000-0000-000017010000}"/>
    <cellStyle name="Normal 2 2 6 3" xfId="1091" xr:uid="{00000000-0005-0000-0000-000018010000}"/>
    <cellStyle name="Normal 2 2 7" xfId="391" xr:uid="{00000000-0005-0000-0000-000019010000}"/>
    <cellStyle name="Normal 2 2 7 2" xfId="581" xr:uid="{00000000-0005-0000-0000-00001A010000}"/>
    <cellStyle name="Normal 2 2 7 2 2" xfId="1669" xr:uid="{00000000-0005-0000-0000-00001B010000}"/>
    <cellStyle name="Normal 2 2 7 3" xfId="1231" xr:uid="{00000000-0005-0000-0000-00001C010000}"/>
    <cellStyle name="Normal 2 2 8" xfId="107" xr:uid="{00000000-0005-0000-0000-00001D010000}"/>
    <cellStyle name="Normal 2 2 8 2" xfId="582" xr:uid="{00000000-0005-0000-0000-00001E010000}"/>
    <cellStyle name="Normal 2 2 8 2 2" xfId="1389" xr:uid="{00000000-0005-0000-0000-00001F010000}"/>
    <cellStyle name="Normal 2 2 8 3" xfId="951" xr:uid="{00000000-0005-0000-0000-000020010000}"/>
    <cellStyle name="Normal 2 2 9" xfId="461" xr:uid="{00000000-0005-0000-0000-000021010000}"/>
    <cellStyle name="Normal 2 2 9 2" xfId="1318" xr:uid="{00000000-0005-0000-0000-000022010000}"/>
    <cellStyle name="Normal 2 3" xfId="7" xr:uid="{00000000-0005-0000-0000-000023010000}"/>
    <cellStyle name="Normal 2 4" xfId="19" xr:uid="{00000000-0005-0000-0000-000024010000}"/>
    <cellStyle name="Normal 2 4 2" xfId="20" xr:uid="{00000000-0005-0000-0000-000025010000}"/>
    <cellStyle name="Normal 2 4 2 2" xfId="66" xr:uid="{00000000-0005-0000-0000-000026010000}"/>
    <cellStyle name="Normal 2 4 2 2 2" xfId="219" xr:uid="{00000000-0005-0000-0000-000027010000}"/>
    <cellStyle name="Normal 2 4 2 2 2 2" xfId="360" xr:uid="{00000000-0005-0000-0000-000028010000}"/>
    <cellStyle name="Normal 2 4 2 2 2 2 2" xfId="584" xr:uid="{00000000-0005-0000-0000-000029010000}"/>
    <cellStyle name="Normal 2 4 2 2 2 2 2 2" xfId="1639" xr:uid="{00000000-0005-0000-0000-00002A010000}"/>
    <cellStyle name="Normal 2 4 2 2 2 2 3" xfId="1201" xr:uid="{00000000-0005-0000-0000-00002B010000}"/>
    <cellStyle name="Normal 2 4 2 2 2 3" xfId="583" xr:uid="{00000000-0005-0000-0000-00002C010000}"/>
    <cellStyle name="Normal 2 4 2 2 2 3 2" xfId="1499" xr:uid="{00000000-0005-0000-0000-00002D010000}"/>
    <cellStyle name="Normal 2 4 2 2 2 4" xfId="1061" xr:uid="{00000000-0005-0000-0000-00002E010000}"/>
    <cellStyle name="Normal 2 4 2 2 3" xfId="290" xr:uid="{00000000-0005-0000-0000-00002F010000}"/>
    <cellStyle name="Normal 2 4 2 2 3 2" xfId="585" xr:uid="{00000000-0005-0000-0000-000030010000}"/>
    <cellStyle name="Normal 2 4 2 2 3 2 2" xfId="1569" xr:uid="{00000000-0005-0000-0000-000031010000}"/>
    <cellStyle name="Normal 2 4 2 2 3 3" xfId="1131" xr:uid="{00000000-0005-0000-0000-000032010000}"/>
    <cellStyle name="Normal 2 4 2 2 4" xfId="431" xr:uid="{00000000-0005-0000-0000-000033010000}"/>
    <cellStyle name="Normal 2 4 2 2 4 2" xfId="586" xr:uid="{00000000-0005-0000-0000-000034010000}"/>
    <cellStyle name="Normal 2 4 2 2 4 2 2" xfId="1709" xr:uid="{00000000-0005-0000-0000-000035010000}"/>
    <cellStyle name="Normal 2 4 2 2 4 3" xfId="1271" xr:uid="{00000000-0005-0000-0000-000036010000}"/>
    <cellStyle name="Normal 2 4 2 2 5" xfId="148" xr:uid="{00000000-0005-0000-0000-000037010000}"/>
    <cellStyle name="Normal 2 4 2 2 5 2" xfId="587" xr:uid="{00000000-0005-0000-0000-000038010000}"/>
    <cellStyle name="Normal 2 4 2 2 5 2 2" xfId="1429" xr:uid="{00000000-0005-0000-0000-000039010000}"/>
    <cellStyle name="Normal 2 4 2 2 5 3" xfId="991" xr:uid="{00000000-0005-0000-0000-00003A010000}"/>
    <cellStyle name="Normal 2 4 2 2 6" xfId="501" xr:uid="{00000000-0005-0000-0000-00003B010000}"/>
    <cellStyle name="Normal 2 4 2 2 6 2" xfId="1359" xr:uid="{00000000-0005-0000-0000-00003C010000}"/>
    <cellStyle name="Normal 2 4 2 2 7" xfId="921" xr:uid="{00000000-0005-0000-0000-00003D010000}"/>
    <cellStyle name="Normal 2 4 2 3" xfId="183" xr:uid="{00000000-0005-0000-0000-00003E010000}"/>
    <cellStyle name="Normal 2 4 2 3 2" xfId="325" xr:uid="{00000000-0005-0000-0000-00003F010000}"/>
    <cellStyle name="Normal 2 4 2 3 2 2" xfId="589" xr:uid="{00000000-0005-0000-0000-000040010000}"/>
    <cellStyle name="Normal 2 4 2 3 2 2 2" xfId="1604" xr:uid="{00000000-0005-0000-0000-000041010000}"/>
    <cellStyle name="Normal 2 4 2 3 2 3" xfId="1166" xr:uid="{00000000-0005-0000-0000-000042010000}"/>
    <cellStyle name="Normal 2 4 2 3 3" xfId="588" xr:uid="{00000000-0005-0000-0000-000043010000}"/>
    <cellStyle name="Normal 2 4 2 3 3 2" xfId="1464" xr:uid="{00000000-0005-0000-0000-000044010000}"/>
    <cellStyle name="Normal 2 4 2 3 4" xfId="1026" xr:uid="{00000000-0005-0000-0000-000045010000}"/>
    <cellStyle name="Normal 2 4 2 4" xfId="255" xr:uid="{00000000-0005-0000-0000-000046010000}"/>
    <cellStyle name="Normal 2 4 2 4 2" xfId="590" xr:uid="{00000000-0005-0000-0000-000047010000}"/>
    <cellStyle name="Normal 2 4 2 4 2 2" xfId="1534" xr:uid="{00000000-0005-0000-0000-000048010000}"/>
    <cellStyle name="Normal 2 4 2 4 3" xfId="1096" xr:uid="{00000000-0005-0000-0000-000049010000}"/>
    <cellStyle name="Normal 2 4 2 5" xfId="396" xr:uid="{00000000-0005-0000-0000-00004A010000}"/>
    <cellStyle name="Normal 2 4 2 5 2" xfId="591" xr:uid="{00000000-0005-0000-0000-00004B010000}"/>
    <cellStyle name="Normal 2 4 2 5 2 2" xfId="1674" xr:uid="{00000000-0005-0000-0000-00004C010000}"/>
    <cellStyle name="Normal 2 4 2 5 3" xfId="1236" xr:uid="{00000000-0005-0000-0000-00004D010000}"/>
    <cellStyle name="Normal 2 4 2 6" xfId="112" xr:uid="{00000000-0005-0000-0000-00004E010000}"/>
    <cellStyle name="Normal 2 4 2 6 2" xfId="592" xr:uid="{00000000-0005-0000-0000-00004F010000}"/>
    <cellStyle name="Normal 2 4 2 6 2 2" xfId="1394" xr:uid="{00000000-0005-0000-0000-000050010000}"/>
    <cellStyle name="Normal 2 4 2 6 3" xfId="956" xr:uid="{00000000-0005-0000-0000-000051010000}"/>
    <cellStyle name="Normal 2 4 2 7" xfId="466" xr:uid="{00000000-0005-0000-0000-000052010000}"/>
    <cellStyle name="Normal 2 4 2 7 2" xfId="1323" xr:uid="{00000000-0005-0000-0000-000053010000}"/>
    <cellStyle name="Normal 2 4 2 8" xfId="886" xr:uid="{00000000-0005-0000-0000-000054010000}"/>
    <cellStyle name="Normal 2 4 3" xfId="65" xr:uid="{00000000-0005-0000-0000-000055010000}"/>
    <cellStyle name="Normal 2 4 3 2" xfId="218" xr:uid="{00000000-0005-0000-0000-000056010000}"/>
    <cellStyle name="Normal 2 4 3 2 2" xfId="359" xr:uid="{00000000-0005-0000-0000-000057010000}"/>
    <cellStyle name="Normal 2 4 3 2 2 2" xfId="594" xr:uid="{00000000-0005-0000-0000-000058010000}"/>
    <cellStyle name="Normal 2 4 3 2 2 2 2" xfId="1638" xr:uid="{00000000-0005-0000-0000-000059010000}"/>
    <cellStyle name="Normal 2 4 3 2 2 3" xfId="1200" xr:uid="{00000000-0005-0000-0000-00005A010000}"/>
    <cellStyle name="Normal 2 4 3 2 3" xfId="593" xr:uid="{00000000-0005-0000-0000-00005B010000}"/>
    <cellStyle name="Normal 2 4 3 2 3 2" xfId="1498" xr:uid="{00000000-0005-0000-0000-00005C010000}"/>
    <cellStyle name="Normal 2 4 3 2 4" xfId="1060" xr:uid="{00000000-0005-0000-0000-00005D010000}"/>
    <cellStyle name="Normal 2 4 3 3" xfId="289" xr:uid="{00000000-0005-0000-0000-00005E010000}"/>
    <cellStyle name="Normal 2 4 3 3 2" xfId="595" xr:uid="{00000000-0005-0000-0000-00005F010000}"/>
    <cellStyle name="Normal 2 4 3 3 2 2" xfId="1568" xr:uid="{00000000-0005-0000-0000-000060010000}"/>
    <cellStyle name="Normal 2 4 3 3 3" xfId="1130" xr:uid="{00000000-0005-0000-0000-000061010000}"/>
    <cellStyle name="Normal 2 4 3 4" xfId="430" xr:uid="{00000000-0005-0000-0000-000062010000}"/>
    <cellStyle name="Normal 2 4 3 4 2" xfId="596" xr:uid="{00000000-0005-0000-0000-000063010000}"/>
    <cellStyle name="Normal 2 4 3 4 2 2" xfId="1708" xr:uid="{00000000-0005-0000-0000-000064010000}"/>
    <cellStyle name="Normal 2 4 3 4 3" xfId="1270" xr:uid="{00000000-0005-0000-0000-000065010000}"/>
    <cellStyle name="Normal 2 4 3 5" xfId="147" xr:uid="{00000000-0005-0000-0000-000066010000}"/>
    <cellStyle name="Normal 2 4 3 5 2" xfId="597" xr:uid="{00000000-0005-0000-0000-000067010000}"/>
    <cellStyle name="Normal 2 4 3 5 2 2" xfId="1428" xr:uid="{00000000-0005-0000-0000-000068010000}"/>
    <cellStyle name="Normal 2 4 3 5 3" xfId="990" xr:uid="{00000000-0005-0000-0000-000069010000}"/>
    <cellStyle name="Normal 2 4 3 6" xfId="500" xr:uid="{00000000-0005-0000-0000-00006A010000}"/>
    <cellStyle name="Normal 2 4 3 6 2" xfId="1358" xr:uid="{00000000-0005-0000-0000-00006B010000}"/>
    <cellStyle name="Normal 2 4 3 7" xfId="920" xr:uid="{00000000-0005-0000-0000-00006C010000}"/>
    <cellStyle name="Normal 2 4 4" xfId="182" xr:uid="{00000000-0005-0000-0000-00006D010000}"/>
    <cellStyle name="Normal 2 4 4 2" xfId="324" xr:uid="{00000000-0005-0000-0000-00006E010000}"/>
    <cellStyle name="Normal 2 4 4 2 2" xfId="599" xr:uid="{00000000-0005-0000-0000-00006F010000}"/>
    <cellStyle name="Normal 2 4 4 2 2 2" xfId="1603" xr:uid="{00000000-0005-0000-0000-000070010000}"/>
    <cellStyle name="Normal 2 4 4 2 3" xfId="1165" xr:uid="{00000000-0005-0000-0000-000071010000}"/>
    <cellStyle name="Normal 2 4 4 3" xfId="598" xr:uid="{00000000-0005-0000-0000-000072010000}"/>
    <cellStyle name="Normal 2 4 4 3 2" xfId="1463" xr:uid="{00000000-0005-0000-0000-000073010000}"/>
    <cellStyle name="Normal 2 4 4 4" xfId="1025" xr:uid="{00000000-0005-0000-0000-000074010000}"/>
    <cellStyle name="Normal 2 4 5" xfId="254" xr:uid="{00000000-0005-0000-0000-000075010000}"/>
    <cellStyle name="Normal 2 4 5 2" xfId="600" xr:uid="{00000000-0005-0000-0000-000076010000}"/>
    <cellStyle name="Normal 2 4 5 2 2" xfId="1533" xr:uid="{00000000-0005-0000-0000-000077010000}"/>
    <cellStyle name="Normal 2 4 5 3" xfId="1095" xr:uid="{00000000-0005-0000-0000-000078010000}"/>
    <cellStyle name="Normal 2 4 6" xfId="395" xr:uid="{00000000-0005-0000-0000-000079010000}"/>
    <cellStyle name="Normal 2 4 6 2" xfId="601" xr:uid="{00000000-0005-0000-0000-00007A010000}"/>
    <cellStyle name="Normal 2 4 6 2 2" xfId="1673" xr:uid="{00000000-0005-0000-0000-00007B010000}"/>
    <cellStyle name="Normal 2 4 6 3" xfId="1235" xr:uid="{00000000-0005-0000-0000-00007C010000}"/>
    <cellStyle name="Normal 2 4 7" xfId="111" xr:uid="{00000000-0005-0000-0000-00007D010000}"/>
    <cellStyle name="Normal 2 4 7 2" xfId="602" xr:uid="{00000000-0005-0000-0000-00007E010000}"/>
    <cellStyle name="Normal 2 4 7 2 2" xfId="1393" xr:uid="{00000000-0005-0000-0000-00007F010000}"/>
    <cellStyle name="Normal 2 4 7 3" xfId="955" xr:uid="{00000000-0005-0000-0000-000080010000}"/>
    <cellStyle name="Normal 2 4 8" xfId="465" xr:uid="{00000000-0005-0000-0000-000081010000}"/>
    <cellStyle name="Normal 2 4 8 2" xfId="1322" xr:uid="{00000000-0005-0000-0000-000082010000}"/>
    <cellStyle name="Normal 2 4 9" xfId="885" xr:uid="{00000000-0005-0000-0000-000083010000}"/>
    <cellStyle name="Normal 2 5" xfId="21" xr:uid="{00000000-0005-0000-0000-000084010000}"/>
    <cellStyle name="Normal 2 5 2" xfId="67" xr:uid="{00000000-0005-0000-0000-000085010000}"/>
    <cellStyle name="Normal 2 5 2 2" xfId="220" xr:uid="{00000000-0005-0000-0000-000086010000}"/>
    <cellStyle name="Normal 2 5 2 2 2" xfId="361" xr:uid="{00000000-0005-0000-0000-000087010000}"/>
    <cellStyle name="Normal 2 5 2 2 2 2" xfId="604" xr:uid="{00000000-0005-0000-0000-000088010000}"/>
    <cellStyle name="Normal 2 5 2 2 2 2 2" xfId="1640" xr:uid="{00000000-0005-0000-0000-000089010000}"/>
    <cellStyle name="Normal 2 5 2 2 2 3" xfId="1202" xr:uid="{00000000-0005-0000-0000-00008A010000}"/>
    <cellStyle name="Normal 2 5 2 2 3" xfId="603" xr:uid="{00000000-0005-0000-0000-00008B010000}"/>
    <cellStyle name="Normal 2 5 2 2 3 2" xfId="1500" xr:uid="{00000000-0005-0000-0000-00008C010000}"/>
    <cellStyle name="Normal 2 5 2 2 4" xfId="1062" xr:uid="{00000000-0005-0000-0000-00008D010000}"/>
    <cellStyle name="Normal 2 5 2 3" xfId="291" xr:uid="{00000000-0005-0000-0000-00008E010000}"/>
    <cellStyle name="Normal 2 5 2 3 2" xfId="605" xr:uid="{00000000-0005-0000-0000-00008F010000}"/>
    <cellStyle name="Normal 2 5 2 3 2 2" xfId="1570" xr:uid="{00000000-0005-0000-0000-000090010000}"/>
    <cellStyle name="Normal 2 5 2 3 3" xfId="1132" xr:uid="{00000000-0005-0000-0000-000091010000}"/>
    <cellStyle name="Normal 2 5 2 4" xfId="432" xr:uid="{00000000-0005-0000-0000-000092010000}"/>
    <cellStyle name="Normal 2 5 2 4 2" xfId="606" xr:uid="{00000000-0005-0000-0000-000093010000}"/>
    <cellStyle name="Normal 2 5 2 4 2 2" xfId="1710" xr:uid="{00000000-0005-0000-0000-000094010000}"/>
    <cellStyle name="Normal 2 5 2 4 3" xfId="1272" xr:uid="{00000000-0005-0000-0000-000095010000}"/>
    <cellStyle name="Normal 2 5 2 5" xfId="149" xr:uid="{00000000-0005-0000-0000-000096010000}"/>
    <cellStyle name="Normal 2 5 2 5 2" xfId="607" xr:uid="{00000000-0005-0000-0000-000097010000}"/>
    <cellStyle name="Normal 2 5 2 5 2 2" xfId="1430" xr:uid="{00000000-0005-0000-0000-000098010000}"/>
    <cellStyle name="Normal 2 5 2 5 3" xfId="992" xr:uid="{00000000-0005-0000-0000-000099010000}"/>
    <cellStyle name="Normal 2 5 2 6" xfId="502" xr:uid="{00000000-0005-0000-0000-00009A010000}"/>
    <cellStyle name="Normal 2 5 2 6 2" xfId="1360" xr:uid="{00000000-0005-0000-0000-00009B010000}"/>
    <cellStyle name="Normal 2 5 2 7" xfId="922" xr:uid="{00000000-0005-0000-0000-00009C010000}"/>
    <cellStyle name="Normal 2 5 3" xfId="184" xr:uid="{00000000-0005-0000-0000-00009D010000}"/>
    <cellStyle name="Normal 2 5 3 2" xfId="326" xr:uid="{00000000-0005-0000-0000-00009E010000}"/>
    <cellStyle name="Normal 2 5 3 2 2" xfId="609" xr:uid="{00000000-0005-0000-0000-00009F010000}"/>
    <cellStyle name="Normal 2 5 3 2 2 2" xfId="1605" xr:uid="{00000000-0005-0000-0000-0000A0010000}"/>
    <cellStyle name="Normal 2 5 3 2 3" xfId="1167" xr:uid="{00000000-0005-0000-0000-0000A1010000}"/>
    <cellStyle name="Normal 2 5 3 3" xfId="608" xr:uid="{00000000-0005-0000-0000-0000A2010000}"/>
    <cellStyle name="Normal 2 5 3 3 2" xfId="1465" xr:uid="{00000000-0005-0000-0000-0000A3010000}"/>
    <cellStyle name="Normal 2 5 3 4" xfId="1027" xr:uid="{00000000-0005-0000-0000-0000A4010000}"/>
    <cellStyle name="Normal 2 5 4" xfId="256" xr:uid="{00000000-0005-0000-0000-0000A5010000}"/>
    <cellStyle name="Normal 2 5 4 2" xfId="610" xr:uid="{00000000-0005-0000-0000-0000A6010000}"/>
    <cellStyle name="Normal 2 5 4 2 2" xfId="1535" xr:uid="{00000000-0005-0000-0000-0000A7010000}"/>
    <cellStyle name="Normal 2 5 4 3" xfId="1097" xr:uid="{00000000-0005-0000-0000-0000A8010000}"/>
    <cellStyle name="Normal 2 5 5" xfId="397" xr:uid="{00000000-0005-0000-0000-0000A9010000}"/>
    <cellStyle name="Normal 2 5 5 2" xfId="611" xr:uid="{00000000-0005-0000-0000-0000AA010000}"/>
    <cellStyle name="Normal 2 5 5 2 2" xfId="1675" xr:uid="{00000000-0005-0000-0000-0000AB010000}"/>
    <cellStyle name="Normal 2 5 5 3" xfId="1237" xr:uid="{00000000-0005-0000-0000-0000AC010000}"/>
    <cellStyle name="Normal 2 5 6" xfId="113" xr:uid="{00000000-0005-0000-0000-0000AD010000}"/>
    <cellStyle name="Normal 2 5 6 2" xfId="612" xr:uid="{00000000-0005-0000-0000-0000AE010000}"/>
    <cellStyle name="Normal 2 5 6 2 2" xfId="1395" xr:uid="{00000000-0005-0000-0000-0000AF010000}"/>
    <cellStyle name="Normal 2 5 6 3" xfId="957" xr:uid="{00000000-0005-0000-0000-0000B0010000}"/>
    <cellStyle name="Normal 2 5 7" xfId="467" xr:uid="{00000000-0005-0000-0000-0000B1010000}"/>
    <cellStyle name="Normal 2 5 7 2" xfId="1324" xr:uid="{00000000-0005-0000-0000-0000B2010000}"/>
    <cellStyle name="Normal 2 5 8" xfId="887" xr:uid="{00000000-0005-0000-0000-0000B3010000}"/>
    <cellStyle name="Normal 2 6" xfId="14" xr:uid="{00000000-0005-0000-0000-0000B4010000}"/>
    <cellStyle name="Normal 2 7" xfId="1749" xr:uid="{5504FD2E-1968-4E00-A0F6-7EA0AADCC38F}"/>
    <cellStyle name="Normal 20" xfId="1748" xr:uid="{5D0E208A-FE24-4DB0-ACE4-4C2B45FC2181}"/>
    <cellStyle name="Normal 21" xfId="1752" xr:uid="{515959FC-7A0B-40A4-8CA3-E0CF98ED239B}"/>
    <cellStyle name="Normal 22" xfId="103" xr:uid="{00000000-0005-0000-0000-0000B5010000}"/>
    <cellStyle name="Normal 23" xfId="1754" xr:uid="{C8F7142E-E42B-4C02-972C-B827E45644B3}"/>
    <cellStyle name="Normal 289" xfId="1309" xr:uid="{00000000-0005-0000-0000-0000B6010000}"/>
    <cellStyle name="Normal 289 2" xfId="1738" xr:uid="{00000000-0005-0000-0000-0000B7010000}"/>
    <cellStyle name="Normal 3" xfId="4" xr:uid="{00000000-0005-0000-0000-0000B8010000}"/>
    <cellStyle name="Normal 3 2" xfId="22" xr:uid="{00000000-0005-0000-0000-0000B9010000}"/>
    <cellStyle name="Normal 3 2 10" xfId="888" xr:uid="{00000000-0005-0000-0000-0000BA010000}"/>
    <cellStyle name="Normal 3 2 2" xfId="23" xr:uid="{00000000-0005-0000-0000-0000BB010000}"/>
    <cellStyle name="Normal 3 2 2 2" xfId="24" xr:uid="{00000000-0005-0000-0000-0000BC010000}"/>
    <cellStyle name="Normal 3 2 2 2 2" xfId="70" xr:uid="{00000000-0005-0000-0000-0000BD010000}"/>
    <cellStyle name="Normal 3 2 2 2 2 2" xfId="223" xr:uid="{00000000-0005-0000-0000-0000BE010000}"/>
    <cellStyle name="Normal 3 2 2 2 2 2 2" xfId="364" xr:uid="{00000000-0005-0000-0000-0000BF010000}"/>
    <cellStyle name="Normal 3 2 2 2 2 2 2 2" xfId="614" xr:uid="{00000000-0005-0000-0000-0000C0010000}"/>
    <cellStyle name="Normal 3 2 2 2 2 2 2 2 2" xfId="1643" xr:uid="{00000000-0005-0000-0000-0000C1010000}"/>
    <cellStyle name="Normal 3 2 2 2 2 2 2 3" xfId="1205" xr:uid="{00000000-0005-0000-0000-0000C2010000}"/>
    <cellStyle name="Normal 3 2 2 2 2 2 3" xfId="613" xr:uid="{00000000-0005-0000-0000-0000C3010000}"/>
    <cellStyle name="Normal 3 2 2 2 2 2 3 2" xfId="1503" xr:uid="{00000000-0005-0000-0000-0000C4010000}"/>
    <cellStyle name="Normal 3 2 2 2 2 2 4" xfId="1065" xr:uid="{00000000-0005-0000-0000-0000C5010000}"/>
    <cellStyle name="Normal 3 2 2 2 2 3" xfId="294" xr:uid="{00000000-0005-0000-0000-0000C6010000}"/>
    <cellStyle name="Normal 3 2 2 2 2 3 2" xfId="615" xr:uid="{00000000-0005-0000-0000-0000C7010000}"/>
    <cellStyle name="Normal 3 2 2 2 2 3 2 2" xfId="1573" xr:uid="{00000000-0005-0000-0000-0000C8010000}"/>
    <cellStyle name="Normal 3 2 2 2 2 3 3" xfId="1135" xr:uid="{00000000-0005-0000-0000-0000C9010000}"/>
    <cellStyle name="Normal 3 2 2 2 2 4" xfId="435" xr:uid="{00000000-0005-0000-0000-0000CA010000}"/>
    <cellStyle name="Normal 3 2 2 2 2 4 2" xfId="616" xr:uid="{00000000-0005-0000-0000-0000CB010000}"/>
    <cellStyle name="Normal 3 2 2 2 2 4 2 2" xfId="1713" xr:uid="{00000000-0005-0000-0000-0000CC010000}"/>
    <cellStyle name="Normal 3 2 2 2 2 4 3" xfId="1275" xr:uid="{00000000-0005-0000-0000-0000CD010000}"/>
    <cellStyle name="Normal 3 2 2 2 2 5" xfId="152" xr:uid="{00000000-0005-0000-0000-0000CE010000}"/>
    <cellStyle name="Normal 3 2 2 2 2 5 2" xfId="617" xr:uid="{00000000-0005-0000-0000-0000CF010000}"/>
    <cellStyle name="Normal 3 2 2 2 2 5 2 2" xfId="1433" xr:uid="{00000000-0005-0000-0000-0000D0010000}"/>
    <cellStyle name="Normal 3 2 2 2 2 5 3" xfId="995" xr:uid="{00000000-0005-0000-0000-0000D1010000}"/>
    <cellStyle name="Normal 3 2 2 2 2 6" xfId="505" xr:uid="{00000000-0005-0000-0000-0000D2010000}"/>
    <cellStyle name="Normal 3 2 2 2 2 6 2" xfId="1363" xr:uid="{00000000-0005-0000-0000-0000D3010000}"/>
    <cellStyle name="Normal 3 2 2 2 2 7" xfId="925" xr:uid="{00000000-0005-0000-0000-0000D4010000}"/>
    <cellStyle name="Normal 3 2 2 2 3" xfId="187" xr:uid="{00000000-0005-0000-0000-0000D5010000}"/>
    <cellStyle name="Normal 3 2 2 2 3 2" xfId="329" xr:uid="{00000000-0005-0000-0000-0000D6010000}"/>
    <cellStyle name="Normal 3 2 2 2 3 2 2" xfId="619" xr:uid="{00000000-0005-0000-0000-0000D7010000}"/>
    <cellStyle name="Normal 3 2 2 2 3 2 2 2" xfId="1608" xr:uid="{00000000-0005-0000-0000-0000D8010000}"/>
    <cellStyle name="Normal 3 2 2 2 3 2 3" xfId="1170" xr:uid="{00000000-0005-0000-0000-0000D9010000}"/>
    <cellStyle name="Normal 3 2 2 2 3 3" xfId="618" xr:uid="{00000000-0005-0000-0000-0000DA010000}"/>
    <cellStyle name="Normal 3 2 2 2 3 3 2" xfId="1468" xr:uid="{00000000-0005-0000-0000-0000DB010000}"/>
    <cellStyle name="Normal 3 2 2 2 3 4" xfId="1030" xr:uid="{00000000-0005-0000-0000-0000DC010000}"/>
    <cellStyle name="Normal 3 2 2 2 4" xfId="259" xr:uid="{00000000-0005-0000-0000-0000DD010000}"/>
    <cellStyle name="Normal 3 2 2 2 4 2" xfId="620" xr:uid="{00000000-0005-0000-0000-0000DE010000}"/>
    <cellStyle name="Normal 3 2 2 2 4 2 2" xfId="1538" xr:uid="{00000000-0005-0000-0000-0000DF010000}"/>
    <cellStyle name="Normal 3 2 2 2 4 3" xfId="1100" xr:uid="{00000000-0005-0000-0000-0000E0010000}"/>
    <cellStyle name="Normal 3 2 2 2 5" xfId="400" xr:uid="{00000000-0005-0000-0000-0000E1010000}"/>
    <cellStyle name="Normal 3 2 2 2 5 2" xfId="621" xr:uid="{00000000-0005-0000-0000-0000E2010000}"/>
    <cellStyle name="Normal 3 2 2 2 5 2 2" xfId="1678" xr:uid="{00000000-0005-0000-0000-0000E3010000}"/>
    <cellStyle name="Normal 3 2 2 2 5 3" xfId="1240" xr:uid="{00000000-0005-0000-0000-0000E4010000}"/>
    <cellStyle name="Normal 3 2 2 2 6" xfId="116" xr:uid="{00000000-0005-0000-0000-0000E5010000}"/>
    <cellStyle name="Normal 3 2 2 2 6 2" xfId="622" xr:uid="{00000000-0005-0000-0000-0000E6010000}"/>
    <cellStyle name="Normal 3 2 2 2 6 2 2" xfId="1398" xr:uid="{00000000-0005-0000-0000-0000E7010000}"/>
    <cellStyle name="Normal 3 2 2 2 6 3" xfId="960" xr:uid="{00000000-0005-0000-0000-0000E8010000}"/>
    <cellStyle name="Normal 3 2 2 2 7" xfId="470" xr:uid="{00000000-0005-0000-0000-0000E9010000}"/>
    <cellStyle name="Normal 3 2 2 2 7 2" xfId="1327" xr:uid="{00000000-0005-0000-0000-0000EA010000}"/>
    <cellStyle name="Normal 3 2 2 2 8" xfId="890" xr:uid="{00000000-0005-0000-0000-0000EB010000}"/>
    <cellStyle name="Normal 3 2 2 3" xfId="69" xr:uid="{00000000-0005-0000-0000-0000EC010000}"/>
    <cellStyle name="Normal 3 2 2 3 2" xfId="222" xr:uid="{00000000-0005-0000-0000-0000ED010000}"/>
    <cellStyle name="Normal 3 2 2 3 2 2" xfId="363" xr:uid="{00000000-0005-0000-0000-0000EE010000}"/>
    <cellStyle name="Normal 3 2 2 3 2 2 2" xfId="624" xr:uid="{00000000-0005-0000-0000-0000EF010000}"/>
    <cellStyle name="Normal 3 2 2 3 2 2 2 2" xfId="1642" xr:uid="{00000000-0005-0000-0000-0000F0010000}"/>
    <cellStyle name="Normal 3 2 2 3 2 2 3" xfId="1204" xr:uid="{00000000-0005-0000-0000-0000F1010000}"/>
    <cellStyle name="Normal 3 2 2 3 2 3" xfId="623" xr:uid="{00000000-0005-0000-0000-0000F2010000}"/>
    <cellStyle name="Normal 3 2 2 3 2 3 2" xfId="1502" xr:uid="{00000000-0005-0000-0000-0000F3010000}"/>
    <cellStyle name="Normal 3 2 2 3 2 4" xfId="1064" xr:uid="{00000000-0005-0000-0000-0000F4010000}"/>
    <cellStyle name="Normal 3 2 2 3 3" xfId="293" xr:uid="{00000000-0005-0000-0000-0000F5010000}"/>
    <cellStyle name="Normal 3 2 2 3 3 2" xfId="625" xr:uid="{00000000-0005-0000-0000-0000F6010000}"/>
    <cellStyle name="Normal 3 2 2 3 3 2 2" xfId="1572" xr:uid="{00000000-0005-0000-0000-0000F7010000}"/>
    <cellStyle name="Normal 3 2 2 3 3 3" xfId="1134" xr:uid="{00000000-0005-0000-0000-0000F8010000}"/>
    <cellStyle name="Normal 3 2 2 3 4" xfId="434" xr:uid="{00000000-0005-0000-0000-0000F9010000}"/>
    <cellStyle name="Normal 3 2 2 3 4 2" xfId="626" xr:uid="{00000000-0005-0000-0000-0000FA010000}"/>
    <cellStyle name="Normal 3 2 2 3 4 2 2" xfId="1712" xr:uid="{00000000-0005-0000-0000-0000FB010000}"/>
    <cellStyle name="Normal 3 2 2 3 4 3" xfId="1274" xr:uid="{00000000-0005-0000-0000-0000FC010000}"/>
    <cellStyle name="Normal 3 2 2 3 5" xfId="151" xr:uid="{00000000-0005-0000-0000-0000FD010000}"/>
    <cellStyle name="Normal 3 2 2 3 5 2" xfId="627" xr:uid="{00000000-0005-0000-0000-0000FE010000}"/>
    <cellStyle name="Normal 3 2 2 3 5 2 2" xfId="1432" xr:uid="{00000000-0005-0000-0000-0000FF010000}"/>
    <cellStyle name="Normal 3 2 2 3 5 3" xfId="994" xr:uid="{00000000-0005-0000-0000-000000020000}"/>
    <cellStyle name="Normal 3 2 2 3 6" xfId="504" xr:uid="{00000000-0005-0000-0000-000001020000}"/>
    <cellStyle name="Normal 3 2 2 3 6 2" xfId="1362" xr:uid="{00000000-0005-0000-0000-000002020000}"/>
    <cellStyle name="Normal 3 2 2 3 7" xfId="924" xr:uid="{00000000-0005-0000-0000-000003020000}"/>
    <cellStyle name="Normal 3 2 2 4" xfId="186" xr:uid="{00000000-0005-0000-0000-000004020000}"/>
    <cellStyle name="Normal 3 2 2 4 2" xfId="328" xr:uid="{00000000-0005-0000-0000-000005020000}"/>
    <cellStyle name="Normal 3 2 2 4 2 2" xfId="629" xr:uid="{00000000-0005-0000-0000-000006020000}"/>
    <cellStyle name="Normal 3 2 2 4 2 2 2" xfId="1607" xr:uid="{00000000-0005-0000-0000-000007020000}"/>
    <cellStyle name="Normal 3 2 2 4 2 3" xfId="1169" xr:uid="{00000000-0005-0000-0000-000008020000}"/>
    <cellStyle name="Normal 3 2 2 4 3" xfId="628" xr:uid="{00000000-0005-0000-0000-000009020000}"/>
    <cellStyle name="Normal 3 2 2 4 3 2" xfId="1467" xr:uid="{00000000-0005-0000-0000-00000A020000}"/>
    <cellStyle name="Normal 3 2 2 4 4" xfId="1029" xr:uid="{00000000-0005-0000-0000-00000B020000}"/>
    <cellStyle name="Normal 3 2 2 5" xfId="258" xr:uid="{00000000-0005-0000-0000-00000C020000}"/>
    <cellStyle name="Normal 3 2 2 5 2" xfId="630" xr:uid="{00000000-0005-0000-0000-00000D020000}"/>
    <cellStyle name="Normal 3 2 2 5 2 2" xfId="1537" xr:uid="{00000000-0005-0000-0000-00000E020000}"/>
    <cellStyle name="Normal 3 2 2 5 3" xfId="1099" xr:uid="{00000000-0005-0000-0000-00000F020000}"/>
    <cellStyle name="Normal 3 2 2 6" xfId="399" xr:uid="{00000000-0005-0000-0000-000010020000}"/>
    <cellStyle name="Normal 3 2 2 6 2" xfId="631" xr:uid="{00000000-0005-0000-0000-000011020000}"/>
    <cellStyle name="Normal 3 2 2 6 2 2" xfId="1677" xr:uid="{00000000-0005-0000-0000-000012020000}"/>
    <cellStyle name="Normal 3 2 2 6 3" xfId="1239" xr:uid="{00000000-0005-0000-0000-000013020000}"/>
    <cellStyle name="Normal 3 2 2 7" xfId="115" xr:uid="{00000000-0005-0000-0000-000014020000}"/>
    <cellStyle name="Normal 3 2 2 7 2" xfId="632" xr:uid="{00000000-0005-0000-0000-000015020000}"/>
    <cellStyle name="Normal 3 2 2 7 2 2" xfId="1397" xr:uid="{00000000-0005-0000-0000-000016020000}"/>
    <cellStyle name="Normal 3 2 2 7 3" xfId="959" xr:uid="{00000000-0005-0000-0000-000017020000}"/>
    <cellStyle name="Normal 3 2 2 8" xfId="469" xr:uid="{00000000-0005-0000-0000-000018020000}"/>
    <cellStyle name="Normal 3 2 2 8 2" xfId="1326" xr:uid="{00000000-0005-0000-0000-000019020000}"/>
    <cellStyle name="Normal 3 2 2 9" xfId="889" xr:uid="{00000000-0005-0000-0000-00001A020000}"/>
    <cellStyle name="Normal 3 2 3" xfId="25" xr:uid="{00000000-0005-0000-0000-00001B020000}"/>
    <cellStyle name="Normal 3 2 3 2" xfId="71" xr:uid="{00000000-0005-0000-0000-00001C020000}"/>
    <cellStyle name="Normal 3 2 3 2 2" xfId="224" xr:uid="{00000000-0005-0000-0000-00001D020000}"/>
    <cellStyle name="Normal 3 2 3 2 2 2" xfId="365" xr:uid="{00000000-0005-0000-0000-00001E020000}"/>
    <cellStyle name="Normal 3 2 3 2 2 2 2" xfId="634" xr:uid="{00000000-0005-0000-0000-00001F020000}"/>
    <cellStyle name="Normal 3 2 3 2 2 2 2 2" xfId="1644" xr:uid="{00000000-0005-0000-0000-000020020000}"/>
    <cellStyle name="Normal 3 2 3 2 2 2 3" xfId="1206" xr:uid="{00000000-0005-0000-0000-000021020000}"/>
    <cellStyle name="Normal 3 2 3 2 2 3" xfId="633" xr:uid="{00000000-0005-0000-0000-000022020000}"/>
    <cellStyle name="Normal 3 2 3 2 2 3 2" xfId="1504" xr:uid="{00000000-0005-0000-0000-000023020000}"/>
    <cellStyle name="Normal 3 2 3 2 2 4" xfId="1066" xr:uid="{00000000-0005-0000-0000-000024020000}"/>
    <cellStyle name="Normal 3 2 3 2 3" xfId="295" xr:uid="{00000000-0005-0000-0000-000025020000}"/>
    <cellStyle name="Normal 3 2 3 2 3 2" xfId="635" xr:uid="{00000000-0005-0000-0000-000026020000}"/>
    <cellStyle name="Normal 3 2 3 2 3 2 2" xfId="1574" xr:uid="{00000000-0005-0000-0000-000027020000}"/>
    <cellStyle name="Normal 3 2 3 2 3 3" xfId="1136" xr:uid="{00000000-0005-0000-0000-000028020000}"/>
    <cellStyle name="Normal 3 2 3 2 4" xfId="436" xr:uid="{00000000-0005-0000-0000-000029020000}"/>
    <cellStyle name="Normal 3 2 3 2 4 2" xfId="636" xr:uid="{00000000-0005-0000-0000-00002A020000}"/>
    <cellStyle name="Normal 3 2 3 2 4 2 2" xfId="1714" xr:uid="{00000000-0005-0000-0000-00002B020000}"/>
    <cellStyle name="Normal 3 2 3 2 4 3" xfId="1276" xr:uid="{00000000-0005-0000-0000-00002C020000}"/>
    <cellStyle name="Normal 3 2 3 2 5" xfId="153" xr:uid="{00000000-0005-0000-0000-00002D020000}"/>
    <cellStyle name="Normal 3 2 3 2 5 2" xfId="637" xr:uid="{00000000-0005-0000-0000-00002E020000}"/>
    <cellStyle name="Normal 3 2 3 2 5 2 2" xfId="1434" xr:uid="{00000000-0005-0000-0000-00002F020000}"/>
    <cellStyle name="Normal 3 2 3 2 5 3" xfId="996" xr:uid="{00000000-0005-0000-0000-000030020000}"/>
    <cellStyle name="Normal 3 2 3 2 6" xfId="506" xr:uid="{00000000-0005-0000-0000-000031020000}"/>
    <cellStyle name="Normal 3 2 3 2 6 2" xfId="1364" xr:uid="{00000000-0005-0000-0000-000032020000}"/>
    <cellStyle name="Normal 3 2 3 2 7" xfId="926" xr:uid="{00000000-0005-0000-0000-000033020000}"/>
    <cellStyle name="Normal 3 2 3 3" xfId="188" xr:uid="{00000000-0005-0000-0000-000034020000}"/>
    <cellStyle name="Normal 3 2 3 3 2" xfId="330" xr:uid="{00000000-0005-0000-0000-000035020000}"/>
    <cellStyle name="Normal 3 2 3 3 2 2" xfId="639" xr:uid="{00000000-0005-0000-0000-000036020000}"/>
    <cellStyle name="Normal 3 2 3 3 2 2 2" xfId="1609" xr:uid="{00000000-0005-0000-0000-000037020000}"/>
    <cellStyle name="Normal 3 2 3 3 2 3" xfId="1171" xr:uid="{00000000-0005-0000-0000-000038020000}"/>
    <cellStyle name="Normal 3 2 3 3 3" xfId="638" xr:uid="{00000000-0005-0000-0000-000039020000}"/>
    <cellStyle name="Normal 3 2 3 3 3 2" xfId="1469" xr:uid="{00000000-0005-0000-0000-00003A020000}"/>
    <cellStyle name="Normal 3 2 3 3 4" xfId="1031" xr:uid="{00000000-0005-0000-0000-00003B020000}"/>
    <cellStyle name="Normal 3 2 3 4" xfId="260" xr:uid="{00000000-0005-0000-0000-00003C020000}"/>
    <cellStyle name="Normal 3 2 3 4 2" xfId="640" xr:uid="{00000000-0005-0000-0000-00003D020000}"/>
    <cellStyle name="Normal 3 2 3 4 2 2" xfId="1539" xr:uid="{00000000-0005-0000-0000-00003E020000}"/>
    <cellStyle name="Normal 3 2 3 4 3" xfId="1101" xr:uid="{00000000-0005-0000-0000-00003F020000}"/>
    <cellStyle name="Normal 3 2 3 5" xfId="401" xr:uid="{00000000-0005-0000-0000-000040020000}"/>
    <cellStyle name="Normal 3 2 3 5 2" xfId="641" xr:uid="{00000000-0005-0000-0000-000041020000}"/>
    <cellStyle name="Normal 3 2 3 5 2 2" xfId="1679" xr:uid="{00000000-0005-0000-0000-000042020000}"/>
    <cellStyle name="Normal 3 2 3 5 3" xfId="1241" xr:uid="{00000000-0005-0000-0000-000043020000}"/>
    <cellStyle name="Normal 3 2 3 6" xfId="117" xr:uid="{00000000-0005-0000-0000-000044020000}"/>
    <cellStyle name="Normal 3 2 3 6 2" xfId="642" xr:uid="{00000000-0005-0000-0000-000045020000}"/>
    <cellStyle name="Normal 3 2 3 6 2 2" xfId="1399" xr:uid="{00000000-0005-0000-0000-000046020000}"/>
    <cellStyle name="Normal 3 2 3 6 3" xfId="961" xr:uid="{00000000-0005-0000-0000-000047020000}"/>
    <cellStyle name="Normal 3 2 3 7" xfId="471" xr:uid="{00000000-0005-0000-0000-000048020000}"/>
    <cellStyle name="Normal 3 2 3 7 2" xfId="1328" xr:uid="{00000000-0005-0000-0000-000049020000}"/>
    <cellStyle name="Normal 3 2 3 8" xfId="891" xr:uid="{00000000-0005-0000-0000-00004A020000}"/>
    <cellStyle name="Normal 3 2 4" xfId="68" xr:uid="{00000000-0005-0000-0000-00004B020000}"/>
    <cellStyle name="Normal 3 2 4 2" xfId="221" xr:uid="{00000000-0005-0000-0000-00004C020000}"/>
    <cellStyle name="Normal 3 2 4 2 2" xfId="362" xr:uid="{00000000-0005-0000-0000-00004D020000}"/>
    <cellStyle name="Normal 3 2 4 2 2 2" xfId="644" xr:uid="{00000000-0005-0000-0000-00004E020000}"/>
    <cellStyle name="Normal 3 2 4 2 2 2 2" xfId="1641" xr:uid="{00000000-0005-0000-0000-00004F020000}"/>
    <cellStyle name="Normal 3 2 4 2 2 3" xfId="1203" xr:uid="{00000000-0005-0000-0000-000050020000}"/>
    <cellStyle name="Normal 3 2 4 2 3" xfId="643" xr:uid="{00000000-0005-0000-0000-000051020000}"/>
    <cellStyle name="Normal 3 2 4 2 3 2" xfId="1501" xr:uid="{00000000-0005-0000-0000-000052020000}"/>
    <cellStyle name="Normal 3 2 4 2 4" xfId="1063" xr:uid="{00000000-0005-0000-0000-000053020000}"/>
    <cellStyle name="Normal 3 2 4 3" xfId="292" xr:uid="{00000000-0005-0000-0000-000054020000}"/>
    <cellStyle name="Normal 3 2 4 3 2" xfId="645" xr:uid="{00000000-0005-0000-0000-000055020000}"/>
    <cellStyle name="Normal 3 2 4 3 2 2" xfId="1571" xr:uid="{00000000-0005-0000-0000-000056020000}"/>
    <cellStyle name="Normal 3 2 4 3 3" xfId="1133" xr:uid="{00000000-0005-0000-0000-000057020000}"/>
    <cellStyle name="Normal 3 2 4 4" xfId="433" xr:uid="{00000000-0005-0000-0000-000058020000}"/>
    <cellStyle name="Normal 3 2 4 4 2" xfId="646" xr:uid="{00000000-0005-0000-0000-000059020000}"/>
    <cellStyle name="Normal 3 2 4 4 2 2" xfId="1711" xr:uid="{00000000-0005-0000-0000-00005A020000}"/>
    <cellStyle name="Normal 3 2 4 4 3" xfId="1273" xr:uid="{00000000-0005-0000-0000-00005B020000}"/>
    <cellStyle name="Normal 3 2 4 5" xfId="150" xr:uid="{00000000-0005-0000-0000-00005C020000}"/>
    <cellStyle name="Normal 3 2 4 5 2" xfId="647" xr:uid="{00000000-0005-0000-0000-00005D020000}"/>
    <cellStyle name="Normal 3 2 4 5 2 2" xfId="1431" xr:uid="{00000000-0005-0000-0000-00005E020000}"/>
    <cellStyle name="Normal 3 2 4 5 3" xfId="993" xr:uid="{00000000-0005-0000-0000-00005F020000}"/>
    <cellStyle name="Normal 3 2 4 6" xfId="503" xr:uid="{00000000-0005-0000-0000-000060020000}"/>
    <cellStyle name="Normal 3 2 4 6 2" xfId="1361" xr:uid="{00000000-0005-0000-0000-000061020000}"/>
    <cellStyle name="Normal 3 2 4 7" xfId="923" xr:uid="{00000000-0005-0000-0000-000062020000}"/>
    <cellStyle name="Normal 3 2 5" xfId="185" xr:uid="{00000000-0005-0000-0000-000063020000}"/>
    <cellStyle name="Normal 3 2 5 2" xfId="327" xr:uid="{00000000-0005-0000-0000-000064020000}"/>
    <cellStyle name="Normal 3 2 5 2 2" xfId="649" xr:uid="{00000000-0005-0000-0000-000065020000}"/>
    <cellStyle name="Normal 3 2 5 2 2 2" xfId="1606" xr:uid="{00000000-0005-0000-0000-000066020000}"/>
    <cellStyle name="Normal 3 2 5 2 3" xfId="1168" xr:uid="{00000000-0005-0000-0000-000067020000}"/>
    <cellStyle name="Normal 3 2 5 3" xfId="648" xr:uid="{00000000-0005-0000-0000-000068020000}"/>
    <cellStyle name="Normal 3 2 5 3 2" xfId="1466" xr:uid="{00000000-0005-0000-0000-000069020000}"/>
    <cellStyle name="Normal 3 2 5 4" xfId="1028" xr:uid="{00000000-0005-0000-0000-00006A020000}"/>
    <cellStyle name="Normal 3 2 6" xfId="257" xr:uid="{00000000-0005-0000-0000-00006B020000}"/>
    <cellStyle name="Normal 3 2 6 2" xfId="650" xr:uid="{00000000-0005-0000-0000-00006C020000}"/>
    <cellStyle name="Normal 3 2 6 2 2" xfId="1536" xr:uid="{00000000-0005-0000-0000-00006D020000}"/>
    <cellStyle name="Normal 3 2 6 3" xfId="1098" xr:uid="{00000000-0005-0000-0000-00006E020000}"/>
    <cellStyle name="Normal 3 2 7" xfId="398" xr:uid="{00000000-0005-0000-0000-00006F020000}"/>
    <cellStyle name="Normal 3 2 7 2" xfId="651" xr:uid="{00000000-0005-0000-0000-000070020000}"/>
    <cellStyle name="Normal 3 2 7 2 2" xfId="1676" xr:uid="{00000000-0005-0000-0000-000071020000}"/>
    <cellStyle name="Normal 3 2 7 3" xfId="1238" xr:uid="{00000000-0005-0000-0000-000072020000}"/>
    <cellStyle name="Normal 3 2 8" xfId="114" xr:uid="{00000000-0005-0000-0000-000073020000}"/>
    <cellStyle name="Normal 3 2 8 2" xfId="652" xr:uid="{00000000-0005-0000-0000-000074020000}"/>
    <cellStyle name="Normal 3 2 8 2 2" xfId="1396" xr:uid="{00000000-0005-0000-0000-000075020000}"/>
    <cellStyle name="Normal 3 2 8 3" xfId="958" xr:uid="{00000000-0005-0000-0000-000076020000}"/>
    <cellStyle name="Normal 3 2 9" xfId="468" xr:uid="{00000000-0005-0000-0000-000077020000}"/>
    <cellStyle name="Normal 3 2 9 2" xfId="1325" xr:uid="{00000000-0005-0000-0000-000078020000}"/>
    <cellStyle name="Normal 3 3" xfId="26" xr:uid="{00000000-0005-0000-0000-000079020000}"/>
    <cellStyle name="Normal 3 3 2" xfId="27" xr:uid="{00000000-0005-0000-0000-00007A020000}"/>
    <cellStyle name="Normal 3 3 2 2" xfId="73" xr:uid="{00000000-0005-0000-0000-00007B020000}"/>
    <cellStyle name="Normal 3 3 2 2 2" xfId="226" xr:uid="{00000000-0005-0000-0000-00007C020000}"/>
    <cellStyle name="Normal 3 3 2 2 2 2" xfId="367" xr:uid="{00000000-0005-0000-0000-00007D020000}"/>
    <cellStyle name="Normal 3 3 2 2 2 2 2" xfId="654" xr:uid="{00000000-0005-0000-0000-00007E020000}"/>
    <cellStyle name="Normal 3 3 2 2 2 2 2 2" xfId="1646" xr:uid="{00000000-0005-0000-0000-00007F020000}"/>
    <cellStyle name="Normal 3 3 2 2 2 2 3" xfId="1208" xr:uid="{00000000-0005-0000-0000-000080020000}"/>
    <cellStyle name="Normal 3 3 2 2 2 3" xfId="653" xr:uid="{00000000-0005-0000-0000-000081020000}"/>
    <cellStyle name="Normal 3 3 2 2 2 3 2" xfId="1506" xr:uid="{00000000-0005-0000-0000-000082020000}"/>
    <cellStyle name="Normal 3 3 2 2 2 4" xfId="1068" xr:uid="{00000000-0005-0000-0000-000083020000}"/>
    <cellStyle name="Normal 3 3 2 2 3" xfId="297" xr:uid="{00000000-0005-0000-0000-000084020000}"/>
    <cellStyle name="Normal 3 3 2 2 3 2" xfId="655" xr:uid="{00000000-0005-0000-0000-000085020000}"/>
    <cellStyle name="Normal 3 3 2 2 3 2 2" xfId="1576" xr:uid="{00000000-0005-0000-0000-000086020000}"/>
    <cellStyle name="Normal 3 3 2 2 3 3" xfId="1138" xr:uid="{00000000-0005-0000-0000-000087020000}"/>
    <cellStyle name="Normal 3 3 2 2 4" xfId="438" xr:uid="{00000000-0005-0000-0000-000088020000}"/>
    <cellStyle name="Normal 3 3 2 2 4 2" xfId="656" xr:uid="{00000000-0005-0000-0000-000089020000}"/>
    <cellStyle name="Normal 3 3 2 2 4 2 2" xfId="1716" xr:uid="{00000000-0005-0000-0000-00008A020000}"/>
    <cellStyle name="Normal 3 3 2 2 4 3" xfId="1278" xr:uid="{00000000-0005-0000-0000-00008B020000}"/>
    <cellStyle name="Normal 3 3 2 2 5" xfId="155" xr:uid="{00000000-0005-0000-0000-00008C020000}"/>
    <cellStyle name="Normal 3 3 2 2 5 2" xfId="657" xr:uid="{00000000-0005-0000-0000-00008D020000}"/>
    <cellStyle name="Normal 3 3 2 2 5 2 2" xfId="1436" xr:uid="{00000000-0005-0000-0000-00008E020000}"/>
    <cellStyle name="Normal 3 3 2 2 5 3" xfId="998" xr:uid="{00000000-0005-0000-0000-00008F020000}"/>
    <cellStyle name="Normal 3 3 2 2 6" xfId="508" xr:uid="{00000000-0005-0000-0000-000090020000}"/>
    <cellStyle name="Normal 3 3 2 2 6 2" xfId="1366" xr:uid="{00000000-0005-0000-0000-000091020000}"/>
    <cellStyle name="Normal 3 3 2 2 7" xfId="928" xr:uid="{00000000-0005-0000-0000-000092020000}"/>
    <cellStyle name="Normal 3 3 2 3" xfId="190" xr:uid="{00000000-0005-0000-0000-000093020000}"/>
    <cellStyle name="Normal 3 3 2 3 2" xfId="332" xr:uid="{00000000-0005-0000-0000-000094020000}"/>
    <cellStyle name="Normal 3 3 2 3 2 2" xfId="659" xr:uid="{00000000-0005-0000-0000-000095020000}"/>
    <cellStyle name="Normal 3 3 2 3 2 2 2" xfId="1611" xr:uid="{00000000-0005-0000-0000-000096020000}"/>
    <cellStyle name="Normal 3 3 2 3 2 3" xfId="1173" xr:uid="{00000000-0005-0000-0000-000097020000}"/>
    <cellStyle name="Normal 3 3 2 3 3" xfId="658" xr:uid="{00000000-0005-0000-0000-000098020000}"/>
    <cellStyle name="Normal 3 3 2 3 3 2" xfId="1471" xr:uid="{00000000-0005-0000-0000-000099020000}"/>
    <cellStyle name="Normal 3 3 2 3 4" xfId="1033" xr:uid="{00000000-0005-0000-0000-00009A020000}"/>
    <cellStyle name="Normal 3 3 2 4" xfId="262" xr:uid="{00000000-0005-0000-0000-00009B020000}"/>
    <cellStyle name="Normal 3 3 2 4 2" xfId="660" xr:uid="{00000000-0005-0000-0000-00009C020000}"/>
    <cellStyle name="Normal 3 3 2 4 2 2" xfId="1541" xr:uid="{00000000-0005-0000-0000-00009D020000}"/>
    <cellStyle name="Normal 3 3 2 4 3" xfId="1103" xr:uid="{00000000-0005-0000-0000-00009E020000}"/>
    <cellStyle name="Normal 3 3 2 5" xfId="403" xr:uid="{00000000-0005-0000-0000-00009F020000}"/>
    <cellStyle name="Normal 3 3 2 5 2" xfId="661" xr:uid="{00000000-0005-0000-0000-0000A0020000}"/>
    <cellStyle name="Normal 3 3 2 5 2 2" xfId="1681" xr:uid="{00000000-0005-0000-0000-0000A1020000}"/>
    <cellStyle name="Normal 3 3 2 5 3" xfId="1243" xr:uid="{00000000-0005-0000-0000-0000A2020000}"/>
    <cellStyle name="Normal 3 3 2 6" xfId="119" xr:uid="{00000000-0005-0000-0000-0000A3020000}"/>
    <cellStyle name="Normal 3 3 2 6 2" xfId="662" xr:uid="{00000000-0005-0000-0000-0000A4020000}"/>
    <cellStyle name="Normal 3 3 2 6 2 2" xfId="1401" xr:uid="{00000000-0005-0000-0000-0000A5020000}"/>
    <cellStyle name="Normal 3 3 2 6 3" xfId="963" xr:uid="{00000000-0005-0000-0000-0000A6020000}"/>
    <cellStyle name="Normal 3 3 2 7" xfId="473" xr:uid="{00000000-0005-0000-0000-0000A7020000}"/>
    <cellStyle name="Normal 3 3 2 7 2" xfId="1330" xr:uid="{00000000-0005-0000-0000-0000A8020000}"/>
    <cellStyle name="Normal 3 3 2 8" xfId="893" xr:uid="{00000000-0005-0000-0000-0000A9020000}"/>
    <cellStyle name="Normal 3 3 3" xfId="72" xr:uid="{00000000-0005-0000-0000-0000AA020000}"/>
    <cellStyle name="Normal 3 3 3 2" xfId="225" xr:uid="{00000000-0005-0000-0000-0000AB020000}"/>
    <cellStyle name="Normal 3 3 3 2 2" xfId="366" xr:uid="{00000000-0005-0000-0000-0000AC020000}"/>
    <cellStyle name="Normal 3 3 3 2 2 2" xfId="664" xr:uid="{00000000-0005-0000-0000-0000AD020000}"/>
    <cellStyle name="Normal 3 3 3 2 2 2 2" xfId="1645" xr:uid="{00000000-0005-0000-0000-0000AE020000}"/>
    <cellStyle name="Normal 3 3 3 2 2 3" xfId="1207" xr:uid="{00000000-0005-0000-0000-0000AF020000}"/>
    <cellStyle name="Normal 3 3 3 2 3" xfId="663" xr:uid="{00000000-0005-0000-0000-0000B0020000}"/>
    <cellStyle name="Normal 3 3 3 2 3 2" xfId="1505" xr:uid="{00000000-0005-0000-0000-0000B1020000}"/>
    <cellStyle name="Normal 3 3 3 2 4" xfId="1067" xr:uid="{00000000-0005-0000-0000-0000B2020000}"/>
    <cellStyle name="Normal 3 3 3 3" xfId="296" xr:uid="{00000000-0005-0000-0000-0000B3020000}"/>
    <cellStyle name="Normal 3 3 3 3 2" xfId="665" xr:uid="{00000000-0005-0000-0000-0000B4020000}"/>
    <cellStyle name="Normal 3 3 3 3 2 2" xfId="1575" xr:uid="{00000000-0005-0000-0000-0000B5020000}"/>
    <cellStyle name="Normal 3 3 3 3 3" xfId="1137" xr:uid="{00000000-0005-0000-0000-0000B6020000}"/>
    <cellStyle name="Normal 3 3 3 4" xfId="437" xr:uid="{00000000-0005-0000-0000-0000B7020000}"/>
    <cellStyle name="Normal 3 3 3 4 2" xfId="666" xr:uid="{00000000-0005-0000-0000-0000B8020000}"/>
    <cellStyle name="Normal 3 3 3 4 2 2" xfId="1715" xr:uid="{00000000-0005-0000-0000-0000B9020000}"/>
    <cellStyle name="Normal 3 3 3 4 3" xfId="1277" xr:uid="{00000000-0005-0000-0000-0000BA020000}"/>
    <cellStyle name="Normal 3 3 3 5" xfId="154" xr:uid="{00000000-0005-0000-0000-0000BB020000}"/>
    <cellStyle name="Normal 3 3 3 5 2" xfId="667" xr:uid="{00000000-0005-0000-0000-0000BC020000}"/>
    <cellStyle name="Normal 3 3 3 5 2 2" xfId="1435" xr:uid="{00000000-0005-0000-0000-0000BD020000}"/>
    <cellStyle name="Normal 3 3 3 5 3" xfId="997" xr:uid="{00000000-0005-0000-0000-0000BE020000}"/>
    <cellStyle name="Normal 3 3 3 6" xfId="507" xr:uid="{00000000-0005-0000-0000-0000BF020000}"/>
    <cellStyle name="Normal 3 3 3 6 2" xfId="1365" xr:uid="{00000000-0005-0000-0000-0000C0020000}"/>
    <cellStyle name="Normal 3 3 3 7" xfId="927" xr:uid="{00000000-0005-0000-0000-0000C1020000}"/>
    <cellStyle name="Normal 3 3 4" xfId="189" xr:uid="{00000000-0005-0000-0000-0000C2020000}"/>
    <cellStyle name="Normal 3 3 4 2" xfId="331" xr:uid="{00000000-0005-0000-0000-0000C3020000}"/>
    <cellStyle name="Normal 3 3 4 2 2" xfId="669" xr:uid="{00000000-0005-0000-0000-0000C4020000}"/>
    <cellStyle name="Normal 3 3 4 2 2 2" xfId="1610" xr:uid="{00000000-0005-0000-0000-0000C5020000}"/>
    <cellStyle name="Normal 3 3 4 2 3" xfId="1172" xr:uid="{00000000-0005-0000-0000-0000C6020000}"/>
    <cellStyle name="Normal 3 3 4 3" xfId="668" xr:uid="{00000000-0005-0000-0000-0000C7020000}"/>
    <cellStyle name="Normal 3 3 4 3 2" xfId="1470" xr:uid="{00000000-0005-0000-0000-0000C8020000}"/>
    <cellStyle name="Normal 3 3 4 4" xfId="1032" xr:uid="{00000000-0005-0000-0000-0000C9020000}"/>
    <cellStyle name="Normal 3 3 5" xfId="261" xr:uid="{00000000-0005-0000-0000-0000CA020000}"/>
    <cellStyle name="Normal 3 3 5 2" xfId="670" xr:uid="{00000000-0005-0000-0000-0000CB020000}"/>
    <cellStyle name="Normal 3 3 5 2 2" xfId="1540" xr:uid="{00000000-0005-0000-0000-0000CC020000}"/>
    <cellStyle name="Normal 3 3 5 3" xfId="1102" xr:uid="{00000000-0005-0000-0000-0000CD020000}"/>
    <cellStyle name="Normal 3 3 6" xfId="402" xr:uid="{00000000-0005-0000-0000-0000CE020000}"/>
    <cellStyle name="Normal 3 3 6 2" xfId="671" xr:uid="{00000000-0005-0000-0000-0000CF020000}"/>
    <cellStyle name="Normal 3 3 6 2 2" xfId="1680" xr:uid="{00000000-0005-0000-0000-0000D0020000}"/>
    <cellStyle name="Normal 3 3 6 3" xfId="1242" xr:uid="{00000000-0005-0000-0000-0000D1020000}"/>
    <cellStyle name="Normal 3 3 7" xfId="118" xr:uid="{00000000-0005-0000-0000-0000D2020000}"/>
    <cellStyle name="Normal 3 3 7 2" xfId="672" xr:uid="{00000000-0005-0000-0000-0000D3020000}"/>
    <cellStyle name="Normal 3 3 7 2 2" xfId="1400" xr:uid="{00000000-0005-0000-0000-0000D4020000}"/>
    <cellStyle name="Normal 3 3 7 3" xfId="962" xr:uid="{00000000-0005-0000-0000-0000D5020000}"/>
    <cellStyle name="Normal 3 3 8" xfId="472" xr:uid="{00000000-0005-0000-0000-0000D6020000}"/>
    <cellStyle name="Normal 3 3 8 2" xfId="1329" xr:uid="{00000000-0005-0000-0000-0000D7020000}"/>
    <cellStyle name="Normal 3 3 9" xfId="892" xr:uid="{00000000-0005-0000-0000-0000D8020000}"/>
    <cellStyle name="Normal 3 4" xfId="28" xr:uid="{00000000-0005-0000-0000-0000D9020000}"/>
    <cellStyle name="Normal 3 4 2" xfId="74" xr:uid="{00000000-0005-0000-0000-0000DA020000}"/>
    <cellStyle name="Normal 3 4 2 2" xfId="227" xr:uid="{00000000-0005-0000-0000-0000DB020000}"/>
    <cellStyle name="Normal 3 4 2 2 2" xfId="368" xr:uid="{00000000-0005-0000-0000-0000DC020000}"/>
    <cellStyle name="Normal 3 4 2 2 2 2" xfId="674" xr:uid="{00000000-0005-0000-0000-0000DD020000}"/>
    <cellStyle name="Normal 3 4 2 2 2 2 2" xfId="1647" xr:uid="{00000000-0005-0000-0000-0000DE020000}"/>
    <cellStyle name="Normal 3 4 2 2 2 3" xfId="1209" xr:uid="{00000000-0005-0000-0000-0000DF020000}"/>
    <cellStyle name="Normal 3 4 2 2 3" xfId="673" xr:uid="{00000000-0005-0000-0000-0000E0020000}"/>
    <cellStyle name="Normal 3 4 2 2 3 2" xfId="1507" xr:uid="{00000000-0005-0000-0000-0000E1020000}"/>
    <cellStyle name="Normal 3 4 2 2 4" xfId="1069" xr:uid="{00000000-0005-0000-0000-0000E2020000}"/>
    <cellStyle name="Normal 3 4 2 3" xfId="298" xr:uid="{00000000-0005-0000-0000-0000E3020000}"/>
    <cellStyle name="Normal 3 4 2 3 2" xfId="675" xr:uid="{00000000-0005-0000-0000-0000E4020000}"/>
    <cellStyle name="Normal 3 4 2 3 2 2" xfId="1577" xr:uid="{00000000-0005-0000-0000-0000E5020000}"/>
    <cellStyle name="Normal 3 4 2 3 3" xfId="1139" xr:uid="{00000000-0005-0000-0000-0000E6020000}"/>
    <cellStyle name="Normal 3 4 2 4" xfId="439" xr:uid="{00000000-0005-0000-0000-0000E7020000}"/>
    <cellStyle name="Normal 3 4 2 4 2" xfId="676" xr:uid="{00000000-0005-0000-0000-0000E8020000}"/>
    <cellStyle name="Normal 3 4 2 4 2 2" xfId="1717" xr:uid="{00000000-0005-0000-0000-0000E9020000}"/>
    <cellStyle name="Normal 3 4 2 4 3" xfId="1279" xr:uid="{00000000-0005-0000-0000-0000EA020000}"/>
    <cellStyle name="Normal 3 4 2 5" xfId="156" xr:uid="{00000000-0005-0000-0000-0000EB020000}"/>
    <cellStyle name="Normal 3 4 2 5 2" xfId="677" xr:uid="{00000000-0005-0000-0000-0000EC020000}"/>
    <cellStyle name="Normal 3 4 2 5 2 2" xfId="1437" xr:uid="{00000000-0005-0000-0000-0000ED020000}"/>
    <cellStyle name="Normal 3 4 2 5 3" xfId="999" xr:uid="{00000000-0005-0000-0000-0000EE020000}"/>
    <cellStyle name="Normal 3 4 2 6" xfId="509" xr:uid="{00000000-0005-0000-0000-0000EF020000}"/>
    <cellStyle name="Normal 3 4 2 6 2" xfId="1367" xr:uid="{00000000-0005-0000-0000-0000F0020000}"/>
    <cellStyle name="Normal 3 4 2 7" xfId="929" xr:uid="{00000000-0005-0000-0000-0000F1020000}"/>
    <cellStyle name="Normal 3 4 3" xfId="191" xr:uid="{00000000-0005-0000-0000-0000F2020000}"/>
    <cellStyle name="Normal 3 4 3 2" xfId="333" xr:uid="{00000000-0005-0000-0000-0000F3020000}"/>
    <cellStyle name="Normal 3 4 3 2 2" xfId="679" xr:uid="{00000000-0005-0000-0000-0000F4020000}"/>
    <cellStyle name="Normal 3 4 3 2 2 2" xfId="1612" xr:uid="{00000000-0005-0000-0000-0000F5020000}"/>
    <cellStyle name="Normal 3 4 3 2 3" xfId="1174" xr:uid="{00000000-0005-0000-0000-0000F6020000}"/>
    <cellStyle name="Normal 3 4 3 3" xfId="678" xr:uid="{00000000-0005-0000-0000-0000F7020000}"/>
    <cellStyle name="Normal 3 4 3 3 2" xfId="1472" xr:uid="{00000000-0005-0000-0000-0000F8020000}"/>
    <cellStyle name="Normal 3 4 3 4" xfId="1034" xr:uid="{00000000-0005-0000-0000-0000F9020000}"/>
    <cellStyle name="Normal 3 4 4" xfId="263" xr:uid="{00000000-0005-0000-0000-0000FA020000}"/>
    <cellStyle name="Normal 3 4 4 2" xfId="680" xr:uid="{00000000-0005-0000-0000-0000FB020000}"/>
    <cellStyle name="Normal 3 4 4 2 2" xfId="1542" xr:uid="{00000000-0005-0000-0000-0000FC020000}"/>
    <cellStyle name="Normal 3 4 4 3" xfId="1104" xr:uid="{00000000-0005-0000-0000-0000FD020000}"/>
    <cellStyle name="Normal 3 4 5" xfId="404" xr:uid="{00000000-0005-0000-0000-0000FE020000}"/>
    <cellStyle name="Normal 3 4 5 2" xfId="681" xr:uid="{00000000-0005-0000-0000-0000FF020000}"/>
    <cellStyle name="Normal 3 4 5 2 2" xfId="1682" xr:uid="{00000000-0005-0000-0000-000000030000}"/>
    <cellStyle name="Normal 3 4 5 3" xfId="1244" xr:uid="{00000000-0005-0000-0000-000001030000}"/>
    <cellStyle name="Normal 3 4 6" xfId="120" xr:uid="{00000000-0005-0000-0000-000002030000}"/>
    <cellStyle name="Normal 3 4 6 2" xfId="682" xr:uid="{00000000-0005-0000-0000-000003030000}"/>
    <cellStyle name="Normal 3 4 6 2 2" xfId="1402" xr:uid="{00000000-0005-0000-0000-000004030000}"/>
    <cellStyle name="Normal 3 4 6 3" xfId="964" xr:uid="{00000000-0005-0000-0000-000005030000}"/>
    <cellStyle name="Normal 3 4 7" xfId="474" xr:uid="{00000000-0005-0000-0000-000006030000}"/>
    <cellStyle name="Normal 3 4 7 2" xfId="1331" xr:uid="{00000000-0005-0000-0000-000007030000}"/>
    <cellStyle name="Normal 3 4 8" xfId="894" xr:uid="{00000000-0005-0000-0000-000008030000}"/>
    <cellStyle name="Normal 3 5" xfId="8" xr:uid="{00000000-0005-0000-0000-000009030000}"/>
    <cellStyle name="Normal 3 5 2" xfId="59" xr:uid="{00000000-0005-0000-0000-00000A030000}"/>
    <cellStyle name="Normal 3 5 2 2" xfId="212" xr:uid="{00000000-0005-0000-0000-00000B030000}"/>
    <cellStyle name="Normal 3 5 2 2 2" xfId="353" xr:uid="{00000000-0005-0000-0000-00000C030000}"/>
    <cellStyle name="Normal 3 5 2 2 2 2" xfId="684" xr:uid="{00000000-0005-0000-0000-00000D030000}"/>
    <cellStyle name="Normal 3 5 2 2 2 2 2" xfId="1632" xr:uid="{00000000-0005-0000-0000-00000E030000}"/>
    <cellStyle name="Normal 3 5 2 2 2 3" xfId="1194" xr:uid="{00000000-0005-0000-0000-00000F030000}"/>
    <cellStyle name="Normal 3 5 2 2 3" xfId="683" xr:uid="{00000000-0005-0000-0000-000010030000}"/>
    <cellStyle name="Normal 3 5 2 2 3 2" xfId="1492" xr:uid="{00000000-0005-0000-0000-000011030000}"/>
    <cellStyle name="Normal 3 5 2 2 4" xfId="1054" xr:uid="{00000000-0005-0000-0000-000012030000}"/>
    <cellStyle name="Normal 3 5 2 3" xfId="283" xr:uid="{00000000-0005-0000-0000-000013030000}"/>
    <cellStyle name="Normal 3 5 2 3 2" xfId="685" xr:uid="{00000000-0005-0000-0000-000014030000}"/>
    <cellStyle name="Normal 3 5 2 3 2 2" xfId="1562" xr:uid="{00000000-0005-0000-0000-000015030000}"/>
    <cellStyle name="Normal 3 5 2 3 3" xfId="1124" xr:uid="{00000000-0005-0000-0000-000016030000}"/>
    <cellStyle name="Normal 3 5 2 4" xfId="424" xr:uid="{00000000-0005-0000-0000-000017030000}"/>
    <cellStyle name="Normal 3 5 2 4 2" xfId="686" xr:uid="{00000000-0005-0000-0000-000018030000}"/>
    <cellStyle name="Normal 3 5 2 4 2 2" xfId="1702" xr:uid="{00000000-0005-0000-0000-000019030000}"/>
    <cellStyle name="Normal 3 5 2 4 3" xfId="1264" xr:uid="{00000000-0005-0000-0000-00001A030000}"/>
    <cellStyle name="Normal 3 5 2 5" xfId="141" xr:uid="{00000000-0005-0000-0000-00001B030000}"/>
    <cellStyle name="Normal 3 5 2 5 2" xfId="687" xr:uid="{00000000-0005-0000-0000-00001C030000}"/>
    <cellStyle name="Normal 3 5 2 5 2 2" xfId="1422" xr:uid="{00000000-0005-0000-0000-00001D030000}"/>
    <cellStyle name="Normal 3 5 2 5 3" xfId="984" xr:uid="{00000000-0005-0000-0000-00001E030000}"/>
    <cellStyle name="Normal 3 5 2 6" xfId="494" xr:uid="{00000000-0005-0000-0000-00001F030000}"/>
    <cellStyle name="Normal 3 5 2 6 2" xfId="1352" xr:uid="{00000000-0005-0000-0000-000020030000}"/>
    <cellStyle name="Normal 3 5 2 7" xfId="914" xr:uid="{00000000-0005-0000-0000-000021030000}"/>
    <cellStyle name="Normal 3 5 3" xfId="176" xr:uid="{00000000-0005-0000-0000-000022030000}"/>
    <cellStyle name="Normal 3 5 3 2" xfId="318" xr:uid="{00000000-0005-0000-0000-000023030000}"/>
    <cellStyle name="Normal 3 5 3 2 2" xfId="689" xr:uid="{00000000-0005-0000-0000-000024030000}"/>
    <cellStyle name="Normal 3 5 3 2 2 2" xfId="1597" xr:uid="{00000000-0005-0000-0000-000025030000}"/>
    <cellStyle name="Normal 3 5 3 2 3" xfId="1159" xr:uid="{00000000-0005-0000-0000-000026030000}"/>
    <cellStyle name="Normal 3 5 3 3" xfId="688" xr:uid="{00000000-0005-0000-0000-000027030000}"/>
    <cellStyle name="Normal 3 5 3 3 2" xfId="1457" xr:uid="{00000000-0005-0000-0000-000028030000}"/>
    <cellStyle name="Normal 3 5 3 4" xfId="1019" xr:uid="{00000000-0005-0000-0000-000029030000}"/>
    <cellStyle name="Normal 3 5 4" xfId="248" xr:uid="{00000000-0005-0000-0000-00002A030000}"/>
    <cellStyle name="Normal 3 5 4 2" xfId="690" xr:uid="{00000000-0005-0000-0000-00002B030000}"/>
    <cellStyle name="Normal 3 5 4 2 2" xfId="1527" xr:uid="{00000000-0005-0000-0000-00002C030000}"/>
    <cellStyle name="Normal 3 5 4 3" xfId="1089" xr:uid="{00000000-0005-0000-0000-00002D030000}"/>
    <cellStyle name="Normal 3 5 5" xfId="389" xr:uid="{00000000-0005-0000-0000-00002E030000}"/>
    <cellStyle name="Normal 3 5 5 2" xfId="691" xr:uid="{00000000-0005-0000-0000-00002F030000}"/>
    <cellStyle name="Normal 3 5 5 2 2" xfId="1667" xr:uid="{00000000-0005-0000-0000-000030030000}"/>
    <cellStyle name="Normal 3 5 5 3" xfId="1229" xr:uid="{00000000-0005-0000-0000-000031030000}"/>
    <cellStyle name="Normal 3 5 6" xfId="105" xr:uid="{00000000-0005-0000-0000-000032030000}"/>
    <cellStyle name="Normal 3 5 6 2" xfId="692" xr:uid="{00000000-0005-0000-0000-000033030000}"/>
    <cellStyle name="Normal 3 5 6 2 2" xfId="1387" xr:uid="{00000000-0005-0000-0000-000034030000}"/>
    <cellStyle name="Normal 3 5 6 3" xfId="949" xr:uid="{00000000-0005-0000-0000-000035030000}"/>
    <cellStyle name="Normal 3 5 7" xfId="459" xr:uid="{00000000-0005-0000-0000-000036030000}"/>
    <cellStyle name="Normal 3 5 7 2" xfId="1316" xr:uid="{00000000-0005-0000-0000-000037030000}"/>
    <cellStyle name="Normal 3 5 8" xfId="879" xr:uid="{00000000-0005-0000-0000-000038030000}"/>
    <cellStyle name="Normal 3 6" xfId="57" xr:uid="{00000000-0005-0000-0000-000039030000}"/>
    <cellStyle name="Normal 30" xfId="1300" xr:uid="{00000000-0005-0000-0000-00003A030000}"/>
    <cellStyle name="Normal 30 2" xfId="1746" xr:uid="{2C9DD691-4587-46A0-B177-6DF8D45EF906}"/>
    <cellStyle name="Normal 304" xfId="1307" xr:uid="{00000000-0005-0000-0000-00003B030000}"/>
    <cellStyle name="Normal 305" xfId="1306" xr:uid="{00000000-0005-0000-0000-00003C030000}"/>
    <cellStyle name="Normal 310" xfId="1301" xr:uid="{00000000-0005-0000-0000-00003D030000}"/>
    <cellStyle name="Normal 313" xfId="1303" xr:uid="{00000000-0005-0000-0000-00003E030000}"/>
    <cellStyle name="Normal 337" xfId="1311" xr:uid="{00000000-0005-0000-0000-00003F030000}"/>
    <cellStyle name="Normal 337 2" xfId="1740" xr:uid="{00000000-0005-0000-0000-000040030000}"/>
    <cellStyle name="Normal 338" xfId="1298" xr:uid="{00000000-0005-0000-0000-000041030000}"/>
    <cellStyle name="Normal 338 2" xfId="1736" xr:uid="{00000000-0005-0000-0000-000042030000}"/>
    <cellStyle name="Normal 340" xfId="1299" xr:uid="{00000000-0005-0000-0000-000043030000}"/>
    <cellStyle name="Normal 340 2" xfId="1737" xr:uid="{00000000-0005-0000-0000-000044030000}"/>
    <cellStyle name="Normal 353" xfId="1310" xr:uid="{00000000-0005-0000-0000-000045030000}"/>
    <cellStyle name="Normal 353 2" xfId="1739" xr:uid="{00000000-0005-0000-0000-000046030000}"/>
    <cellStyle name="Normal 358" xfId="1741" xr:uid="{00000000-0005-0000-0000-000047030000}"/>
    <cellStyle name="Normal 39" xfId="1302" xr:uid="{00000000-0005-0000-0000-000048030000}"/>
    <cellStyle name="Normal 4" xfId="29" xr:uid="{00000000-0005-0000-0000-000049030000}"/>
    <cellStyle name="Normal 4 10" xfId="475" xr:uid="{00000000-0005-0000-0000-00004A030000}"/>
    <cellStyle name="Normal 4 10 2" xfId="1332" xr:uid="{00000000-0005-0000-0000-00004B030000}"/>
    <cellStyle name="Normal 4 11" xfId="895" xr:uid="{00000000-0005-0000-0000-00004C030000}"/>
    <cellStyle name="Normal 4 2" xfId="30" xr:uid="{00000000-0005-0000-0000-00004D030000}"/>
    <cellStyle name="Normal 4 2 10" xfId="896" xr:uid="{00000000-0005-0000-0000-00004E030000}"/>
    <cellStyle name="Normal 4 2 2" xfId="31" xr:uid="{00000000-0005-0000-0000-00004F030000}"/>
    <cellStyle name="Normal 4 2 2 2" xfId="32" xr:uid="{00000000-0005-0000-0000-000050030000}"/>
    <cellStyle name="Normal 4 2 2 2 2" xfId="78" xr:uid="{00000000-0005-0000-0000-000051030000}"/>
    <cellStyle name="Normal 4 2 2 2 2 2" xfId="231" xr:uid="{00000000-0005-0000-0000-000052030000}"/>
    <cellStyle name="Normal 4 2 2 2 2 2 2" xfId="372" xr:uid="{00000000-0005-0000-0000-000053030000}"/>
    <cellStyle name="Normal 4 2 2 2 2 2 2 2" xfId="694" xr:uid="{00000000-0005-0000-0000-000054030000}"/>
    <cellStyle name="Normal 4 2 2 2 2 2 2 2 2" xfId="1651" xr:uid="{00000000-0005-0000-0000-000055030000}"/>
    <cellStyle name="Normal 4 2 2 2 2 2 2 3" xfId="1213" xr:uid="{00000000-0005-0000-0000-000056030000}"/>
    <cellStyle name="Normal 4 2 2 2 2 2 3" xfId="693" xr:uid="{00000000-0005-0000-0000-000057030000}"/>
    <cellStyle name="Normal 4 2 2 2 2 2 3 2" xfId="1511" xr:uid="{00000000-0005-0000-0000-000058030000}"/>
    <cellStyle name="Normal 4 2 2 2 2 2 4" xfId="1073" xr:uid="{00000000-0005-0000-0000-000059030000}"/>
    <cellStyle name="Normal 4 2 2 2 2 3" xfId="302" xr:uid="{00000000-0005-0000-0000-00005A030000}"/>
    <cellStyle name="Normal 4 2 2 2 2 3 2" xfId="695" xr:uid="{00000000-0005-0000-0000-00005B030000}"/>
    <cellStyle name="Normal 4 2 2 2 2 3 2 2" xfId="1581" xr:uid="{00000000-0005-0000-0000-00005C030000}"/>
    <cellStyle name="Normal 4 2 2 2 2 3 3" xfId="1143" xr:uid="{00000000-0005-0000-0000-00005D030000}"/>
    <cellStyle name="Normal 4 2 2 2 2 4" xfId="443" xr:uid="{00000000-0005-0000-0000-00005E030000}"/>
    <cellStyle name="Normal 4 2 2 2 2 4 2" xfId="696" xr:uid="{00000000-0005-0000-0000-00005F030000}"/>
    <cellStyle name="Normal 4 2 2 2 2 4 2 2" xfId="1721" xr:uid="{00000000-0005-0000-0000-000060030000}"/>
    <cellStyle name="Normal 4 2 2 2 2 4 3" xfId="1283" xr:uid="{00000000-0005-0000-0000-000061030000}"/>
    <cellStyle name="Normal 4 2 2 2 2 5" xfId="160" xr:uid="{00000000-0005-0000-0000-000062030000}"/>
    <cellStyle name="Normal 4 2 2 2 2 5 2" xfId="697" xr:uid="{00000000-0005-0000-0000-000063030000}"/>
    <cellStyle name="Normal 4 2 2 2 2 5 2 2" xfId="1441" xr:uid="{00000000-0005-0000-0000-000064030000}"/>
    <cellStyle name="Normal 4 2 2 2 2 5 3" xfId="1003" xr:uid="{00000000-0005-0000-0000-000065030000}"/>
    <cellStyle name="Normal 4 2 2 2 2 6" xfId="513" xr:uid="{00000000-0005-0000-0000-000066030000}"/>
    <cellStyle name="Normal 4 2 2 2 2 6 2" xfId="1371" xr:uid="{00000000-0005-0000-0000-000067030000}"/>
    <cellStyle name="Normal 4 2 2 2 2 7" xfId="933" xr:uid="{00000000-0005-0000-0000-000068030000}"/>
    <cellStyle name="Normal 4 2 2 2 3" xfId="195" xr:uid="{00000000-0005-0000-0000-000069030000}"/>
    <cellStyle name="Normal 4 2 2 2 3 2" xfId="337" xr:uid="{00000000-0005-0000-0000-00006A030000}"/>
    <cellStyle name="Normal 4 2 2 2 3 2 2" xfId="699" xr:uid="{00000000-0005-0000-0000-00006B030000}"/>
    <cellStyle name="Normal 4 2 2 2 3 2 2 2" xfId="1616" xr:uid="{00000000-0005-0000-0000-00006C030000}"/>
    <cellStyle name="Normal 4 2 2 2 3 2 3" xfId="1178" xr:uid="{00000000-0005-0000-0000-00006D030000}"/>
    <cellStyle name="Normal 4 2 2 2 3 3" xfId="698" xr:uid="{00000000-0005-0000-0000-00006E030000}"/>
    <cellStyle name="Normal 4 2 2 2 3 3 2" xfId="1476" xr:uid="{00000000-0005-0000-0000-00006F030000}"/>
    <cellStyle name="Normal 4 2 2 2 3 4" xfId="1038" xr:uid="{00000000-0005-0000-0000-000070030000}"/>
    <cellStyle name="Normal 4 2 2 2 4" xfId="267" xr:uid="{00000000-0005-0000-0000-000071030000}"/>
    <cellStyle name="Normal 4 2 2 2 4 2" xfId="700" xr:uid="{00000000-0005-0000-0000-000072030000}"/>
    <cellStyle name="Normal 4 2 2 2 4 2 2" xfId="1546" xr:uid="{00000000-0005-0000-0000-000073030000}"/>
    <cellStyle name="Normal 4 2 2 2 4 3" xfId="1108" xr:uid="{00000000-0005-0000-0000-000074030000}"/>
    <cellStyle name="Normal 4 2 2 2 5" xfId="408" xr:uid="{00000000-0005-0000-0000-000075030000}"/>
    <cellStyle name="Normal 4 2 2 2 5 2" xfId="701" xr:uid="{00000000-0005-0000-0000-000076030000}"/>
    <cellStyle name="Normal 4 2 2 2 5 2 2" xfId="1686" xr:uid="{00000000-0005-0000-0000-000077030000}"/>
    <cellStyle name="Normal 4 2 2 2 5 3" xfId="1248" xr:uid="{00000000-0005-0000-0000-000078030000}"/>
    <cellStyle name="Normal 4 2 2 2 6" xfId="124" xr:uid="{00000000-0005-0000-0000-000079030000}"/>
    <cellStyle name="Normal 4 2 2 2 6 2" xfId="702" xr:uid="{00000000-0005-0000-0000-00007A030000}"/>
    <cellStyle name="Normal 4 2 2 2 6 2 2" xfId="1406" xr:uid="{00000000-0005-0000-0000-00007B030000}"/>
    <cellStyle name="Normal 4 2 2 2 6 3" xfId="968" xr:uid="{00000000-0005-0000-0000-00007C030000}"/>
    <cellStyle name="Normal 4 2 2 2 7" xfId="478" xr:uid="{00000000-0005-0000-0000-00007D030000}"/>
    <cellStyle name="Normal 4 2 2 2 7 2" xfId="1335" xr:uid="{00000000-0005-0000-0000-00007E030000}"/>
    <cellStyle name="Normal 4 2 2 2 8" xfId="898" xr:uid="{00000000-0005-0000-0000-00007F030000}"/>
    <cellStyle name="Normal 4 2 2 3" xfId="77" xr:uid="{00000000-0005-0000-0000-000080030000}"/>
    <cellStyle name="Normal 4 2 2 3 2" xfId="230" xr:uid="{00000000-0005-0000-0000-000081030000}"/>
    <cellStyle name="Normal 4 2 2 3 2 2" xfId="371" xr:uid="{00000000-0005-0000-0000-000082030000}"/>
    <cellStyle name="Normal 4 2 2 3 2 2 2" xfId="704" xr:uid="{00000000-0005-0000-0000-000083030000}"/>
    <cellStyle name="Normal 4 2 2 3 2 2 2 2" xfId="1650" xr:uid="{00000000-0005-0000-0000-000084030000}"/>
    <cellStyle name="Normal 4 2 2 3 2 2 3" xfId="1212" xr:uid="{00000000-0005-0000-0000-000085030000}"/>
    <cellStyle name="Normal 4 2 2 3 2 3" xfId="703" xr:uid="{00000000-0005-0000-0000-000086030000}"/>
    <cellStyle name="Normal 4 2 2 3 2 3 2" xfId="1510" xr:uid="{00000000-0005-0000-0000-000087030000}"/>
    <cellStyle name="Normal 4 2 2 3 2 4" xfId="1072" xr:uid="{00000000-0005-0000-0000-000088030000}"/>
    <cellStyle name="Normal 4 2 2 3 3" xfId="301" xr:uid="{00000000-0005-0000-0000-000089030000}"/>
    <cellStyle name="Normal 4 2 2 3 3 2" xfId="705" xr:uid="{00000000-0005-0000-0000-00008A030000}"/>
    <cellStyle name="Normal 4 2 2 3 3 2 2" xfId="1580" xr:uid="{00000000-0005-0000-0000-00008B030000}"/>
    <cellStyle name="Normal 4 2 2 3 3 3" xfId="1142" xr:uid="{00000000-0005-0000-0000-00008C030000}"/>
    <cellStyle name="Normal 4 2 2 3 4" xfId="442" xr:uid="{00000000-0005-0000-0000-00008D030000}"/>
    <cellStyle name="Normal 4 2 2 3 4 2" xfId="706" xr:uid="{00000000-0005-0000-0000-00008E030000}"/>
    <cellStyle name="Normal 4 2 2 3 4 2 2" xfId="1720" xr:uid="{00000000-0005-0000-0000-00008F030000}"/>
    <cellStyle name="Normal 4 2 2 3 4 3" xfId="1282" xr:uid="{00000000-0005-0000-0000-000090030000}"/>
    <cellStyle name="Normal 4 2 2 3 5" xfId="159" xr:uid="{00000000-0005-0000-0000-000091030000}"/>
    <cellStyle name="Normal 4 2 2 3 5 2" xfId="707" xr:uid="{00000000-0005-0000-0000-000092030000}"/>
    <cellStyle name="Normal 4 2 2 3 5 2 2" xfId="1440" xr:uid="{00000000-0005-0000-0000-000093030000}"/>
    <cellStyle name="Normal 4 2 2 3 5 3" xfId="1002" xr:uid="{00000000-0005-0000-0000-000094030000}"/>
    <cellStyle name="Normal 4 2 2 3 6" xfId="512" xr:uid="{00000000-0005-0000-0000-000095030000}"/>
    <cellStyle name="Normal 4 2 2 3 6 2" xfId="1370" xr:uid="{00000000-0005-0000-0000-000096030000}"/>
    <cellStyle name="Normal 4 2 2 3 7" xfId="932" xr:uid="{00000000-0005-0000-0000-000097030000}"/>
    <cellStyle name="Normal 4 2 2 4" xfId="194" xr:uid="{00000000-0005-0000-0000-000098030000}"/>
    <cellStyle name="Normal 4 2 2 4 2" xfId="336" xr:uid="{00000000-0005-0000-0000-000099030000}"/>
    <cellStyle name="Normal 4 2 2 4 2 2" xfId="709" xr:uid="{00000000-0005-0000-0000-00009A030000}"/>
    <cellStyle name="Normal 4 2 2 4 2 2 2" xfId="1615" xr:uid="{00000000-0005-0000-0000-00009B030000}"/>
    <cellStyle name="Normal 4 2 2 4 2 3" xfId="1177" xr:uid="{00000000-0005-0000-0000-00009C030000}"/>
    <cellStyle name="Normal 4 2 2 4 3" xfId="708" xr:uid="{00000000-0005-0000-0000-00009D030000}"/>
    <cellStyle name="Normal 4 2 2 4 3 2" xfId="1475" xr:uid="{00000000-0005-0000-0000-00009E030000}"/>
    <cellStyle name="Normal 4 2 2 4 4" xfId="1037" xr:uid="{00000000-0005-0000-0000-00009F030000}"/>
    <cellStyle name="Normal 4 2 2 5" xfId="266" xr:uid="{00000000-0005-0000-0000-0000A0030000}"/>
    <cellStyle name="Normal 4 2 2 5 2" xfId="710" xr:uid="{00000000-0005-0000-0000-0000A1030000}"/>
    <cellStyle name="Normal 4 2 2 5 2 2" xfId="1545" xr:uid="{00000000-0005-0000-0000-0000A2030000}"/>
    <cellStyle name="Normal 4 2 2 5 3" xfId="1107" xr:uid="{00000000-0005-0000-0000-0000A3030000}"/>
    <cellStyle name="Normal 4 2 2 6" xfId="407" xr:uid="{00000000-0005-0000-0000-0000A4030000}"/>
    <cellStyle name="Normal 4 2 2 6 2" xfId="711" xr:uid="{00000000-0005-0000-0000-0000A5030000}"/>
    <cellStyle name="Normal 4 2 2 6 2 2" xfId="1685" xr:uid="{00000000-0005-0000-0000-0000A6030000}"/>
    <cellStyle name="Normal 4 2 2 6 3" xfId="1247" xr:uid="{00000000-0005-0000-0000-0000A7030000}"/>
    <cellStyle name="Normal 4 2 2 7" xfId="123" xr:uid="{00000000-0005-0000-0000-0000A8030000}"/>
    <cellStyle name="Normal 4 2 2 7 2" xfId="712" xr:uid="{00000000-0005-0000-0000-0000A9030000}"/>
    <cellStyle name="Normal 4 2 2 7 2 2" xfId="1405" xr:uid="{00000000-0005-0000-0000-0000AA030000}"/>
    <cellStyle name="Normal 4 2 2 7 3" xfId="967" xr:uid="{00000000-0005-0000-0000-0000AB030000}"/>
    <cellStyle name="Normal 4 2 2 8" xfId="477" xr:uid="{00000000-0005-0000-0000-0000AC030000}"/>
    <cellStyle name="Normal 4 2 2 8 2" xfId="1334" xr:uid="{00000000-0005-0000-0000-0000AD030000}"/>
    <cellStyle name="Normal 4 2 2 9" xfId="897" xr:uid="{00000000-0005-0000-0000-0000AE030000}"/>
    <cellStyle name="Normal 4 2 3" xfId="33" xr:uid="{00000000-0005-0000-0000-0000AF030000}"/>
    <cellStyle name="Normal 4 2 3 2" xfId="79" xr:uid="{00000000-0005-0000-0000-0000B0030000}"/>
    <cellStyle name="Normal 4 2 3 2 2" xfId="232" xr:uid="{00000000-0005-0000-0000-0000B1030000}"/>
    <cellStyle name="Normal 4 2 3 2 2 2" xfId="373" xr:uid="{00000000-0005-0000-0000-0000B2030000}"/>
    <cellStyle name="Normal 4 2 3 2 2 2 2" xfId="714" xr:uid="{00000000-0005-0000-0000-0000B3030000}"/>
    <cellStyle name="Normal 4 2 3 2 2 2 2 2" xfId="1652" xr:uid="{00000000-0005-0000-0000-0000B4030000}"/>
    <cellStyle name="Normal 4 2 3 2 2 2 3" xfId="1214" xr:uid="{00000000-0005-0000-0000-0000B5030000}"/>
    <cellStyle name="Normal 4 2 3 2 2 3" xfId="713" xr:uid="{00000000-0005-0000-0000-0000B6030000}"/>
    <cellStyle name="Normal 4 2 3 2 2 3 2" xfId="1512" xr:uid="{00000000-0005-0000-0000-0000B7030000}"/>
    <cellStyle name="Normal 4 2 3 2 2 4" xfId="1074" xr:uid="{00000000-0005-0000-0000-0000B8030000}"/>
    <cellStyle name="Normal 4 2 3 2 3" xfId="303" xr:uid="{00000000-0005-0000-0000-0000B9030000}"/>
    <cellStyle name="Normal 4 2 3 2 3 2" xfId="715" xr:uid="{00000000-0005-0000-0000-0000BA030000}"/>
    <cellStyle name="Normal 4 2 3 2 3 2 2" xfId="1582" xr:uid="{00000000-0005-0000-0000-0000BB030000}"/>
    <cellStyle name="Normal 4 2 3 2 3 3" xfId="1144" xr:uid="{00000000-0005-0000-0000-0000BC030000}"/>
    <cellStyle name="Normal 4 2 3 2 4" xfId="444" xr:uid="{00000000-0005-0000-0000-0000BD030000}"/>
    <cellStyle name="Normal 4 2 3 2 4 2" xfId="716" xr:uid="{00000000-0005-0000-0000-0000BE030000}"/>
    <cellStyle name="Normal 4 2 3 2 4 2 2" xfId="1722" xr:uid="{00000000-0005-0000-0000-0000BF030000}"/>
    <cellStyle name="Normal 4 2 3 2 4 3" xfId="1284" xr:uid="{00000000-0005-0000-0000-0000C0030000}"/>
    <cellStyle name="Normal 4 2 3 2 5" xfId="161" xr:uid="{00000000-0005-0000-0000-0000C1030000}"/>
    <cellStyle name="Normal 4 2 3 2 5 2" xfId="717" xr:uid="{00000000-0005-0000-0000-0000C2030000}"/>
    <cellStyle name="Normal 4 2 3 2 5 2 2" xfId="1442" xr:uid="{00000000-0005-0000-0000-0000C3030000}"/>
    <cellStyle name="Normal 4 2 3 2 5 3" xfId="1004" xr:uid="{00000000-0005-0000-0000-0000C4030000}"/>
    <cellStyle name="Normal 4 2 3 2 6" xfId="514" xr:uid="{00000000-0005-0000-0000-0000C5030000}"/>
    <cellStyle name="Normal 4 2 3 2 6 2" xfId="1372" xr:uid="{00000000-0005-0000-0000-0000C6030000}"/>
    <cellStyle name="Normal 4 2 3 2 7" xfId="934" xr:uid="{00000000-0005-0000-0000-0000C7030000}"/>
    <cellStyle name="Normal 4 2 3 3" xfId="196" xr:uid="{00000000-0005-0000-0000-0000C8030000}"/>
    <cellStyle name="Normal 4 2 3 3 2" xfId="338" xr:uid="{00000000-0005-0000-0000-0000C9030000}"/>
    <cellStyle name="Normal 4 2 3 3 2 2" xfId="719" xr:uid="{00000000-0005-0000-0000-0000CA030000}"/>
    <cellStyle name="Normal 4 2 3 3 2 2 2" xfId="1617" xr:uid="{00000000-0005-0000-0000-0000CB030000}"/>
    <cellStyle name="Normal 4 2 3 3 2 3" xfId="1179" xr:uid="{00000000-0005-0000-0000-0000CC030000}"/>
    <cellStyle name="Normal 4 2 3 3 3" xfId="718" xr:uid="{00000000-0005-0000-0000-0000CD030000}"/>
    <cellStyle name="Normal 4 2 3 3 3 2" xfId="1477" xr:uid="{00000000-0005-0000-0000-0000CE030000}"/>
    <cellStyle name="Normal 4 2 3 3 4" xfId="1039" xr:uid="{00000000-0005-0000-0000-0000CF030000}"/>
    <cellStyle name="Normal 4 2 3 4" xfId="268" xr:uid="{00000000-0005-0000-0000-0000D0030000}"/>
    <cellStyle name="Normal 4 2 3 4 2" xfId="720" xr:uid="{00000000-0005-0000-0000-0000D1030000}"/>
    <cellStyle name="Normal 4 2 3 4 2 2" xfId="1547" xr:uid="{00000000-0005-0000-0000-0000D2030000}"/>
    <cellStyle name="Normal 4 2 3 4 3" xfId="1109" xr:uid="{00000000-0005-0000-0000-0000D3030000}"/>
    <cellStyle name="Normal 4 2 3 5" xfId="409" xr:uid="{00000000-0005-0000-0000-0000D4030000}"/>
    <cellStyle name="Normal 4 2 3 5 2" xfId="721" xr:uid="{00000000-0005-0000-0000-0000D5030000}"/>
    <cellStyle name="Normal 4 2 3 5 2 2" xfId="1687" xr:uid="{00000000-0005-0000-0000-0000D6030000}"/>
    <cellStyle name="Normal 4 2 3 5 3" xfId="1249" xr:uid="{00000000-0005-0000-0000-0000D7030000}"/>
    <cellStyle name="Normal 4 2 3 6" xfId="125" xr:uid="{00000000-0005-0000-0000-0000D8030000}"/>
    <cellStyle name="Normal 4 2 3 6 2" xfId="722" xr:uid="{00000000-0005-0000-0000-0000D9030000}"/>
    <cellStyle name="Normal 4 2 3 6 2 2" xfId="1407" xr:uid="{00000000-0005-0000-0000-0000DA030000}"/>
    <cellStyle name="Normal 4 2 3 6 3" xfId="969" xr:uid="{00000000-0005-0000-0000-0000DB030000}"/>
    <cellStyle name="Normal 4 2 3 7" xfId="479" xr:uid="{00000000-0005-0000-0000-0000DC030000}"/>
    <cellStyle name="Normal 4 2 3 7 2" xfId="1336" xr:uid="{00000000-0005-0000-0000-0000DD030000}"/>
    <cellStyle name="Normal 4 2 3 8" xfId="899" xr:uid="{00000000-0005-0000-0000-0000DE030000}"/>
    <cellStyle name="Normal 4 2 4" xfId="76" xr:uid="{00000000-0005-0000-0000-0000DF030000}"/>
    <cellStyle name="Normal 4 2 4 2" xfId="229" xr:uid="{00000000-0005-0000-0000-0000E0030000}"/>
    <cellStyle name="Normal 4 2 4 2 2" xfId="370" xr:uid="{00000000-0005-0000-0000-0000E1030000}"/>
    <cellStyle name="Normal 4 2 4 2 2 2" xfId="724" xr:uid="{00000000-0005-0000-0000-0000E2030000}"/>
    <cellStyle name="Normal 4 2 4 2 2 2 2" xfId="1649" xr:uid="{00000000-0005-0000-0000-0000E3030000}"/>
    <cellStyle name="Normal 4 2 4 2 2 3" xfId="1211" xr:uid="{00000000-0005-0000-0000-0000E4030000}"/>
    <cellStyle name="Normal 4 2 4 2 3" xfId="723" xr:uid="{00000000-0005-0000-0000-0000E5030000}"/>
    <cellStyle name="Normal 4 2 4 2 3 2" xfId="1509" xr:uid="{00000000-0005-0000-0000-0000E6030000}"/>
    <cellStyle name="Normal 4 2 4 2 4" xfId="1071" xr:uid="{00000000-0005-0000-0000-0000E7030000}"/>
    <cellStyle name="Normal 4 2 4 3" xfId="300" xr:uid="{00000000-0005-0000-0000-0000E8030000}"/>
    <cellStyle name="Normal 4 2 4 3 2" xfId="725" xr:uid="{00000000-0005-0000-0000-0000E9030000}"/>
    <cellStyle name="Normal 4 2 4 3 2 2" xfId="1579" xr:uid="{00000000-0005-0000-0000-0000EA030000}"/>
    <cellStyle name="Normal 4 2 4 3 3" xfId="1141" xr:uid="{00000000-0005-0000-0000-0000EB030000}"/>
    <cellStyle name="Normal 4 2 4 4" xfId="441" xr:uid="{00000000-0005-0000-0000-0000EC030000}"/>
    <cellStyle name="Normal 4 2 4 4 2" xfId="726" xr:uid="{00000000-0005-0000-0000-0000ED030000}"/>
    <cellStyle name="Normal 4 2 4 4 2 2" xfId="1719" xr:uid="{00000000-0005-0000-0000-0000EE030000}"/>
    <cellStyle name="Normal 4 2 4 4 3" xfId="1281" xr:uid="{00000000-0005-0000-0000-0000EF030000}"/>
    <cellStyle name="Normal 4 2 4 5" xfId="158" xr:uid="{00000000-0005-0000-0000-0000F0030000}"/>
    <cellStyle name="Normal 4 2 4 5 2" xfId="727" xr:uid="{00000000-0005-0000-0000-0000F1030000}"/>
    <cellStyle name="Normal 4 2 4 5 2 2" xfId="1439" xr:uid="{00000000-0005-0000-0000-0000F2030000}"/>
    <cellStyle name="Normal 4 2 4 5 3" xfId="1001" xr:uid="{00000000-0005-0000-0000-0000F3030000}"/>
    <cellStyle name="Normal 4 2 4 6" xfId="511" xr:uid="{00000000-0005-0000-0000-0000F4030000}"/>
    <cellStyle name="Normal 4 2 4 6 2" xfId="1369" xr:uid="{00000000-0005-0000-0000-0000F5030000}"/>
    <cellStyle name="Normal 4 2 4 7" xfId="931" xr:uid="{00000000-0005-0000-0000-0000F6030000}"/>
    <cellStyle name="Normal 4 2 5" xfId="193" xr:uid="{00000000-0005-0000-0000-0000F7030000}"/>
    <cellStyle name="Normal 4 2 5 2" xfId="335" xr:uid="{00000000-0005-0000-0000-0000F8030000}"/>
    <cellStyle name="Normal 4 2 5 2 2" xfId="729" xr:uid="{00000000-0005-0000-0000-0000F9030000}"/>
    <cellStyle name="Normal 4 2 5 2 2 2" xfId="1614" xr:uid="{00000000-0005-0000-0000-0000FA030000}"/>
    <cellStyle name="Normal 4 2 5 2 3" xfId="1176" xr:uid="{00000000-0005-0000-0000-0000FB030000}"/>
    <cellStyle name="Normal 4 2 5 3" xfId="728" xr:uid="{00000000-0005-0000-0000-0000FC030000}"/>
    <cellStyle name="Normal 4 2 5 3 2" xfId="1474" xr:uid="{00000000-0005-0000-0000-0000FD030000}"/>
    <cellStyle name="Normal 4 2 5 4" xfId="1036" xr:uid="{00000000-0005-0000-0000-0000FE030000}"/>
    <cellStyle name="Normal 4 2 6" xfId="265" xr:uid="{00000000-0005-0000-0000-0000FF030000}"/>
    <cellStyle name="Normal 4 2 6 2" xfId="730" xr:uid="{00000000-0005-0000-0000-000000040000}"/>
    <cellStyle name="Normal 4 2 6 2 2" xfId="1544" xr:uid="{00000000-0005-0000-0000-000001040000}"/>
    <cellStyle name="Normal 4 2 6 3" xfId="1106" xr:uid="{00000000-0005-0000-0000-000002040000}"/>
    <cellStyle name="Normal 4 2 7" xfId="406" xr:uid="{00000000-0005-0000-0000-000003040000}"/>
    <cellStyle name="Normal 4 2 7 2" xfId="731" xr:uid="{00000000-0005-0000-0000-000004040000}"/>
    <cellStyle name="Normal 4 2 7 2 2" xfId="1684" xr:uid="{00000000-0005-0000-0000-000005040000}"/>
    <cellStyle name="Normal 4 2 7 3" xfId="1246" xr:uid="{00000000-0005-0000-0000-000006040000}"/>
    <cellStyle name="Normal 4 2 8" xfId="122" xr:uid="{00000000-0005-0000-0000-000007040000}"/>
    <cellStyle name="Normal 4 2 8 2" xfId="732" xr:uid="{00000000-0005-0000-0000-000008040000}"/>
    <cellStyle name="Normal 4 2 8 2 2" xfId="1404" xr:uid="{00000000-0005-0000-0000-000009040000}"/>
    <cellStyle name="Normal 4 2 8 3" xfId="966" xr:uid="{00000000-0005-0000-0000-00000A040000}"/>
    <cellStyle name="Normal 4 2 9" xfId="476" xr:uid="{00000000-0005-0000-0000-00000B040000}"/>
    <cellStyle name="Normal 4 2 9 2" xfId="1333" xr:uid="{00000000-0005-0000-0000-00000C040000}"/>
    <cellStyle name="Normal 4 3" xfId="34" xr:uid="{00000000-0005-0000-0000-00000D040000}"/>
    <cellStyle name="Normal 4 3 2" xfId="35" xr:uid="{00000000-0005-0000-0000-00000E040000}"/>
    <cellStyle name="Normal 4 3 2 2" xfId="81" xr:uid="{00000000-0005-0000-0000-00000F040000}"/>
    <cellStyle name="Normal 4 3 2 2 2" xfId="234" xr:uid="{00000000-0005-0000-0000-000010040000}"/>
    <cellStyle name="Normal 4 3 2 2 2 2" xfId="375" xr:uid="{00000000-0005-0000-0000-000011040000}"/>
    <cellStyle name="Normal 4 3 2 2 2 2 2" xfId="734" xr:uid="{00000000-0005-0000-0000-000012040000}"/>
    <cellStyle name="Normal 4 3 2 2 2 2 2 2" xfId="1654" xr:uid="{00000000-0005-0000-0000-000013040000}"/>
    <cellStyle name="Normal 4 3 2 2 2 2 3" xfId="1216" xr:uid="{00000000-0005-0000-0000-000014040000}"/>
    <cellStyle name="Normal 4 3 2 2 2 3" xfId="733" xr:uid="{00000000-0005-0000-0000-000015040000}"/>
    <cellStyle name="Normal 4 3 2 2 2 3 2" xfId="1514" xr:uid="{00000000-0005-0000-0000-000016040000}"/>
    <cellStyle name="Normal 4 3 2 2 2 4" xfId="1076" xr:uid="{00000000-0005-0000-0000-000017040000}"/>
    <cellStyle name="Normal 4 3 2 2 3" xfId="305" xr:uid="{00000000-0005-0000-0000-000018040000}"/>
    <cellStyle name="Normal 4 3 2 2 3 2" xfId="735" xr:uid="{00000000-0005-0000-0000-000019040000}"/>
    <cellStyle name="Normal 4 3 2 2 3 2 2" xfId="1584" xr:uid="{00000000-0005-0000-0000-00001A040000}"/>
    <cellStyle name="Normal 4 3 2 2 3 3" xfId="1146" xr:uid="{00000000-0005-0000-0000-00001B040000}"/>
    <cellStyle name="Normal 4 3 2 2 4" xfId="446" xr:uid="{00000000-0005-0000-0000-00001C040000}"/>
    <cellStyle name="Normal 4 3 2 2 4 2" xfId="736" xr:uid="{00000000-0005-0000-0000-00001D040000}"/>
    <cellStyle name="Normal 4 3 2 2 4 2 2" xfId="1724" xr:uid="{00000000-0005-0000-0000-00001E040000}"/>
    <cellStyle name="Normal 4 3 2 2 4 3" xfId="1286" xr:uid="{00000000-0005-0000-0000-00001F040000}"/>
    <cellStyle name="Normal 4 3 2 2 5" xfId="163" xr:uid="{00000000-0005-0000-0000-000020040000}"/>
    <cellStyle name="Normal 4 3 2 2 5 2" xfId="737" xr:uid="{00000000-0005-0000-0000-000021040000}"/>
    <cellStyle name="Normal 4 3 2 2 5 2 2" xfId="1444" xr:uid="{00000000-0005-0000-0000-000022040000}"/>
    <cellStyle name="Normal 4 3 2 2 5 3" xfId="1006" xr:uid="{00000000-0005-0000-0000-000023040000}"/>
    <cellStyle name="Normal 4 3 2 2 6" xfId="516" xr:uid="{00000000-0005-0000-0000-000024040000}"/>
    <cellStyle name="Normal 4 3 2 2 6 2" xfId="1374" xr:uid="{00000000-0005-0000-0000-000025040000}"/>
    <cellStyle name="Normal 4 3 2 2 7" xfId="936" xr:uid="{00000000-0005-0000-0000-000026040000}"/>
    <cellStyle name="Normal 4 3 2 3" xfId="198" xr:uid="{00000000-0005-0000-0000-000027040000}"/>
    <cellStyle name="Normal 4 3 2 3 2" xfId="340" xr:uid="{00000000-0005-0000-0000-000028040000}"/>
    <cellStyle name="Normal 4 3 2 3 2 2" xfId="739" xr:uid="{00000000-0005-0000-0000-000029040000}"/>
    <cellStyle name="Normal 4 3 2 3 2 2 2" xfId="1619" xr:uid="{00000000-0005-0000-0000-00002A040000}"/>
    <cellStyle name="Normal 4 3 2 3 2 3" xfId="1181" xr:uid="{00000000-0005-0000-0000-00002B040000}"/>
    <cellStyle name="Normal 4 3 2 3 3" xfId="738" xr:uid="{00000000-0005-0000-0000-00002C040000}"/>
    <cellStyle name="Normal 4 3 2 3 3 2" xfId="1479" xr:uid="{00000000-0005-0000-0000-00002D040000}"/>
    <cellStyle name="Normal 4 3 2 3 4" xfId="1041" xr:uid="{00000000-0005-0000-0000-00002E040000}"/>
    <cellStyle name="Normal 4 3 2 4" xfId="270" xr:uid="{00000000-0005-0000-0000-00002F040000}"/>
    <cellStyle name="Normal 4 3 2 4 2" xfId="740" xr:uid="{00000000-0005-0000-0000-000030040000}"/>
    <cellStyle name="Normal 4 3 2 4 2 2" xfId="1549" xr:uid="{00000000-0005-0000-0000-000031040000}"/>
    <cellStyle name="Normal 4 3 2 4 3" xfId="1111" xr:uid="{00000000-0005-0000-0000-000032040000}"/>
    <cellStyle name="Normal 4 3 2 5" xfId="411" xr:uid="{00000000-0005-0000-0000-000033040000}"/>
    <cellStyle name="Normal 4 3 2 5 2" xfId="741" xr:uid="{00000000-0005-0000-0000-000034040000}"/>
    <cellStyle name="Normal 4 3 2 5 2 2" xfId="1689" xr:uid="{00000000-0005-0000-0000-000035040000}"/>
    <cellStyle name="Normal 4 3 2 5 3" xfId="1251" xr:uid="{00000000-0005-0000-0000-000036040000}"/>
    <cellStyle name="Normal 4 3 2 6" xfId="127" xr:uid="{00000000-0005-0000-0000-000037040000}"/>
    <cellStyle name="Normal 4 3 2 6 2" xfId="742" xr:uid="{00000000-0005-0000-0000-000038040000}"/>
    <cellStyle name="Normal 4 3 2 6 2 2" xfId="1409" xr:uid="{00000000-0005-0000-0000-000039040000}"/>
    <cellStyle name="Normal 4 3 2 6 3" xfId="971" xr:uid="{00000000-0005-0000-0000-00003A040000}"/>
    <cellStyle name="Normal 4 3 2 7" xfId="481" xr:uid="{00000000-0005-0000-0000-00003B040000}"/>
    <cellStyle name="Normal 4 3 2 7 2" xfId="1338" xr:uid="{00000000-0005-0000-0000-00003C040000}"/>
    <cellStyle name="Normal 4 3 2 8" xfId="901" xr:uid="{00000000-0005-0000-0000-00003D040000}"/>
    <cellStyle name="Normal 4 3 3" xfId="80" xr:uid="{00000000-0005-0000-0000-00003E040000}"/>
    <cellStyle name="Normal 4 3 3 2" xfId="233" xr:uid="{00000000-0005-0000-0000-00003F040000}"/>
    <cellStyle name="Normal 4 3 3 2 2" xfId="374" xr:uid="{00000000-0005-0000-0000-000040040000}"/>
    <cellStyle name="Normal 4 3 3 2 2 2" xfId="744" xr:uid="{00000000-0005-0000-0000-000041040000}"/>
    <cellStyle name="Normal 4 3 3 2 2 2 2" xfId="1653" xr:uid="{00000000-0005-0000-0000-000042040000}"/>
    <cellStyle name="Normal 4 3 3 2 2 3" xfId="1215" xr:uid="{00000000-0005-0000-0000-000043040000}"/>
    <cellStyle name="Normal 4 3 3 2 3" xfId="743" xr:uid="{00000000-0005-0000-0000-000044040000}"/>
    <cellStyle name="Normal 4 3 3 2 3 2" xfId="1513" xr:uid="{00000000-0005-0000-0000-000045040000}"/>
    <cellStyle name="Normal 4 3 3 2 4" xfId="1075" xr:uid="{00000000-0005-0000-0000-000046040000}"/>
    <cellStyle name="Normal 4 3 3 3" xfId="304" xr:uid="{00000000-0005-0000-0000-000047040000}"/>
    <cellStyle name="Normal 4 3 3 3 2" xfId="745" xr:uid="{00000000-0005-0000-0000-000048040000}"/>
    <cellStyle name="Normal 4 3 3 3 2 2" xfId="1583" xr:uid="{00000000-0005-0000-0000-000049040000}"/>
    <cellStyle name="Normal 4 3 3 3 3" xfId="1145" xr:uid="{00000000-0005-0000-0000-00004A040000}"/>
    <cellStyle name="Normal 4 3 3 4" xfId="445" xr:uid="{00000000-0005-0000-0000-00004B040000}"/>
    <cellStyle name="Normal 4 3 3 4 2" xfId="746" xr:uid="{00000000-0005-0000-0000-00004C040000}"/>
    <cellStyle name="Normal 4 3 3 4 2 2" xfId="1723" xr:uid="{00000000-0005-0000-0000-00004D040000}"/>
    <cellStyle name="Normal 4 3 3 4 3" xfId="1285" xr:uid="{00000000-0005-0000-0000-00004E040000}"/>
    <cellStyle name="Normal 4 3 3 5" xfId="162" xr:uid="{00000000-0005-0000-0000-00004F040000}"/>
    <cellStyle name="Normal 4 3 3 5 2" xfId="747" xr:uid="{00000000-0005-0000-0000-000050040000}"/>
    <cellStyle name="Normal 4 3 3 5 2 2" xfId="1443" xr:uid="{00000000-0005-0000-0000-000051040000}"/>
    <cellStyle name="Normal 4 3 3 5 3" xfId="1005" xr:uid="{00000000-0005-0000-0000-000052040000}"/>
    <cellStyle name="Normal 4 3 3 6" xfId="515" xr:uid="{00000000-0005-0000-0000-000053040000}"/>
    <cellStyle name="Normal 4 3 3 6 2" xfId="1373" xr:uid="{00000000-0005-0000-0000-000054040000}"/>
    <cellStyle name="Normal 4 3 3 7" xfId="935" xr:uid="{00000000-0005-0000-0000-000055040000}"/>
    <cellStyle name="Normal 4 3 4" xfId="197" xr:uid="{00000000-0005-0000-0000-000056040000}"/>
    <cellStyle name="Normal 4 3 4 2" xfId="339" xr:uid="{00000000-0005-0000-0000-000057040000}"/>
    <cellStyle name="Normal 4 3 4 2 2" xfId="749" xr:uid="{00000000-0005-0000-0000-000058040000}"/>
    <cellStyle name="Normal 4 3 4 2 2 2" xfId="1618" xr:uid="{00000000-0005-0000-0000-000059040000}"/>
    <cellStyle name="Normal 4 3 4 2 3" xfId="1180" xr:uid="{00000000-0005-0000-0000-00005A040000}"/>
    <cellStyle name="Normal 4 3 4 3" xfId="748" xr:uid="{00000000-0005-0000-0000-00005B040000}"/>
    <cellStyle name="Normal 4 3 4 3 2" xfId="1478" xr:uid="{00000000-0005-0000-0000-00005C040000}"/>
    <cellStyle name="Normal 4 3 4 4" xfId="1040" xr:uid="{00000000-0005-0000-0000-00005D040000}"/>
    <cellStyle name="Normal 4 3 5" xfId="269" xr:uid="{00000000-0005-0000-0000-00005E040000}"/>
    <cellStyle name="Normal 4 3 5 2" xfId="750" xr:uid="{00000000-0005-0000-0000-00005F040000}"/>
    <cellStyle name="Normal 4 3 5 2 2" xfId="1548" xr:uid="{00000000-0005-0000-0000-000060040000}"/>
    <cellStyle name="Normal 4 3 5 3" xfId="1110" xr:uid="{00000000-0005-0000-0000-000061040000}"/>
    <cellStyle name="Normal 4 3 6" xfId="410" xr:uid="{00000000-0005-0000-0000-000062040000}"/>
    <cellStyle name="Normal 4 3 6 2" xfId="751" xr:uid="{00000000-0005-0000-0000-000063040000}"/>
    <cellStyle name="Normal 4 3 6 2 2" xfId="1688" xr:uid="{00000000-0005-0000-0000-000064040000}"/>
    <cellStyle name="Normal 4 3 6 3" xfId="1250" xr:uid="{00000000-0005-0000-0000-000065040000}"/>
    <cellStyle name="Normal 4 3 7" xfId="126" xr:uid="{00000000-0005-0000-0000-000066040000}"/>
    <cellStyle name="Normal 4 3 7 2" xfId="752" xr:uid="{00000000-0005-0000-0000-000067040000}"/>
    <cellStyle name="Normal 4 3 7 2 2" xfId="1408" xr:uid="{00000000-0005-0000-0000-000068040000}"/>
    <cellStyle name="Normal 4 3 7 3" xfId="970" xr:uid="{00000000-0005-0000-0000-000069040000}"/>
    <cellStyle name="Normal 4 3 8" xfId="480" xr:uid="{00000000-0005-0000-0000-00006A040000}"/>
    <cellStyle name="Normal 4 3 8 2" xfId="1337" xr:uid="{00000000-0005-0000-0000-00006B040000}"/>
    <cellStyle name="Normal 4 3 9" xfId="900" xr:uid="{00000000-0005-0000-0000-00006C040000}"/>
    <cellStyle name="Normal 4 4" xfId="36" xr:uid="{00000000-0005-0000-0000-00006D040000}"/>
    <cellStyle name="Normal 4 4 2" xfId="82" xr:uid="{00000000-0005-0000-0000-00006E040000}"/>
    <cellStyle name="Normal 4 4 2 2" xfId="235" xr:uid="{00000000-0005-0000-0000-00006F040000}"/>
    <cellStyle name="Normal 4 4 2 2 2" xfId="376" xr:uid="{00000000-0005-0000-0000-000070040000}"/>
    <cellStyle name="Normal 4 4 2 2 2 2" xfId="754" xr:uid="{00000000-0005-0000-0000-000071040000}"/>
    <cellStyle name="Normal 4 4 2 2 2 2 2" xfId="1655" xr:uid="{00000000-0005-0000-0000-000072040000}"/>
    <cellStyle name="Normal 4 4 2 2 2 3" xfId="1217" xr:uid="{00000000-0005-0000-0000-000073040000}"/>
    <cellStyle name="Normal 4 4 2 2 3" xfId="753" xr:uid="{00000000-0005-0000-0000-000074040000}"/>
    <cellStyle name="Normal 4 4 2 2 3 2" xfId="1515" xr:uid="{00000000-0005-0000-0000-000075040000}"/>
    <cellStyle name="Normal 4 4 2 2 4" xfId="1077" xr:uid="{00000000-0005-0000-0000-000076040000}"/>
    <cellStyle name="Normal 4 4 2 3" xfId="306" xr:uid="{00000000-0005-0000-0000-000077040000}"/>
    <cellStyle name="Normal 4 4 2 3 2" xfId="755" xr:uid="{00000000-0005-0000-0000-000078040000}"/>
    <cellStyle name="Normal 4 4 2 3 2 2" xfId="1585" xr:uid="{00000000-0005-0000-0000-000079040000}"/>
    <cellStyle name="Normal 4 4 2 3 3" xfId="1147" xr:uid="{00000000-0005-0000-0000-00007A040000}"/>
    <cellStyle name="Normal 4 4 2 4" xfId="447" xr:uid="{00000000-0005-0000-0000-00007B040000}"/>
    <cellStyle name="Normal 4 4 2 4 2" xfId="756" xr:uid="{00000000-0005-0000-0000-00007C040000}"/>
    <cellStyle name="Normal 4 4 2 4 2 2" xfId="1725" xr:uid="{00000000-0005-0000-0000-00007D040000}"/>
    <cellStyle name="Normal 4 4 2 4 3" xfId="1287" xr:uid="{00000000-0005-0000-0000-00007E040000}"/>
    <cellStyle name="Normal 4 4 2 5" xfId="164" xr:uid="{00000000-0005-0000-0000-00007F040000}"/>
    <cellStyle name="Normal 4 4 2 5 2" xfId="757" xr:uid="{00000000-0005-0000-0000-000080040000}"/>
    <cellStyle name="Normal 4 4 2 5 2 2" xfId="1445" xr:uid="{00000000-0005-0000-0000-000081040000}"/>
    <cellStyle name="Normal 4 4 2 5 3" xfId="1007" xr:uid="{00000000-0005-0000-0000-000082040000}"/>
    <cellStyle name="Normal 4 4 2 6" xfId="517" xr:uid="{00000000-0005-0000-0000-000083040000}"/>
    <cellStyle name="Normal 4 4 2 6 2" xfId="1375" xr:uid="{00000000-0005-0000-0000-000084040000}"/>
    <cellStyle name="Normal 4 4 2 7" xfId="937" xr:uid="{00000000-0005-0000-0000-000085040000}"/>
    <cellStyle name="Normal 4 4 3" xfId="199" xr:uid="{00000000-0005-0000-0000-000086040000}"/>
    <cellStyle name="Normal 4 4 3 2" xfId="341" xr:uid="{00000000-0005-0000-0000-000087040000}"/>
    <cellStyle name="Normal 4 4 3 2 2" xfId="759" xr:uid="{00000000-0005-0000-0000-000088040000}"/>
    <cellStyle name="Normal 4 4 3 2 2 2" xfId="1620" xr:uid="{00000000-0005-0000-0000-000089040000}"/>
    <cellStyle name="Normal 4 4 3 2 3" xfId="1182" xr:uid="{00000000-0005-0000-0000-00008A040000}"/>
    <cellStyle name="Normal 4 4 3 3" xfId="758" xr:uid="{00000000-0005-0000-0000-00008B040000}"/>
    <cellStyle name="Normal 4 4 3 3 2" xfId="1480" xr:uid="{00000000-0005-0000-0000-00008C040000}"/>
    <cellStyle name="Normal 4 4 3 4" xfId="1042" xr:uid="{00000000-0005-0000-0000-00008D040000}"/>
    <cellStyle name="Normal 4 4 4" xfId="271" xr:uid="{00000000-0005-0000-0000-00008E040000}"/>
    <cellStyle name="Normal 4 4 4 2" xfId="760" xr:uid="{00000000-0005-0000-0000-00008F040000}"/>
    <cellStyle name="Normal 4 4 4 2 2" xfId="1550" xr:uid="{00000000-0005-0000-0000-000090040000}"/>
    <cellStyle name="Normal 4 4 4 3" xfId="1112" xr:uid="{00000000-0005-0000-0000-000091040000}"/>
    <cellStyle name="Normal 4 4 5" xfId="412" xr:uid="{00000000-0005-0000-0000-000092040000}"/>
    <cellStyle name="Normal 4 4 5 2" xfId="761" xr:uid="{00000000-0005-0000-0000-000093040000}"/>
    <cellStyle name="Normal 4 4 5 2 2" xfId="1690" xr:uid="{00000000-0005-0000-0000-000094040000}"/>
    <cellStyle name="Normal 4 4 5 3" xfId="1252" xr:uid="{00000000-0005-0000-0000-000095040000}"/>
    <cellStyle name="Normal 4 4 6" xfId="128" xr:uid="{00000000-0005-0000-0000-000096040000}"/>
    <cellStyle name="Normal 4 4 6 2" xfId="762" xr:uid="{00000000-0005-0000-0000-000097040000}"/>
    <cellStyle name="Normal 4 4 6 2 2" xfId="1410" xr:uid="{00000000-0005-0000-0000-000098040000}"/>
    <cellStyle name="Normal 4 4 6 3" xfId="972" xr:uid="{00000000-0005-0000-0000-000099040000}"/>
    <cellStyle name="Normal 4 4 7" xfId="482" xr:uid="{00000000-0005-0000-0000-00009A040000}"/>
    <cellStyle name="Normal 4 4 7 2" xfId="1339" xr:uid="{00000000-0005-0000-0000-00009B040000}"/>
    <cellStyle name="Normal 4 4 8" xfId="902" xr:uid="{00000000-0005-0000-0000-00009C040000}"/>
    <cellStyle name="Normal 4 5" xfId="75" xr:uid="{00000000-0005-0000-0000-00009D040000}"/>
    <cellStyle name="Normal 4 5 2" xfId="228" xr:uid="{00000000-0005-0000-0000-00009E040000}"/>
    <cellStyle name="Normal 4 5 2 2" xfId="369" xr:uid="{00000000-0005-0000-0000-00009F040000}"/>
    <cellStyle name="Normal 4 5 2 2 2" xfId="764" xr:uid="{00000000-0005-0000-0000-0000A0040000}"/>
    <cellStyle name="Normal 4 5 2 2 2 2" xfId="1648" xr:uid="{00000000-0005-0000-0000-0000A1040000}"/>
    <cellStyle name="Normal 4 5 2 2 3" xfId="1210" xr:uid="{00000000-0005-0000-0000-0000A2040000}"/>
    <cellStyle name="Normal 4 5 2 3" xfId="763" xr:uid="{00000000-0005-0000-0000-0000A3040000}"/>
    <cellStyle name="Normal 4 5 2 3 2" xfId="1508" xr:uid="{00000000-0005-0000-0000-0000A4040000}"/>
    <cellStyle name="Normal 4 5 2 4" xfId="1070" xr:uid="{00000000-0005-0000-0000-0000A5040000}"/>
    <cellStyle name="Normal 4 5 3" xfId="299" xr:uid="{00000000-0005-0000-0000-0000A6040000}"/>
    <cellStyle name="Normal 4 5 3 2" xfId="765" xr:uid="{00000000-0005-0000-0000-0000A7040000}"/>
    <cellStyle name="Normal 4 5 3 2 2" xfId="1578" xr:uid="{00000000-0005-0000-0000-0000A8040000}"/>
    <cellStyle name="Normal 4 5 3 3" xfId="1140" xr:uid="{00000000-0005-0000-0000-0000A9040000}"/>
    <cellStyle name="Normal 4 5 4" xfId="440" xr:uid="{00000000-0005-0000-0000-0000AA040000}"/>
    <cellStyle name="Normal 4 5 4 2" xfId="766" xr:uid="{00000000-0005-0000-0000-0000AB040000}"/>
    <cellStyle name="Normal 4 5 4 2 2" xfId="1718" xr:uid="{00000000-0005-0000-0000-0000AC040000}"/>
    <cellStyle name="Normal 4 5 4 3" xfId="1280" xr:uid="{00000000-0005-0000-0000-0000AD040000}"/>
    <cellStyle name="Normal 4 5 5" xfId="157" xr:uid="{00000000-0005-0000-0000-0000AE040000}"/>
    <cellStyle name="Normal 4 5 5 2" xfId="767" xr:uid="{00000000-0005-0000-0000-0000AF040000}"/>
    <cellStyle name="Normal 4 5 5 2 2" xfId="1438" xr:uid="{00000000-0005-0000-0000-0000B0040000}"/>
    <cellStyle name="Normal 4 5 5 3" xfId="1000" xr:uid="{00000000-0005-0000-0000-0000B1040000}"/>
    <cellStyle name="Normal 4 5 6" xfId="510" xr:uid="{00000000-0005-0000-0000-0000B2040000}"/>
    <cellStyle name="Normal 4 5 6 2" xfId="1368" xr:uid="{00000000-0005-0000-0000-0000B3040000}"/>
    <cellStyle name="Normal 4 5 7" xfId="930" xr:uid="{00000000-0005-0000-0000-0000B4040000}"/>
    <cellStyle name="Normal 4 6" xfId="192" xr:uid="{00000000-0005-0000-0000-0000B5040000}"/>
    <cellStyle name="Normal 4 6 2" xfId="334" xr:uid="{00000000-0005-0000-0000-0000B6040000}"/>
    <cellStyle name="Normal 4 6 2 2" xfId="769" xr:uid="{00000000-0005-0000-0000-0000B7040000}"/>
    <cellStyle name="Normal 4 6 2 2 2" xfId="1613" xr:uid="{00000000-0005-0000-0000-0000B8040000}"/>
    <cellStyle name="Normal 4 6 2 3" xfId="1175" xr:uid="{00000000-0005-0000-0000-0000B9040000}"/>
    <cellStyle name="Normal 4 6 3" xfId="768" xr:uid="{00000000-0005-0000-0000-0000BA040000}"/>
    <cellStyle name="Normal 4 6 3 2" xfId="1473" xr:uid="{00000000-0005-0000-0000-0000BB040000}"/>
    <cellStyle name="Normal 4 6 4" xfId="1035" xr:uid="{00000000-0005-0000-0000-0000BC040000}"/>
    <cellStyle name="Normal 4 7" xfId="264" xr:uid="{00000000-0005-0000-0000-0000BD040000}"/>
    <cellStyle name="Normal 4 7 2" xfId="770" xr:uid="{00000000-0005-0000-0000-0000BE040000}"/>
    <cellStyle name="Normal 4 7 2 2" xfId="1543" xr:uid="{00000000-0005-0000-0000-0000BF040000}"/>
    <cellStyle name="Normal 4 7 3" xfId="1105" xr:uid="{00000000-0005-0000-0000-0000C0040000}"/>
    <cellStyle name="Normal 4 8" xfId="405" xr:uid="{00000000-0005-0000-0000-0000C1040000}"/>
    <cellStyle name="Normal 4 8 2" xfId="771" xr:uid="{00000000-0005-0000-0000-0000C2040000}"/>
    <cellStyle name="Normal 4 8 2 2" xfId="1683" xr:uid="{00000000-0005-0000-0000-0000C3040000}"/>
    <cellStyle name="Normal 4 8 3" xfId="1245" xr:uid="{00000000-0005-0000-0000-0000C4040000}"/>
    <cellStyle name="Normal 4 9" xfId="121" xr:uid="{00000000-0005-0000-0000-0000C5040000}"/>
    <cellStyle name="Normal 4 9 2" xfId="772" xr:uid="{00000000-0005-0000-0000-0000C6040000}"/>
    <cellStyle name="Normal 4 9 2 2" xfId="1403" xr:uid="{00000000-0005-0000-0000-0000C7040000}"/>
    <cellStyle name="Normal 4 9 3" xfId="965" xr:uid="{00000000-0005-0000-0000-0000C8040000}"/>
    <cellStyle name="Normal 5" xfId="37" xr:uid="{00000000-0005-0000-0000-0000C9040000}"/>
    <cellStyle name="Normal 5 10" xfId="483" xr:uid="{00000000-0005-0000-0000-0000CA040000}"/>
    <cellStyle name="Normal 5 10 2" xfId="1340" xr:uid="{00000000-0005-0000-0000-0000CB040000}"/>
    <cellStyle name="Normal 5 11" xfId="903" xr:uid="{00000000-0005-0000-0000-0000CC040000}"/>
    <cellStyle name="Normal 5 2" xfId="38" xr:uid="{00000000-0005-0000-0000-0000CD040000}"/>
    <cellStyle name="Normal 5 2 10" xfId="904" xr:uid="{00000000-0005-0000-0000-0000CE040000}"/>
    <cellStyle name="Normal 5 2 2" xfId="39" xr:uid="{00000000-0005-0000-0000-0000CF040000}"/>
    <cellStyle name="Normal 5 2 2 2" xfId="40" xr:uid="{00000000-0005-0000-0000-0000D0040000}"/>
    <cellStyle name="Normal 5 2 2 2 2" xfId="86" xr:uid="{00000000-0005-0000-0000-0000D1040000}"/>
    <cellStyle name="Normal 5 2 2 2 2 2" xfId="239" xr:uid="{00000000-0005-0000-0000-0000D2040000}"/>
    <cellStyle name="Normal 5 2 2 2 2 2 2" xfId="380" xr:uid="{00000000-0005-0000-0000-0000D3040000}"/>
    <cellStyle name="Normal 5 2 2 2 2 2 2 2" xfId="774" xr:uid="{00000000-0005-0000-0000-0000D4040000}"/>
    <cellStyle name="Normal 5 2 2 2 2 2 2 2 2" xfId="1659" xr:uid="{00000000-0005-0000-0000-0000D5040000}"/>
    <cellStyle name="Normal 5 2 2 2 2 2 2 3" xfId="1221" xr:uid="{00000000-0005-0000-0000-0000D6040000}"/>
    <cellStyle name="Normal 5 2 2 2 2 2 3" xfId="773" xr:uid="{00000000-0005-0000-0000-0000D7040000}"/>
    <cellStyle name="Normal 5 2 2 2 2 2 3 2" xfId="1519" xr:uid="{00000000-0005-0000-0000-0000D8040000}"/>
    <cellStyle name="Normal 5 2 2 2 2 2 4" xfId="1081" xr:uid="{00000000-0005-0000-0000-0000D9040000}"/>
    <cellStyle name="Normal 5 2 2 2 2 3" xfId="310" xr:uid="{00000000-0005-0000-0000-0000DA040000}"/>
    <cellStyle name="Normal 5 2 2 2 2 3 2" xfId="775" xr:uid="{00000000-0005-0000-0000-0000DB040000}"/>
    <cellStyle name="Normal 5 2 2 2 2 3 2 2" xfId="1589" xr:uid="{00000000-0005-0000-0000-0000DC040000}"/>
    <cellStyle name="Normal 5 2 2 2 2 3 3" xfId="1151" xr:uid="{00000000-0005-0000-0000-0000DD040000}"/>
    <cellStyle name="Normal 5 2 2 2 2 4" xfId="451" xr:uid="{00000000-0005-0000-0000-0000DE040000}"/>
    <cellStyle name="Normal 5 2 2 2 2 4 2" xfId="776" xr:uid="{00000000-0005-0000-0000-0000DF040000}"/>
    <cellStyle name="Normal 5 2 2 2 2 4 2 2" xfId="1729" xr:uid="{00000000-0005-0000-0000-0000E0040000}"/>
    <cellStyle name="Normal 5 2 2 2 2 4 3" xfId="1291" xr:uid="{00000000-0005-0000-0000-0000E1040000}"/>
    <cellStyle name="Normal 5 2 2 2 2 5" xfId="168" xr:uid="{00000000-0005-0000-0000-0000E2040000}"/>
    <cellStyle name="Normal 5 2 2 2 2 5 2" xfId="777" xr:uid="{00000000-0005-0000-0000-0000E3040000}"/>
    <cellStyle name="Normal 5 2 2 2 2 5 2 2" xfId="1449" xr:uid="{00000000-0005-0000-0000-0000E4040000}"/>
    <cellStyle name="Normal 5 2 2 2 2 5 3" xfId="1011" xr:uid="{00000000-0005-0000-0000-0000E5040000}"/>
    <cellStyle name="Normal 5 2 2 2 2 6" xfId="521" xr:uid="{00000000-0005-0000-0000-0000E6040000}"/>
    <cellStyle name="Normal 5 2 2 2 2 6 2" xfId="1379" xr:uid="{00000000-0005-0000-0000-0000E7040000}"/>
    <cellStyle name="Normal 5 2 2 2 2 7" xfId="941" xr:uid="{00000000-0005-0000-0000-0000E8040000}"/>
    <cellStyle name="Normal 5 2 2 2 3" xfId="203" xr:uid="{00000000-0005-0000-0000-0000E9040000}"/>
    <cellStyle name="Normal 5 2 2 2 3 2" xfId="345" xr:uid="{00000000-0005-0000-0000-0000EA040000}"/>
    <cellStyle name="Normal 5 2 2 2 3 2 2" xfId="779" xr:uid="{00000000-0005-0000-0000-0000EB040000}"/>
    <cellStyle name="Normal 5 2 2 2 3 2 2 2" xfId="1624" xr:uid="{00000000-0005-0000-0000-0000EC040000}"/>
    <cellStyle name="Normal 5 2 2 2 3 2 3" xfId="1186" xr:uid="{00000000-0005-0000-0000-0000ED040000}"/>
    <cellStyle name="Normal 5 2 2 2 3 3" xfId="778" xr:uid="{00000000-0005-0000-0000-0000EE040000}"/>
    <cellStyle name="Normal 5 2 2 2 3 3 2" xfId="1484" xr:uid="{00000000-0005-0000-0000-0000EF040000}"/>
    <cellStyle name="Normal 5 2 2 2 3 4" xfId="1046" xr:uid="{00000000-0005-0000-0000-0000F0040000}"/>
    <cellStyle name="Normal 5 2 2 2 4" xfId="275" xr:uid="{00000000-0005-0000-0000-0000F1040000}"/>
    <cellStyle name="Normal 5 2 2 2 4 2" xfId="780" xr:uid="{00000000-0005-0000-0000-0000F2040000}"/>
    <cellStyle name="Normal 5 2 2 2 4 2 2" xfId="1554" xr:uid="{00000000-0005-0000-0000-0000F3040000}"/>
    <cellStyle name="Normal 5 2 2 2 4 3" xfId="1116" xr:uid="{00000000-0005-0000-0000-0000F4040000}"/>
    <cellStyle name="Normal 5 2 2 2 5" xfId="416" xr:uid="{00000000-0005-0000-0000-0000F5040000}"/>
    <cellStyle name="Normal 5 2 2 2 5 2" xfId="781" xr:uid="{00000000-0005-0000-0000-0000F6040000}"/>
    <cellStyle name="Normal 5 2 2 2 5 2 2" xfId="1694" xr:uid="{00000000-0005-0000-0000-0000F7040000}"/>
    <cellStyle name="Normal 5 2 2 2 5 3" xfId="1256" xr:uid="{00000000-0005-0000-0000-0000F8040000}"/>
    <cellStyle name="Normal 5 2 2 2 6" xfId="132" xr:uid="{00000000-0005-0000-0000-0000F9040000}"/>
    <cellStyle name="Normal 5 2 2 2 6 2" xfId="782" xr:uid="{00000000-0005-0000-0000-0000FA040000}"/>
    <cellStyle name="Normal 5 2 2 2 6 2 2" xfId="1414" xr:uid="{00000000-0005-0000-0000-0000FB040000}"/>
    <cellStyle name="Normal 5 2 2 2 6 3" xfId="976" xr:uid="{00000000-0005-0000-0000-0000FC040000}"/>
    <cellStyle name="Normal 5 2 2 2 7" xfId="486" xr:uid="{00000000-0005-0000-0000-0000FD040000}"/>
    <cellStyle name="Normal 5 2 2 2 7 2" xfId="1343" xr:uid="{00000000-0005-0000-0000-0000FE040000}"/>
    <cellStyle name="Normal 5 2 2 2 8" xfId="906" xr:uid="{00000000-0005-0000-0000-0000FF040000}"/>
    <cellStyle name="Normal 5 2 2 3" xfId="85" xr:uid="{00000000-0005-0000-0000-000000050000}"/>
    <cellStyle name="Normal 5 2 2 3 2" xfId="238" xr:uid="{00000000-0005-0000-0000-000001050000}"/>
    <cellStyle name="Normal 5 2 2 3 2 2" xfId="379" xr:uid="{00000000-0005-0000-0000-000002050000}"/>
    <cellStyle name="Normal 5 2 2 3 2 2 2" xfId="784" xr:uid="{00000000-0005-0000-0000-000003050000}"/>
    <cellStyle name="Normal 5 2 2 3 2 2 2 2" xfId="1658" xr:uid="{00000000-0005-0000-0000-000004050000}"/>
    <cellStyle name="Normal 5 2 2 3 2 2 3" xfId="1220" xr:uid="{00000000-0005-0000-0000-000005050000}"/>
    <cellStyle name="Normal 5 2 2 3 2 3" xfId="783" xr:uid="{00000000-0005-0000-0000-000006050000}"/>
    <cellStyle name="Normal 5 2 2 3 2 3 2" xfId="1518" xr:uid="{00000000-0005-0000-0000-000007050000}"/>
    <cellStyle name="Normal 5 2 2 3 2 4" xfId="1080" xr:uid="{00000000-0005-0000-0000-000008050000}"/>
    <cellStyle name="Normal 5 2 2 3 3" xfId="309" xr:uid="{00000000-0005-0000-0000-000009050000}"/>
    <cellStyle name="Normal 5 2 2 3 3 2" xfId="785" xr:uid="{00000000-0005-0000-0000-00000A050000}"/>
    <cellStyle name="Normal 5 2 2 3 3 2 2" xfId="1588" xr:uid="{00000000-0005-0000-0000-00000B050000}"/>
    <cellStyle name="Normal 5 2 2 3 3 3" xfId="1150" xr:uid="{00000000-0005-0000-0000-00000C050000}"/>
    <cellStyle name="Normal 5 2 2 3 4" xfId="450" xr:uid="{00000000-0005-0000-0000-00000D050000}"/>
    <cellStyle name="Normal 5 2 2 3 4 2" xfId="786" xr:uid="{00000000-0005-0000-0000-00000E050000}"/>
    <cellStyle name="Normal 5 2 2 3 4 2 2" xfId="1728" xr:uid="{00000000-0005-0000-0000-00000F050000}"/>
    <cellStyle name="Normal 5 2 2 3 4 3" xfId="1290" xr:uid="{00000000-0005-0000-0000-000010050000}"/>
    <cellStyle name="Normal 5 2 2 3 5" xfId="167" xr:uid="{00000000-0005-0000-0000-000011050000}"/>
    <cellStyle name="Normal 5 2 2 3 5 2" xfId="787" xr:uid="{00000000-0005-0000-0000-000012050000}"/>
    <cellStyle name="Normal 5 2 2 3 5 2 2" xfId="1448" xr:uid="{00000000-0005-0000-0000-000013050000}"/>
    <cellStyle name="Normal 5 2 2 3 5 3" xfId="1010" xr:uid="{00000000-0005-0000-0000-000014050000}"/>
    <cellStyle name="Normal 5 2 2 3 6" xfId="520" xr:uid="{00000000-0005-0000-0000-000015050000}"/>
    <cellStyle name="Normal 5 2 2 3 6 2" xfId="1378" xr:uid="{00000000-0005-0000-0000-000016050000}"/>
    <cellStyle name="Normal 5 2 2 3 7" xfId="940" xr:uid="{00000000-0005-0000-0000-000017050000}"/>
    <cellStyle name="Normal 5 2 2 4" xfId="202" xr:uid="{00000000-0005-0000-0000-000018050000}"/>
    <cellStyle name="Normal 5 2 2 4 2" xfId="344" xr:uid="{00000000-0005-0000-0000-000019050000}"/>
    <cellStyle name="Normal 5 2 2 4 2 2" xfId="789" xr:uid="{00000000-0005-0000-0000-00001A050000}"/>
    <cellStyle name="Normal 5 2 2 4 2 2 2" xfId="1623" xr:uid="{00000000-0005-0000-0000-00001B050000}"/>
    <cellStyle name="Normal 5 2 2 4 2 3" xfId="1185" xr:uid="{00000000-0005-0000-0000-00001C050000}"/>
    <cellStyle name="Normal 5 2 2 4 3" xfId="788" xr:uid="{00000000-0005-0000-0000-00001D050000}"/>
    <cellStyle name="Normal 5 2 2 4 3 2" xfId="1483" xr:uid="{00000000-0005-0000-0000-00001E050000}"/>
    <cellStyle name="Normal 5 2 2 4 4" xfId="1045" xr:uid="{00000000-0005-0000-0000-00001F050000}"/>
    <cellStyle name="Normal 5 2 2 5" xfId="274" xr:uid="{00000000-0005-0000-0000-000020050000}"/>
    <cellStyle name="Normal 5 2 2 5 2" xfId="790" xr:uid="{00000000-0005-0000-0000-000021050000}"/>
    <cellStyle name="Normal 5 2 2 5 2 2" xfId="1553" xr:uid="{00000000-0005-0000-0000-000022050000}"/>
    <cellStyle name="Normal 5 2 2 5 3" xfId="1115" xr:uid="{00000000-0005-0000-0000-000023050000}"/>
    <cellStyle name="Normal 5 2 2 6" xfId="415" xr:uid="{00000000-0005-0000-0000-000024050000}"/>
    <cellStyle name="Normal 5 2 2 6 2" xfId="791" xr:uid="{00000000-0005-0000-0000-000025050000}"/>
    <cellStyle name="Normal 5 2 2 6 2 2" xfId="1693" xr:uid="{00000000-0005-0000-0000-000026050000}"/>
    <cellStyle name="Normal 5 2 2 6 3" xfId="1255" xr:uid="{00000000-0005-0000-0000-000027050000}"/>
    <cellStyle name="Normal 5 2 2 7" xfId="131" xr:uid="{00000000-0005-0000-0000-000028050000}"/>
    <cellStyle name="Normal 5 2 2 7 2" xfId="792" xr:uid="{00000000-0005-0000-0000-000029050000}"/>
    <cellStyle name="Normal 5 2 2 7 2 2" xfId="1413" xr:uid="{00000000-0005-0000-0000-00002A050000}"/>
    <cellStyle name="Normal 5 2 2 7 3" xfId="975" xr:uid="{00000000-0005-0000-0000-00002B050000}"/>
    <cellStyle name="Normal 5 2 2 8" xfId="485" xr:uid="{00000000-0005-0000-0000-00002C050000}"/>
    <cellStyle name="Normal 5 2 2 8 2" xfId="1342" xr:uid="{00000000-0005-0000-0000-00002D050000}"/>
    <cellStyle name="Normal 5 2 2 9" xfId="905" xr:uid="{00000000-0005-0000-0000-00002E050000}"/>
    <cellStyle name="Normal 5 2 3" xfId="41" xr:uid="{00000000-0005-0000-0000-00002F050000}"/>
    <cellStyle name="Normal 5 2 3 2" xfId="87" xr:uid="{00000000-0005-0000-0000-000030050000}"/>
    <cellStyle name="Normal 5 2 3 2 2" xfId="240" xr:uid="{00000000-0005-0000-0000-000031050000}"/>
    <cellStyle name="Normal 5 2 3 2 2 2" xfId="381" xr:uid="{00000000-0005-0000-0000-000032050000}"/>
    <cellStyle name="Normal 5 2 3 2 2 2 2" xfId="794" xr:uid="{00000000-0005-0000-0000-000033050000}"/>
    <cellStyle name="Normal 5 2 3 2 2 2 2 2" xfId="1660" xr:uid="{00000000-0005-0000-0000-000034050000}"/>
    <cellStyle name="Normal 5 2 3 2 2 2 3" xfId="1222" xr:uid="{00000000-0005-0000-0000-000035050000}"/>
    <cellStyle name="Normal 5 2 3 2 2 3" xfId="793" xr:uid="{00000000-0005-0000-0000-000036050000}"/>
    <cellStyle name="Normal 5 2 3 2 2 3 2" xfId="1520" xr:uid="{00000000-0005-0000-0000-000037050000}"/>
    <cellStyle name="Normal 5 2 3 2 2 4" xfId="1082" xr:uid="{00000000-0005-0000-0000-000038050000}"/>
    <cellStyle name="Normal 5 2 3 2 3" xfId="311" xr:uid="{00000000-0005-0000-0000-000039050000}"/>
    <cellStyle name="Normal 5 2 3 2 3 2" xfId="795" xr:uid="{00000000-0005-0000-0000-00003A050000}"/>
    <cellStyle name="Normal 5 2 3 2 3 2 2" xfId="1590" xr:uid="{00000000-0005-0000-0000-00003B050000}"/>
    <cellStyle name="Normal 5 2 3 2 3 3" xfId="1152" xr:uid="{00000000-0005-0000-0000-00003C050000}"/>
    <cellStyle name="Normal 5 2 3 2 4" xfId="452" xr:uid="{00000000-0005-0000-0000-00003D050000}"/>
    <cellStyle name="Normal 5 2 3 2 4 2" xfId="796" xr:uid="{00000000-0005-0000-0000-00003E050000}"/>
    <cellStyle name="Normal 5 2 3 2 4 2 2" xfId="1730" xr:uid="{00000000-0005-0000-0000-00003F050000}"/>
    <cellStyle name="Normal 5 2 3 2 4 3" xfId="1292" xr:uid="{00000000-0005-0000-0000-000040050000}"/>
    <cellStyle name="Normal 5 2 3 2 5" xfId="169" xr:uid="{00000000-0005-0000-0000-000041050000}"/>
    <cellStyle name="Normal 5 2 3 2 5 2" xfId="797" xr:uid="{00000000-0005-0000-0000-000042050000}"/>
    <cellStyle name="Normal 5 2 3 2 5 2 2" xfId="1450" xr:uid="{00000000-0005-0000-0000-000043050000}"/>
    <cellStyle name="Normal 5 2 3 2 5 3" xfId="1012" xr:uid="{00000000-0005-0000-0000-000044050000}"/>
    <cellStyle name="Normal 5 2 3 2 6" xfId="522" xr:uid="{00000000-0005-0000-0000-000045050000}"/>
    <cellStyle name="Normal 5 2 3 2 6 2" xfId="1380" xr:uid="{00000000-0005-0000-0000-000046050000}"/>
    <cellStyle name="Normal 5 2 3 2 7" xfId="942" xr:uid="{00000000-0005-0000-0000-000047050000}"/>
    <cellStyle name="Normal 5 2 3 3" xfId="204" xr:uid="{00000000-0005-0000-0000-000048050000}"/>
    <cellStyle name="Normal 5 2 3 3 2" xfId="346" xr:uid="{00000000-0005-0000-0000-000049050000}"/>
    <cellStyle name="Normal 5 2 3 3 2 2" xfId="799" xr:uid="{00000000-0005-0000-0000-00004A050000}"/>
    <cellStyle name="Normal 5 2 3 3 2 2 2" xfId="1625" xr:uid="{00000000-0005-0000-0000-00004B050000}"/>
    <cellStyle name="Normal 5 2 3 3 2 3" xfId="1187" xr:uid="{00000000-0005-0000-0000-00004C050000}"/>
    <cellStyle name="Normal 5 2 3 3 3" xfId="798" xr:uid="{00000000-0005-0000-0000-00004D050000}"/>
    <cellStyle name="Normal 5 2 3 3 3 2" xfId="1485" xr:uid="{00000000-0005-0000-0000-00004E050000}"/>
    <cellStyle name="Normal 5 2 3 3 4" xfId="1047" xr:uid="{00000000-0005-0000-0000-00004F050000}"/>
    <cellStyle name="Normal 5 2 3 4" xfId="276" xr:uid="{00000000-0005-0000-0000-000050050000}"/>
    <cellStyle name="Normal 5 2 3 4 2" xfId="800" xr:uid="{00000000-0005-0000-0000-000051050000}"/>
    <cellStyle name="Normal 5 2 3 4 2 2" xfId="1555" xr:uid="{00000000-0005-0000-0000-000052050000}"/>
    <cellStyle name="Normal 5 2 3 4 3" xfId="1117" xr:uid="{00000000-0005-0000-0000-000053050000}"/>
    <cellStyle name="Normal 5 2 3 5" xfId="417" xr:uid="{00000000-0005-0000-0000-000054050000}"/>
    <cellStyle name="Normal 5 2 3 5 2" xfId="801" xr:uid="{00000000-0005-0000-0000-000055050000}"/>
    <cellStyle name="Normal 5 2 3 5 2 2" xfId="1695" xr:uid="{00000000-0005-0000-0000-000056050000}"/>
    <cellStyle name="Normal 5 2 3 5 3" xfId="1257" xr:uid="{00000000-0005-0000-0000-000057050000}"/>
    <cellStyle name="Normal 5 2 3 6" xfId="133" xr:uid="{00000000-0005-0000-0000-000058050000}"/>
    <cellStyle name="Normal 5 2 3 6 2" xfId="802" xr:uid="{00000000-0005-0000-0000-000059050000}"/>
    <cellStyle name="Normal 5 2 3 6 2 2" xfId="1415" xr:uid="{00000000-0005-0000-0000-00005A050000}"/>
    <cellStyle name="Normal 5 2 3 6 3" xfId="977" xr:uid="{00000000-0005-0000-0000-00005B050000}"/>
    <cellStyle name="Normal 5 2 3 7" xfId="487" xr:uid="{00000000-0005-0000-0000-00005C050000}"/>
    <cellStyle name="Normal 5 2 3 7 2" xfId="1344" xr:uid="{00000000-0005-0000-0000-00005D050000}"/>
    <cellStyle name="Normal 5 2 3 8" xfId="907" xr:uid="{00000000-0005-0000-0000-00005E050000}"/>
    <cellStyle name="Normal 5 2 4" xfId="84" xr:uid="{00000000-0005-0000-0000-00005F050000}"/>
    <cellStyle name="Normal 5 2 4 2" xfId="237" xr:uid="{00000000-0005-0000-0000-000060050000}"/>
    <cellStyle name="Normal 5 2 4 2 2" xfId="378" xr:uid="{00000000-0005-0000-0000-000061050000}"/>
    <cellStyle name="Normal 5 2 4 2 2 2" xfId="804" xr:uid="{00000000-0005-0000-0000-000062050000}"/>
    <cellStyle name="Normal 5 2 4 2 2 2 2" xfId="1657" xr:uid="{00000000-0005-0000-0000-000063050000}"/>
    <cellStyle name="Normal 5 2 4 2 2 3" xfId="1219" xr:uid="{00000000-0005-0000-0000-000064050000}"/>
    <cellStyle name="Normal 5 2 4 2 3" xfId="803" xr:uid="{00000000-0005-0000-0000-000065050000}"/>
    <cellStyle name="Normal 5 2 4 2 3 2" xfId="1517" xr:uid="{00000000-0005-0000-0000-000066050000}"/>
    <cellStyle name="Normal 5 2 4 2 4" xfId="1079" xr:uid="{00000000-0005-0000-0000-000067050000}"/>
    <cellStyle name="Normal 5 2 4 3" xfId="308" xr:uid="{00000000-0005-0000-0000-000068050000}"/>
    <cellStyle name="Normal 5 2 4 3 2" xfId="805" xr:uid="{00000000-0005-0000-0000-000069050000}"/>
    <cellStyle name="Normal 5 2 4 3 2 2" xfId="1587" xr:uid="{00000000-0005-0000-0000-00006A050000}"/>
    <cellStyle name="Normal 5 2 4 3 3" xfId="1149" xr:uid="{00000000-0005-0000-0000-00006B050000}"/>
    <cellStyle name="Normal 5 2 4 4" xfId="449" xr:uid="{00000000-0005-0000-0000-00006C050000}"/>
    <cellStyle name="Normal 5 2 4 4 2" xfId="806" xr:uid="{00000000-0005-0000-0000-00006D050000}"/>
    <cellStyle name="Normal 5 2 4 4 2 2" xfId="1727" xr:uid="{00000000-0005-0000-0000-00006E050000}"/>
    <cellStyle name="Normal 5 2 4 4 3" xfId="1289" xr:uid="{00000000-0005-0000-0000-00006F050000}"/>
    <cellStyle name="Normal 5 2 4 5" xfId="166" xr:uid="{00000000-0005-0000-0000-000070050000}"/>
    <cellStyle name="Normal 5 2 4 5 2" xfId="807" xr:uid="{00000000-0005-0000-0000-000071050000}"/>
    <cellStyle name="Normal 5 2 4 5 2 2" xfId="1447" xr:uid="{00000000-0005-0000-0000-000072050000}"/>
    <cellStyle name="Normal 5 2 4 5 3" xfId="1009" xr:uid="{00000000-0005-0000-0000-000073050000}"/>
    <cellStyle name="Normal 5 2 4 6" xfId="519" xr:uid="{00000000-0005-0000-0000-000074050000}"/>
    <cellStyle name="Normal 5 2 4 6 2" xfId="1377" xr:uid="{00000000-0005-0000-0000-000075050000}"/>
    <cellStyle name="Normal 5 2 4 7" xfId="939" xr:uid="{00000000-0005-0000-0000-000076050000}"/>
    <cellStyle name="Normal 5 2 5" xfId="201" xr:uid="{00000000-0005-0000-0000-000077050000}"/>
    <cellStyle name="Normal 5 2 5 2" xfId="343" xr:uid="{00000000-0005-0000-0000-000078050000}"/>
    <cellStyle name="Normal 5 2 5 2 2" xfId="809" xr:uid="{00000000-0005-0000-0000-000079050000}"/>
    <cellStyle name="Normal 5 2 5 2 2 2" xfId="1622" xr:uid="{00000000-0005-0000-0000-00007A050000}"/>
    <cellStyle name="Normal 5 2 5 2 3" xfId="1184" xr:uid="{00000000-0005-0000-0000-00007B050000}"/>
    <cellStyle name="Normal 5 2 5 3" xfId="808" xr:uid="{00000000-0005-0000-0000-00007C050000}"/>
    <cellStyle name="Normal 5 2 5 3 2" xfId="1482" xr:uid="{00000000-0005-0000-0000-00007D050000}"/>
    <cellStyle name="Normal 5 2 5 4" xfId="1044" xr:uid="{00000000-0005-0000-0000-00007E050000}"/>
    <cellStyle name="Normal 5 2 6" xfId="273" xr:uid="{00000000-0005-0000-0000-00007F050000}"/>
    <cellStyle name="Normal 5 2 6 2" xfId="810" xr:uid="{00000000-0005-0000-0000-000080050000}"/>
    <cellStyle name="Normal 5 2 6 2 2" xfId="1552" xr:uid="{00000000-0005-0000-0000-000081050000}"/>
    <cellStyle name="Normal 5 2 6 3" xfId="1114" xr:uid="{00000000-0005-0000-0000-000082050000}"/>
    <cellStyle name="Normal 5 2 7" xfId="414" xr:uid="{00000000-0005-0000-0000-000083050000}"/>
    <cellStyle name="Normal 5 2 7 2" xfId="811" xr:uid="{00000000-0005-0000-0000-000084050000}"/>
    <cellStyle name="Normal 5 2 7 2 2" xfId="1692" xr:uid="{00000000-0005-0000-0000-000085050000}"/>
    <cellStyle name="Normal 5 2 7 3" xfId="1254" xr:uid="{00000000-0005-0000-0000-000086050000}"/>
    <cellStyle name="Normal 5 2 8" xfId="130" xr:uid="{00000000-0005-0000-0000-000087050000}"/>
    <cellStyle name="Normal 5 2 8 2" xfId="812" xr:uid="{00000000-0005-0000-0000-000088050000}"/>
    <cellStyle name="Normal 5 2 8 2 2" xfId="1412" xr:uid="{00000000-0005-0000-0000-000089050000}"/>
    <cellStyle name="Normal 5 2 8 3" xfId="974" xr:uid="{00000000-0005-0000-0000-00008A050000}"/>
    <cellStyle name="Normal 5 2 9" xfId="484" xr:uid="{00000000-0005-0000-0000-00008B050000}"/>
    <cellStyle name="Normal 5 2 9 2" xfId="1341" xr:uid="{00000000-0005-0000-0000-00008C050000}"/>
    <cellStyle name="Normal 5 3" xfId="42" xr:uid="{00000000-0005-0000-0000-00008D050000}"/>
    <cellStyle name="Normal 5 3 2" xfId="43" xr:uid="{00000000-0005-0000-0000-00008E050000}"/>
    <cellStyle name="Normal 5 3 2 2" xfId="89" xr:uid="{00000000-0005-0000-0000-00008F050000}"/>
    <cellStyle name="Normal 5 3 2 2 2" xfId="242" xr:uid="{00000000-0005-0000-0000-000090050000}"/>
    <cellStyle name="Normal 5 3 2 2 2 2" xfId="383" xr:uid="{00000000-0005-0000-0000-000091050000}"/>
    <cellStyle name="Normal 5 3 2 2 2 2 2" xfId="814" xr:uid="{00000000-0005-0000-0000-000092050000}"/>
    <cellStyle name="Normal 5 3 2 2 2 2 2 2" xfId="1662" xr:uid="{00000000-0005-0000-0000-000093050000}"/>
    <cellStyle name="Normal 5 3 2 2 2 2 3" xfId="1224" xr:uid="{00000000-0005-0000-0000-000094050000}"/>
    <cellStyle name="Normal 5 3 2 2 2 3" xfId="813" xr:uid="{00000000-0005-0000-0000-000095050000}"/>
    <cellStyle name="Normal 5 3 2 2 2 3 2" xfId="1522" xr:uid="{00000000-0005-0000-0000-000096050000}"/>
    <cellStyle name="Normal 5 3 2 2 2 4" xfId="1084" xr:uid="{00000000-0005-0000-0000-000097050000}"/>
    <cellStyle name="Normal 5 3 2 2 3" xfId="313" xr:uid="{00000000-0005-0000-0000-000098050000}"/>
    <cellStyle name="Normal 5 3 2 2 3 2" xfId="815" xr:uid="{00000000-0005-0000-0000-000099050000}"/>
    <cellStyle name="Normal 5 3 2 2 3 2 2" xfId="1592" xr:uid="{00000000-0005-0000-0000-00009A050000}"/>
    <cellStyle name="Normal 5 3 2 2 3 3" xfId="1154" xr:uid="{00000000-0005-0000-0000-00009B050000}"/>
    <cellStyle name="Normal 5 3 2 2 4" xfId="454" xr:uid="{00000000-0005-0000-0000-00009C050000}"/>
    <cellStyle name="Normal 5 3 2 2 4 2" xfId="816" xr:uid="{00000000-0005-0000-0000-00009D050000}"/>
    <cellStyle name="Normal 5 3 2 2 4 2 2" xfId="1732" xr:uid="{00000000-0005-0000-0000-00009E050000}"/>
    <cellStyle name="Normal 5 3 2 2 4 3" xfId="1294" xr:uid="{00000000-0005-0000-0000-00009F050000}"/>
    <cellStyle name="Normal 5 3 2 2 5" xfId="171" xr:uid="{00000000-0005-0000-0000-0000A0050000}"/>
    <cellStyle name="Normal 5 3 2 2 5 2" xfId="817" xr:uid="{00000000-0005-0000-0000-0000A1050000}"/>
    <cellStyle name="Normal 5 3 2 2 5 2 2" xfId="1452" xr:uid="{00000000-0005-0000-0000-0000A2050000}"/>
    <cellStyle name="Normal 5 3 2 2 5 3" xfId="1014" xr:uid="{00000000-0005-0000-0000-0000A3050000}"/>
    <cellStyle name="Normal 5 3 2 2 6" xfId="524" xr:uid="{00000000-0005-0000-0000-0000A4050000}"/>
    <cellStyle name="Normal 5 3 2 2 6 2" xfId="1382" xr:uid="{00000000-0005-0000-0000-0000A5050000}"/>
    <cellStyle name="Normal 5 3 2 2 7" xfId="944" xr:uid="{00000000-0005-0000-0000-0000A6050000}"/>
    <cellStyle name="Normal 5 3 2 3" xfId="206" xr:uid="{00000000-0005-0000-0000-0000A7050000}"/>
    <cellStyle name="Normal 5 3 2 3 2" xfId="348" xr:uid="{00000000-0005-0000-0000-0000A8050000}"/>
    <cellStyle name="Normal 5 3 2 3 2 2" xfId="819" xr:uid="{00000000-0005-0000-0000-0000A9050000}"/>
    <cellStyle name="Normal 5 3 2 3 2 2 2" xfId="1627" xr:uid="{00000000-0005-0000-0000-0000AA050000}"/>
    <cellStyle name="Normal 5 3 2 3 2 3" xfId="1189" xr:uid="{00000000-0005-0000-0000-0000AB050000}"/>
    <cellStyle name="Normal 5 3 2 3 3" xfId="818" xr:uid="{00000000-0005-0000-0000-0000AC050000}"/>
    <cellStyle name="Normal 5 3 2 3 3 2" xfId="1487" xr:uid="{00000000-0005-0000-0000-0000AD050000}"/>
    <cellStyle name="Normal 5 3 2 3 4" xfId="1049" xr:uid="{00000000-0005-0000-0000-0000AE050000}"/>
    <cellStyle name="Normal 5 3 2 4" xfId="278" xr:uid="{00000000-0005-0000-0000-0000AF050000}"/>
    <cellStyle name="Normal 5 3 2 4 2" xfId="820" xr:uid="{00000000-0005-0000-0000-0000B0050000}"/>
    <cellStyle name="Normal 5 3 2 4 2 2" xfId="1557" xr:uid="{00000000-0005-0000-0000-0000B1050000}"/>
    <cellStyle name="Normal 5 3 2 4 3" xfId="1119" xr:uid="{00000000-0005-0000-0000-0000B2050000}"/>
    <cellStyle name="Normal 5 3 2 5" xfId="419" xr:uid="{00000000-0005-0000-0000-0000B3050000}"/>
    <cellStyle name="Normal 5 3 2 5 2" xfId="821" xr:uid="{00000000-0005-0000-0000-0000B4050000}"/>
    <cellStyle name="Normal 5 3 2 5 2 2" xfId="1697" xr:uid="{00000000-0005-0000-0000-0000B5050000}"/>
    <cellStyle name="Normal 5 3 2 5 3" xfId="1259" xr:uid="{00000000-0005-0000-0000-0000B6050000}"/>
    <cellStyle name="Normal 5 3 2 6" xfId="135" xr:uid="{00000000-0005-0000-0000-0000B7050000}"/>
    <cellStyle name="Normal 5 3 2 6 2" xfId="822" xr:uid="{00000000-0005-0000-0000-0000B8050000}"/>
    <cellStyle name="Normal 5 3 2 6 2 2" xfId="1417" xr:uid="{00000000-0005-0000-0000-0000B9050000}"/>
    <cellStyle name="Normal 5 3 2 6 3" xfId="979" xr:uid="{00000000-0005-0000-0000-0000BA050000}"/>
    <cellStyle name="Normal 5 3 2 7" xfId="489" xr:uid="{00000000-0005-0000-0000-0000BB050000}"/>
    <cellStyle name="Normal 5 3 2 7 2" xfId="1346" xr:uid="{00000000-0005-0000-0000-0000BC050000}"/>
    <cellStyle name="Normal 5 3 2 8" xfId="909" xr:uid="{00000000-0005-0000-0000-0000BD050000}"/>
    <cellStyle name="Normal 5 3 3" xfId="88" xr:uid="{00000000-0005-0000-0000-0000BE050000}"/>
    <cellStyle name="Normal 5 3 3 2" xfId="241" xr:uid="{00000000-0005-0000-0000-0000BF050000}"/>
    <cellStyle name="Normal 5 3 3 2 2" xfId="382" xr:uid="{00000000-0005-0000-0000-0000C0050000}"/>
    <cellStyle name="Normal 5 3 3 2 2 2" xfId="824" xr:uid="{00000000-0005-0000-0000-0000C1050000}"/>
    <cellStyle name="Normal 5 3 3 2 2 2 2" xfId="1661" xr:uid="{00000000-0005-0000-0000-0000C2050000}"/>
    <cellStyle name="Normal 5 3 3 2 2 3" xfId="1223" xr:uid="{00000000-0005-0000-0000-0000C3050000}"/>
    <cellStyle name="Normal 5 3 3 2 3" xfId="823" xr:uid="{00000000-0005-0000-0000-0000C4050000}"/>
    <cellStyle name="Normal 5 3 3 2 3 2" xfId="1521" xr:uid="{00000000-0005-0000-0000-0000C5050000}"/>
    <cellStyle name="Normal 5 3 3 2 4" xfId="1083" xr:uid="{00000000-0005-0000-0000-0000C6050000}"/>
    <cellStyle name="Normal 5 3 3 3" xfId="312" xr:uid="{00000000-0005-0000-0000-0000C7050000}"/>
    <cellStyle name="Normal 5 3 3 3 2" xfId="825" xr:uid="{00000000-0005-0000-0000-0000C8050000}"/>
    <cellStyle name="Normal 5 3 3 3 2 2" xfId="1591" xr:uid="{00000000-0005-0000-0000-0000C9050000}"/>
    <cellStyle name="Normal 5 3 3 3 3" xfId="1153" xr:uid="{00000000-0005-0000-0000-0000CA050000}"/>
    <cellStyle name="Normal 5 3 3 4" xfId="453" xr:uid="{00000000-0005-0000-0000-0000CB050000}"/>
    <cellStyle name="Normal 5 3 3 4 2" xfId="826" xr:uid="{00000000-0005-0000-0000-0000CC050000}"/>
    <cellStyle name="Normal 5 3 3 4 2 2" xfId="1731" xr:uid="{00000000-0005-0000-0000-0000CD050000}"/>
    <cellStyle name="Normal 5 3 3 4 3" xfId="1293" xr:uid="{00000000-0005-0000-0000-0000CE050000}"/>
    <cellStyle name="Normal 5 3 3 5" xfId="170" xr:uid="{00000000-0005-0000-0000-0000CF050000}"/>
    <cellStyle name="Normal 5 3 3 5 2" xfId="827" xr:uid="{00000000-0005-0000-0000-0000D0050000}"/>
    <cellStyle name="Normal 5 3 3 5 2 2" xfId="1451" xr:uid="{00000000-0005-0000-0000-0000D1050000}"/>
    <cellStyle name="Normal 5 3 3 5 3" xfId="1013" xr:uid="{00000000-0005-0000-0000-0000D2050000}"/>
    <cellStyle name="Normal 5 3 3 6" xfId="523" xr:uid="{00000000-0005-0000-0000-0000D3050000}"/>
    <cellStyle name="Normal 5 3 3 6 2" xfId="1381" xr:uid="{00000000-0005-0000-0000-0000D4050000}"/>
    <cellStyle name="Normal 5 3 3 7" xfId="943" xr:uid="{00000000-0005-0000-0000-0000D5050000}"/>
    <cellStyle name="Normal 5 3 4" xfId="205" xr:uid="{00000000-0005-0000-0000-0000D6050000}"/>
    <cellStyle name="Normal 5 3 4 2" xfId="347" xr:uid="{00000000-0005-0000-0000-0000D7050000}"/>
    <cellStyle name="Normal 5 3 4 2 2" xfId="829" xr:uid="{00000000-0005-0000-0000-0000D8050000}"/>
    <cellStyle name="Normal 5 3 4 2 2 2" xfId="1626" xr:uid="{00000000-0005-0000-0000-0000D9050000}"/>
    <cellStyle name="Normal 5 3 4 2 3" xfId="1188" xr:uid="{00000000-0005-0000-0000-0000DA050000}"/>
    <cellStyle name="Normal 5 3 4 3" xfId="828" xr:uid="{00000000-0005-0000-0000-0000DB050000}"/>
    <cellStyle name="Normal 5 3 4 3 2" xfId="1486" xr:uid="{00000000-0005-0000-0000-0000DC050000}"/>
    <cellStyle name="Normal 5 3 4 4" xfId="1048" xr:uid="{00000000-0005-0000-0000-0000DD050000}"/>
    <cellStyle name="Normal 5 3 5" xfId="277" xr:uid="{00000000-0005-0000-0000-0000DE050000}"/>
    <cellStyle name="Normal 5 3 5 2" xfId="830" xr:uid="{00000000-0005-0000-0000-0000DF050000}"/>
    <cellStyle name="Normal 5 3 5 2 2" xfId="1556" xr:uid="{00000000-0005-0000-0000-0000E0050000}"/>
    <cellStyle name="Normal 5 3 5 3" xfId="1118" xr:uid="{00000000-0005-0000-0000-0000E1050000}"/>
    <cellStyle name="Normal 5 3 6" xfId="418" xr:uid="{00000000-0005-0000-0000-0000E2050000}"/>
    <cellStyle name="Normal 5 3 6 2" xfId="831" xr:uid="{00000000-0005-0000-0000-0000E3050000}"/>
    <cellStyle name="Normal 5 3 6 2 2" xfId="1696" xr:uid="{00000000-0005-0000-0000-0000E4050000}"/>
    <cellStyle name="Normal 5 3 6 3" xfId="1258" xr:uid="{00000000-0005-0000-0000-0000E5050000}"/>
    <cellStyle name="Normal 5 3 7" xfId="134" xr:uid="{00000000-0005-0000-0000-0000E6050000}"/>
    <cellStyle name="Normal 5 3 7 2" xfId="832" xr:uid="{00000000-0005-0000-0000-0000E7050000}"/>
    <cellStyle name="Normal 5 3 7 2 2" xfId="1416" xr:uid="{00000000-0005-0000-0000-0000E8050000}"/>
    <cellStyle name="Normal 5 3 7 3" xfId="978" xr:uid="{00000000-0005-0000-0000-0000E9050000}"/>
    <cellStyle name="Normal 5 3 8" xfId="488" xr:uid="{00000000-0005-0000-0000-0000EA050000}"/>
    <cellStyle name="Normal 5 3 8 2" xfId="1345" xr:uid="{00000000-0005-0000-0000-0000EB050000}"/>
    <cellStyle name="Normal 5 3 9" xfId="908" xr:uid="{00000000-0005-0000-0000-0000EC050000}"/>
    <cellStyle name="Normal 5 4" xfId="44" xr:uid="{00000000-0005-0000-0000-0000ED050000}"/>
    <cellStyle name="Normal 5 4 2" xfId="90" xr:uid="{00000000-0005-0000-0000-0000EE050000}"/>
    <cellStyle name="Normal 5 4 2 2" xfId="243" xr:uid="{00000000-0005-0000-0000-0000EF050000}"/>
    <cellStyle name="Normal 5 4 2 2 2" xfId="384" xr:uid="{00000000-0005-0000-0000-0000F0050000}"/>
    <cellStyle name="Normal 5 4 2 2 2 2" xfId="834" xr:uid="{00000000-0005-0000-0000-0000F1050000}"/>
    <cellStyle name="Normal 5 4 2 2 2 2 2" xfId="1663" xr:uid="{00000000-0005-0000-0000-0000F2050000}"/>
    <cellStyle name="Normal 5 4 2 2 2 3" xfId="1225" xr:uid="{00000000-0005-0000-0000-0000F3050000}"/>
    <cellStyle name="Normal 5 4 2 2 3" xfId="833" xr:uid="{00000000-0005-0000-0000-0000F4050000}"/>
    <cellStyle name="Normal 5 4 2 2 3 2" xfId="1523" xr:uid="{00000000-0005-0000-0000-0000F5050000}"/>
    <cellStyle name="Normal 5 4 2 2 4" xfId="1085" xr:uid="{00000000-0005-0000-0000-0000F6050000}"/>
    <cellStyle name="Normal 5 4 2 3" xfId="314" xr:uid="{00000000-0005-0000-0000-0000F7050000}"/>
    <cellStyle name="Normal 5 4 2 3 2" xfId="835" xr:uid="{00000000-0005-0000-0000-0000F8050000}"/>
    <cellStyle name="Normal 5 4 2 3 2 2" xfId="1593" xr:uid="{00000000-0005-0000-0000-0000F9050000}"/>
    <cellStyle name="Normal 5 4 2 3 3" xfId="1155" xr:uid="{00000000-0005-0000-0000-0000FA050000}"/>
    <cellStyle name="Normal 5 4 2 4" xfId="455" xr:uid="{00000000-0005-0000-0000-0000FB050000}"/>
    <cellStyle name="Normal 5 4 2 4 2" xfId="836" xr:uid="{00000000-0005-0000-0000-0000FC050000}"/>
    <cellStyle name="Normal 5 4 2 4 2 2" xfId="1733" xr:uid="{00000000-0005-0000-0000-0000FD050000}"/>
    <cellStyle name="Normal 5 4 2 4 3" xfId="1295" xr:uid="{00000000-0005-0000-0000-0000FE050000}"/>
    <cellStyle name="Normal 5 4 2 5" xfId="172" xr:uid="{00000000-0005-0000-0000-0000FF050000}"/>
    <cellStyle name="Normal 5 4 2 5 2" xfId="837" xr:uid="{00000000-0005-0000-0000-000000060000}"/>
    <cellStyle name="Normal 5 4 2 5 2 2" xfId="1453" xr:uid="{00000000-0005-0000-0000-000001060000}"/>
    <cellStyle name="Normal 5 4 2 5 3" xfId="1015" xr:uid="{00000000-0005-0000-0000-000002060000}"/>
    <cellStyle name="Normal 5 4 2 6" xfId="525" xr:uid="{00000000-0005-0000-0000-000003060000}"/>
    <cellStyle name="Normal 5 4 2 6 2" xfId="1383" xr:uid="{00000000-0005-0000-0000-000004060000}"/>
    <cellStyle name="Normal 5 4 2 7" xfId="945" xr:uid="{00000000-0005-0000-0000-000005060000}"/>
    <cellStyle name="Normal 5 4 3" xfId="207" xr:uid="{00000000-0005-0000-0000-000006060000}"/>
    <cellStyle name="Normal 5 4 3 2" xfId="349" xr:uid="{00000000-0005-0000-0000-000007060000}"/>
    <cellStyle name="Normal 5 4 3 2 2" xfId="839" xr:uid="{00000000-0005-0000-0000-000008060000}"/>
    <cellStyle name="Normal 5 4 3 2 2 2" xfId="1628" xr:uid="{00000000-0005-0000-0000-000009060000}"/>
    <cellStyle name="Normal 5 4 3 2 3" xfId="1190" xr:uid="{00000000-0005-0000-0000-00000A060000}"/>
    <cellStyle name="Normal 5 4 3 3" xfId="838" xr:uid="{00000000-0005-0000-0000-00000B060000}"/>
    <cellStyle name="Normal 5 4 3 3 2" xfId="1488" xr:uid="{00000000-0005-0000-0000-00000C060000}"/>
    <cellStyle name="Normal 5 4 3 4" xfId="1050" xr:uid="{00000000-0005-0000-0000-00000D060000}"/>
    <cellStyle name="Normal 5 4 4" xfId="279" xr:uid="{00000000-0005-0000-0000-00000E060000}"/>
    <cellStyle name="Normal 5 4 4 2" xfId="840" xr:uid="{00000000-0005-0000-0000-00000F060000}"/>
    <cellStyle name="Normal 5 4 4 2 2" xfId="1558" xr:uid="{00000000-0005-0000-0000-000010060000}"/>
    <cellStyle name="Normal 5 4 4 3" xfId="1120" xr:uid="{00000000-0005-0000-0000-000011060000}"/>
    <cellStyle name="Normal 5 4 5" xfId="420" xr:uid="{00000000-0005-0000-0000-000012060000}"/>
    <cellStyle name="Normal 5 4 5 2" xfId="841" xr:uid="{00000000-0005-0000-0000-000013060000}"/>
    <cellStyle name="Normal 5 4 5 2 2" xfId="1698" xr:uid="{00000000-0005-0000-0000-000014060000}"/>
    <cellStyle name="Normal 5 4 5 3" xfId="1260" xr:uid="{00000000-0005-0000-0000-000015060000}"/>
    <cellStyle name="Normal 5 4 6" xfId="136" xr:uid="{00000000-0005-0000-0000-000016060000}"/>
    <cellStyle name="Normal 5 4 6 2" xfId="842" xr:uid="{00000000-0005-0000-0000-000017060000}"/>
    <cellStyle name="Normal 5 4 6 2 2" xfId="1418" xr:uid="{00000000-0005-0000-0000-000018060000}"/>
    <cellStyle name="Normal 5 4 6 3" xfId="980" xr:uid="{00000000-0005-0000-0000-000019060000}"/>
    <cellStyle name="Normal 5 4 7" xfId="490" xr:uid="{00000000-0005-0000-0000-00001A060000}"/>
    <cellStyle name="Normal 5 4 7 2" xfId="1347" xr:uid="{00000000-0005-0000-0000-00001B060000}"/>
    <cellStyle name="Normal 5 4 8" xfId="910" xr:uid="{00000000-0005-0000-0000-00001C060000}"/>
    <cellStyle name="Normal 5 5" xfId="83" xr:uid="{00000000-0005-0000-0000-00001D060000}"/>
    <cellStyle name="Normal 5 5 2" xfId="236" xr:uid="{00000000-0005-0000-0000-00001E060000}"/>
    <cellStyle name="Normal 5 5 2 2" xfId="377" xr:uid="{00000000-0005-0000-0000-00001F060000}"/>
    <cellStyle name="Normal 5 5 2 2 2" xfId="844" xr:uid="{00000000-0005-0000-0000-000020060000}"/>
    <cellStyle name="Normal 5 5 2 2 2 2" xfId="1656" xr:uid="{00000000-0005-0000-0000-000021060000}"/>
    <cellStyle name="Normal 5 5 2 2 3" xfId="1218" xr:uid="{00000000-0005-0000-0000-000022060000}"/>
    <cellStyle name="Normal 5 5 2 3" xfId="843" xr:uid="{00000000-0005-0000-0000-000023060000}"/>
    <cellStyle name="Normal 5 5 2 3 2" xfId="1516" xr:uid="{00000000-0005-0000-0000-000024060000}"/>
    <cellStyle name="Normal 5 5 2 4" xfId="1078" xr:uid="{00000000-0005-0000-0000-000025060000}"/>
    <cellStyle name="Normal 5 5 3" xfId="307" xr:uid="{00000000-0005-0000-0000-000026060000}"/>
    <cellStyle name="Normal 5 5 3 2" xfId="845" xr:uid="{00000000-0005-0000-0000-000027060000}"/>
    <cellStyle name="Normal 5 5 3 2 2" xfId="1586" xr:uid="{00000000-0005-0000-0000-000028060000}"/>
    <cellStyle name="Normal 5 5 3 3" xfId="1148" xr:uid="{00000000-0005-0000-0000-000029060000}"/>
    <cellStyle name="Normal 5 5 4" xfId="448" xr:uid="{00000000-0005-0000-0000-00002A060000}"/>
    <cellStyle name="Normal 5 5 4 2" xfId="846" xr:uid="{00000000-0005-0000-0000-00002B060000}"/>
    <cellStyle name="Normal 5 5 4 2 2" xfId="1726" xr:uid="{00000000-0005-0000-0000-00002C060000}"/>
    <cellStyle name="Normal 5 5 4 3" xfId="1288" xr:uid="{00000000-0005-0000-0000-00002D060000}"/>
    <cellStyle name="Normal 5 5 5" xfId="165" xr:uid="{00000000-0005-0000-0000-00002E060000}"/>
    <cellStyle name="Normal 5 5 5 2" xfId="847" xr:uid="{00000000-0005-0000-0000-00002F060000}"/>
    <cellStyle name="Normal 5 5 5 2 2" xfId="1446" xr:uid="{00000000-0005-0000-0000-000030060000}"/>
    <cellStyle name="Normal 5 5 5 3" xfId="1008" xr:uid="{00000000-0005-0000-0000-000031060000}"/>
    <cellStyle name="Normal 5 5 6" xfId="518" xr:uid="{00000000-0005-0000-0000-000032060000}"/>
    <cellStyle name="Normal 5 5 6 2" xfId="1376" xr:uid="{00000000-0005-0000-0000-000033060000}"/>
    <cellStyle name="Normal 5 5 7" xfId="938" xr:uid="{00000000-0005-0000-0000-000034060000}"/>
    <cellStyle name="Normal 5 6" xfId="200" xr:uid="{00000000-0005-0000-0000-000035060000}"/>
    <cellStyle name="Normal 5 6 2" xfId="342" xr:uid="{00000000-0005-0000-0000-000036060000}"/>
    <cellStyle name="Normal 5 6 2 2" xfId="849" xr:uid="{00000000-0005-0000-0000-000037060000}"/>
    <cellStyle name="Normal 5 6 2 2 2" xfId="1621" xr:uid="{00000000-0005-0000-0000-000038060000}"/>
    <cellStyle name="Normal 5 6 2 3" xfId="1183" xr:uid="{00000000-0005-0000-0000-000039060000}"/>
    <cellStyle name="Normal 5 6 3" xfId="848" xr:uid="{00000000-0005-0000-0000-00003A060000}"/>
    <cellStyle name="Normal 5 6 3 2" xfId="1481" xr:uid="{00000000-0005-0000-0000-00003B060000}"/>
    <cellStyle name="Normal 5 6 4" xfId="1043" xr:uid="{00000000-0005-0000-0000-00003C060000}"/>
    <cellStyle name="Normal 5 7" xfId="272" xr:uid="{00000000-0005-0000-0000-00003D060000}"/>
    <cellStyle name="Normal 5 7 2" xfId="850" xr:uid="{00000000-0005-0000-0000-00003E060000}"/>
    <cellStyle name="Normal 5 7 2 2" xfId="1551" xr:uid="{00000000-0005-0000-0000-00003F060000}"/>
    <cellStyle name="Normal 5 7 3" xfId="1113" xr:uid="{00000000-0005-0000-0000-000040060000}"/>
    <cellStyle name="Normal 5 8" xfId="413" xr:uid="{00000000-0005-0000-0000-000041060000}"/>
    <cellStyle name="Normal 5 8 2" xfId="851" xr:uid="{00000000-0005-0000-0000-000042060000}"/>
    <cellStyle name="Normal 5 8 2 2" xfId="1691" xr:uid="{00000000-0005-0000-0000-000043060000}"/>
    <cellStyle name="Normal 5 8 3" xfId="1253" xr:uid="{00000000-0005-0000-0000-000044060000}"/>
    <cellStyle name="Normal 5 9" xfId="129" xr:uid="{00000000-0005-0000-0000-000045060000}"/>
    <cellStyle name="Normal 5 9 2" xfId="852" xr:uid="{00000000-0005-0000-0000-000046060000}"/>
    <cellStyle name="Normal 5 9 2 2" xfId="1411" xr:uid="{00000000-0005-0000-0000-000047060000}"/>
    <cellStyle name="Normal 5 9 3" xfId="973" xr:uid="{00000000-0005-0000-0000-000048060000}"/>
    <cellStyle name="Normal 54" xfId="1304" xr:uid="{00000000-0005-0000-0000-000049060000}"/>
    <cellStyle name="Normal 57" xfId="1305" xr:uid="{00000000-0005-0000-0000-00004A060000}"/>
    <cellStyle name="Normal 6" xfId="45" xr:uid="{00000000-0005-0000-0000-00004B060000}"/>
    <cellStyle name="Normal 7" xfId="46" xr:uid="{00000000-0005-0000-0000-00004C060000}"/>
    <cellStyle name="Normal 8" xfId="47" xr:uid="{00000000-0005-0000-0000-00004D060000}"/>
    <cellStyle name="Normal 8 2" xfId="48" xr:uid="{00000000-0005-0000-0000-00004E060000}"/>
    <cellStyle name="Normal 9" xfId="49" xr:uid="{00000000-0005-0000-0000-00004F060000}"/>
    <cellStyle name="Normal_xxxx-DC-00x Process Engineering Summary Rev x TEMPLATE3 (2)" xfId="2" xr:uid="{00000000-0005-0000-0000-000050060000}"/>
    <cellStyle name="Note" xfId="98" builtinId="10" hidden="1"/>
    <cellStyle name="Note 2" xfId="9" xr:uid="{00000000-0005-0000-0000-000052060000}"/>
    <cellStyle name="Note 2 2" xfId="60" xr:uid="{00000000-0005-0000-0000-000053060000}"/>
    <cellStyle name="Note 2 2 2" xfId="213" xr:uid="{00000000-0005-0000-0000-000054060000}"/>
    <cellStyle name="Note 2 2 2 2" xfId="354" xr:uid="{00000000-0005-0000-0000-000055060000}"/>
    <cellStyle name="Note 2 2 2 2 2" xfId="854" xr:uid="{00000000-0005-0000-0000-000056060000}"/>
    <cellStyle name="Note 2 2 2 2 2 2" xfId="1633" xr:uid="{00000000-0005-0000-0000-000057060000}"/>
    <cellStyle name="Note 2 2 2 2 3" xfId="1195" xr:uid="{00000000-0005-0000-0000-000058060000}"/>
    <cellStyle name="Note 2 2 2 3" xfId="853" xr:uid="{00000000-0005-0000-0000-000059060000}"/>
    <cellStyle name="Note 2 2 2 3 2" xfId="1493" xr:uid="{00000000-0005-0000-0000-00005A060000}"/>
    <cellStyle name="Note 2 2 2 4" xfId="1055" xr:uid="{00000000-0005-0000-0000-00005B060000}"/>
    <cellStyle name="Note 2 2 3" xfId="284" xr:uid="{00000000-0005-0000-0000-00005C060000}"/>
    <cellStyle name="Note 2 2 3 2" xfId="855" xr:uid="{00000000-0005-0000-0000-00005D060000}"/>
    <cellStyle name="Note 2 2 3 2 2" xfId="1563" xr:uid="{00000000-0005-0000-0000-00005E060000}"/>
    <cellStyle name="Note 2 2 3 3" xfId="1125" xr:uid="{00000000-0005-0000-0000-00005F060000}"/>
    <cellStyle name="Note 2 2 4" xfId="425" xr:uid="{00000000-0005-0000-0000-000060060000}"/>
    <cellStyle name="Note 2 2 4 2" xfId="856" xr:uid="{00000000-0005-0000-0000-000061060000}"/>
    <cellStyle name="Note 2 2 4 2 2" xfId="1703" xr:uid="{00000000-0005-0000-0000-000062060000}"/>
    <cellStyle name="Note 2 2 4 3" xfId="1265" xr:uid="{00000000-0005-0000-0000-000063060000}"/>
    <cellStyle name="Note 2 2 5" xfId="142" xr:uid="{00000000-0005-0000-0000-000064060000}"/>
    <cellStyle name="Note 2 2 5 2" xfId="857" xr:uid="{00000000-0005-0000-0000-000065060000}"/>
    <cellStyle name="Note 2 2 5 2 2" xfId="1423" xr:uid="{00000000-0005-0000-0000-000066060000}"/>
    <cellStyle name="Note 2 2 5 3" xfId="985" xr:uid="{00000000-0005-0000-0000-000067060000}"/>
    <cellStyle name="Note 2 2 6" xfId="495" xr:uid="{00000000-0005-0000-0000-000068060000}"/>
    <cellStyle name="Note 2 2 6 2" xfId="1353" xr:uid="{00000000-0005-0000-0000-000069060000}"/>
    <cellStyle name="Note 2 2 7" xfId="915" xr:uid="{00000000-0005-0000-0000-00006A060000}"/>
    <cellStyle name="Note 2 3" xfId="177" xr:uid="{00000000-0005-0000-0000-00006B060000}"/>
    <cellStyle name="Note 2 3 2" xfId="319" xr:uid="{00000000-0005-0000-0000-00006C060000}"/>
    <cellStyle name="Note 2 3 2 2" xfId="859" xr:uid="{00000000-0005-0000-0000-00006D060000}"/>
    <cellStyle name="Note 2 3 2 2 2" xfId="1598" xr:uid="{00000000-0005-0000-0000-00006E060000}"/>
    <cellStyle name="Note 2 3 2 3" xfId="1160" xr:uid="{00000000-0005-0000-0000-00006F060000}"/>
    <cellStyle name="Note 2 3 3" xfId="858" xr:uid="{00000000-0005-0000-0000-000070060000}"/>
    <cellStyle name="Note 2 3 3 2" xfId="1458" xr:uid="{00000000-0005-0000-0000-000071060000}"/>
    <cellStyle name="Note 2 3 4" xfId="1020" xr:uid="{00000000-0005-0000-0000-000072060000}"/>
    <cellStyle name="Note 2 4" xfId="249" xr:uid="{00000000-0005-0000-0000-000073060000}"/>
    <cellStyle name="Note 2 4 2" xfId="860" xr:uid="{00000000-0005-0000-0000-000074060000}"/>
    <cellStyle name="Note 2 4 2 2" xfId="1528" xr:uid="{00000000-0005-0000-0000-000075060000}"/>
    <cellStyle name="Note 2 4 3" xfId="1090" xr:uid="{00000000-0005-0000-0000-000076060000}"/>
    <cellStyle name="Note 2 5" xfId="390" xr:uid="{00000000-0005-0000-0000-000077060000}"/>
    <cellStyle name="Note 2 5 2" xfId="861" xr:uid="{00000000-0005-0000-0000-000078060000}"/>
    <cellStyle name="Note 2 5 2 2" xfId="1668" xr:uid="{00000000-0005-0000-0000-000079060000}"/>
    <cellStyle name="Note 2 5 3" xfId="1230" xr:uid="{00000000-0005-0000-0000-00007A060000}"/>
    <cellStyle name="Note 2 6" xfId="106" xr:uid="{00000000-0005-0000-0000-00007B060000}"/>
    <cellStyle name="Note 2 6 2" xfId="862" xr:uid="{00000000-0005-0000-0000-00007C060000}"/>
    <cellStyle name="Note 2 6 2 2" xfId="1388" xr:uid="{00000000-0005-0000-0000-00007D060000}"/>
    <cellStyle name="Note 2 6 3" xfId="950" xr:uid="{00000000-0005-0000-0000-00007E060000}"/>
    <cellStyle name="Note 2 7" xfId="460" xr:uid="{00000000-0005-0000-0000-00007F060000}"/>
    <cellStyle name="Note 2 7 2" xfId="1317" xr:uid="{00000000-0005-0000-0000-000080060000}"/>
    <cellStyle name="Note 2 8" xfId="880" xr:uid="{00000000-0005-0000-0000-000081060000}"/>
    <cellStyle name="Output 2" xfId="50" xr:uid="{00000000-0005-0000-0000-000082060000}"/>
    <cellStyle name="Output 3" xfId="51" xr:uid="{00000000-0005-0000-0000-000083060000}"/>
    <cellStyle name="Output Line Items_Output 1" xfId="5" xr:uid="{00000000-0005-0000-0000-000084060000}"/>
    <cellStyle name="Percent" xfId="3" builtinId="5"/>
    <cellStyle name="Percent 2" xfId="52" xr:uid="{00000000-0005-0000-0000-000086060000}"/>
    <cellStyle name="Percent 2 2" xfId="53" xr:uid="{00000000-0005-0000-0000-000087060000}"/>
    <cellStyle name="Percent 2 2 2" xfId="54" xr:uid="{00000000-0005-0000-0000-000088060000}"/>
    <cellStyle name="Percent 2 2 2 2" xfId="209" xr:uid="{00000000-0005-0000-0000-000089060000}"/>
    <cellStyle name="Percent 2 2 2 2 2" xfId="351" xr:uid="{00000000-0005-0000-0000-00008A060000}"/>
    <cellStyle name="Percent 2 2 2 2 2 2" xfId="864" xr:uid="{00000000-0005-0000-0000-00008B060000}"/>
    <cellStyle name="Percent 2 2 2 2 2 2 2" xfId="1630" xr:uid="{00000000-0005-0000-0000-00008C060000}"/>
    <cellStyle name="Percent 2 2 2 2 2 3" xfId="1192" xr:uid="{00000000-0005-0000-0000-00008D060000}"/>
    <cellStyle name="Percent 2 2 2 2 3" xfId="863" xr:uid="{00000000-0005-0000-0000-00008E060000}"/>
    <cellStyle name="Percent 2 2 2 2 3 2" xfId="1490" xr:uid="{00000000-0005-0000-0000-00008F060000}"/>
    <cellStyle name="Percent 2 2 2 2 4" xfId="1052" xr:uid="{00000000-0005-0000-0000-000090060000}"/>
    <cellStyle name="Percent 2 2 2 3" xfId="281" xr:uid="{00000000-0005-0000-0000-000091060000}"/>
    <cellStyle name="Percent 2 2 2 3 2" xfId="865" xr:uid="{00000000-0005-0000-0000-000092060000}"/>
    <cellStyle name="Percent 2 2 2 3 2 2" xfId="1560" xr:uid="{00000000-0005-0000-0000-000093060000}"/>
    <cellStyle name="Percent 2 2 2 3 3" xfId="1122" xr:uid="{00000000-0005-0000-0000-000094060000}"/>
    <cellStyle name="Percent 2 2 2 4" xfId="422" xr:uid="{00000000-0005-0000-0000-000095060000}"/>
    <cellStyle name="Percent 2 2 2 4 2" xfId="866" xr:uid="{00000000-0005-0000-0000-000096060000}"/>
    <cellStyle name="Percent 2 2 2 4 2 2" xfId="1700" xr:uid="{00000000-0005-0000-0000-000097060000}"/>
    <cellStyle name="Percent 2 2 2 4 3" xfId="1262" xr:uid="{00000000-0005-0000-0000-000098060000}"/>
    <cellStyle name="Percent 2 2 2 5" xfId="138" xr:uid="{00000000-0005-0000-0000-000099060000}"/>
    <cellStyle name="Percent 2 2 2 5 2" xfId="867" xr:uid="{00000000-0005-0000-0000-00009A060000}"/>
    <cellStyle name="Percent 2 2 2 5 2 2" xfId="1420" xr:uid="{00000000-0005-0000-0000-00009B060000}"/>
    <cellStyle name="Percent 2 2 2 5 3" xfId="982" xr:uid="{00000000-0005-0000-0000-00009C060000}"/>
    <cellStyle name="Percent 2 2 2 6" xfId="492" xr:uid="{00000000-0005-0000-0000-00009D060000}"/>
    <cellStyle name="Percent 2 2 2 6 2" xfId="1349" xr:uid="{00000000-0005-0000-0000-00009E060000}"/>
    <cellStyle name="Percent 2 2 2 7" xfId="912" xr:uid="{00000000-0005-0000-0000-00009F060000}"/>
    <cellStyle name="Percent 2 2 3" xfId="208" xr:uid="{00000000-0005-0000-0000-0000A0060000}"/>
    <cellStyle name="Percent 2 2 3 2" xfId="350" xr:uid="{00000000-0005-0000-0000-0000A1060000}"/>
    <cellStyle name="Percent 2 2 3 2 2" xfId="869" xr:uid="{00000000-0005-0000-0000-0000A2060000}"/>
    <cellStyle name="Percent 2 2 3 2 2 2" xfId="1629" xr:uid="{00000000-0005-0000-0000-0000A3060000}"/>
    <cellStyle name="Percent 2 2 3 2 3" xfId="1191" xr:uid="{00000000-0005-0000-0000-0000A4060000}"/>
    <cellStyle name="Percent 2 2 3 3" xfId="868" xr:uid="{00000000-0005-0000-0000-0000A5060000}"/>
    <cellStyle name="Percent 2 2 3 3 2" xfId="1489" xr:uid="{00000000-0005-0000-0000-0000A6060000}"/>
    <cellStyle name="Percent 2 2 3 4" xfId="1051" xr:uid="{00000000-0005-0000-0000-0000A7060000}"/>
    <cellStyle name="Percent 2 2 4" xfId="280" xr:uid="{00000000-0005-0000-0000-0000A8060000}"/>
    <cellStyle name="Percent 2 2 4 2" xfId="870" xr:uid="{00000000-0005-0000-0000-0000A9060000}"/>
    <cellStyle name="Percent 2 2 4 2 2" xfId="1559" xr:uid="{00000000-0005-0000-0000-0000AA060000}"/>
    <cellStyle name="Percent 2 2 4 3" xfId="1121" xr:uid="{00000000-0005-0000-0000-0000AB060000}"/>
    <cellStyle name="Percent 2 2 5" xfId="421" xr:uid="{00000000-0005-0000-0000-0000AC060000}"/>
    <cellStyle name="Percent 2 2 5 2" xfId="871" xr:uid="{00000000-0005-0000-0000-0000AD060000}"/>
    <cellStyle name="Percent 2 2 5 2 2" xfId="1699" xr:uid="{00000000-0005-0000-0000-0000AE060000}"/>
    <cellStyle name="Percent 2 2 5 3" xfId="1261" xr:uid="{00000000-0005-0000-0000-0000AF060000}"/>
    <cellStyle name="Percent 2 2 6" xfId="137" xr:uid="{00000000-0005-0000-0000-0000B0060000}"/>
    <cellStyle name="Percent 2 2 6 2" xfId="872" xr:uid="{00000000-0005-0000-0000-0000B1060000}"/>
    <cellStyle name="Percent 2 2 6 2 2" xfId="1419" xr:uid="{00000000-0005-0000-0000-0000B2060000}"/>
    <cellStyle name="Percent 2 2 6 3" xfId="981" xr:uid="{00000000-0005-0000-0000-0000B3060000}"/>
    <cellStyle name="Percent 2 2 7" xfId="491" xr:uid="{00000000-0005-0000-0000-0000B4060000}"/>
    <cellStyle name="Percent 2 2 7 2" xfId="1348" xr:uid="{00000000-0005-0000-0000-0000B5060000}"/>
    <cellStyle name="Percent 2 2 8" xfId="911" xr:uid="{00000000-0005-0000-0000-0000B6060000}"/>
    <cellStyle name="Percent 2 3" xfId="101" xr:uid="{00000000-0005-0000-0000-0000B7060000}"/>
    <cellStyle name="Percent 2 3 2" xfId="246" xr:uid="{00000000-0005-0000-0000-0000B8060000}"/>
    <cellStyle name="Percent 2 3 2 2" xfId="387" xr:uid="{00000000-0005-0000-0000-0000B9060000}"/>
    <cellStyle name="Percent 2 3 2 2 2" xfId="874" xr:uid="{00000000-0005-0000-0000-0000BA060000}"/>
    <cellStyle name="Percent 2 3 2 2 2 2" xfId="1665" xr:uid="{00000000-0005-0000-0000-0000BB060000}"/>
    <cellStyle name="Percent 2 3 2 2 3" xfId="1227" xr:uid="{00000000-0005-0000-0000-0000BC060000}"/>
    <cellStyle name="Percent 2 3 2 3" xfId="873" xr:uid="{00000000-0005-0000-0000-0000BD060000}"/>
    <cellStyle name="Percent 2 3 2 3 2" xfId="1525" xr:uid="{00000000-0005-0000-0000-0000BE060000}"/>
    <cellStyle name="Percent 2 3 2 4" xfId="1087" xr:uid="{00000000-0005-0000-0000-0000BF060000}"/>
    <cellStyle name="Percent 2 3 3" xfId="316" xr:uid="{00000000-0005-0000-0000-0000C0060000}"/>
    <cellStyle name="Percent 2 3 3 2" xfId="875" xr:uid="{00000000-0005-0000-0000-0000C1060000}"/>
    <cellStyle name="Percent 2 3 3 2 2" xfId="1595" xr:uid="{00000000-0005-0000-0000-0000C2060000}"/>
    <cellStyle name="Percent 2 3 3 3" xfId="1157" xr:uid="{00000000-0005-0000-0000-0000C3060000}"/>
    <cellStyle name="Percent 2 3 4" xfId="457" xr:uid="{00000000-0005-0000-0000-0000C4060000}"/>
    <cellStyle name="Percent 2 3 4 2" xfId="876" xr:uid="{00000000-0005-0000-0000-0000C5060000}"/>
    <cellStyle name="Percent 2 3 4 2 2" xfId="1735" xr:uid="{00000000-0005-0000-0000-0000C6060000}"/>
    <cellStyle name="Percent 2 3 4 3" xfId="1297" xr:uid="{00000000-0005-0000-0000-0000C7060000}"/>
    <cellStyle name="Percent 2 3 5" xfId="174" xr:uid="{00000000-0005-0000-0000-0000C8060000}"/>
    <cellStyle name="Percent 2 3 5 2" xfId="877" xr:uid="{00000000-0005-0000-0000-0000C9060000}"/>
    <cellStyle name="Percent 2 3 5 2 2" xfId="1455" xr:uid="{00000000-0005-0000-0000-0000CA060000}"/>
    <cellStyle name="Percent 2 3 5 3" xfId="1017" xr:uid="{00000000-0005-0000-0000-0000CB060000}"/>
    <cellStyle name="Percent 2 3 6" xfId="527" xr:uid="{00000000-0005-0000-0000-0000CC060000}"/>
    <cellStyle name="Percent 2 3 6 2" xfId="1385" xr:uid="{00000000-0005-0000-0000-0000CD060000}"/>
    <cellStyle name="Percent 2 3 7" xfId="947" xr:uid="{00000000-0005-0000-0000-0000CE060000}"/>
    <cellStyle name="Percent 3" xfId="102" xr:uid="{00000000-0005-0000-0000-0000CF060000}"/>
    <cellStyle name="Percent 4" xfId="1314" xr:uid="{00000000-0005-0000-0000-0000D0060000}"/>
    <cellStyle name="Rev" xfId="1750" xr:uid="{513D1F64-DEE0-4D0A-9D34-9490E4A44941}"/>
  </cellStyles>
  <dxfs count="90">
    <dxf>
      <fill>
        <patternFill>
          <bgColor theme="5" tint="0.59996337778862885"/>
        </patternFill>
      </fill>
    </dxf>
    <dxf>
      <font>
        <strike val="0"/>
        <color rgb="FF0000FF"/>
      </font>
      <fill>
        <patternFill>
          <bgColor rgb="FFE6B8B7"/>
        </patternFill>
      </fill>
    </dxf>
    <dxf>
      <fill>
        <patternFill>
          <bgColor theme="5" tint="0.59996337778862885"/>
        </patternFill>
      </fill>
    </dxf>
    <dxf>
      <fill>
        <patternFill>
          <bgColor theme="5" tint="0.59996337778862885"/>
        </patternFill>
      </fill>
    </dxf>
    <dxf>
      <font>
        <strike val="0"/>
        <color rgb="FF0000FF"/>
      </font>
      <fill>
        <patternFill>
          <bgColor rgb="FFE6B8B7"/>
        </patternFill>
      </fill>
    </dxf>
    <dxf>
      <font>
        <strike val="0"/>
        <color rgb="FF0000FF"/>
      </font>
      <fill>
        <patternFill>
          <bgColor rgb="FFE6B8B7"/>
        </patternFill>
      </fill>
    </dxf>
    <dxf>
      <fill>
        <patternFill>
          <bgColor theme="5" tint="0.59996337778862885"/>
        </patternFill>
      </fill>
    </dxf>
    <dxf>
      <fill>
        <patternFill>
          <bgColor theme="5" tint="0.59996337778862885"/>
        </patternFill>
      </fill>
    </dxf>
    <dxf>
      <fill>
        <patternFill>
          <bgColor rgb="FFE6B8B7"/>
        </patternFill>
      </fill>
    </dxf>
    <dxf>
      <font>
        <color rgb="FF0000FF"/>
      </font>
      <fill>
        <patternFill>
          <bgColor rgb="FFE6B8B7"/>
        </patternFill>
      </fill>
    </dxf>
    <dxf>
      <font>
        <color rgb="FF0000FF"/>
      </font>
      <fill>
        <patternFill>
          <bgColor rgb="FFE6B8B7"/>
        </patternFill>
      </fill>
    </dxf>
    <dxf>
      <font>
        <color rgb="FF0000FF"/>
      </font>
      <fill>
        <patternFill>
          <bgColor rgb="FFE6B8B7"/>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rgb="FFF3ABAB"/>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79998168889431442"/>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79998168889431442"/>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rgb="FFE6B8B7"/>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rgb="FFE6B8B7"/>
        </patternFill>
      </fill>
    </dxf>
    <dxf>
      <fill>
        <patternFill>
          <bgColor theme="5" tint="0.59996337778862885"/>
        </patternFill>
      </fill>
    </dxf>
    <dxf>
      <fill>
        <patternFill>
          <bgColor theme="5" tint="0.79998168889431442"/>
        </patternFill>
      </fill>
    </dxf>
    <dxf>
      <fill>
        <patternFill>
          <bgColor theme="5" tint="0.59996337778862885"/>
        </patternFill>
      </fill>
    </dxf>
    <dxf>
      <fill>
        <patternFill>
          <bgColor theme="5" tint="0.59996337778862885"/>
        </patternFill>
      </fill>
    </dxf>
  </dxfs>
  <tableStyles count="0" defaultTableStyle="TableStyleMedium9" defaultPivotStyle="PivotStyleLight16"/>
  <colors>
    <mruColors>
      <color rgb="FF0000FF"/>
      <color rgb="FFFF9B9B"/>
      <color rgb="FFE6B8B7"/>
      <color rgb="FFF3ABAB"/>
      <color rgb="FFEEA4A4"/>
      <color rgb="FFFFCDCD"/>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22412</xdr:colOff>
      <xdr:row>0</xdr:row>
      <xdr:rowOff>0</xdr:rowOff>
    </xdr:from>
    <xdr:to>
      <xdr:col>5</xdr:col>
      <xdr:colOff>746312</xdr:colOff>
      <xdr:row>22</xdr:row>
      <xdr:rowOff>57692</xdr:rowOff>
    </xdr:to>
    <xdr:pic>
      <xdr:nvPicPr>
        <xdr:cNvPr id="2" name="Picture 1">
          <a:extLst>
            <a:ext uri="{FF2B5EF4-FFF2-40B4-BE49-F238E27FC236}">
              <a16:creationId xmlns:a16="http://schemas.microsoft.com/office/drawing/2014/main" id="{B7A0E48B-DC4F-440B-BC1B-CC1E84BEF9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412" y="0"/>
          <a:ext cx="6465794" cy="4248692"/>
        </a:xfrm>
        <a:prstGeom prst="rect">
          <a:avLst/>
        </a:prstGeom>
      </xdr:spPr>
    </xdr:pic>
    <xdr:clientData/>
  </xdr:twoCellAnchor>
  <xdr:twoCellAnchor editAs="oneCell">
    <xdr:from>
      <xdr:col>0</xdr:col>
      <xdr:colOff>78441</xdr:colOff>
      <xdr:row>33</xdr:row>
      <xdr:rowOff>123265</xdr:rowOff>
    </xdr:from>
    <xdr:to>
      <xdr:col>1</xdr:col>
      <xdr:colOff>631834</xdr:colOff>
      <xdr:row>39</xdr:row>
      <xdr:rowOff>161888</xdr:rowOff>
    </xdr:to>
    <xdr:pic>
      <xdr:nvPicPr>
        <xdr:cNvPr id="3" name="Picture 2" descr="Logo&#10;&#10;Description automatically generated">
          <a:extLst>
            <a:ext uri="{FF2B5EF4-FFF2-40B4-BE49-F238E27FC236}">
              <a16:creationId xmlns:a16="http://schemas.microsoft.com/office/drawing/2014/main" id="{1AB57BA7-F1C4-4E9E-839C-0B5336A43EEA}"/>
            </a:ext>
          </a:extLst>
        </xdr:cNvPr>
        <xdr:cNvPicPr>
          <a:picLocks noChangeAspect="1"/>
        </xdr:cNvPicPr>
      </xdr:nvPicPr>
      <xdr:blipFill>
        <a:blip xmlns:r="http://schemas.openxmlformats.org/officeDocument/2006/relationships" r:embed="rId2"/>
        <a:stretch>
          <a:fillRect/>
        </a:stretch>
      </xdr:blipFill>
      <xdr:spPr>
        <a:xfrm>
          <a:off x="78441" y="6566647"/>
          <a:ext cx="1427452" cy="127127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alpha val="0"/>
          </a:srgbClr>
        </a:solidFill>
        <a:ln w="9525" cap="flat" cmpd="sng" algn="ctr">
          <a:solidFill>
            <a:srgbClr val="000000"/>
          </a:solidFill>
          <a:prstDash val="solid"/>
          <a:round/>
          <a:headEnd type="none" w="med" len="med"/>
          <a:tailEnd type="none" w="med" len="med"/>
        </a:ln>
        <a:effectLst/>
      </a:spPr>
      <a:bodyPr vertOverflow="clip" vert="vert270" wrap="square" lIns="18288" tIns="0" rIns="0" bIns="0" upright="1"/>
      <a:lstStyle/>
    </a:spDef>
    <a:lnDef>
      <a:spPr bwMode="auto">
        <a:xfrm>
          <a:off x="0" y="0"/>
          <a:ext cx="1" cy="1"/>
        </a:xfrm>
        <a:custGeom>
          <a:avLst/>
          <a:gdLst/>
          <a:ahLst/>
          <a:cxnLst/>
          <a:rect l="0" t="0" r="0" b="0"/>
          <a:pathLst/>
        </a:custGeom>
        <a:solidFill>
          <a:srgbClr val="FFFFFF">
            <a:alpha val="0"/>
          </a:srgbClr>
        </a:solidFill>
        <a:ln w="9525" cap="flat" cmpd="sng" algn="ctr">
          <a:solidFill>
            <a:srgbClr val="000000"/>
          </a:solidFill>
          <a:prstDash val="solid"/>
          <a:round/>
          <a:headEnd type="none" w="med" len="med"/>
          <a:tailEnd type="none" w="med" len="med"/>
        </a:ln>
        <a:effectLst/>
      </a:spPr>
      <a:bodyPr vertOverflow="clip" vert="vert270"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25:F48"/>
  <sheetViews>
    <sheetView view="pageBreakPreview" topLeftCell="A27" zoomScale="115" zoomScaleNormal="70" zoomScaleSheetLayoutView="115" workbookViewId="0">
      <selection activeCell="C49" sqref="C49"/>
    </sheetView>
  </sheetViews>
  <sheetFormatPr defaultColWidth="10.6640625" defaultRowHeight="14.5" x14ac:dyDescent="0.35"/>
  <cols>
    <col min="1" max="1" width="15.33203125" style="117" customWidth="1"/>
    <col min="2" max="2" width="16.44140625" style="117" customWidth="1"/>
    <col min="3" max="3" width="38" style="117" customWidth="1"/>
    <col min="4" max="4" width="14" style="117" customWidth="1"/>
    <col min="5" max="5" width="16" style="117" bestFit="1" customWidth="1"/>
    <col min="6" max="6" width="14" style="117" customWidth="1"/>
    <col min="7" max="7" width="10.6640625" style="117" customWidth="1"/>
    <col min="8" max="16384" width="10.6640625" style="117"/>
  </cols>
  <sheetData>
    <row r="25" spans="1:3" ht="18.5" x14ac:dyDescent="0.35">
      <c r="A25" s="118" t="s">
        <v>0</v>
      </c>
      <c r="B25" s="119"/>
      <c r="C25" s="119"/>
    </row>
    <row r="26" spans="1:3" ht="15" customHeight="1" x14ac:dyDescent="0.35">
      <c r="A26" s="120"/>
    </row>
    <row r="27" spans="1:3" ht="15.5" x14ac:dyDescent="0.35">
      <c r="A27" s="121" t="s">
        <v>1</v>
      </c>
      <c r="B27" s="119"/>
      <c r="C27" s="119"/>
    </row>
    <row r="28" spans="1:3" ht="22.4" customHeight="1" x14ac:dyDescent="0.35">
      <c r="A28" s="120"/>
    </row>
    <row r="29" spans="1:3" ht="15.5" x14ac:dyDescent="0.35">
      <c r="A29" s="121" t="s">
        <v>2</v>
      </c>
      <c r="B29" s="119"/>
      <c r="C29" s="119"/>
    </row>
    <row r="30" spans="1:3" ht="15.5" x14ac:dyDescent="0.35">
      <c r="A30" s="121"/>
      <c r="B30" s="119"/>
      <c r="C30" s="119"/>
    </row>
    <row r="31" spans="1:3" ht="15.5" x14ac:dyDescent="0.35">
      <c r="A31" s="121"/>
      <c r="B31" s="119"/>
      <c r="C31" s="119"/>
    </row>
    <row r="32" spans="1:3" ht="15" customHeight="1" x14ac:dyDescent="0.35">
      <c r="A32" s="120"/>
    </row>
    <row r="33" spans="1:6" ht="15.5" x14ac:dyDescent="0.35">
      <c r="A33" s="121" t="s">
        <v>3</v>
      </c>
      <c r="B33" s="119"/>
      <c r="C33" s="119"/>
    </row>
    <row r="34" spans="1:6" ht="22.4" customHeight="1" x14ac:dyDescent="0.35">
      <c r="A34" s="119"/>
      <c r="B34" s="119"/>
      <c r="C34" s="119"/>
    </row>
    <row r="35" spans="1:6" x14ac:dyDescent="0.35">
      <c r="A35" s="122"/>
      <c r="B35" s="119"/>
      <c r="C35" s="119"/>
    </row>
    <row r="36" spans="1:6" x14ac:dyDescent="0.35">
      <c r="A36" s="122"/>
      <c r="B36" s="119"/>
      <c r="C36" s="119"/>
    </row>
    <row r="37" spans="1:6" x14ac:dyDescent="0.35">
      <c r="A37" s="119"/>
      <c r="B37" s="119"/>
      <c r="C37" s="119"/>
    </row>
    <row r="38" spans="1:6" x14ac:dyDescent="0.35">
      <c r="A38" s="119"/>
      <c r="B38" s="119"/>
      <c r="C38" s="119"/>
    </row>
    <row r="39" spans="1:6" x14ac:dyDescent="0.35">
      <c r="A39" s="119"/>
      <c r="B39" s="119"/>
      <c r="C39" s="119"/>
    </row>
    <row r="40" spans="1:6" x14ac:dyDescent="0.35">
      <c r="A40" s="119"/>
      <c r="B40" s="119"/>
      <c r="C40" s="119"/>
    </row>
    <row r="41" spans="1:6" x14ac:dyDescent="0.35">
      <c r="A41" s="119"/>
      <c r="B41" s="119"/>
      <c r="C41" s="119"/>
    </row>
    <row r="42" spans="1:6" ht="15.5" x14ac:dyDescent="0.35">
      <c r="A42" s="121" t="s">
        <v>4</v>
      </c>
      <c r="B42" s="119"/>
      <c r="C42" s="119"/>
    </row>
    <row r="43" spans="1:6" x14ac:dyDescent="0.35">
      <c r="A43" s="119"/>
      <c r="B43" s="119"/>
      <c r="C43" s="119"/>
    </row>
    <row r="44" spans="1:6" ht="17.25" customHeight="1" x14ac:dyDescent="0.35"/>
    <row r="45" spans="1:6" ht="20.149999999999999" customHeight="1" x14ac:dyDescent="0.35">
      <c r="A45" s="123" t="s">
        <v>5</v>
      </c>
      <c r="B45" s="123" t="s">
        <v>6</v>
      </c>
      <c r="C45" s="123" t="s">
        <v>7</v>
      </c>
      <c r="D45" s="123" t="s">
        <v>8</v>
      </c>
      <c r="E45" s="123" t="s">
        <v>9</v>
      </c>
      <c r="F45" s="123" t="s">
        <v>10</v>
      </c>
    </row>
    <row r="46" spans="1:6" ht="20.149999999999999" customHeight="1" x14ac:dyDescent="0.35">
      <c r="A46" s="126">
        <v>45488</v>
      </c>
      <c r="B46" s="124">
        <v>0</v>
      </c>
      <c r="C46" s="124" t="s">
        <v>11</v>
      </c>
      <c r="D46" s="124" t="s">
        <v>12</v>
      </c>
      <c r="E46" s="124" t="s">
        <v>13</v>
      </c>
      <c r="F46" s="124" t="s">
        <v>14</v>
      </c>
    </row>
    <row r="47" spans="1:6" ht="29.15" customHeight="1" x14ac:dyDescent="0.35">
      <c r="A47" s="243">
        <v>45516</v>
      </c>
      <c r="B47" s="244">
        <v>1</v>
      </c>
      <c r="C47" s="711" t="s">
        <v>15</v>
      </c>
      <c r="D47" s="244" t="s">
        <v>16</v>
      </c>
      <c r="E47" s="124" t="s">
        <v>12</v>
      </c>
      <c r="F47" s="124" t="s">
        <v>14</v>
      </c>
    </row>
    <row r="48" spans="1:6" ht="20.149999999999999" customHeight="1" x14ac:dyDescent="0.35">
      <c r="A48" s="925">
        <v>45589</v>
      </c>
      <c r="B48" s="926">
        <v>2</v>
      </c>
      <c r="C48" s="926" t="s">
        <v>17</v>
      </c>
      <c r="D48" s="926" t="s">
        <v>18</v>
      </c>
      <c r="E48" s="926" t="s">
        <v>19</v>
      </c>
      <c r="F48" s="926" t="s">
        <v>20</v>
      </c>
    </row>
  </sheetData>
  <pageMargins left="0.7" right="0.7" top="0.75" bottom="0.75" header="0.3" footer="0.3"/>
  <pageSetup paperSize="9" scale="95" orientation="portrait" r:id="rId1"/>
  <headerFooter>
    <oddFooter>&amp;Rprimero.com.au
ABN 96 149 964 045</oddFooter>
  </headerFooter>
  <rowBreaks count="1" manualBreakCount="1">
    <brk id="45" max="5"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F26"/>
  <sheetViews>
    <sheetView view="pageBreakPreview" zoomScale="85" zoomScaleNormal="100" zoomScaleSheetLayoutView="85" workbookViewId="0">
      <selection activeCell="M53" sqref="M53"/>
    </sheetView>
  </sheetViews>
  <sheetFormatPr defaultColWidth="10.6640625" defaultRowHeight="14.5" x14ac:dyDescent="0.35"/>
  <cols>
    <col min="1" max="1" width="15.33203125" style="117" customWidth="1"/>
    <col min="2" max="2" width="16.44140625" style="117" customWidth="1"/>
    <col min="3" max="3" width="38" style="117" customWidth="1"/>
    <col min="4" max="4" width="14" style="117" customWidth="1"/>
    <col min="5" max="5" width="16" style="117" bestFit="1" customWidth="1"/>
    <col min="6" max="6" width="14" style="117" customWidth="1"/>
    <col min="7" max="7" width="10.6640625" style="117" customWidth="1"/>
    <col min="8" max="16384" width="10.6640625" style="117"/>
  </cols>
  <sheetData>
    <row r="1" spans="1:6" ht="18.5" x14ac:dyDescent="0.35">
      <c r="A1" s="118" t="s">
        <v>21</v>
      </c>
    </row>
    <row r="2" spans="1:6" ht="18.5" x14ac:dyDescent="0.35">
      <c r="A2" s="118" t="s">
        <v>22</v>
      </c>
    </row>
    <row r="3" spans="1:6" ht="15.5" x14ac:dyDescent="0.35">
      <c r="A3" s="245" t="s">
        <v>1</v>
      </c>
    </row>
    <row r="4" spans="1:6" ht="15.5" x14ac:dyDescent="0.35">
      <c r="A4" s="121" t="s">
        <v>2</v>
      </c>
    </row>
    <row r="5" spans="1:6" ht="15.5" x14ac:dyDescent="0.35">
      <c r="A5" s="121" t="s">
        <v>3</v>
      </c>
    </row>
    <row r="6" spans="1:6" ht="15" thickBot="1" x14ac:dyDescent="0.4"/>
    <row r="7" spans="1:6" ht="15" thickBot="1" x14ac:dyDescent="0.4">
      <c r="A7" s="156" t="s">
        <v>23</v>
      </c>
      <c r="B7" s="157"/>
      <c r="C7" s="1028" t="s">
        <v>24</v>
      </c>
      <c r="D7" s="1029"/>
      <c r="E7" s="1030"/>
      <c r="F7" s="158" t="s">
        <v>25</v>
      </c>
    </row>
    <row r="8" spans="1:6" ht="15" customHeight="1" x14ac:dyDescent="0.35">
      <c r="A8" s="1037" t="s">
        <v>26</v>
      </c>
      <c r="B8" s="1038"/>
      <c r="C8" s="1025" t="s">
        <v>27</v>
      </c>
      <c r="D8" s="1026"/>
      <c r="E8" s="1027"/>
      <c r="F8" s="246"/>
    </row>
    <row r="9" spans="1:6" ht="15" customHeight="1" x14ac:dyDescent="0.35">
      <c r="A9" s="1039"/>
      <c r="B9" s="1040"/>
      <c r="C9" s="1034" t="s">
        <v>28</v>
      </c>
      <c r="D9" s="1035"/>
      <c r="E9" s="1036"/>
      <c r="F9" s="467">
        <v>45272</v>
      </c>
    </row>
    <row r="10" spans="1:6" ht="15" thickBot="1" x14ac:dyDescent="0.4">
      <c r="A10" s="1041"/>
      <c r="B10" s="1042"/>
      <c r="C10" s="1031"/>
      <c r="D10" s="1032"/>
      <c r="E10" s="1033"/>
      <c r="F10" s="248"/>
    </row>
    <row r="11" spans="1:6" ht="14.9" customHeight="1" x14ac:dyDescent="0.35">
      <c r="A11" s="1016" t="s">
        <v>29</v>
      </c>
      <c r="B11" s="1017"/>
      <c r="C11" s="1025" t="s">
        <v>27</v>
      </c>
      <c r="D11" s="1026"/>
      <c r="E11" s="1027"/>
      <c r="F11" s="249"/>
    </row>
    <row r="12" spans="1:6" x14ac:dyDescent="0.35">
      <c r="A12" s="1018"/>
      <c r="B12" s="1019"/>
      <c r="C12" s="468"/>
      <c r="D12" s="469"/>
      <c r="E12" s="470"/>
      <c r="F12" s="471">
        <v>45384</v>
      </c>
    </row>
    <row r="13" spans="1:6" ht="15" thickBot="1" x14ac:dyDescent="0.4">
      <c r="A13" s="1020"/>
      <c r="B13" s="1021"/>
      <c r="C13" s="1031"/>
      <c r="D13" s="1032"/>
      <c r="E13" s="1033"/>
      <c r="F13" s="250"/>
    </row>
    <row r="14" spans="1:6" x14ac:dyDescent="0.35">
      <c r="A14" s="1016" t="s">
        <v>30</v>
      </c>
      <c r="B14" s="1017"/>
      <c r="C14" s="1025" t="s">
        <v>27</v>
      </c>
      <c r="D14" s="1026"/>
      <c r="E14" s="1027"/>
      <c r="F14" s="249"/>
    </row>
    <row r="15" spans="1:6" x14ac:dyDescent="0.35">
      <c r="A15" s="1018"/>
      <c r="B15" s="1019"/>
      <c r="C15" s="1034"/>
      <c r="D15" s="1035"/>
      <c r="E15" s="1036"/>
      <c r="F15" s="471">
        <v>45415</v>
      </c>
    </row>
    <row r="16" spans="1:6" ht="15" thickBot="1" x14ac:dyDescent="0.4">
      <c r="A16" s="1020"/>
      <c r="B16" s="1021"/>
      <c r="C16" s="1031"/>
      <c r="D16" s="1032"/>
      <c r="E16" s="1033"/>
      <c r="F16" s="250"/>
    </row>
    <row r="17" spans="1:6" x14ac:dyDescent="0.35">
      <c r="A17" s="1016" t="s">
        <v>31</v>
      </c>
      <c r="B17" s="1017"/>
      <c r="C17" s="1025" t="s">
        <v>32</v>
      </c>
      <c r="D17" s="1026"/>
      <c r="E17" s="1027"/>
      <c r="F17" s="246"/>
    </row>
    <row r="18" spans="1:6" x14ac:dyDescent="0.35">
      <c r="A18" s="1018"/>
      <c r="B18" s="1019"/>
      <c r="C18" s="251" t="s">
        <v>27</v>
      </c>
      <c r="D18" s="964"/>
      <c r="E18" s="965"/>
      <c r="F18" s="700">
        <v>45488</v>
      </c>
    </row>
    <row r="19" spans="1:6" ht="15" thickBot="1" x14ac:dyDescent="0.4">
      <c r="A19" s="1020"/>
      <c r="B19" s="1021"/>
      <c r="C19" s="252"/>
      <c r="D19" s="253"/>
      <c r="E19" s="247"/>
      <c r="F19" s="247"/>
    </row>
    <row r="20" spans="1:6" ht="14.5" customHeight="1" x14ac:dyDescent="0.35">
      <c r="A20" s="1016" t="s">
        <v>33</v>
      </c>
      <c r="B20" s="1017"/>
      <c r="C20" s="932" t="s">
        <v>34</v>
      </c>
      <c r="D20" s="930"/>
      <c r="E20" s="931"/>
      <c r="F20" s="246"/>
    </row>
    <row r="21" spans="1:6" ht="14.15" customHeight="1" x14ac:dyDescent="0.35">
      <c r="A21" s="1018"/>
      <c r="B21" s="1019"/>
      <c r="C21" s="251" t="s">
        <v>27</v>
      </c>
      <c r="D21" s="469"/>
      <c r="E21" s="470"/>
      <c r="F21" s="467">
        <v>45516</v>
      </c>
    </row>
    <row r="22" spans="1:6" ht="15" thickBot="1" x14ac:dyDescent="0.4">
      <c r="A22" s="1020"/>
      <c r="B22" s="1021"/>
      <c r="C22" s="1022"/>
      <c r="D22" s="1023"/>
      <c r="E22" s="1024"/>
      <c r="F22" s="247"/>
    </row>
    <row r="23" spans="1:6" ht="15" customHeight="1" x14ac:dyDescent="0.35">
      <c r="A23" s="1016" t="s">
        <v>35</v>
      </c>
      <c r="B23" s="1017"/>
      <c r="C23" s="932" t="s">
        <v>34</v>
      </c>
      <c r="D23" s="930"/>
      <c r="E23" s="931"/>
      <c r="F23" s="928"/>
    </row>
    <row r="24" spans="1:6" x14ac:dyDescent="0.35">
      <c r="A24" s="1018"/>
      <c r="B24" s="1019"/>
      <c r="C24" s="986" t="s">
        <v>36</v>
      </c>
      <c r="D24" s="469"/>
      <c r="E24" s="470"/>
      <c r="F24" s="471">
        <v>45589</v>
      </c>
    </row>
    <row r="25" spans="1:6" ht="15" thickBot="1" x14ac:dyDescent="0.4">
      <c r="A25" s="1020"/>
      <c r="B25" s="1021"/>
      <c r="C25" s="987"/>
      <c r="D25" s="988"/>
      <c r="E25" s="989"/>
      <c r="F25" s="929"/>
    </row>
    <row r="26" spans="1:6" x14ac:dyDescent="0.35">
      <c r="B26" s="119"/>
    </row>
  </sheetData>
  <mergeCells count="17">
    <mergeCell ref="A8:B10"/>
    <mergeCell ref="A11:B13"/>
    <mergeCell ref="C11:E11"/>
    <mergeCell ref="C14:E14"/>
    <mergeCell ref="C15:E15"/>
    <mergeCell ref="A14:B16"/>
    <mergeCell ref="C16:E16"/>
    <mergeCell ref="C7:E7"/>
    <mergeCell ref="C10:E10"/>
    <mergeCell ref="C13:E13"/>
    <mergeCell ref="C8:E8"/>
    <mergeCell ref="C9:E9"/>
    <mergeCell ref="A17:B19"/>
    <mergeCell ref="C22:E22"/>
    <mergeCell ref="C17:E17"/>
    <mergeCell ref="A20:B22"/>
    <mergeCell ref="A23:B25"/>
  </mergeCells>
  <pageMargins left="0.7" right="0.7" top="0.75" bottom="0.75" header="0.3" footer="0.3"/>
  <pageSetup paperSize="9" scale="97"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X116"/>
  <sheetViews>
    <sheetView view="pageBreakPreview" zoomScale="70" zoomScaleNormal="55" zoomScaleSheetLayoutView="70" workbookViewId="0">
      <selection activeCell="M53" sqref="M53"/>
    </sheetView>
  </sheetViews>
  <sheetFormatPr defaultColWidth="18.6640625" defaultRowHeight="13.4" customHeight="1" x14ac:dyDescent="0.2"/>
  <cols>
    <col min="1" max="2" width="9.33203125" style="15" customWidth="1"/>
    <col min="3" max="3" width="14.6640625" style="15" bestFit="1" customWidth="1"/>
    <col min="4" max="4" width="9.33203125" style="15" customWidth="1"/>
    <col min="5" max="5" width="10.6640625" style="15" bestFit="1" customWidth="1"/>
    <col min="6" max="6" width="12.6640625" style="179" customWidth="1"/>
    <col min="7" max="7" width="18.6640625" style="15" customWidth="1"/>
    <col min="8" max="10" width="12.6640625" style="15" customWidth="1"/>
    <col min="11" max="11" width="10.33203125" style="15" customWidth="1"/>
    <col min="12" max="12" width="31" style="15" bestFit="1" customWidth="1"/>
    <col min="13" max="13" width="10.6640625" style="15" bestFit="1" customWidth="1"/>
    <col min="14" max="14" width="14.33203125" style="15" bestFit="1" customWidth="1"/>
    <col min="15" max="16" width="14.33203125" style="15" customWidth="1"/>
    <col min="17" max="20" width="9.33203125" style="15" customWidth="1"/>
    <col min="21" max="23" width="10.6640625" style="15" customWidth="1"/>
    <col min="24" max="24" width="9.44140625" style="15" customWidth="1"/>
    <col min="25" max="25" width="9.33203125" style="15" customWidth="1"/>
    <col min="26" max="16384" width="18.6640625" style="15"/>
  </cols>
  <sheetData>
    <row r="1" spans="1:24" s="48" customFormat="1" ht="20" x14ac:dyDescent="0.2">
      <c r="A1" s="19" t="s">
        <v>1</v>
      </c>
      <c r="B1" s="19"/>
      <c r="C1" s="19"/>
      <c r="D1" s="24"/>
      <c r="E1" s="24"/>
      <c r="F1" s="24"/>
      <c r="G1" s="24"/>
      <c r="H1" s="53"/>
      <c r="I1" s="54"/>
      <c r="J1" s="54"/>
      <c r="K1" s="53"/>
      <c r="L1" s="53"/>
      <c r="M1" s="53"/>
      <c r="N1" s="53"/>
      <c r="O1" s="55"/>
      <c r="P1" s="55"/>
      <c r="Q1" s="55"/>
      <c r="R1" s="55"/>
      <c r="S1" s="55"/>
      <c r="T1" s="55"/>
      <c r="U1" s="55"/>
      <c r="V1" s="55"/>
    </row>
    <row r="2" spans="1:24" s="48" customFormat="1" ht="20" x14ac:dyDescent="0.2">
      <c r="A2" s="19" t="s">
        <v>37</v>
      </c>
      <c r="B2" s="19"/>
      <c r="C2" s="19"/>
      <c r="D2" s="24"/>
      <c r="E2" s="24"/>
      <c r="F2" s="24"/>
      <c r="G2" s="24"/>
      <c r="H2" s="53"/>
      <c r="I2" s="54"/>
      <c r="J2" s="54"/>
      <c r="K2" s="53"/>
      <c r="L2" s="53"/>
      <c r="M2" s="53"/>
      <c r="N2" s="53"/>
      <c r="O2" s="55"/>
      <c r="P2" s="55"/>
      <c r="Q2" s="55"/>
      <c r="R2" s="55"/>
      <c r="S2" s="55"/>
      <c r="T2" s="55"/>
      <c r="U2" s="55"/>
      <c r="V2" s="55"/>
    </row>
    <row r="3" spans="1:24" s="48" customFormat="1" ht="20.5" thickBot="1" x14ac:dyDescent="0.25">
      <c r="A3" s="80" t="s">
        <v>2</v>
      </c>
      <c r="B3" s="56"/>
      <c r="C3" s="36"/>
      <c r="D3" s="678"/>
      <c r="E3" s="679"/>
      <c r="F3" s="680"/>
      <c r="G3" s="20"/>
      <c r="H3" s="56"/>
      <c r="I3" s="57"/>
      <c r="J3" s="57"/>
      <c r="K3" s="56"/>
      <c r="L3" s="56"/>
      <c r="M3" s="56"/>
      <c r="N3" s="56"/>
      <c r="O3" s="58"/>
      <c r="P3" s="58"/>
      <c r="Q3" s="58"/>
      <c r="R3" s="58"/>
      <c r="S3" s="58"/>
      <c r="T3" s="58"/>
      <c r="U3" s="58"/>
      <c r="V3" s="58"/>
      <c r="W3" s="59"/>
    </row>
    <row r="4" spans="1:24" s="2" customFormat="1" ht="30" customHeight="1" x14ac:dyDescent="0.2">
      <c r="A4" s="1046"/>
      <c r="B4" s="1046"/>
      <c r="C4" s="1046"/>
      <c r="D4" s="1046"/>
      <c r="E4" s="1046"/>
      <c r="F4" s="1046"/>
      <c r="G4" s="1046"/>
      <c r="H4" s="1046"/>
      <c r="I4" s="1046"/>
      <c r="J4" s="1046"/>
      <c r="K4" s="1046"/>
      <c r="L4" s="1046"/>
      <c r="M4" s="1046"/>
      <c r="N4" s="1046"/>
      <c r="O4" s="1046"/>
      <c r="P4" s="1046"/>
      <c r="Q4" s="1046"/>
      <c r="R4" s="1046"/>
      <c r="S4" s="1046"/>
      <c r="T4" s="1046"/>
      <c r="U4" s="1046"/>
      <c r="V4" s="1046"/>
      <c r="W4" s="1046"/>
      <c r="X4" s="1046"/>
    </row>
    <row r="5" spans="1:24" s="2" customFormat="1" ht="28" x14ac:dyDescent="0.2">
      <c r="A5" s="42"/>
      <c r="B5" s="43" t="s">
        <v>38</v>
      </c>
      <c r="C5" s="44"/>
      <c r="D5" s="44"/>
      <c r="E5" s="44"/>
      <c r="F5" s="52" t="s">
        <v>39</v>
      </c>
      <c r="G5" s="967" t="s">
        <v>40</v>
      </c>
      <c r="H5" s="16"/>
      <c r="I5" s="42"/>
      <c r="J5" s="42"/>
      <c r="K5" s="149" t="s">
        <v>41</v>
      </c>
      <c r="L5" s="239" t="s">
        <v>42</v>
      </c>
      <c r="M5" s="237" t="s">
        <v>43</v>
      </c>
      <c r="N5" s="237" t="s">
        <v>44</v>
      </c>
      <c r="O5" s="42"/>
      <c r="P5" s="42"/>
      <c r="Q5" s="55"/>
      <c r="R5" s="55"/>
      <c r="S5" s="1047" t="s">
        <v>45</v>
      </c>
      <c r="T5" s="1048"/>
      <c r="U5" s="1048"/>
      <c r="V5" s="1048"/>
      <c r="W5" s="1049"/>
      <c r="X5" s="16"/>
    </row>
    <row r="6" spans="1:24" s="2" customFormat="1" ht="30" customHeight="1" x14ac:dyDescent="0.2">
      <c r="A6" s="42"/>
      <c r="B6" s="45">
        <v>1</v>
      </c>
      <c r="C6" s="63" t="s">
        <v>46</v>
      </c>
      <c r="D6" s="64"/>
      <c r="E6" s="49"/>
      <c r="F6" s="235">
        <v>60</v>
      </c>
      <c r="G6" s="236">
        <v>100</v>
      </c>
      <c r="H6" s="16"/>
      <c r="I6" s="42"/>
      <c r="J6" s="42"/>
      <c r="K6" s="237">
        <v>1</v>
      </c>
      <c r="L6" s="82" t="s">
        <v>47</v>
      </c>
      <c r="M6" s="82">
        <v>9</v>
      </c>
      <c r="N6" s="240">
        <v>100</v>
      </c>
      <c r="O6" s="42"/>
      <c r="P6" s="42"/>
      <c r="Q6" s="46"/>
      <c r="R6" s="46"/>
      <c r="S6" s="82" t="s">
        <v>48</v>
      </c>
      <c r="T6" s="1043" t="s">
        <v>49</v>
      </c>
      <c r="U6" s="1044"/>
      <c r="V6" s="1044"/>
      <c r="W6" s="1045"/>
      <c r="X6" s="42"/>
    </row>
    <row r="7" spans="1:24" s="2" customFormat="1" ht="30" customHeight="1" x14ac:dyDescent="0.2">
      <c r="A7" s="42"/>
      <c r="B7" s="45">
        <v>2</v>
      </c>
      <c r="C7" s="63" t="s">
        <v>50</v>
      </c>
      <c r="D7" s="64"/>
      <c r="E7" s="49"/>
      <c r="F7" s="235">
        <v>0</v>
      </c>
      <c r="G7" s="236">
        <v>100</v>
      </c>
      <c r="H7" s="16"/>
      <c r="I7" s="42"/>
      <c r="J7" s="42"/>
      <c r="K7" s="237">
        <v>2</v>
      </c>
      <c r="L7" s="82" t="s">
        <v>51</v>
      </c>
      <c r="M7" s="82">
        <v>34</v>
      </c>
      <c r="N7" s="240">
        <v>100</v>
      </c>
      <c r="O7" s="42"/>
      <c r="P7" s="42"/>
      <c r="Q7" s="46"/>
      <c r="R7" s="46"/>
      <c r="S7" s="82" t="s">
        <v>52</v>
      </c>
      <c r="T7" s="1043" t="s">
        <v>53</v>
      </c>
      <c r="U7" s="1044"/>
      <c r="V7" s="1044"/>
      <c r="W7" s="1045"/>
      <c r="X7" s="42"/>
    </row>
    <row r="8" spans="1:24" s="2" customFormat="1" ht="30" customHeight="1" x14ac:dyDescent="0.2">
      <c r="A8" s="42"/>
      <c r="B8" s="45">
        <v>3</v>
      </c>
      <c r="C8" s="63" t="s">
        <v>54</v>
      </c>
      <c r="D8" s="64"/>
      <c r="E8" s="49"/>
      <c r="F8" s="235">
        <v>164</v>
      </c>
      <c r="G8" s="236">
        <v>100</v>
      </c>
      <c r="H8" s="16"/>
      <c r="I8" s="42"/>
      <c r="J8" s="42"/>
      <c r="K8" s="237">
        <v>3</v>
      </c>
      <c r="L8" s="82" t="s">
        <v>55</v>
      </c>
      <c r="M8" s="82">
        <v>59</v>
      </c>
      <c r="N8" s="240">
        <v>100</v>
      </c>
      <c r="O8" s="42"/>
      <c r="P8" s="42"/>
      <c r="Q8" s="46"/>
      <c r="R8" s="46"/>
      <c r="S8" s="82" t="s">
        <v>56</v>
      </c>
      <c r="T8" s="1043" t="s">
        <v>57</v>
      </c>
      <c r="U8" s="1044"/>
      <c r="V8" s="1044"/>
      <c r="W8" s="1045"/>
      <c r="X8" s="42"/>
    </row>
    <row r="9" spans="1:24" s="2" customFormat="1" ht="30" customHeight="1" x14ac:dyDescent="0.2">
      <c r="A9" s="42"/>
      <c r="B9" s="45">
        <v>4</v>
      </c>
      <c r="C9" s="63" t="s">
        <v>58</v>
      </c>
      <c r="D9" s="64"/>
      <c r="E9" s="49"/>
      <c r="F9" s="235">
        <v>36</v>
      </c>
      <c r="G9" s="236">
        <v>100</v>
      </c>
      <c r="H9" s="16"/>
      <c r="I9" s="42"/>
      <c r="J9" s="42"/>
      <c r="K9" s="237">
        <v>4</v>
      </c>
      <c r="L9" s="82" t="s">
        <v>59</v>
      </c>
      <c r="M9" s="82">
        <v>94</v>
      </c>
      <c r="N9" s="240">
        <v>100</v>
      </c>
      <c r="O9" s="42"/>
      <c r="P9" s="42"/>
      <c r="Q9" s="46"/>
      <c r="R9" s="46"/>
      <c r="S9" s="82" t="s">
        <v>60</v>
      </c>
      <c r="T9" s="1043" t="s">
        <v>61</v>
      </c>
      <c r="U9" s="1044"/>
      <c r="V9" s="1044"/>
      <c r="W9" s="1045"/>
      <c r="X9" s="42"/>
    </row>
    <row r="10" spans="1:24" s="2" customFormat="1" ht="30" customHeight="1" x14ac:dyDescent="0.2">
      <c r="A10" s="42"/>
      <c r="B10" s="45">
        <v>5</v>
      </c>
      <c r="C10" s="63" t="s">
        <v>62</v>
      </c>
      <c r="D10" s="64"/>
      <c r="E10" s="49"/>
      <c r="F10" s="235">
        <v>1</v>
      </c>
      <c r="G10" s="236">
        <v>100</v>
      </c>
      <c r="H10" s="16"/>
      <c r="I10" s="42"/>
      <c r="J10" s="42"/>
      <c r="K10" s="237">
        <v>5</v>
      </c>
      <c r="L10" s="82" t="s">
        <v>63</v>
      </c>
      <c r="M10" s="82">
        <v>14</v>
      </c>
      <c r="N10" s="240">
        <v>100</v>
      </c>
      <c r="O10" s="42"/>
      <c r="P10" s="42"/>
      <c r="Q10" s="46"/>
      <c r="R10" s="46"/>
      <c r="S10" s="82" t="s">
        <v>64</v>
      </c>
      <c r="T10" s="1043" t="s">
        <v>65</v>
      </c>
      <c r="U10" s="1044"/>
      <c r="V10" s="1044"/>
      <c r="W10" s="1045"/>
      <c r="X10" s="42"/>
    </row>
    <row r="11" spans="1:24" s="2" customFormat="1" ht="30" customHeight="1" x14ac:dyDescent="0.2">
      <c r="A11" s="42"/>
      <c r="B11" s="45">
        <v>6</v>
      </c>
      <c r="C11" s="63" t="s">
        <v>66</v>
      </c>
      <c r="D11" s="64"/>
      <c r="E11" s="49"/>
      <c r="F11" s="235">
        <v>9</v>
      </c>
      <c r="G11" s="236">
        <v>100</v>
      </c>
      <c r="H11" s="16"/>
      <c r="I11" s="42"/>
      <c r="J11" s="42"/>
      <c r="K11" s="238"/>
      <c r="L11" s="237" t="s">
        <v>39</v>
      </c>
      <c r="M11" s="82">
        <v>210</v>
      </c>
      <c r="N11" s="240">
        <v>100</v>
      </c>
      <c r="O11" s="42"/>
      <c r="P11" s="42"/>
      <c r="Q11" s="46"/>
      <c r="R11" s="46"/>
      <c r="S11" s="82" t="s">
        <v>67</v>
      </c>
      <c r="T11" s="1043" t="s">
        <v>68</v>
      </c>
      <c r="U11" s="1044"/>
      <c r="V11" s="1044"/>
      <c r="W11" s="1045"/>
      <c r="X11" s="42"/>
    </row>
    <row r="12" spans="1:24" s="2" customFormat="1" ht="30" customHeight="1" x14ac:dyDescent="0.2">
      <c r="A12" s="42"/>
      <c r="B12" s="45">
        <v>7</v>
      </c>
      <c r="C12" s="63" t="s">
        <v>69</v>
      </c>
      <c r="D12" s="64"/>
      <c r="E12" s="49"/>
      <c r="F12" s="235">
        <v>1</v>
      </c>
      <c r="G12" s="236">
        <v>100</v>
      </c>
      <c r="H12" s="42"/>
      <c r="I12" s="42"/>
      <c r="J12" s="42"/>
      <c r="K12" s="42"/>
      <c r="L12" s="42"/>
      <c r="M12" s="42"/>
      <c r="N12" s="42"/>
      <c r="O12" s="42"/>
      <c r="P12" s="42"/>
      <c r="Q12" s="46"/>
      <c r="R12" s="46"/>
      <c r="S12" s="82" t="s">
        <v>70</v>
      </c>
      <c r="T12" s="1043" t="s">
        <v>71</v>
      </c>
      <c r="U12" s="1044"/>
      <c r="V12" s="1044"/>
      <c r="W12" s="1045"/>
      <c r="X12" s="42"/>
    </row>
    <row r="13" spans="1:24" s="2" customFormat="1" ht="30" customHeight="1" x14ac:dyDescent="0.2">
      <c r="A13" s="42"/>
      <c r="B13" s="45">
        <v>8</v>
      </c>
      <c r="C13" s="63" t="s">
        <v>72</v>
      </c>
      <c r="D13" s="64"/>
      <c r="E13" s="49"/>
      <c r="F13" s="235">
        <v>4</v>
      </c>
      <c r="G13" s="236">
        <v>100</v>
      </c>
      <c r="H13" s="42"/>
      <c r="I13" s="42"/>
      <c r="J13" s="42"/>
      <c r="K13" s="42"/>
      <c r="L13" s="42"/>
      <c r="M13" s="42"/>
      <c r="N13" s="42"/>
      <c r="O13" s="42"/>
      <c r="P13" s="42"/>
      <c r="Q13" s="46"/>
      <c r="R13" s="46"/>
      <c r="S13" s="82" t="s">
        <v>73</v>
      </c>
      <c r="T13" s="1043" t="s">
        <v>74</v>
      </c>
      <c r="U13" s="1044"/>
      <c r="V13" s="1044"/>
      <c r="W13" s="1045"/>
      <c r="X13" s="42"/>
    </row>
    <row r="14" spans="1:24" s="2" customFormat="1" ht="30" customHeight="1" x14ac:dyDescent="0.2">
      <c r="A14" s="42"/>
      <c r="B14" s="45">
        <v>9</v>
      </c>
      <c r="C14" s="63" t="s">
        <v>75</v>
      </c>
      <c r="D14" s="64"/>
      <c r="E14" s="49"/>
      <c r="F14" s="235">
        <v>39</v>
      </c>
      <c r="G14" s="236">
        <v>100</v>
      </c>
      <c r="H14" s="42"/>
      <c r="I14" s="42"/>
      <c r="J14" s="42"/>
      <c r="K14" s="42"/>
      <c r="L14" s="42"/>
      <c r="M14" s="42"/>
      <c r="N14" s="42"/>
      <c r="O14" s="42"/>
      <c r="P14" s="42"/>
      <c r="Q14" s="46"/>
      <c r="R14" s="46"/>
      <c r="S14" s="82" t="s">
        <v>76</v>
      </c>
      <c r="T14" s="1043" t="s">
        <v>77</v>
      </c>
      <c r="U14" s="1044"/>
      <c r="V14" s="1044"/>
      <c r="W14" s="1045"/>
      <c r="X14" s="42"/>
    </row>
    <row r="15" spans="1:24" s="2" customFormat="1" ht="30" customHeight="1" x14ac:dyDescent="0.2">
      <c r="A15" s="42"/>
      <c r="B15" s="45">
        <v>11</v>
      </c>
      <c r="C15" s="63" t="s">
        <v>78</v>
      </c>
      <c r="D15" s="64"/>
      <c r="E15" s="49"/>
      <c r="F15" s="235">
        <v>8</v>
      </c>
      <c r="G15" s="236">
        <v>100</v>
      </c>
      <c r="H15" s="42"/>
      <c r="I15" s="42"/>
      <c r="J15" s="42"/>
      <c r="K15" s="42"/>
      <c r="L15" s="42"/>
      <c r="M15" s="42"/>
      <c r="N15" s="42"/>
      <c r="O15" s="42"/>
      <c r="P15" s="42"/>
      <c r="Q15" s="46"/>
      <c r="R15" s="42"/>
      <c r="S15" s="82" t="s">
        <v>79</v>
      </c>
      <c r="T15" s="1043" t="s">
        <v>80</v>
      </c>
      <c r="U15" s="1044"/>
      <c r="V15" s="1044"/>
      <c r="W15" s="1045"/>
      <c r="X15" s="42"/>
    </row>
    <row r="16" spans="1:24" s="2" customFormat="1" ht="30" customHeight="1" x14ac:dyDescent="0.2">
      <c r="A16" s="42"/>
      <c r="B16" s="45">
        <v>12</v>
      </c>
      <c r="C16" s="63" t="s">
        <v>81</v>
      </c>
      <c r="D16" s="64"/>
      <c r="E16" s="49"/>
      <c r="F16" s="235">
        <v>23</v>
      </c>
      <c r="G16" s="236">
        <v>100</v>
      </c>
      <c r="H16" s="16"/>
      <c r="I16" s="42"/>
      <c r="J16" s="42"/>
      <c r="K16" s="50"/>
      <c r="L16" s="42"/>
      <c r="M16" s="42"/>
      <c r="N16" s="42"/>
      <c r="O16" s="42"/>
      <c r="P16" s="42"/>
      <c r="Q16" s="46"/>
      <c r="R16" s="42"/>
      <c r="S16" s="82" t="s">
        <v>82</v>
      </c>
      <c r="T16" s="1043" t="s">
        <v>83</v>
      </c>
      <c r="U16" s="1044"/>
      <c r="V16" s="1044"/>
      <c r="W16" s="1045"/>
      <c r="X16" s="48"/>
    </row>
    <row r="17" spans="1:24" s="2" customFormat="1" ht="30" customHeight="1" x14ac:dyDescent="0.2">
      <c r="A17" s="42"/>
      <c r="B17" s="45"/>
      <c r="C17" s="63"/>
      <c r="D17" s="64"/>
      <c r="E17" s="193" t="s">
        <v>39</v>
      </c>
      <c r="F17" s="235">
        <v>345</v>
      </c>
      <c r="G17" s="236">
        <v>100</v>
      </c>
      <c r="H17" s="16"/>
      <c r="I17" s="42"/>
      <c r="J17" s="42"/>
      <c r="K17" s="16"/>
      <c r="L17" s="42"/>
      <c r="M17" s="42"/>
      <c r="N17" s="42"/>
      <c r="O17" s="42"/>
      <c r="P17" s="42"/>
      <c r="Q17" s="46"/>
      <c r="R17" s="42"/>
      <c r="S17" s="82" t="s">
        <v>84</v>
      </c>
      <c r="T17" s="1043" t="s">
        <v>85</v>
      </c>
      <c r="U17" s="1044"/>
      <c r="V17" s="1044"/>
      <c r="W17" s="1045"/>
      <c r="X17" s="48"/>
    </row>
    <row r="18" spans="1:24" s="2" customFormat="1" ht="30" customHeight="1" x14ac:dyDescent="0.2">
      <c r="A18" s="46"/>
      <c r="B18" s="46"/>
      <c r="C18" s="46"/>
      <c r="D18" s="46"/>
      <c r="E18" s="46"/>
      <c r="F18" s="16"/>
      <c r="G18" s="46"/>
      <c r="H18" s="16"/>
      <c r="I18" s="42"/>
      <c r="J18" s="42"/>
      <c r="K18" s="16"/>
      <c r="L18" s="42"/>
      <c r="M18" s="42"/>
      <c r="N18" s="42"/>
      <c r="O18" s="42"/>
      <c r="P18" s="42"/>
      <c r="Q18" s="46"/>
      <c r="R18" s="42"/>
      <c r="S18" s="82" t="s">
        <v>86</v>
      </c>
      <c r="T18" s="1043" t="s">
        <v>87</v>
      </c>
      <c r="U18" s="1044"/>
      <c r="V18" s="1044"/>
      <c r="W18" s="1045"/>
      <c r="X18" s="48"/>
    </row>
    <row r="19" spans="1:24" ht="30" customHeight="1" x14ac:dyDescent="0.2">
      <c r="A19" s="46"/>
      <c r="B19" s="46"/>
      <c r="C19" s="46"/>
      <c r="D19" s="46"/>
      <c r="E19" s="46"/>
      <c r="F19" s="16"/>
      <c r="G19" s="46"/>
      <c r="H19" s="46"/>
      <c r="I19" s="42"/>
      <c r="J19" s="42"/>
      <c r="K19" s="16"/>
      <c r="L19" s="42"/>
      <c r="M19" s="42"/>
      <c r="N19" s="42"/>
      <c r="O19" s="48"/>
      <c r="P19" s="48"/>
      <c r="Q19" s="46"/>
      <c r="R19" s="42"/>
      <c r="S19" s="82" t="s">
        <v>88</v>
      </c>
      <c r="T19" s="1043" t="s">
        <v>89</v>
      </c>
      <c r="U19" s="1044"/>
      <c r="V19" s="1044"/>
      <c r="W19" s="1045"/>
      <c r="X19" s="48"/>
    </row>
    <row r="20" spans="1:24" ht="30" customHeight="1" x14ac:dyDescent="0.2">
      <c r="A20" s="46"/>
      <c r="B20" s="46"/>
      <c r="C20" s="46"/>
      <c r="D20" s="46"/>
      <c r="E20" s="46"/>
      <c r="F20" s="16"/>
      <c r="G20" s="46"/>
      <c r="H20" s="46"/>
      <c r="I20" s="42"/>
      <c r="J20" s="42"/>
      <c r="K20" s="16"/>
      <c r="L20" s="48"/>
      <c r="M20" s="48"/>
      <c r="N20" s="48"/>
      <c r="O20" s="48"/>
      <c r="P20" s="48"/>
      <c r="Q20" s="46"/>
      <c r="R20" s="42"/>
      <c r="S20" s="82" t="s">
        <v>90</v>
      </c>
      <c r="T20" s="1043" t="s">
        <v>91</v>
      </c>
      <c r="U20" s="1044"/>
      <c r="V20" s="1044"/>
      <c r="W20" s="1045"/>
      <c r="X20" s="48"/>
    </row>
    <row r="21" spans="1:24" ht="30" customHeight="1" x14ac:dyDescent="0.2">
      <c r="A21" s="46"/>
      <c r="B21" s="48"/>
      <c r="C21" s="48"/>
      <c r="D21" s="48"/>
      <c r="E21" s="46"/>
      <c r="F21" s="16"/>
      <c r="G21" s="46"/>
      <c r="H21" s="46"/>
      <c r="I21" s="42"/>
      <c r="J21" s="42"/>
      <c r="K21" s="16"/>
      <c r="L21" s="48"/>
      <c r="M21" s="48"/>
      <c r="N21" s="48"/>
      <c r="O21" s="48"/>
      <c r="P21" s="48"/>
      <c r="Q21" s="46"/>
      <c r="R21" s="42"/>
      <c r="S21" s="82" t="s">
        <v>92</v>
      </c>
      <c r="T21" s="1043" t="s">
        <v>93</v>
      </c>
      <c r="U21" s="1044"/>
      <c r="V21" s="1044"/>
      <c r="W21" s="1045"/>
      <c r="X21" s="48"/>
    </row>
    <row r="22" spans="1:24" ht="30" customHeight="1" x14ac:dyDescent="0.2">
      <c r="A22" s="46"/>
      <c r="B22" s="48"/>
      <c r="C22" s="48"/>
      <c r="D22" s="48"/>
      <c r="E22" s="46"/>
      <c r="F22" s="16"/>
      <c r="G22" s="46"/>
      <c r="H22" s="46"/>
      <c r="I22" s="46"/>
      <c r="J22" s="42"/>
      <c r="K22" s="16"/>
      <c r="L22" s="48"/>
      <c r="M22" s="48"/>
      <c r="N22" s="48"/>
      <c r="O22" s="48"/>
      <c r="P22" s="48"/>
      <c r="Q22" s="46"/>
      <c r="R22" s="42"/>
      <c r="S22" s="82" t="s">
        <v>94</v>
      </c>
      <c r="T22" s="1043" t="s">
        <v>95</v>
      </c>
      <c r="U22" s="1044"/>
      <c r="V22" s="1044"/>
      <c r="W22" s="1045"/>
      <c r="X22" s="48"/>
    </row>
    <row r="23" spans="1:24" ht="26.25" customHeight="1" x14ac:dyDescent="0.2">
      <c r="A23" s="46"/>
      <c r="B23" s="48"/>
      <c r="C23" s="48"/>
      <c r="D23" s="48"/>
      <c r="E23" s="46"/>
      <c r="F23" s="16"/>
      <c r="G23" s="46"/>
      <c r="H23" s="46"/>
      <c r="I23" s="46"/>
      <c r="J23" s="42"/>
      <c r="K23" s="16"/>
      <c r="L23" s="48"/>
      <c r="M23" s="48"/>
      <c r="N23" s="48"/>
      <c r="O23" s="48"/>
      <c r="P23" s="48"/>
      <c r="Q23" s="46"/>
      <c r="R23" s="42"/>
      <c r="S23" s="82" t="s">
        <v>96</v>
      </c>
      <c r="T23" s="1043" t="s">
        <v>97</v>
      </c>
      <c r="U23" s="1044"/>
      <c r="V23" s="1044"/>
      <c r="W23" s="1045"/>
      <c r="X23" s="48"/>
    </row>
    <row r="24" spans="1:24" ht="28.5" customHeight="1" x14ac:dyDescent="0.2">
      <c r="A24" s="46"/>
      <c r="B24" s="48"/>
      <c r="C24" s="48"/>
      <c r="D24" s="48"/>
      <c r="E24" s="46"/>
      <c r="F24" s="16"/>
      <c r="G24" s="46"/>
      <c r="H24" s="46"/>
      <c r="I24" s="46"/>
      <c r="J24" s="42"/>
      <c r="K24" s="16"/>
      <c r="L24" s="48"/>
      <c r="M24" s="48"/>
      <c r="N24" s="48"/>
      <c r="O24" s="48"/>
      <c r="P24" s="48"/>
      <c r="Q24" s="46"/>
      <c r="R24" s="42"/>
      <c r="S24" s="82" t="s">
        <v>98</v>
      </c>
      <c r="T24" s="1043" t="s">
        <v>99</v>
      </c>
      <c r="U24" s="1044"/>
      <c r="V24" s="1044"/>
      <c r="W24" s="1045"/>
      <c r="X24" s="51"/>
    </row>
    <row r="25" spans="1:24" ht="30" customHeight="1" x14ac:dyDescent="0.2">
      <c r="A25" s="46"/>
      <c r="B25" s="48"/>
      <c r="C25" s="48"/>
      <c r="D25" s="48"/>
      <c r="E25" s="48"/>
      <c r="F25" s="55"/>
      <c r="G25" s="48"/>
      <c r="H25" s="46"/>
      <c r="I25" s="46"/>
      <c r="J25" s="46"/>
      <c r="K25" s="16"/>
      <c r="L25" s="48"/>
      <c r="M25" s="48"/>
      <c r="N25" s="48"/>
      <c r="O25" s="48"/>
      <c r="P25" s="48"/>
      <c r="Q25" s="48"/>
      <c r="R25" s="42"/>
      <c r="S25" s="82" t="s">
        <v>100</v>
      </c>
      <c r="T25" s="1043" t="s">
        <v>101</v>
      </c>
      <c r="U25" s="1044"/>
      <c r="V25" s="1044"/>
      <c r="W25" s="1045"/>
      <c r="X25" s="48"/>
    </row>
    <row r="26" spans="1:24" ht="13.4" customHeight="1" x14ac:dyDescent="0.2">
      <c r="A26" s="48"/>
      <c r="B26" s="48"/>
      <c r="C26" s="48"/>
      <c r="D26" s="48"/>
      <c r="E26" s="48"/>
      <c r="F26" s="55"/>
      <c r="G26" s="48"/>
      <c r="H26" s="48"/>
      <c r="I26" s="48"/>
      <c r="J26" s="48"/>
      <c r="K26" s="16"/>
      <c r="L26" s="48"/>
      <c r="M26" s="48"/>
      <c r="N26" s="48"/>
      <c r="O26" s="48"/>
      <c r="P26" s="48"/>
      <c r="Q26" s="48"/>
      <c r="R26" s="42"/>
      <c r="S26" s="46"/>
      <c r="T26" s="46"/>
      <c r="U26" s="46"/>
      <c r="V26" s="46"/>
      <c r="W26" s="46"/>
      <c r="X26" s="48"/>
    </row>
    <row r="27" spans="1:24" ht="13.4" customHeight="1" x14ac:dyDescent="0.2">
      <c r="A27" s="48"/>
      <c r="H27" s="48"/>
      <c r="I27" s="48"/>
      <c r="J27" s="48"/>
      <c r="K27" s="48"/>
      <c r="L27" s="48"/>
      <c r="M27" s="48"/>
      <c r="N27" s="48"/>
      <c r="O27" s="48"/>
      <c r="P27" s="48"/>
      <c r="Q27" s="48"/>
      <c r="R27" s="46"/>
      <c r="S27" s="46"/>
      <c r="T27" s="46"/>
      <c r="U27" s="46"/>
      <c r="V27" s="46"/>
      <c r="W27" s="51"/>
      <c r="X27" s="48"/>
    </row>
    <row r="28" spans="1:24" ht="13.4" customHeight="1" x14ac:dyDescent="0.2">
      <c r="K28" s="48"/>
      <c r="L28" s="48"/>
      <c r="M28" s="48"/>
      <c r="N28" s="48"/>
      <c r="O28" s="48"/>
      <c r="P28" s="48"/>
    </row>
    <row r="50" spans="3:3" ht="13.4" customHeight="1" x14ac:dyDescent="0.2">
      <c r="C50" s="927"/>
    </row>
    <row r="94" ht="10" x14ac:dyDescent="0.2"/>
    <row r="116" ht="10" x14ac:dyDescent="0.2"/>
  </sheetData>
  <mergeCells count="22">
    <mergeCell ref="A4:X4"/>
    <mergeCell ref="T17:W17"/>
    <mergeCell ref="T18:W18"/>
    <mergeCell ref="T16:W16"/>
    <mergeCell ref="T7:W7"/>
    <mergeCell ref="T9:W9"/>
    <mergeCell ref="T10:W10"/>
    <mergeCell ref="T11:W11"/>
    <mergeCell ref="T13:W13"/>
    <mergeCell ref="T15:W15"/>
    <mergeCell ref="T12:W12"/>
    <mergeCell ref="T6:W6"/>
    <mergeCell ref="T8:W8"/>
    <mergeCell ref="T14:W14"/>
    <mergeCell ref="S5:W5"/>
    <mergeCell ref="T25:W25"/>
    <mergeCell ref="T24:W24"/>
    <mergeCell ref="T21:W21"/>
    <mergeCell ref="T19:W19"/>
    <mergeCell ref="T20:W20"/>
    <mergeCell ref="T23:W23"/>
    <mergeCell ref="T22:W22"/>
  </mergeCells>
  <phoneticPr fontId="0" type="noConversion"/>
  <printOptions horizontalCentered="1"/>
  <pageMargins left="0.39370078740157483" right="0.39370078740157483" top="0.59055118110236227" bottom="0.59055118110236227" header="0.59055118110236227" footer="0.39370078740157483"/>
  <pageSetup paperSize="8" scale="59" fitToHeight="50" orientation="landscape" r:id="rId1"/>
  <headerFooter scaleWithDoc="0"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indexed="39"/>
    <pageSetUpPr fitToPage="1"/>
  </sheetPr>
  <dimension ref="A1:AJ122"/>
  <sheetViews>
    <sheetView tabSelected="1" view="pageBreakPreview" topLeftCell="E1" zoomScaleNormal="10" zoomScaleSheetLayoutView="100" workbookViewId="0">
      <selection activeCell="H4" sqref="H4"/>
    </sheetView>
  </sheetViews>
  <sheetFormatPr defaultColWidth="18.6640625" defaultRowHeight="13.4" customHeight="1" outlineLevelCol="1" x14ac:dyDescent="0.3"/>
  <cols>
    <col min="1" max="1" width="16" style="181" hidden="1" customWidth="1"/>
    <col min="2" max="2" width="16.109375" style="181" hidden="1" customWidth="1"/>
    <col min="3" max="3" width="52" style="181" hidden="1" customWidth="1"/>
    <col min="4" max="4" width="13.109375" style="181" hidden="1" customWidth="1"/>
    <col min="5" max="6" width="25.33203125" style="89" customWidth="1"/>
    <col min="7" max="7" width="37" style="7" customWidth="1"/>
    <col min="8" max="8" width="151.6640625" style="90" customWidth="1" outlineLevel="1"/>
    <col min="9" max="9" width="79.109375" style="90" bestFit="1" customWidth="1"/>
    <col min="10" max="10" width="10.44140625" style="97" customWidth="1"/>
    <col min="11" max="11" width="10.44140625" style="89" customWidth="1"/>
    <col min="12" max="12" width="10.44140625" style="98" customWidth="1"/>
    <col min="13" max="13" width="10.44140625" style="89" customWidth="1"/>
    <col min="14" max="14" width="13.33203125" style="89" customWidth="1" outlineLevel="1"/>
    <col min="15" max="15" width="17.109375" style="89" customWidth="1" outlineLevel="1"/>
    <col min="16" max="16" width="18" style="89" customWidth="1" outlineLevel="1"/>
    <col min="17" max="17" width="13.33203125" style="89" customWidth="1" outlineLevel="1"/>
    <col min="18" max="18" width="17.109375" style="89" customWidth="1" outlineLevel="1"/>
    <col min="19" max="19" width="18" style="89" customWidth="1" outlineLevel="1"/>
    <col min="20" max="20" width="12.6640625" style="89" customWidth="1" outlineLevel="1"/>
    <col min="21" max="21" width="17.109375" style="89" customWidth="1" outlineLevel="1"/>
    <col min="22" max="22" width="18" style="89" customWidth="1" outlineLevel="1"/>
    <col min="23" max="23" width="13.6640625" style="89" customWidth="1" outlineLevel="1"/>
    <col min="24" max="24" width="17.109375" style="89" customWidth="1" outlineLevel="1"/>
    <col min="25" max="25" width="18" style="89" customWidth="1" outlineLevel="1"/>
    <col min="26" max="26" width="17" style="89" customWidth="1"/>
    <col min="27" max="27" width="13.6640625" style="89" bestFit="1" customWidth="1"/>
    <col min="28" max="28" width="17.6640625" style="89" customWidth="1"/>
    <col min="29" max="29" width="13.6640625" style="89" bestFit="1" customWidth="1"/>
    <col min="30" max="30" width="15.6640625" style="89" bestFit="1" customWidth="1"/>
    <col min="31" max="31" width="13.6640625" style="89" bestFit="1" customWidth="1"/>
    <col min="32" max="32" width="17.33203125" style="89" customWidth="1"/>
    <col min="33" max="33" width="13.6640625" style="89" bestFit="1" customWidth="1"/>
    <col min="34" max="34" width="49.6640625" style="89" customWidth="1"/>
    <col min="35" max="35" width="72.33203125" style="14" customWidth="1"/>
    <col min="36" max="36" width="8.44140625" style="97" customWidth="1"/>
    <col min="37" max="16384" width="18.6640625" style="1"/>
  </cols>
  <sheetData>
    <row r="1" spans="1:36" s="102" customFormat="1" ht="18" customHeight="1" x14ac:dyDescent="0.2">
      <c r="A1" s="806"/>
      <c r="B1" s="807"/>
      <c r="C1" s="807"/>
      <c r="D1" s="807"/>
      <c r="E1" s="1058" t="s">
        <v>102</v>
      </c>
      <c r="F1" s="1058" t="s">
        <v>103</v>
      </c>
      <c r="G1" s="1056" t="s">
        <v>104</v>
      </c>
      <c r="H1" s="1056" t="s">
        <v>105</v>
      </c>
      <c r="I1" s="1056" t="s">
        <v>106</v>
      </c>
      <c r="J1" s="185"/>
      <c r="K1" s="1060" t="s">
        <v>90</v>
      </c>
      <c r="L1" s="1054"/>
      <c r="M1" s="1061"/>
      <c r="N1" s="1060" t="s">
        <v>107</v>
      </c>
      <c r="O1" s="1054"/>
      <c r="P1" s="1054"/>
      <c r="Q1" s="1054"/>
      <c r="R1" s="1054"/>
      <c r="S1" s="1054"/>
      <c r="T1" s="1054"/>
      <c r="U1" s="1054"/>
      <c r="V1" s="1054"/>
      <c r="W1" s="1054"/>
      <c r="X1" s="1054"/>
      <c r="Y1" s="1055"/>
      <c r="Z1" s="1053" t="s">
        <v>41</v>
      </c>
      <c r="AA1" s="1054"/>
      <c r="AB1" s="1054"/>
      <c r="AC1" s="1054"/>
      <c r="AD1" s="1054"/>
      <c r="AE1" s="1054"/>
      <c r="AF1" s="1054"/>
      <c r="AG1" s="1055"/>
      <c r="AH1" s="625"/>
      <c r="AI1" s="966"/>
      <c r="AJ1" s="826"/>
    </row>
    <row r="2" spans="1:36" s="95" customFormat="1" ht="48.75" customHeight="1" x14ac:dyDescent="0.3">
      <c r="A2" s="808" t="s">
        <v>108</v>
      </c>
      <c r="B2" s="180" t="s">
        <v>109</v>
      </c>
      <c r="C2" s="180" t="s">
        <v>110</v>
      </c>
      <c r="D2" s="180" t="s">
        <v>111</v>
      </c>
      <c r="E2" s="1059"/>
      <c r="F2" s="1059"/>
      <c r="G2" s="1057"/>
      <c r="H2" s="1057"/>
      <c r="I2" s="1057"/>
      <c r="J2" s="194" t="s">
        <v>112</v>
      </c>
      <c r="K2" s="41" t="s">
        <v>113</v>
      </c>
      <c r="L2" s="67" t="s">
        <v>114</v>
      </c>
      <c r="M2" s="41" t="s">
        <v>115</v>
      </c>
      <c r="N2" s="967" t="s">
        <v>84</v>
      </c>
      <c r="O2" s="967" t="s">
        <v>116</v>
      </c>
      <c r="P2" s="967" t="s">
        <v>117</v>
      </c>
      <c r="Q2" s="967" t="s">
        <v>79</v>
      </c>
      <c r="R2" s="967" t="s">
        <v>118</v>
      </c>
      <c r="S2" s="967" t="s">
        <v>119</v>
      </c>
      <c r="T2" s="967" t="s">
        <v>82</v>
      </c>
      <c r="U2" s="967" t="s">
        <v>120</v>
      </c>
      <c r="V2" s="967" t="s">
        <v>121</v>
      </c>
      <c r="W2" s="967" t="s">
        <v>86</v>
      </c>
      <c r="X2" s="967" t="s">
        <v>122</v>
      </c>
      <c r="Y2" s="977" t="s">
        <v>123</v>
      </c>
      <c r="Z2" s="488" t="s">
        <v>73</v>
      </c>
      <c r="AA2" s="967" t="s">
        <v>124</v>
      </c>
      <c r="AB2" s="967" t="s">
        <v>67</v>
      </c>
      <c r="AC2" s="967" t="s">
        <v>125</v>
      </c>
      <c r="AD2" s="967" t="s">
        <v>70</v>
      </c>
      <c r="AE2" s="967" t="s">
        <v>126</v>
      </c>
      <c r="AF2" s="967" t="s">
        <v>76</v>
      </c>
      <c r="AG2" s="489" t="s">
        <v>127</v>
      </c>
      <c r="AH2" s="978" t="s">
        <v>128</v>
      </c>
      <c r="AI2" s="967" t="s">
        <v>129</v>
      </c>
      <c r="AJ2" s="489" t="s">
        <v>130</v>
      </c>
    </row>
    <row r="3" spans="1:36" s="2" customFormat="1" ht="206.25" customHeight="1" x14ac:dyDescent="0.2">
      <c r="A3" s="809"/>
      <c r="B3" s="22"/>
      <c r="C3" s="22"/>
      <c r="D3" s="3" t="s">
        <v>131</v>
      </c>
      <c r="E3" s="254" t="s">
        <v>132</v>
      </c>
      <c r="F3" s="256" t="s">
        <v>133</v>
      </c>
      <c r="G3" s="254" t="s">
        <v>134</v>
      </c>
      <c r="H3" s="254" t="s">
        <v>135</v>
      </c>
      <c r="I3" s="13" t="s">
        <v>136</v>
      </c>
      <c r="J3" s="255">
        <v>1</v>
      </c>
      <c r="K3" s="258">
        <v>0</v>
      </c>
      <c r="L3" s="68">
        <v>30</v>
      </c>
      <c r="M3" s="258" t="s">
        <v>137</v>
      </c>
      <c r="N3" s="258"/>
      <c r="O3" s="255"/>
      <c r="P3" s="255"/>
      <c r="Q3" s="255">
        <v>3</v>
      </c>
      <c r="R3" s="255">
        <v>5</v>
      </c>
      <c r="S3" s="255"/>
      <c r="T3" s="255">
        <v>14</v>
      </c>
      <c r="U3" s="255">
        <v>5</v>
      </c>
      <c r="V3" s="255"/>
      <c r="W3" s="255"/>
      <c r="X3" s="255"/>
      <c r="Y3" s="485"/>
      <c r="Z3" s="490"/>
      <c r="AA3" s="256"/>
      <c r="AB3" s="256">
        <v>3</v>
      </c>
      <c r="AC3" s="256">
        <v>900</v>
      </c>
      <c r="AD3" s="256"/>
      <c r="AE3" s="256"/>
      <c r="AF3" s="256"/>
      <c r="AG3" s="491"/>
      <c r="AH3" s="320"/>
      <c r="AI3" s="315" t="s">
        <v>138</v>
      </c>
      <c r="AJ3" s="493">
        <v>0</v>
      </c>
    </row>
    <row r="4" spans="1:36" s="2" customFormat="1" ht="196" x14ac:dyDescent="0.2">
      <c r="A4" s="809"/>
      <c r="B4" s="22"/>
      <c r="C4" s="22"/>
      <c r="D4" s="3" t="s">
        <v>131</v>
      </c>
      <c r="E4" s="254" t="s">
        <v>139</v>
      </c>
      <c r="F4" s="256" t="s">
        <v>140</v>
      </c>
      <c r="G4" s="254" t="s">
        <v>134</v>
      </c>
      <c r="H4" s="254" t="s">
        <v>141</v>
      </c>
      <c r="I4" s="13" t="s">
        <v>142</v>
      </c>
      <c r="J4" s="255">
        <v>1</v>
      </c>
      <c r="K4" s="258">
        <v>0</v>
      </c>
      <c r="L4" s="68">
        <v>30</v>
      </c>
      <c r="M4" s="258" t="s">
        <v>137</v>
      </c>
      <c r="N4" s="258"/>
      <c r="O4" s="255"/>
      <c r="P4" s="255"/>
      <c r="Q4" s="255">
        <v>3</v>
      </c>
      <c r="R4" s="255">
        <v>5</v>
      </c>
      <c r="S4" s="255"/>
      <c r="T4" s="255">
        <v>14</v>
      </c>
      <c r="U4" s="255">
        <v>5</v>
      </c>
      <c r="V4" s="255"/>
      <c r="W4" s="255"/>
      <c r="X4" s="255"/>
      <c r="Y4" s="485"/>
      <c r="Z4" s="492"/>
      <c r="AA4" s="255"/>
      <c r="AB4" s="256">
        <v>3</v>
      </c>
      <c r="AC4" s="256">
        <v>900</v>
      </c>
      <c r="AD4" s="255"/>
      <c r="AE4" s="255"/>
      <c r="AF4" s="255"/>
      <c r="AG4" s="493"/>
      <c r="AH4" s="319"/>
      <c r="AI4" s="315" t="s">
        <v>138</v>
      </c>
      <c r="AJ4" s="493">
        <v>0</v>
      </c>
    </row>
    <row r="5" spans="1:36" s="2" customFormat="1" ht="97.5" customHeight="1" x14ac:dyDescent="0.2">
      <c r="A5" s="809"/>
      <c r="B5" s="22"/>
      <c r="C5" s="22"/>
      <c r="D5" s="3" t="s">
        <v>131</v>
      </c>
      <c r="E5" s="254" t="s">
        <v>143</v>
      </c>
      <c r="F5" s="256" t="s">
        <v>144</v>
      </c>
      <c r="G5" s="254" t="s">
        <v>134</v>
      </c>
      <c r="H5" s="254" t="s">
        <v>145</v>
      </c>
      <c r="I5" s="13" t="s">
        <v>146</v>
      </c>
      <c r="J5" s="255">
        <v>1</v>
      </c>
      <c r="K5" s="258">
        <v>0</v>
      </c>
      <c r="L5" s="258">
        <v>100</v>
      </c>
      <c r="M5" s="258" t="s">
        <v>44</v>
      </c>
      <c r="N5" s="258"/>
      <c r="O5" s="703">
        <v>30</v>
      </c>
      <c r="P5" s="703">
        <v>5</v>
      </c>
      <c r="Q5" s="703">
        <v>35</v>
      </c>
      <c r="R5" s="703">
        <v>5</v>
      </c>
      <c r="S5" s="255"/>
      <c r="T5" s="255">
        <v>80</v>
      </c>
      <c r="U5" s="255">
        <v>5</v>
      </c>
      <c r="V5" s="255"/>
      <c r="W5" s="255"/>
      <c r="X5" s="255"/>
      <c r="Y5" s="485"/>
      <c r="Z5" s="494">
        <v>15</v>
      </c>
      <c r="AA5" s="96">
        <v>5</v>
      </c>
      <c r="AB5" s="314">
        <v>20</v>
      </c>
      <c r="AC5" s="96">
        <v>5</v>
      </c>
      <c r="AD5" s="96">
        <v>85</v>
      </c>
      <c r="AE5" s="96">
        <v>5</v>
      </c>
      <c r="AF5" s="256">
        <v>90</v>
      </c>
      <c r="AG5" s="491">
        <v>5</v>
      </c>
      <c r="AH5" s="319"/>
      <c r="AI5" s="259" t="s">
        <v>147</v>
      </c>
      <c r="AJ5" s="493">
        <v>0</v>
      </c>
    </row>
    <row r="6" spans="1:36" s="2" customFormat="1" ht="132" customHeight="1" x14ac:dyDescent="0.2">
      <c r="A6" s="809"/>
      <c r="B6" s="22"/>
      <c r="C6" s="22"/>
      <c r="D6" s="3" t="s">
        <v>131</v>
      </c>
      <c r="E6" s="254" t="s">
        <v>148</v>
      </c>
      <c r="F6" s="256" t="s">
        <v>149</v>
      </c>
      <c r="G6" s="254" t="s">
        <v>134</v>
      </c>
      <c r="H6" s="254" t="s">
        <v>150</v>
      </c>
      <c r="I6" s="13" t="s">
        <v>151</v>
      </c>
      <c r="J6" s="255">
        <v>1</v>
      </c>
      <c r="K6" s="258">
        <v>0</v>
      </c>
      <c r="L6" s="258">
        <v>100</v>
      </c>
      <c r="M6" s="258" t="s">
        <v>44</v>
      </c>
      <c r="N6" s="258"/>
      <c r="O6" s="258"/>
      <c r="P6" s="258"/>
      <c r="Q6" s="258"/>
      <c r="R6" s="258"/>
      <c r="S6" s="258"/>
      <c r="T6" s="96">
        <v>80</v>
      </c>
      <c r="U6" s="96">
        <v>5</v>
      </c>
      <c r="V6" s="258"/>
      <c r="W6" s="258"/>
      <c r="X6" s="258"/>
      <c r="Y6" s="486"/>
      <c r="Z6" s="495">
        <v>15</v>
      </c>
      <c r="AA6" s="96">
        <v>5</v>
      </c>
      <c r="AB6" s="96">
        <v>20</v>
      </c>
      <c r="AC6" s="96">
        <v>5</v>
      </c>
      <c r="AD6" s="396"/>
      <c r="AE6" s="397"/>
      <c r="AF6" s="260"/>
      <c r="AG6" s="496"/>
      <c r="AH6" s="735" t="s">
        <v>152</v>
      </c>
      <c r="AI6" s="259" t="s">
        <v>153</v>
      </c>
      <c r="AJ6" s="493">
        <v>0</v>
      </c>
    </row>
    <row r="7" spans="1:36" s="2" customFormat="1" ht="79.5" customHeight="1" x14ac:dyDescent="0.2">
      <c r="A7" s="809"/>
      <c r="B7" s="22"/>
      <c r="C7" s="22"/>
      <c r="D7" s="3" t="s">
        <v>131</v>
      </c>
      <c r="E7" s="5" t="s">
        <v>154</v>
      </c>
      <c r="F7" s="12" t="s">
        <v>155</v>
      </c>
      <c r="G7" s="5" t="s">
        <v>134</v>
      </c>
      <c r="H7" s="5" t="s">
        <v>156</v>
      </c>
      <c r="I7" s="13" t="s">
        <v>157</v>
      </c>
      <c r="J7" s="13">
        <v>1</v>
      </c>
      <c r="K7" s="68">
        <v>0</v>
      </c>
      <c r="L7" s="68">
        <v>100</v>
      </c>
      <c r="M7" s="68" t="s">
        <v>44</v>
      </c>
      <c r="N7" s="68"/>
      <c r="O7" s="68"/>
      <c r="P7" s="68"/>
      <c r="Q7" s="68"/>
      <c r="R7" s="68"/>
      <c r="S7" s="68"/>
      <c r="T7" s="68">
        <v>70</v>
      </c>
      <c r="U7" s="68">
        <v>5</v>
      </c>
      <c r="V7" s="68"/>
      <c r="W7" s="68"/>
      <c r="X7" s="68"/>
      <c r="Y7" s="487"/>
      <c r="Z7" s="497"/>
      <c r="AA7" s="397"/>
      <c r="AB7" s="396"/>
      <c r="AC7" s="397"/>
      <c r="AD7" s="397">
        <v>80</v>
      </c>
      <c r="AE7" s="397">
        <v>5</v>
      </c>
      <c r="AF7" s="161"/>
      <c r="AG7" s="498"/>
      <c r="AH7" s="163"/>
      <c r="AI7" s="8" t="s">
        <v>158</v>
      </c>
      <c r="AJ7" s="502">
        <v>0</v>
      </c>
    </row>
    <row r="8" spans="1:36" s="2" customFormat="1" ht="79.5" customHeight="1" x14ac:dyDescent="0.2">
      <c r="A8" s="809"/>
      <c r="B8" s="22"/>
      <c r="C8" s="22"/>
      <c r="D8" s="3" t="s">
        <v>131</v>
      </c>
      <c r="E8" s="5" t="s">
        <v>159</v>
      </c>
      <c r="F8" s="12" t="s">
        <v>160</v>
      </c>
      <c r="G8" s="5" t="s">
        <v>134</v>
      </c>
      <c r="H8" s="5" t="s">
        <v>161</v>
      </c>
      <c r="I8" s="13" t="s">
        <v>162</v>
      </c>
      <c r="J8" s="13">
        <v>1</v>
      </c>
      <c r="K8" s="68">
        <v>0</v>
      </c>
      <c r="L8" s="68">
        <v>100</v>
      </c>
      <c r="M8" s="68" t="s">
        <v>44</v>
      </c>
      <c r="N8" s="68"/>
      <c r="O8" s="68"/>
      <c r="P8" s="68"/>
      <c r="Q8" s="68"/>
      <c r="R8" s="68"/>
      <c r="S8" s="68"/>
      <c r="T8" s="68">
        <v>70</v>
      </c>
      <c r="U8" s="68">
        <v>5</v>
      </c>
      <c r="V8" s="68"/>
      <c r="W8" s="68"/>
      <c r="X8" s="68"/>
      <c r="Y8" s="487"/>
      <c r="Z8" s="497"/>
      <c r="AA8" s="397"/>
      <c r="AB8" s="396"/>
      <c r="AC8" s="397"/>
      <c r="AD8" s="397">
        <v>80</v>
      </c>
      <c r="AE8" s="397">
        <v>5</v>
      </c>
      <c r="AF8" s="161"/>
      <c r="AG8" s="498"/>
      <c r="AH8" s="163"/>
      <c r="AI8" s="8" t="s">
        <v>158</v>
      </c>
      <c r="AJ8" s="502">
        <v>0</v>
      </c>
    </row>
    <row r="9" spans="1:36" s="2" customFormat="1" ht="79.5" customHeight="1" x14ac:dyDescent="0.2">
      <c r="A9" s="809"/>
      <c r="B9" s="22"/>
      <c r="C9" s="22"/>
      <c r="D9" s="3"/>
      <c r="E9" s="254" t="s">
        <v>163</v>
      </c>
      <c r="F9" s="256" t="s">
        <v>164</v>
      </c>
      <c r="G9" s="254" t="s">
        <v>134</v>
      </c>
      <c r="H9" s="254" t="s">
        <v>165</v>
      </c>
      <c r="I9" s="13" t="s">
        <v>166</v>
      </c>
      <c r="J9" s="255">
        <v>1</v>
      </c>
      <c r="K9" s="258">
        <v>0</v>
      </c>
      <c r="L9" s="68">
        <v>600</v>
      </c>
      <c r="M9" s="258" t="s">
        <v>167</v>
      </c>
      <c r="N9" s="258"/>
      <c r="O9" s="258"/>
      <c r="P9" s="258"/>
      <c r="Q9" s="258"/>
      <c r="R9" s="258"/>
      <c r="S9" s="258"/>
      <c r="T9" s="258"/>
      <c r="U9" s="258"/>
      <c r="V9" s="258"/>
      <c r="W9" s="258"/>
      <c r="X9" s="258"/>
      <c r="Y9" s="486"/>
      <c r="Z9" s="497">
        <v>100</v>
      </c>
      <c r="AA9" s="397">
        <v>5</v>
      </c>
      <c r="AB9" s="397">
        <v>120</v>
      </c>
      <c r="AC9" s="397">
        <v>5</v>
      </c>
      <c r="AD9" s="396"/>
      <c r="AE9" s="397"/>
      <c r="AF9" s="260"/>
      <c r="AG9" s="496"/>
      <c r="AH9" s="319" t="s">
        <v>168</v>
      </c>
      <c r="AI9" s="735" t="s">
        <v>169</v>
      </c>
      <c r="AJ9" s="810">
        <v>2</v>
      </c>
    </row>
    <row r="10" spans="1:36" s="2" customFormat="1" ht="79.5" customHeight="1" x14ac:dyDescent="0.2">
      <c r="A10" s="809"/>
      <c r="B10" s="22"/>
      <c r="C10" s="22"/>
      <c r="D10" s="3"/>
      <c r="E10" s="254" t="s">
        <v>170</v>
      </c>
      <c r="F10" s="256" t="s">
        <v>171</v>
      </c>
      <c r="G10" s="254" t="s">
        <v>134</v>
      </c>
      <c r="H10" s="254" t="s">
        <v>172</v>
      </c>
      <c r="I10" s="13" t="s">
        <v>173</v>
      </c>
      <c r="J10" s="255">
        <v>1</v>
      </c>
      <c r="K10" s="258">
        <v>0</v>
      </c>
      <c r="L10" s="68">
        <v>600</v>
      </c>
      <c r="M10" s="258" t="s">
        <v>167</v>
      </c>
      <c r="N10" s="258"/>
      <c r="O10" s="258"/>
      <c r="P10" s="258"/>
      <c r="Q10" s="258"/>
      <c r="R10" s="258"/>
      <c r="S10" s="258"/>
      <c r="T10" s="258"/>
      <c r="U10" s="258"/>
      <c r="V10" s="258"/>
      <c r="W10" s="258"/>
      <c r="X10" s="258"/>
      <c r="Y10" s="486"/>
      <c r="Z10" s="497"/>
      <c r="AA10" s="397"/>
      <c r="AB10" s="396"/>
      <c r="AC10" s="397"/>
      <c r="AD10" s="396">
        <v>20</v>
      </c>
      <c r="AE10" s="397">
        <v>5</v>
      </c>
      <c r="AF10" s="260"/>
      <c r="AG10" s="496"/>
      <c r="AH10" s="319" t="s">
        <v>168</v>
      </c>
      <c r="AI10" s="8" t="s">
        <v>174</v>
      </c>
      <c r="AJ10" s="493" t="s">
        <v>175</v>
      </c>
    </row>
    <row r="11" spans="1:36" s="2" customFormat="1" ht="85.5" customHeight="1" x14ac:dyDescent="0.2">
      <c r="A11" s="809"/>
      <c r="B11" s="22"/>
      <c r="C11" s="22"/>
      <c r="D11" s="3" t="s">
        <v>131</v>
      </c>
      <c r="E11" s="254" t="s">
        <v>176</v>
      </c>
      <c r="F11" s="256" t="s">
        <v>177</v>
      </c>
      <c r="G11" s="254" t="s">
        <v>134</v>
      </c>
      <c r="H11" s="254" t="s">
        <v>178</v>
      </c>
      <c r="I11" s="13" t="s">
        <v>179</v>
      </c>
      <c r="J11" s="255">
        <v>1</v>
      </c>
      <c r="K11" s="68">
        <v>0</v>
      </c>
      <c r="L11" s="68">
        <v>457</v>
      </c>
      <c r="M11" s="258" t="s">
        <v>180</v>
      </c>
      <c r="N11" s="258"/>
      <c r="O11" s="258"/>
      <c r="P11" s="258"/>
      <c r="Q11" s="258"/>
      <c r="R11" s="258"/>
      <c r="S11" s="258"/>
      <c r="T11" s="258"/>
      <c r="U11" s="258"/>
      <c r="V11" s="258"/>
      <c r="W11" s="258"/>
      <c r="X11" s="258"/>
      <c r="Y11" s="486"/>
      <c r="Z11" s="500"/>
      <c r="AA11" s="260"/>
      <c r="AB11" s="255"/>
      <c r="AC11" s="256"/>
      <c r="AD11" s="255">
        <v>450</v>
      </c>
      <c r="AE11" s="256">
        <v>5</v>
      </c>
      <c r="AF11" s="258"/>
      <c r="AG11" s="496"/>
      <c r="AH11" s="626"/>
      <c r="AI11" s="784" t="s">
        <v>181</v>
      </c>
      <c r="AJ11" s="493">
        <v>0</v>
      </c>
    </row>
    <row r="12" spans="1:36" s="2" customFormat="1" ht="58.5" customHeight="1" x14ac:dyDescent="0.2">
      <c r="A12" s="809"/>
      <c r="B12" s="22"/>
      <c r="C12" s="22"/>
      <c r="D12" s="3" t="s">
        <v>131</v>
      </c>
      <c r="E12" s="254" t="s">
        <v>182</v>
      </c>
      <c r="F12" s="256" t="s">
        <v>183</v>
      </c>
      <c r="G12" s="254" t="s">
        <v>134</v>
      </c>
      <c r="H12" s="254" t="s">
        <v>184</v>
      </c>
      <c r="I12" s="13" t="s">
        <v>185</v>
      </c>
      <c r="J12" s="255">
        <v>1</v>
      </c>
      <c r="K12" s="68">
        <v>0</v>
      </c>
      <c r="L12" s="68">
        <v>85</v>
      </c>
      <c r="M12" s="12" t="s">
        <v>186</v>
      </c>
      <c r="N12" s="258"/>
      <c r="O12" s="258"/>
      <c r="P12" s="258"/>
      <c r="Q12" s="258"/>
      <c r="R12" s="258"/>
      <c r="S12" s="258"/>
      <c r="T12" s="258"/>
      <c r="U12" s="258"/>
      <c r="V12" s="258"/>
      <c r="W12" s="258"/>
      <c r="X12" s="258"/>
      <c r="Y12" s="486"/>
      <c r="Z12" s="499">
        <v>34</v>
      </c>
      <c r="AA12" s="260">
        <v>5</v>
      </c>
      <c r="AB12" s="260">
        <v>60</v>
      </c>
      <c r="AC12" s="260">
        <v>5</v>
      </c>
      <c r="AD12" s="260"/>
      <c r="AE12" s="260"/>
      <c r="AF12" s="260"/>
      <c r="AG12" s="496"/>
      <c r="AH12" s="319" t="s">
        <v>187</v>
      </c>
      <c r="AI12" s="8" t="s">
        <v>188</v>
      </c>
      <c r="AJ12" s="493">
        <v>0</v>
      </c>
    </row>
    <row r="13" spans="1:36" s="2" customFormat="1" ht="108.65" customHeight="1" x14ac:dyDescent="0.2">
      <c r="A13" s="809"/>
      <c r="B13" s="22"/>
      <c r="C13" s="22"/>
      <c r="D13" s="3" t="s">
        <v>131</v>
      </c>
      <c r="E13" s="254" t="s">
        <v>189</v>
      </c>
      <c r="F13" s="256" t="s">
        <v>190</v>
      </c>
      <c r="G13" s="254" t="s">
        <v>134</v>
      </c>
      <c r="H13" s="254" t="s">
        <v>191</v>
      </c>
      <c r="I13" s="13" t="s">
        <v>192</v>
      </c>
      <c r="J13" s="255">
        <v>1</v>
      </c>
      <c r="K13" s="68">
        <v>0</v>
      </c>
      <c r="L13" s="68">
        <v>12.5</v>
      </c>
      <c r="M13" s="13" t="s">
        <v>193</v>
      </c>
      <c r="N13" s="258"/>
      <c r="O13" s="258"/>
      <c r="P13" s="258"/>
      <c r="Q13" s="258"/>
      <c r="R13" s="258"/>
      <c r="S13" s="258"/>
      <c r="T13" s="258"/>
      <c r="U13" s="258"/>
      <c r="V13" s="258"/>
      <c r="W13" s="258"/>
      <c r="X13" s="258"/>
      <c r="Y13" s="486"/>
      <c r="Z13" s="499"/>
      <c r="AA13" s="260"/>
      <c r="AB13" s="260"/>
      <c r="AC13" s="260"/>
      <c r="AD13" s="161">
        <v>3</v>
      </c>
      <c r="AE13" s="161">
        <v>5</v>
      </c>
      <c r="AF13" s="161">
        <v>5</v>
      </c>
      <c r="AG13" s="498">
        <v>5</v>
      </c>
      <c r="AH13" s="319"/>
      <c r="AI13" s="8" t="s">
        <v>194</v>
      </c>
      <c r="AJ13" s="493">
        <v>0</v>
      </c>
    </row>
    <row r="14" spans="1:36" s="2" customFormat="1" ht="108.65" customHeight="1" x14ac:dyDescent="0.2">
      <c r="A14" s="809"/>
      <c r="B14" s="22"/>
      <c r="C14" s="22"/>
      <c r="D14" s="3" t="s">
        <v>131</v>
      </c>
      <c r="E14" s="254" t="s">
        <v>195</v>
      </c>
      <c r="F14" s="256" t="s">
        <v>196</v>
      </c>
      <c r="G14" s="254" t="s">
        <v>134</v>
      </c>
      <c r="H14" s="254" t="s">
        <v>197</v>
      </c>
      <c r="I14" s="13" t="s">
        <v>198</v>
      </c>
      <c r="J14" s="255">
        <v>1</v>
      </c>
      <c r="K14" s="68">
        <v>0</v>
      </c>
      <c r="L14" s="68">
        <v>12.5</v>
      </c>
      <c r="M14" s="13" t="s">
        <v>193</v>
      </c>
      <c r="N14" s="258"/>
      <c r="O14" s="258"/>
      <c r="P14" s="258"/>
      <c r="Q14" s="258"/>
      <c r="R14" s="258"/>
      <c r="S14" s="258"/>
      <c r="T14" s="258"/>
      <c r="U14" s="258"/>
      <c r="V14" s="258"/>
      <c r="W14" s="258"/>
      <c r="X14" s="258"/>
      <c r="Y14" s="486"/>
      <c r="Z14" s="499"/>
      <c r="AA14" s="260"/>
      <c r="AB14" s="260"/>
      <c r="AC14" s="260"/>
      <c r="AD14" s="161">
        <v>3</v>
      </c>
      <c r="AE14" s="161">
        <v>5</v>
      </c>
      <c r="AF14" s="161">
        <v>5</v>
      </c>
      <c r="AG14" s="498">
        <v>5</v>
      </c>
      <c r="AH14" s="319"/>
      <c r="AI14" s="8" t="s">
        <v>194</v>
      </c>
      <c r="AJ14" s="493">
        <v>0</v>
      </c>
    </row>
    <row r="15" spans="1:36" s="2" customFormat="1" ht="42.65" customHeight="1" x14ac:dyDescent="0.2">
      <c r="A15" s="811"/>
      <c r="B15" s="812"/>
      <c r="C15" s="812"/>
      <c r="D15" s="813"/>
      <c r="E15" s="5" t="s">
        <v>199</v>
      </c>
      <c r="F15" s="12" t="s">
        <v>200</v>
      </c>
      <c r="G15" s="5" t="s">
        <v>134</v>
      </c>
      <c r="H15" s="5" t="s">
        <v>201</v>
      </c>
      <c r="I15" s="13" t="s">
        <v>202</v>
      </c>
      <c r="J15" s="13">
        <v>1</v>
      </c>
      <c r="K15" s="68">
        <v>0</v>
      </c>
      <c r="L15" s="68">
        <v>12.5</v>
      </c>
      <c r="M15" s="13" t="s">
        <v>193</v>
      </c>
      <c r="N15" s="68"/>
      <c r="O15" s="68"/>
      <c r="P15" s="68"/>
      <c r="Q15" s="68"/>
      <c r="R15" s="68"/>
      <c r="S15" s="68"/>
      <c r="T15" s="68"/>
      <c r="U15" s="68"/>
      <c r="V15" s="68"/>
      <c r="W15" s="68"/>
      <c r="X15" s="68"/>
      <c r="Y15" s="487"/>
      <c r="Z15" s="552"/>
      <c r="AA15" s="161"/>
      <c r="AB15" s="161"/>
      <c r="AC15" s="161"/>
      <c r="AD15" s="161"/>
      <c r="AE15" s="161"/>
      <c r="AF15" s="161"/>
      <c r="AG15" s="498"/>
      <c r="AH15" s="163"/>
      <c r="AI15" s="8" t="s">
        <v>203</v>
      </c>
      <c r="AJ15" s="502" t="s">
        <v>204</v>
      </c>
    </row>
    <row r="16" spans="1:36" s="2" customFormat="1" ht="42.65" customHeight="1" x14ac:dyDescent="0.2">
      <c r="A16" s="811"/>
      <c r="B16" s="812"/>
      <c r="C16" s="812"/>
      <c r="D16" s="813"/>
      <c r="E16" s="5" t="s">
        <v>205</v>
      </c>
      <c r="F16" s="12" t="s">
        <v>206</v>
      </c>
      <c r="G16" s="5" t="s">
        <v>134</v>
      </c>
      <c r="H16" s="5" t="s">
        <v>207</v>
      </c>
      <c r="I16" s="13" t="s">
        <v>208</v>
      </c>
      <c r="J16" s="13">
        <v>1</v>
      </c>
      <c r="K16" s="68">
        <v>0</v>
      </c>
      <c r="L16" s="68">
        <v>12.5</v>
      </c>
      <c r="M16" s="13" t="s">
        <v>193</v>
      </c>
      <c r="N16" s="68"/>
      <c r="O16" s="68"/>
      <c r="P16" s="68"/>
      <c r="Q16" s="68"/>
      <c r="R16" s="68"/>
      <c r="S16" s="68"/>
      <c r="T16" s="68"/>
      <c r="U16" s="68"/>
      <c r="V16" s="68"/>
      <c r="W16" s="68"/>
      <c r="X16" s="68"/>
      <c r="Y16" s="487"/>
      <c r="Z16" s="552"/>
      <c r="AA16" s="161"/>
      <c r="AB16" s="161"/>
      <c r="AC16" s="161"/>
      <c r="AD16" s="161"/>
      <c r="AE16" s="161"/>
      <c r="AF16" s="161"/>
      <c r="AG16" s="498"/>
      <c r="AH16" s="163"/>
      <c r="AI16" s="8" t="s">
        <v>203</v>
      </c>
      <c r="AJ16" s="502" t="s">
        <v>204</v>
      </c>
    </row>
    <row r="17" spans="1:36" s="2" customFormat="1" ht="69.650000000000006" customHeight="1" x14ac:dyDescent="0.2">
      <c r="A17" s="809"/>
      <c r="B17" s="22"/>
      <c r="C17" s="22"/>
      <c r="D17" s="3" t="s">
        <v>131</v>
      </c>
      <c r="E17" s="254" t="s">
        <v>209</v>
      </c>
      <c r="F17" s="256" t="s">
        <v>210</v>
      </c>
      <c r="G17" s="254" t="s">
        <v>134</v>
      </c>
      <c r="H17" s="254" t="s">
        <v>211</v>
      </c>
      <c r="I17" s="13" t="s">
        <v>212</v>
      </c>
      <c r="J17" s="255">
        <v>1</v>
      </c>
      <c r="K17" s="706">
        <v>-5</v>
      </c>
      <c r="L17" s="68">
        <v>100</v>
      </c>
      <c r="M17" s="13" t="s">
        <v>213</v>
      </c>
      <c r="N17" s="258"/>
      <c r="O17" s="258"/>
      <c r="P17" s="258"/>
      <c r="Q17" s="258"/>
      <c r="R17" s="258"/>
      <c r="S17" s="258"/>
      <c r="T17" s="258"/>
      <c r="U17" s="258"/>
      <c r="V17" s="258"/>
      <c r="W17" s="258"/>
      <c r="X17" s="258"/>
      <c r="Y17" s="486"/>
      <c r="Z17" s="499"/>
      <c r="AA17" s="260"/>
      <c r="AB17" s="260"/>
      <c r="AC17" s="260"/>
      <c r="AD17" s="260">
        <v>54</v>
      </c>
      <c r="AE17" s="260">
        <v>5</v>
      </c>
      <c r="AF17" s="260">
        <v>60</v>
      </c>
      <c r="AG17" s="496">
        <v>5</v>
      </c>
      <c r="AH17" s="626"/>
      <c r="AI17" s="8" t="s">
        <v>214</v>
      </c>
      <c r="AJ17" s="810">
        <v>2</v>
      </c>
    </row>
    <row r="18" spans="1:36" s="2" customFormat="1" ht="69.650000000000006" customHeight="1" x14ac:dyDescent="0.2">
      <c r="A18" s="809"/>
      <c r="B18" s="22"/>
      <c r="C18" s="22"/>
      <c r="D18" s="3" t="s">
        <v>131</v>
      </c>
      <c r="E18" s="254" t="s">
        <v>215</v>
      </c>
      <c r="F18" s="256" t="s">
        <v>216</v>
      </c>
      <c r="G18" s="254" t="s">
        <v>134</v>
      </c>
      <c r="H18" s="254" t="s">
        <v>217</v>
      </c>
      <c r="I18" s="13" t="s">
        <v>218</v>
      </c>
      <c r="J18" s="255">
        <v>1</v>
      </c>
      <c r="K18" s="706">
        <v>-5</v>
      </c>
      <c r="L18" s="68">
        <v>100</v>
      </c>
      <c r="M18" s="13" t="s">
        <v>213</v>
      </c>
      <c r="N18" s="258"/>
      <c r="O18" s="258"/>
      <c r="P18" s="258"/>
      <c r="Q18" s="258"/>
      <c r="R18" s="258"/>
      <c r="S18" s="258"/>
      <c r="T18" s="258"/>
      <c r="U18" s="258"/>
      <c r="V18" s="258"/>
      <c r="W18" s="258"/>
      <c r="X18" s="258"/>
      <c r="Y18" s="486"/>
      <c r="Z18" s="499"/>
      <c r="AA18" s="260"/>
      <c r="AB18" s="260"/>
      <c r="AC18" s="260"/>
      <c r="AD18" s="260">
        <v>54</v>
      </c>
      <c r="AE18" s="260">
        <v>5</v>
      </c>
      <c r="AF18" s="260">
        <v>60</v>
      </c>
      <c r="AG18" s="496">
        <v>5</v>
      </c>
      <c r="AH18" s="626"/>
      <c r="AI18" s="8" t="s">
        <v>214</v>
      </c>
      <c r="AJ18" s="810">
        <v>2</v>
      </c>
    </row>
    <row r="19" spans="1:36" s="2" customFormat="1" ht="69.650000000000006" customHeight="1" x14ac:dyDescent="0.2">
      <c r="A19" s="809"/>
      <c r="B19" s="22"/>
      <c r="C19" s="22"/>
      <c r="D19" s="3" t="s">
        <v>131</v>
      </c>
      <c r="E19" s="254" t="s">
        <v>219</v>
      </c>
      <c r="F19" s="256" t="s">
        <v>220</v>
      </c>
      <c r="G19" s="254" t="s">
        <v>134</v>
      </c>
      <c r="H19" s="254" t="s">
        <v>221</v>
      </c>
      <c r="I19" s="13" t="s">
        <v>222</v>
      </c>
      <c r="J19" s="255">
        <v>1</v>
      </c>
      <c r="K19" s="706">
        <v>-5</v>
      </c>
      <c r="L19" s="68">
        <v>100</v>
      </c>
      <c r="M19" s="13" t="s">
        <v>213</v>
      </c>
      <c r="N19" s="258"/>
      <c r="O19" s="258"/>
      <c r="P19" s="258"/>
      <c r="Q19" s="258"/>
      <c r="R19" s="258"/>
      <c r="S19" s="258"/>
      <c r="T19" s="258"/>
      <c r="U19" s="258"/>
      <c r="V19" s="258"/>
      <c r="W19" s="258"/>
      <c r="X19" s="258"/>
      <c r="Y19" s="486"/>
      <c r="Z19" s="499"/>
      <c r="AA19" s="260"/>
      <c r="AB19" s="260"/>
      <c r="AC19" s="260"/>
      <c r="AD19" s="260">
        <v>54</v>
      </c>
      <c r="AE19" s="260">
        <v>5</v>
      </c>
      <c r="AF19" s="260">
        <v>60</v>
      </c>
      <c r="AG19" s="496">
        <v>5</v>
      </c>
      <c r="AH19" s="626"/>
      <c r="AI19" s="8" t="s">
        <v>214</v>
      </c>
      <c r="AJ19" s="810">
        <v>2</v>
      </c>
    </row>
    <row r="20" spans="1:36" s="2" customFormat="1" ht="69.650000000000006" customHeight="1" x14ac:dyDescent="0.2">
      <c r="A20" s="809"/>
      <c r="B20" s="22"/>
      <c r="C20" s="22"/>
      <c r="D20" s="3" t="s">
        <v>131</v>
      </c>
      <c r="E20" s="254" t="s">
        <v>223</v>
      </c>
      <c r="F20" s="256" t="s">
        <v>224</v>
      </c>
      <c r="G20" s="254" t="s">
        <v>134</v>
      </c>
      <c r="H20" s="254" t="s">
        <v>225</v>
      </c>
      <c r="I20" s="13" t="s">
        <v>226</v>
      </c>
      <c r="J20" s="255">
        <v>1</v>
      </c>
      <c r="K20" s="706">
        <v>-5</v>
      </c>
      <c r="L20" s="68">
        <v>100</v>
      </c>
      <c r="M20" s="13" t="s">
        <v>213</v>
      </c>
      <c r="N20" s="258"/>
      <c r="O20" s="258"/>
      <c r="P20" s="258"/>
      <c r="Q20" s="258"/>
      <c r="R20" s="258"/>
      <c r="S20" s="258"/>
      <c r="T20" s="258"/>
      <c r="U20" s="258"/>
      <c r="V20" s="258"/>
      <c r="W20" s="258"/>
      <c r="X20" s="258"/>
      <c r="Y20" s="486"/>
      <c r="Z20" s="499"/>
      <c r="AA20" s="260"/>
      <c r="AB20" s="260"/>
      <c r="AC20" s="260"/>
      <c r="AD20" s="260">
        <v>54</v>
      </c>
      <c r="AE20" s="260">
        <v>5</v>
      </c>
      <c r="AF20" s="260">
        <v>60</v>
      </c>
      <c r="AG20" s="496">
        <v>5</v>
      </c>
      <c r="AH20" s="626"/>
      <c r="AI20" s="8" t="s">
        <v>214</v>
      </c>
      <c r="AJ20" s="810">
        <v>2</v>
      </c>
    </row>
    <row r="21" spans="1:36" s="2" customFormat="1" ht="69.650000000000006" customHeight="1" x14ac:dyDescent="0.2">
      <c r="A21" s="809"/>
      <c r="B21" s="22"/>
      <c r="C21" s="22"/>
      <c r="D21" s="3" t="s">
        <v>131</v>
      </c>
      <c r="E21" s="254" t="s">
        <v>227</v>
      </c>
      <c r="F21" s="256" t="s">
        <v>228</v>
      </c>
      <c r="G21" s="254" t="s">
        <v>134</v>
      </c>
      <c r="H21" s="254" t="s">
        <v>229</v>
      </c>
      <c r="I21" s="13" t="s">
        <v>230</v>
      </c>
      <c r="J21" s="255">
        <v>1</v>
      </c>
      <c r="K21" s="706">
        <v>-5</v>
      </c>
      <c r="L21" s="68">
        <v>100</v>
      </c>
      <c r="M21" s="13" t="s">
        <v>213</v>
      </c>
      <c r="N21" s="258"/>
      <c r="O21" s="258"/>
      <c r="P21" s="258"/>
      <c r="Q21" s="258"/>
      <c r="R21" s="258"/>
      <c r="S21" s="258"/>
      <c r="T21" s="258"/>
      <c r="U21" s="258"/>
      <c r="V21" s="258"/>
      <c r="W21" s="258"/>
      <c r="X21" s="258"/>
      <c r="Y21" s="486"/>
      <c r="Z21" s="499"/>
      <c r="AA21" s="260"/>
      <c r="AB21" s="260"/>
      <c r="AC21" s="260"/>
      <c r="AD21" s="260">
        <v>54</v>
      </c>
      <c r="AE21" s="260">
        <v>5</v>
      </c>
      <c r="AF21" s="260">
        <v>60</v>
      </c>
      <c r="AG21" s="496">
        <v>5</v>
      </c>
      <c r="AH21" s="626"/>
      <c r="AI21" s="8" t="s">
        <v>214</v>
      </c>
      <c r="AJ21" s="810">
        <v>2</v>
      </c>
    </row>
    <row r="22" spans="1:36" s="2" customFormat="1" ht="52.5" customHeight="1" x14ac:dyDescent="0.2">
      <c r="A22" s="809"/>
      <c r="B22" s="22"/>
      <c r="C22" s="22"/>
      <c r="D22" s="3" t="s">
        <v>131</v>
      </c>
      <c r="E22" s="254" t="s">
        <v>231</v>
      </c>
      <c r="F22" s="256" t="s">
        <v>232</v>
      </c>
      <c r="G22" s="254" t="s">
        <v>134</v>
      </c>
      <c r="H22" s="254" t="s">
        <v>233</v>
      </c>
      <c r="I22" s="13" t="s">
        <v>234</v>
      </c>
      <c r="J22" s="255">
        <v>1</v>
      </c>
      <c r="K22" s="68">
        <v>0</v>
      </c>
      <c r="L22" s="68">
        <v>200</v>
      </c>
      <c r="M22" s="12" t="s">
        <v>235</v>
      </c>
      <c r="N22" s="258"/>
      <c r="O22" s="258"/>
      <c r="P22" s="258"/>
      <c r="Q22" s="258"/>
      <c r="R22" s="258"/>
      <c r="S22" s="258"/>
      <c r="T22" s="258"/>
      <c r="U22" s="258"/>
      <c r="V22" s="258"/>
      <c r="W22" s="258"/>
      <c r="X22" s="258"/>
      <c r="Y22" s="486"/>
      <c r="Z22" s="499">
        <v>50</v>
      </c>
      <c r="AA22" s="260">
        <v>5</v>
      </c>
      <c r="AB22" s="260">
        <v>86</v>
      </c>
      <c r="AC22" s="260">
        <v>5</v>
      </c>
      <c r="AD22" s="260"/>
      <c r="AE22" s="260"/>
      <c r="AF22" s="260"/>
      <c r="AG22" s="496"/>
      <c r="AH22" s="319" t="s">
        <v>236</v>
      </c>
      <c r="AI22" s="8" t="s">
        <v>188</v>
      </c>
      <c r="AJ22" s="493">
        <v>0</v>
      </c>
    </row>
    <row r="23" spans="1:36" s="2" customFormat="1" ht="52.5" customHeight="1" x14ac:dyDescent="0.2">
      <c r="A23" s="809"/>
      <c r="B23" s="22"/>
      <c r="C23" s="22"/>
      <c r="D23" s="3" t="s">
        <v>131</v>
      </c>
      <c r="E23" s="254" t="s">
        <v>237</v>
      </c>
      <c r="F23" s="256" t="s">
        <v>238</v>
      </c>
      <c r="G23" s="254" t="s">
        <v>134</v>
      </c>
      <c r="H23" s="254" t="s">
        <v>239</v>
      </c>
      <c r="I23" s="13" t="s">
        <v>240</v>
      </c>
      <c r="J23" s="255">
        <v>1</v>
      </c>
      <c r="K23" s="68">
        <v>0</v>
      </c>
      <c r="L23" s="68">
        <v>25</v>
      </c>
      <c r="M23" s="12" t="s">
        <v>235</v>
      </c>
      <c r="N23" s="258"/>
      <c r="O23" s="258"/>
      <c r="P23" s="258"/>
      <c r="Q23" s="258"/>
      <c r="R23" s="258"/>
      <c r="S23" s="258"/>
      <c r="T23" s="258"/>
      <c r="U23" s="258"/>
      <c r="V23" s="258"/>
      <c r="W23" s="258"/>
      <c r="X23" s="258"/>
      <c r="Y23" s="486"/>
      <c r="Z23" s="500">
        <v>7.5</v>
      </c>
      <c r="AA23" s="258">
        <v>5</v>
      </c>
      <c r="AB23" s="258">
        <v>13.5</v>
      </c>
      <c r="AC23" s="258">
        <v>5</v>
      </c>
      <c r="AD23" s="260"/>
      <c r="AE23" s="260"/>
      <c r="AF23" s="260"/>
      <c r="AG23" s="496"/>
      <c r="AH23" s="319" t="s">
        <v>236</v>
      </c>
      <c r="AI23" s="8" t="s">
        <v>188</v>
      </c>
      <c r="AJ23" s="493">
        <v>0</v>
      </c>
    </row>
    <row r="24" spans="1:36" s="2" customFormat="1" ht="52.5" customHeight="1" x14ac:dyDescent="0.2">
      <c r="A24" s="809"/>
      <c r="B24" s="22"/>
      <c r="C24" s="22"/>
      <c r="D24" s="3" t="s">
        <v>131</v>
      </c>
      <c r="E24" s="5" t="s">
        <v>241</v>
      </c>
      <c r="F24" s="12" t="s">
        <v>242</v>
      </c>
      <c r="G24" s="5" t="s">
        <v>134</v>
      </c>
      <c r="H24" s="5" t="s">
        <v>243</v>
      </c>
      <c r="I24" s="13" t="s">
        <v>244</v>
      </c>
      <c r="J24" s="255">
        <v>1</v>
      </c>
      <c r="K24" s="68">
        <v>0</v>
      </c>
      <c r="L24" s="68">
        <v>25</v>
      </c>
      <c r="M24" s="12" t="s">
        <v>235</v>
      </c>
      <c r="N24" s="258"/>
      <c r="O24" s="258"/>
      <c r="P24" s="258"/>
      <c r="Q24" s="258"/>
      <c r="R24" s="258"/>
      <c r="S24" s="258"/>
      <c r="T24" s="258"/>
      <c r="U24" s="258"/>
      <c r="V24" s="258"/>
      <c r="W24" s="258"/>
      <c r="X24" s="258"/>
      <c r="Y24" s="486"/>
      <c r="Z24" s="500">
        <v>7.5</v>
      </c>
      <c r="AA24" s="258">
        <v>5</v>
      </c>
      <c r="AB24" s="258">
        <v>13.5</v>
      </c>
      <c r="AC24" s="258">
        <v>5</v>
      </c>
      <c r="AD24" s="260"/>
      <c r="AE24" s="260"/>
      <c r="AF24" s="260"/>
      <c r="AG24" s="496"/>
      <c r="AH24" s="319" t="s">
        <v>236</v>
      </c>
      <c r="AI24" s="8" t="s">
        <v>188</v>
      </c>
      <c r="AJ24" s="493">
        <v>0</v>
      </c>
    </row>
    <row r="25" spans="1:36" s="2" customFormat="1" ht="52.5" customHeight="1" x14ac:dyDescent="0.2">
      <c r="A25" s="809"/>
      <c r="B25" s="22"/>
      <c r="C25" s="22"/>
      <c r="D25" s="3" t="s">
        <v>131</v>
      </c>
      <c r="E25" s="5" t="s">
        <v>245</v>
      </c>
      <c r="F25" s="12" t="s">
        <v>246</v>
      </c>
      <c r="G25" s="5" t="s">
        <v>134</v>
      </c>
      <c r="H25" s="5" t="s">
        <v>247</v>
      </c>
      <c r="I25" s="13" t="s">
        <v>248</v>
      </c>
      <c r="J25" s="255">
        <v>1</v>
      </c>
      <c r="K25" s="68">
        <v>0</v>
      </c>
      <c r="L25" s="68">
        <v>25</v>
      </c>
      <c r="M25" s="12" t="s">
        <v>235</v>
      </c>
      <c r="N25" s="258"/>
      <c r="O25" s="258"/>
      <c r="P25" s="258"/>
      <c r="Q25" s="258"/>
      <c r="R25" s="258"/>
      <c r="S25" s="258"/>
      <c r="T25" s="258"/>
      <c r="U25" s="258"/>
      <c r="V25" s="258"/>
      <c r="W25" s="258"/>
      <c r="X25" s="258"/>
      <c r="Y25" s="486"/>
      <c r="Z25" s="500">
        <v>7.5</v>
      </c>
      <c r="AA25" s="258">
        <v>5</v>
      </c>
      <c r="AB25" s="258">
        <v>13.5</v>
      </c>
      <c r="AC25" s="258">
        <v>5</v>
      </c>
      <c r="AD25" s="260"/>
      <c r="AE25" s="260"/>
      <c r="AF25" s="260"/>
      <c r="AG25" s="496"/>
      <c r="AH25" s="319" t="s">
        <v>236</v>
      </c>
      <c r="AI25" s="8" t="s">
        <v>188</v>
      </c>
      <c r="AJ25" s="493">
        <v>0</v>
      </c>
    </row>
    <row r="26" spans="1:36" s="2" customFormat="1" ht="52.5" customHeight="1" x14ac:dyDescent="0.2">
      <c r="A26" s="809"/>
      <c r="B26" s="22"/>
      <c r="C26" s="22"/>
      <c r="D26" s="3" t="s">
        <v>131</v>
      </c>
      <c r="E26" s="5" t="s">
        <v>249</v>
      </c>
      <c r="F26" s="12" t="s">
        <v>250</v>
      </c>
      <c r="G26" s="5" t="s">
        <v>134</v>
      </c>
      <c r="H26" s="5" t="s">
        <v>251</v>
      </c>
      <c r="I26" s="13" t="s">
        <v>252</v>
      </c>
      <c r="J26" s="255">
        <v>1</v>
      </c>
      <c r="K26" s="68">
        <v>0</v>
      </c>
      <c r="L26" s="68">
        <v>200</v>
      </c>
      <c r="M26" s="12" t="s">
        <v>235</v>
      </c>
      <c r="N26" s="258"/>
      <c r="O26" s="258"/>
      <c r="P26" s="258"/>
      <c r="Q26" s="258"/>
      <c r="R26" s="258"/>
      <c r="S26" s="258"/>
      <c r="T26" s="258"/>
      <c r="U26" s="258"/>
      <c r="V26" s="258"/>
      <c r="W26" s="258"/>
      <c r="X26" s="258"/>
      <c r="Y26" s="486"/>
      <c r="Z26" s="499">
        <v>50</v>
      </c>
      <c r="AA26" s="260">
        <v>5</v>
      </c>
      <c r="AB26" s="260">
        <v>86</v>
      </c>
      <c r="AC26" s="260">
        <v>5</v>
      </c>
      <c r="AD26" s="260"/>
      <c r="AE26" s="260"/>
      <c r="AF26" s="260"/>
      <c r="AG26" s="496"/>
      <c r="AH26" s="319" t="s">
        <v>236</v>
      </c>
      <c r="AI26" s="8" t="s">
        <v>188</v>
      </c>
      <c r="AJ26" s="493">
        <v>0</v>
      </c>
    </row>
    <row r="27" spans="1:36" s="2" customFormat="1" ht="89.15" customHeight="1" x14ac:dyDescent="0.2">
      <c r="A27" s="809"/>
      <c r="B27" s="22"/>
      <c r="C27" s="22"/>
      <c r="D27" s="3"/>
      <c r="E27" s="5" t="s">
        <v>253</v>
      </c>
      <c r="F27" s="12" t="s">
        <v>254</v>
      </c>
      <c r="G27" s="5" t="s">
        <v>134</v>
      </c>
      <c r="H27" s="5" t="s">
        <v>255</v>
      </c>
      <c r="I27" s="13" t="s">
        <v>256</v>
      </c>
      <c r="J27" s="13">
        <v>1</v>
      </c>
      <c r="K27" s="706">
        <v>0</v>
      </c>
      <c r="L27" s="706">
        <v>100</v>
      </c>
      <c r="M27" s="13" t="s">
        <v>213</v>
      </c>
      <c r="N27" s="68"/>
      <c r="O27" s="68"/>
      <c r="P27" s="68"/>
      <c r="Q27" s="68">
        <v>32</v>
      </c>
      <c r="R27" s="68">
        <v>5</v>
      </c>
      <c r="S27" s="68"/>
      <c r="T27" s="68">
        <v>38</v>
      </c>
      <c r="U27" s="68">
        <v>5</v>
      </c>
      <c r="V27" s="68"/>
      <c r="W27" s="68"/>
      <c r="X27" s="68"/>
      <c r="Y27" s="487"/>
      <c r="Z27" s="552">
        <v>21</v>
      </c>
      <c r="AA27" s="161">
        <v>5</v>
      </c>
      <c r="AB27" s="161">
        <v>27</v>
      </c>
      <c r="AC27" s="161">
        <v>5</v>
      </c>
      <c r="AD27" s="161"/>
      <c r="AE27" s="161"/>
      <c r="AF27" s="161">
        <v>60</v>
      </c>
      <c r="AG27" s="498">
        <v>5</v>
      </c>
      <c r="AH27" s="627"/>
      <c r="AI27" s="8" t="s">
        <v>257</v>
      </c>
      <c r="AJ27" s="810">
        <v>2</v>
      </c>
    </row>
    <row r="28" spans="1:36" s="2" customFormat="1" ht="43.5" customHeight="1" x14ac:dyDescent="0.2">
      <c r="A28" s="990"/>
      <c r="B28" s="991"/>
      <c r="C28" s="991"/>
      <c r="D28" s="992"/>
      <c r="E28" s="704" t="s">
        <v>258</v>
      </c>
      <c r="F28" s="12" t="s">
        <v>259</v>
      </c>
      <c r="G28" s="5" t="s">
        <v>134</v>
      </c>
      <c r="H28" s="698" t="s">
        <v>260</v>
      </c>
      <c r="I28" s="13" t="s">
        <v>261</v>
      </c>
      <c r="J28" s="13">
        <v>1</v>
      </c>
      <c r="K28" s="68">
        <v>0</v>
      </c>
      <c r="L28" s="68">
        <v>27580</v>
      </c>
      <c r="M28" s="13" t="s">
        <v>262</v>
      </c>
      <c r="N28" s="68"/>
      <c r="O28" s="68"/>
      <c r="P28" s="68"/>
      <c r="Q28" s="68"/>
      <c r="R28" s="68"/>
      <c r="S28" s="68"/>
      <c r="T28" s="68"/>
      <c r="U28" s="68"/>
      <c r="V28" s="68"/>
      <c r="W28" s="68"/>
      <c r="X28" s="68"/>
      <c r="Y28" s="487"/>
      <c r="Z28" s="552"/>
      <c r="AA28" s="161"/>
      <c r="AB28" s="161"/>
      <c r="AC28" s="161"/>
      <c r="AD28" s="161"/>
      <c r="AE28" s="161"/>
      <c r="AF28" s="161"/>
      <c r="AG28" s="498"/>
      <c r="AH28" s="627"/>
      <c r="AI28" s="8" t="s">
        <v>263</v>
      </c>
      <c r="AJ28" s="810">
        <v>2</v>
      </c>
    </row>
    <row r="29" spans="1:36" s="2" customFormat="1" ht="183" customHeight="1" x14ac:dyDescent="0.2">
      <c r="A29" s="993"/>
      <c r="B29" s="994"/>
      <c r="C29" s="994"/>
      <c r="D29" s="995"/>
      <c r="E29" s="5" t="s">
        <v>264</v>
      </c>
      <c r="F29" s="12" t="s">
        <v>265</v>
      </c>
      <c r="G29" s="5" t="s">
        <v>134</v>
      </c>
      <c r="H29" s="5" t="s">
        <v>266</v>
      </c>
      <c r="I29" s="13" t="s">
        <v>267</v>
      </c>
      <c r="J29" s="255">
        <v>1</v>
      </c>
      <c r="K29" s="703">
        <v>-5</v>
      </c>
      <c r="L29" s="13">
        <v>100</v>
      </c>
      <c r="M29" s="13" t="s">
        <v>213</v>
      </c>
      <c r="N29" s="255"/>
      <c r="O29" s="255"/>
      <c r="P29" s="255"/>
      <c r="Q29" s="255">
        <v>32</v>
      </c>
      <c r="R29" s="255">
        <v>5</v>
      </c>
      <c r="S29" s="255"/>
      <c r="T29" s="703">
        <v>30</v>
      </c>
      <c r="U29" s="703">
        <v>5</v>
      </c>
      <c r="V29" s="255"/>
      <c r="W29" s="703">
        <v>38</v>
      </c>
      <c r="X29" s="703">
        <v>5</v>
      </c>
      <c r="Y29" s="485"/>
      <c r="Z29" s="501">
        <v>21</v>
      </c>
      <c r="AA29" s="12">
        <v>5</v>
      </c>
      <c r="AB29" s="12">
        <v>27</v>
      </c>
      <c r="AC29" s="12">
        <v>5</v>
      </c>
      <c r="AD29" s="703">
        <v>60</v>
      </c>
      <c r="AE29" s="703">
        <v>5</v>
      </c>
      <c r="AF29" s="703"/>
      <c r="AG29" s="996"/>
      <c r="AH29" s="319"/>
      <c r="AI29" s="8" t="s">
        <v>268</v>
      </c>
      <c r="AJ29" s="810">
        <v>2</v>
      </c>
    </row>
    <row r="30" spans="1:36" s="2" customFormat="1" ht="68.5" customHeight="1" x14ac:dyDescent="0.2">
      <c r="A30" s="809"/>
      <c r="B30" s="22"/>
      <c r="C30" s="22"/>
      <c r="D30" s="3"/>
      <c r="E30" s="5" t="s">
        <v>269</v>
      </c>
      <c r="F30" s="12" t="s">
        <v>270</v>
      </c>
      <c r="G30" s="5" t="s">
        <v>134</v>
      </c>
      <c r="H30" s="5" t="s">
        <v>271</v>
      </c>
      <c r="I30" s="13" t="s">
        <v>272</v>
      </c>
      <c r="J30" s="255">
        <v>1</v>
      </c>
      <c r="K30" s="68">
        <v>0</v>
      </c>
      <c r="L30" s="68">
        <v>2760</v>
      </c>
      <c r="M30" s="13" t="s">
        <v>262</v>
      </c>
      <c r="N30" s="258"/>
      <c r="O30" s="258"/>
      <c r="P30" s="258"/>
      <c r="Q30" s="258"/>
      <c r="R30" s="258"/>
      <c r="S30" s="258"/>
      <c r="T30" s="258"/>
      <c r="U30" s="258"/>
      <c r="V30" s="258"/>
      <c r="W30" s="258"/>
      <c r="X30" s="258"/>
      <c r="Y30" s="486"/>
      <c r="Z30" s="499"/>
      <c r="AA30" s="260"/>
      <c r="AB30" s="260"/>
      <c r="AC30" s="260"/>
      <c r="AD30" s="260">
        <v>727</v>
      </c>
      <c r="AE30" s="260">
        <v>5</v>
      </c>
      <c r="AF30" s="260"/>
      <c r="AG30" s="496"/>
      <c r="AH30" s="626"/>
      <c r="AI30" s="8" t="s">
        <v>273</v>
      </c>
      <c r="AJ30" s="502">
        <v>1</v>
      </c>
    </row>
    <row r="31" spans="1:36" s="2" customFormat="1" ht="47.5" customHeight="1" x14ac:dyDescent="0.2">
      <c r="A31" s="809"/>
      <c r="B31" s="22"/>
      <c r="C31" s="22"/>
      <c r="D31" s="3"/>
      <c r="E31" s="5" t="s">
        <v>274</v>
      </c>
      <c r="F31" s="12" t="s">
        <v>275</v>
      </c>
      <c r="G31" s="5" t="s">
        <v>134</v>
      </c>
      <c r="H31" s="5" t="s">
        <v>276</v>
      </c>
      <c r="I31" s="13" t="s">
        <v>277</v>
      </c>
      <c r="J31" s="255">
        <v>1</v>
      </c>
      <c r="K31" s="706">
        <v>-5</v>
      </c>
      <c r="L31" s="68">
        <v>100</v>
      </c>
      <c r="M31" s="13" t="s">
        <v>213</v>
      </c>
      <c r="N31" s="258"/>
      <c r="O31" s="258"/>
      <c r="P31" s="258"/>
      <c r="Q31" s="258">
        <v>40</v>
      </c>
      <c r="R31" s="258">
        <v>5</v>
      </c>
      <c r="S31" s="258"/>
      <c r="T31" s="68"/>
      <c r="U31" s="68"/>
      <c r="V31" s="258"/>
      <c r="W31" s="258"/>
      <c r="X31" s="258"/>
      <c r="Y31" s="486"/>
      <c r="Z31" s="499"/>
      <c r="AA31" s="260"/>
      <c r="AB31" s="13"/>
      <c r="AC31" s="13"/>
      <c r="AD31" s="13">
        <v>55</v>
      </c>
      <c r="AE31" s="13">
        <v>5</v>
      </c>
      <c r="AF31" s="13">
        <v>60</v>
      </c>
      <c r="AG31" s="502">
        <v>5</v>
      </c>
      <c r="AH31" s="626"/>
      <c r="AI31" s="8" t="s">
        <v>278</v>
      </c>
      <c r="AJ31" s="810">
        <v>2</v>
      </c>
    </row>
    <row r="32" spans="1:36" s="2" customFormat="1" ht="35.15" customHeight="1" x14ac:dyDescent="0.2">
      <c r="A32" s="809"/>
      <c r="B32" s="22"/>
      <c r="C32" s="22"/>
      <c r="D32" s="3"/>
      <c r="E32" s="785" t="s">
        <v>279</v>
      </c>
      <c r="F32" s="12" t="s">
        <v>280</v>
      </c>
      <c r="G32" s="5" t="s">
        <v>134</v>
      </c>
      <c r="H32" s="5" t="s">
        <v>281</v>
      </c>
      <c r="I32" s="13" t="s">
        <v>282</v>
      </c>
      <c r="J32" s="255">
        <v>1</v>
      </c>
      <c r="K32" s="68">
        <v>-20</v>
      </c>
      <c r="L32" s="68">
        <v>20</v>
      </c>
      <c r="M32" s="13" t="s">
        <v>213</v>
      </c>
      <c r="N32" s="258"/>
      <c r="O32" s="258"/>
      <c r="P32" s="258"/>
      <c r="Q32" s="258"/>
      <c r="R32" s="258"/>
      <c r="S32" s="258"/>
      <c r="T32" s="258"/>
      <c r="U32" s="258"/>
      <c r="V32" s="258"/>
      <c r="W32" s="258"/>
      <c r="X32" s="258"/>
      <c r="Y32" s="486"/>
      <c r="Z32" s="499"/>
      <c r="AA32" s="260"/>
      <c r="AB32" s="260"/>
      <c r="AC32" s="260"/>
      <c r="AD32" s="260"/>
      <c r="AE32" s="260"/>
      <c r="AF32" s="260"/>
      <c r="AG32" s="496"/>
      <c r="AH32" s="626"/>
      <c r="AI32" s="8"/>
      <c r="AJ32" s="502" t="s">
        <v>175</v>
      </c>
    </row>
    <row r="33" spans="1:36" s="2" customFormat="1" ht="53.5" customHeight="1" x14ac:dyDescent="0.2">
      <c r="A33" s="809"/>
      <c r="B33" s="22"/>
      <c r="C33" s="22"/>
      <c r="D33" s="3" t="s">
        <v>131</v>
      </c>
      <c r="E33" s="5" t="s">
        <v>283</v>
      </c>
      <c r="F33" s="12" t="s">
        <v>284</v>
      </c>
      <c r="G33" s="5" t="s">
        <v>134</v>
      </c>
      <c r="H33" s="5" t="s">
        <v>285</v>
      </c>
      <c r="I33" s="13" t="s">
        <v>286</v>
      </c>
      <c r="J33" s="13">
        <v>1</v>
      </c>
      <c r="K33" s="68">
        <v>0</v>
      </c>
      <c r="L33" s="68">
        <v>440</v>
      </c>
      <c r="M33" s="68" t="s">
        <v>287</v>
      </c>
      <c r="N33" s="68"/>
      <c r="O33" s="68"/>
      <c r="P33" s="68"/>
      <c r="Q33" s="68"/>
      <c r="R33" s="68"/>
      <c r="S33" s="68"/>
      <c r="T33" s="68"/>
      <c r="U33" s="68"/>
      <c r="V33" s="68"/>
      <c r="W33" s="68"/>
      <c r="X33" s="68"/>
      <c r="Y33" s="487"/>
      <c r="Z33" s="736"/>
      <c r="AA33" s="707"/>
      <c r="AB33" s="707">
        <v>44</v>
      </c>
      <c r="AC33" s="707">
        <v>5</v>
      </c>
      <c r="AD33" s="161"/>
      <c r="AE33" s="161"/>
      <c r="AF33" s="161"/>
      <c r="AG33" s="498"/>
      <c r="AH33" s="627"/>
      <c r="AI33" s="8" t="s">
        <v>203</v>
      </c>
      <c r="AJ33" s="810">
        <v>2</v>
      </c>
    </row>
    <row r="34" spans="1:36" s="2" customFormat="1" ht="78" customHeight="1" x14ac:dyDescent="0.2">
      <c r="A34" s="809"/>
      <c r="B34" s="22"/>
      <c r="C34" s="22"/>
      <c r="D34" s="3"/>
      <c r="E34" s="5" t="s">
        <v>288</v>
      </c>
      <c r="F34" s="12" t="s">
        <v>289</v>
      </c>
      <c r="G34" s="5" t="s">
        <v>290</v>
      </c>
      <c r="H34" s="5" t="s">
        <v>291</v>
      </c>
      <c r="I34" s="13" t="s">
        <v>292</v>
      </c>
      <c r="J34" s="13">
        <v>1</v>
      </c>
      <c r="K34" s="68">
        <v>0</v>
      </c>
      <c r="L34" s="68">
        <v>12.5</v>
      </c>
      <c r="M34" s="68" t="s">
        <v>193</v>
      </c>
      <c r="N34" s="68"/>
      <c r="O34" s="68"/>
      <c r="P34" s="68"/>
      <c r="Q34" s="68"/>
      <c r="R34" s="68"/>
      <c r="S34" s="68"/>
      <c r="T34" s="68"/>
      <c r="U34" s="68"/>
      <c r="V34" s="68"/>
      <c r="W34" s="68"/>
      <c r="X34" s="68"/>
      <c r="Y34" s="487"/>
      <c r="Z34" s="552"/>
      <c r="AA34" s="161"/>
      <c r="AB34" s="161"/>
      <c r="AC34" s="161"/>
      <c r="AD34" s="716">
        <v>1</v>
      </c>
      <c r="AE34" s="161">
        <v>5</v>
      </c>
      <c r="AF34" s="716">
        <v>2</v>
      </c>
      <c r="AG34" s="498">
        <v>5</v>
      </c>
      <c r="AH34" s="626"/>
      <c r="AI34" s="259" t="s">
        <v>293</v>
      </c>
      <c r="AJ34" s="502">
        <v>0</v>
      </c>
    </row>
    <row r="35" spans="1:36" s="2" customFormat="1" ht="78" customHeight="1" x14ac:dyDescent="0.2">
      <c r="A35" s="809"/>
      <c r="B35" s="22"/>
      <c r="C35" s="22"/>
      <c r="D35" s="3"/>
      <c r="E35" s="5" t="s">
        <v>294</v>
      </c>
      <c r="F35" s="12" t="s">
        <v>295</v>
      </c>
      <c r="G35" s="5" t="s">
        <v>290</v>
      </c>
      <c r="H35" s="5" t="s">
        <v>296</v>
      </c>
      <c r="I35" s="13" t="s">
        <v>292</v>
      </c>
      <c r="J35" s="13">
        <v>1</v>
      </c>
      <c r="K35" s="68">
        <v>-30</v>
      </c>
      <c r="L35" s="68">
        <v>80</v>
      </c>
      <c r="M35" s="13" t="s">
        <v>213</v>
      </c>
      <c r="N35" s="68"/>
      <c r="O35" s="68"/>
      <c r="P35" s="68"/>
      <c r="Q35" s="68"/>
      <c r="R35" s="68"/>
      <c r="S35" s="68"/>
      <c r="T35" s="68"/>
      <c r="U35" s="68"/>
      <c r="V35" s="68"/>
      <c r="W35" s="68"/>
      <c r="X35" s="68" t="s">
        <v>297</v>
      </c>
      <c r="Y35" s="487"/>
      <c r="Z35" s="552"/>
      <c r="AA35" s="161"/>
      <c r="AB35" s="161"/>
      <c r="AC35" s="161"/>
      <c r="AD35" s="717">
        <v>60</v>
      </c>
      <c r="AE35" s="161">
        <v>5</v>
      </c>
      <c r="AF35" s="717">
        <v>70</v>
      </c>
      <c r="AG35" s="498">
        <v>5</v>
      </c>
      <c r="AH35" s="626"/>
      <c r="AI35" s="259" t="s">
        <v>293</v>
      </c>
      <c r="AJ35" s="502">
        <v>1</v>
      </c>
    </row>
    <row r="36" spans="1:36" s="2" customFormat="1" ht="78" customHeight="1" x14ac:dyDescent="0.2">
      <c r="A36" s="809"/>
      <c r="B36" s="22"/>
      <c r="C36" s="22"/>
      <c r="D36" s="3"/>
      <c r="E36" s="5" t="s">
        <v>298</v>
      </c>
      <c r="F36" s="12" t="s">
        <v>299</v>
      </c>
      <c r="G36" s="5" t="s">
        <v>290</v>
      </c>
      <c r="H36" s="5" t="s">
        <v>300</v>
      </c>
      <c r="I36" s="13" t="s">
        <v>301</v>
      </c>
      <c r="J36" s="13">
        <v>1</v>
      </c>
      <c r="K36" s="68">
        <v>0</v>
      </c>
      <c r="L36" s="68">
        <v>12.5</v>
      </c>
      <c r="M36" s="68" t="s">
        <v>193</v>
      </c>
      <c r="N36" s="68"/>
      <c r="O36" s="68"/>
      <c r="P36" s="68"/>
      <c r="Q36" s="68"/>
      <c r="R36" s="68"/>
      <c r="S36" s="68"/>
      <c r="T36" s="68"/>
      <c r="U36" s="68"/>
      <c r="V36" s="68"/>
      <c r="W36" s="68"/>
      <c r="X36" s="68"/>
      <c r="Y36" s="487"/>
      <c r="Z36" s="552"/>
      <c r="AA36" s="161"/>
      <c r="AB36" s="161"/>
      <c r="AC36" s="161"/>
      <c r="AD36" s="716">
        <v>1</v>
      </c>
      <c r="AE36" s="161">
        <v>5</v>
      </c>
      <c r="AF36" s="716">
        <v>2</v>
      </c>
      <c r="AG36" s="498">
        <v>5</v>
      </c>
      <c r="AH36" s="626"/>
      <c r="AI36" s="259" t="s">
        <v>302</v>
      </c>
      <c r="AJ36" s="502">
        <v>0</v>
      </c>
    </row>
    <row r="37" spans="1:36" s="2" customFormat="1" ht="78" customHeight="1" x14ac:dyDescent="0.2">
      <c r="A37" s="809"/>
      <c r="B37" s="22"/>
      <c r="C37" s="22"/>
      <c r="D37" s="3"/>
      <c r="E37" s="5" t="s">
        <v>303</v>
      </c>
      <c r="F37" s="12" t="s">
        <v>304</v>
      </c>
      <c r="G37" s="5" t="s">
        <v>290</v>
      </c>
      <c r="H37" s="704" t="s">
        <v>305</v>
      </c>
      <c r="I37" s="13" t="s">
        <v>301</v>
      </c>
      <c r="J37" s="13">
        <v>1</v>
      </c>
      <c r="K37" s="706">
        <v>-30</v>
      </c>
      <c r="L37" s="706">
        <v>80</v>
      </c>
      <c r="M37" s="703" t="s">
        <v>213</v>
      </c>
      <c r="N37" s="68"/>
      <c r="O37" s="68"/>
      <c r="P37" s="68"/>
      <c r="Q37" s="68"/>
      <c r="R37" s="68"/>
      <c r="S37" s="68"/>
      <c r="T37" s="68"/>
      <c r="U37" s="68"/>
      <c r="V37" s="68"/>
      <c r="W37" s="68"/>
      <c r="X37" s="68"/>
      <c r="Y37" s="487"/>
      <c r="Z37" s="552"/>
      <c r="AA37" s="161"/>
      <c r="AB37" s="161"/>
      <c r="AC37" s="161"/>
      <c r="AD37" s="879">
        <v>60</v>
      </c>
      <c r="AE37" s="161">
        <v>5</v>
      </c>
      <c r="AF37" s="879">
        <v>70</v>
      </c>
      <c r="AG37" s="498">
        <v>5</v>
      </c>
      <c r="AH37" s="626"/>
      <c r="AI37" s="259" t="s">
        <v>302</v>
      </c>
      <c r="AJ37" s="502">
        <v>1</v>
      </c>
    </row>
    <row r="38" spans="1:36" s="2" customFormat="1" ht="148.5" customHeight="1" x14ac:dyDescent="0.2">
      <c r="A38" s="809"/>
      <c r="B38" s="22"/>
      <c r="C38" s="22"/>
      <c r="D38" s="3"/>
      <c r="E38" s="5" t="s">
        <v>306</v>
      </c>
      <c r="F38" s="12" t="s">
        <v>307</v>
      </c>
      <c r="G38" s="5" t="s">
        <v>290</v>
      </c>
      <c r="H38" s="5" t="s">
        <v>308</v>
      </c>
      <c r="I38" s="13" t="s">
        <v>309</v>
      </c>
      <c r="J38" s="13">
        <v>1</v>
      </c>
      <c r="K38" s="13">
        <v>0</v>
      </c>
      <c r="L38" s="13">
        <v>2500</v>
      </c>
      <c r="M38" s="13" t="s">
        <v>310</v>
      </c>
      <c r="N38" s="68"/>
      <c r="O38" s="68"/>
      <c r="P38" s="68"/>
      <c r="Q38" s="68"/>
      <c r="R38" s="68"/>
      <c r="S38" s="68"/>
      <c r="T38" s="68"/>
      <c r="U38" s="68"/>
      <c r="V38" s="68"/>
      <c r="W38" s="68"/>
      <c r="X38" s="68"/>
      <c r="Y38" s="487"/>
      <c r="Z38" s="495">
        <v>300</v>
      </c>
      <c r="AA38" s="96">
        <v>5</v>
      </c>
      <c r="AB38" s="96">
        <v>800</v>
      </c>
      <c r="AC38" s="96">
        <v>5</v>
      </c>
      <c r="AD38" s="96">
        <v>1300</v>
      </c>
      <c r="AE38" s="96">
        <v>5</v>
      </c>
      <c r="AF38" s="96">
        <v>1800</v>
      </c>
      <c r="AG38" s="718">
        <v>5</v>
      </c>
      <c r="AH38" s="626" t="s">
        <v>311</v>
      </c>
      <c r="AI38" s="8" t="s">
        <v>312</v>
      </c>
      <c r="AJ38" s="502">
        <v>1</v>
      </c>
    </row>
    <row r="39" spans="1:36" s="2" customFormat="1" ht="78.650000000000006" customHeight="1" x14ac:dyDescent="0.2">
      <c r="A39" s="809"/>
      <c r="B39" s="22"/>
      <c r="C39" s="22"/>
      <c r="D39" s="3"/>
      <c r="E39" s="5" t="s">
        <v>313</v>
      </c>
      <c r="F39" s="705" t="s">
        <v>314</v>
      </c>
      <c r="G39" s="5" t="s">
        <v>134</v>
      </c>
      <c r="H39" s="645" t="s">
        <v>315</v>
      </c>
      <c r="I39" s="13" t="s">
        <v>316</v>
      </c>
      <c r="J39" s="13">
        <v>1</v>
      </c>
      <c r="K39" s="13">
        <v>-5</v>
      </c>
      <c r="L39" s="13">
        <v>80</v>
      </c>
      <c r="M39" s="13" t="s">
        <v>213</v>
      </c>
      <c r="N39" s="68"/>
      <c r="O39" s="68"/>
      <c r="P39" s="68"/>
      <c r="Q39" s="68"/>
      <c r="R39" s="68"/>
      <c r="S39" s="68"/>
      <c r="T39" s="68"/>
      <c r="U39" s="68"/>
      <c r="V39" s="68"/>
      <c r="W39" s="68"/>
      <c r="X39" s="68"/>
      <c r="Y39" s="487"/>
      <c r="Z39" s="719"/>
      <c r="AA39" s="720"/>
      <c r="AB39" s="720"/>
      <c r="AC39" s="720"/>
      <c r="AD39" s="720">
        <v>30</v>
      </c>
      <c r="AE39" s="720">
        <v>5</v>
      </c>
      <c r="AF39" s="720"/>
      <c r="AG39" s="721"/>
      <c r="AH39" s="627"/>
      <c r="AI39" s="8" t="s">
        <v>317</v>
      </c>
      <c r="AJ39" s="502">
        <v>2</v>
      </c>
    </row>
    <row r="40" spans="1:36" s="2" customFormat="1" ht="78.650000000000006" customHeight="1" x14ac:dyDescent="0.2">
      <c r="A40" s="809"/>
      <c r="B40" s="22"/>
      <c r="C40" s="22"/>
      <c r="D40" s="3"/>
      <c r="E40" s="5" t="s">
        <v>318</v>
      </c>
      <c r="F40" s="705" t="s">
        <v>319</v>
      </c>
      <c r="G40" s="5" t="s">
        <v>134</v>
      </c>
      <c r="H40" s="645" t="s">
        <v>320</v>
      </c>
      <c r="I40" s="13" t="s">
        <v>321</v>
      </c>
      <c r="J40" s="13">
        <v>1</v>
      </c>
      <c r="K40" s="13">
        <v>-5</v>
      </c>
      <c r="L40" s="13">
        <v>80</v>
      </c>
      <c r="M40" s="13" t="s">
        <v>213</v>
      </c>
      <c r="N40" s="68"/>
      <c r="O40" s="68"/>
      <c r="P40" s="68"/>
      <c r="Q40" s="68"/>
      <c r="R40" s="68"/>
      <c r="S40" s="68"/>
      <c r="T40" s="68"/>
      <c r="U40" s="68"/>
      <c r="V40" s="68"/>
      <c r="W40" s="68"/>
      <c r="X40" s="68"/>
      <c r="Y40" s="487"/>
      <c r="Z40" s="719"/>
      <c r="AA40" s="720"/>
      <c r="AB40" s="720"/>
      <c r="AC40" s="720"/>
      <c r="AD40" s="720">
        <v>30</v>
      </c>
      <c r="AE40" s="720">
        <v>5</v>
      </c>
      <c r="AF40" s="720"/>
      <c r="AG40" s="721"/>
      <c r="AH40" s="627"/>
      <c r="AI40" s="8" t="s">
        <v>317</v>
      </c>
      <c r="AJ40" s="502">
        <v>2</v>
      </c>
    </row>
    <row r="41" spans="1:36" s="2" customFormat="1" ht="78.650000000000006" customHeight="1" x14ac:dyDescent="0.2">
      <c r="A41" s="809"/>
      <c r="B41" s="22"/>
      <c r="C41" s="22"/>
      <c r="D41" s="3"/>
      <c r="E41" s="5" t="s">
        <v>322</v>
      </c>
      <c r="F41" s="705" t="s">
        <v>323</v>
      </c>
      <c r="G41" s="5" t="s">
        <v>134</v>
      </c>
      <c r="H41" s="645" t="s">
        <v>324</v>
      </c>
      <c r="I41" s="13" t="s">
        <v>325</v>
      </c>
      <c r="J41" s="13">
        <v>1</v>
      </c>
      <c r="K41" s="13">
        <v>-5</v>
      </c>
      <c r="L41" s="13">
        <v>80</v>
      </c>
      <c r="M41" s="13" t="s">
        <v>213</v>
      </c>
      <c r="N41" s="68"/>
      <c r="O41" s="68"/>
      <c r="P41" s="68"/>
      <c r="Q41" s="68"/>
      <c r="R41" s="68"/>
      <c r="S41" s="68"/>
      <c r="T41" s="68"/>
      <c r="U41" s="68"/>
      <c r="V41" s="68"/>
      <c r="W41" s="68"/>
      <c r="X41" s="68"/>
      <c r="Y41" s="487"/>
      <c r="Z41" s="719"/>
      <c r="AA41" s="720"/>
      <c r="AB41" s="720"/>
      <c r="AC41" s="720"/>
      <c r="AD41" s="720">
        <v>30</v>
      </c>
      <c r="AE41" s="720">
        <v>5</v>
      </c>
      <c r="AF41" s="720"/>
      <c r="AG41" s="721"/>
      <c r="AH41" s="627"/>
      <c r="AI41" s="8" t="s">
        <v>317</v>
      </c>
      <c r="AJ41" s="502">
        <v>2</v>
      </c>
    </row>
    <row r="42" spans="1:36" s="2" customFormat="1" ht="144" customHeight="1" x14ac:dyDescent="0.2">
      <c r="A42" s="809"/>
      <c r="B42" s="22"/>
      <c r="C42" s="22"/>
      <c r="D42" s="3"/>
      <c r="E42" s="5" t="s">
        <v>326</v>
      </c>
      <c r="F42" s="12" t="s">
        <v>327</v>
      </c>
      <c r="G42" s="5" t="s">
        <v>328</v>
      </c>
      <c r="H42" s="5" t="s">
        <v>329</v>
      </c>
      <c r="I42" s="13" t="s">
        <v>330</v>
      </c>
      <c r="J42" s="13">
        <v>1</v>
      </c>
      <c r="K42" s="13">
        <v>0</v>
      </c>
      <c r="L42" s="13">
        <v>1100</v>
      </c>
      <c r="M42" s="13" t="s">
        <v>331</v>
      </c>
      <c r="N42" s="68"/>
      <c r="O42" s="68"/>
      <c r="P42" s="68"/>
      <c r="Q42" s="68"/>
      <c r="R42" s="68"/>
      <c r="S42" s="68"/>
      <c r="T42" s="68"/>
      <c r="U42" s="68"/>
      <c r="V42" s="68"/>
      <c r="W42" s="68"/>
      <c r="X42" s="68"/>
      <c r="Y42" s="487"/>
      <c r="Z42" s="719"/>
      <c r="AA42" s="720"/>
      <c r="AB42" s="720">
        <v>600</v>
      </c>
      <c r="AC42" s="720">
        <v>5</v>
      </c>
      <c r="AD42" s="720">
        <v>1000</v>
      </c>
      <c r="AE42" s="720">
        <v>5</v>
      </c>
      <c r="AF42" s="720"/>
      <c r="AG42" s="721"/>
      <c r="AH42" s="649" t="s">
        <v>332</v>
      </c>
      <c r="AI42" s="259" t="s">
        <v>333</v>
      </c>
      <c r="AJ42" s="502">
        <v>1</v>
      </c>
    </row>
    <row r="43" spans="1:36" s="2" customFormat="1" ht="97.5" customHeight="1" x14ac:dyDescent="0.2">
      <c r="A43" s="809"/>
      <c r="B43" s="22"/>
      <c r="C43" s="22"/>
      <c r="D43" s="3"/>
      <c r="E43" s="5" t="s">
        <v>334</v>
      </c>
      <c r="F43" s="12" t="s">
        <v>335</v>
      </c>
      <c r="G43" s="5" t="s">
        <v>336</v>
      </c>
      <c r="H43" s="5" t="s">
        <v>337</v>
      </c>
      <c r="I43" s="12" t="s">
        <v>338</v>
      </c>
      <c r="J43" s="255">
        <v>1</v>
      </c>
      <c r="K43" s="258">
        <v>0</v>
      </c>
      <c r="L43" s="68">
        <v>100</v>
      </c>
      <c r="M43" s="13" t="s">
        <v>44</v>
      </c>
      <c r="N43" s="255"/>
      <c r="O43" s="255"/>
      <c r="P43" s="255"/>
      <c r="Q43" s="255"/>
      <c r="R43" s="255"/>
      <c r="S43" s="255"/>
      <c r="T43" s="255"/>
      <c r="U43" s="255"/>
      <c r="V43" s="255"/>
      <c r="W43" s="255"/>
      <c r="X43" s="255"/>
      <c r="Y43" s="493"/>
      <c r="Z43" s="501">
        <v>20</v>
      </c>
      <c r="AA43" s="12">
        <v>5</v>
      </c>
      <c r="AB43" s="12">
        <v>30</v>
      </c>
      <c r="AC43" s="12">
        <v>5</v>
      </c>
      <c r="AD43" s="12">
        <v>80</v>
      </c>
      <c r="AE43" s="12">
        <v>5</v>
      </c>
      <c r="AF43" s="12">
        <v>90</v>
      </c>
      <c r="AG43" s="619">
        <v>5</v>
      </c>
      <c r="AH43" s="650"/>
      <c r="AI43" s="8" t="s">
        <v>339</v>
      </c>
      <c r="AJ43" s="493">
        <v>0</v>
      </c>
    </row>
    <row r="44" spans="1:36" s="2" customFormat="1" ht="70.5" customHeight="1" x14ac:dyDescent="0.2">
      <c r="A44" s="809"/>
      <c r="B44" s="22"/>
      <c r="C44" s="22"/>
      <c r="D44" s="3"/>
      <c r="E44" s="5" t="s">
        <v>340</v>
      </c>
      <c r="F44" s="12" t="s">
        <v>341</v>
      </c>
      <c r="G44" s="5" t="s">
        <v>290</v>
      </c>
      <c r="H44" s="645" t="s">
        <v>342</v>
      </c>
      <c r="I44" s="12" t="s">
        <v>343</v>
      </c>
      <c r="J44" s="13">
        <v>1</v>
      </c>
      <c r="K44" s="13">
        <v>-20</v>
      </c>
      <c r="L44" s="255">
        <v>200</v>
      </c>
      <c r="M44" s="13" t="s">
        <v>213</v>
      </c>
      <c r="N44" s="255"/>
      <c r="O44" s="255"/>
      <c r="P44" s="255"/>
      <c r="Q44" s="255"/>
      <c r="R44" s="255"/>
      <c r="S44" s="255"/>
      <c r="T44" s="255"/>
      <c r="U44" s="255"/>
      <c r="V44" s="255"/>
      <c r="W44" s="255"/>
      <c r="X44" s="255"/>
      <c r="Y44" s="485"/>
      <c r="Z44" s="646"/>
      <c r="AA44" s="162"/>
      <c r="AB44" s="162"/>
      <c r="AC44" s="162"/>
      <c r="AD44" s="162">
        <v>140</v>
      </c>
      <c r="AE44" s="162">
        <v>5</v>
      </c>
      <c r="AF44" s="162">
        <v>150</v>
      </c>
      <c r="AG44" s="647">
        <v>5</v>
      </c>
      <c r="AH44" s="648"/>
      <c r="AI44" s="8" t="s">
        <v>344</v>
      </c>
      <c r="AJ44" s="493">
        <v>0</v>
      </c>
    </row>
    <row r="45" spans="1:36" s="2" customFormat="1" ht="70.5" customHeight="1" x14ac:dyDescent="0.2">
      <c r="A45" s="809"/>
      <c r="B45" s="22"/>
      <c r="C45" s="22"/>
      <c r="D45" s="3"/>
      <c r="E45" s="5" t="s">
        <v>345</v>
      </c>
      <c r="F45" s="12" t="s">
        <v>346</v>
      </c>
      <c r="G45" s="5" t="s">
        <v>290</v>
      </c>
      <c r="H45" s="645" t="s">
        <v>347</v>
      </c>
      <c r="I45" s="12" t="s">
        <v>348</v>
      </c>
      <c r="J45" s="13">
        <v>1</v>
      </c>
      <c r="K45" s="13">
        <v>-20</v>
      </c>
      <c r="L45" s="255">
        <v>200</v>
      </c>
      <c r="M45" s="13" t="s">
        <v>213</v>
      </c>
      <c r="N45" s="255"/>
      <c r="O45" s="255"/>
      <c r="P45" s="255"/>
      <c r="Q45" s="255"/>
      <c r="R45" s="255"/>
      <c r="S45" s="255"/>
      <c r="T45" s="255"/>
      <c r="U45" s="255"/>
      <c r="V45" s="255"/>
      <c r="W45" s="255"/>
      <c r="X45" s="255"/>
      <c r="Y45" s="485"/>
      <c r="Z45" s="646"/>
      <c r="AA45" s="162"/>
      <c r="AB45" s="162"/>
      <c r="AC45" s="162"/>
      <c r="AD45" s="162">
        <v>140</v>
      </c>
      <c r="AE45" s="162">
        <v>5</v>
      </c>
      <c r="AF45" s="162">
        <v>150</v>
      </c>
      <c r="AG45" s="647">
        <v>5</v>
      </c>
      <c r="AH45" s="648"/>
      <c r="AI45" s="8" t="s">
        <v>344</v>
      </c>
      <c r="AJ45" s="493">
        <v>0</v>
      </c>
    </row>
    <row r="46" spans="1:36" s="2" customFormat="1" ht="70.5" customHeight="1" x14ac:dyDescent="0.2">
      <c r="A46" s="809"/>
      <c r="B46" s="22"/>
      <c r="C46" s="22"/>
      <c r="D46" s="3"/>
      <c r="E46" s="5" t="s">
        <v>349</v>
      </c>
      <c r="F46" s="12" t="s">
        <v>350</v>
      </c>
      <c r="G46" s="5" t="s">
        <v>290</v>
      </c>
      <c r="H46" s="645" t="s">
        <v>351</v>
      </c>
      <c r="I46" s="12" t="s">
        <v>352</v>
      </c>
      <c r="J46" s="13">
        <v>1</v>
      </c>
      <c r="K46" s="13">
        <v>-20</v>
      </c>
      <c r="L46" s="255">
        <v>200</v>
      </c>
      <c r="M46" s="13" t="s">
        <v>213</v>
      </c>
      <c r="N46" s="255"/>
      <c r="O46" s="255"/>
      <c r="P46" s="255"/>
      <c r="Q46" s="255"/>
      <c r="R46" s="255"/>
      <c r="S46" s="255"/>
      <c r="T46" s="255"/>
      <c r="U46" s="255"/>
      <c r="V46" s="255"/>
      <c r="W46" s="255"/>
      <c r="X46" s="255"/>
      <c r="Y46" s="485"/>
      <c r="Z46" s="646"/>
      <c r="AA46" s="162"/>
      <c r="AB46" s="162"/>
      <c r="AC46" s="162"/>
      <c r="AD46" s="162">
        <v>140</v>
      </c>
      <c r="AE46" s="162">
        <v>5</v>
      </c>
      <c r="AF46" s="162">
        <v>150</v>
      </c>
      <c r="AG46" s="647">
        <v>5</v>
      </c>
      <c r="AH46" s="648"/>
      <c r="AI46" s="8" t="s">
        <v>344</v>
      </c>
      <c r="AJ46" s="493">
        <v>0</v>
      </c>
    </row>
    <row r="47" spans="1:36" s="2" customFormat="1" ht="70.5" customHeight="1" x14ac:dyDescent="0.2">
      <c r="A47" s="809"/>
      <c r="B47" s="22"/>
      <c r="C47" s="22"/>
      <c r="D47" s="3"/>
      <c r="E47" s="5" t="s">
        <v>353</v>
      </c>
      <c r="F47" s="12" t="s">
        <v>354</v>
      </c>
      <c r="G47" s="5" t="s">
        <v>290</v>
      </c>
      <c r="H47" s="645" t="s">
        <v>355</v>
      </c>
      <c r="I47" s="12" t="s">
        <v>356</v>
      </c>
      <c r="J47" s="13">
        <v>1</v>
      </c>
      <c r="K47" s="13">
        <v>-20</v>
      </c>
      <c r="L47" s="255">
        <v>200</v>
      </c>
      <c r="M47" s="13" t="s">
        <v>213</v>
      </c>
      <c r="N47" s="255"/>
      <c r="O47" s="255"/>
      <c r="P47" s="255"/>
      <c r="Q47" s="255"/>
      <c r="R47" s="255"/>
      <c r="S47" s="255"/>
      <c r="T47" s="255"/>
      <c r="U47" s="255"/>
      <c r="V47" s="255"/>
      <c r="W47" s="255"/>
      <c r="X47" s="255"/>
      <c r="Y47" s="485"/>
      <c r="Z47" s="646"/>
      <c r="AA47" s="162"/>
      <c r="AB47" s="162"/>
      <c r="AC47" s="162"/>
      <c r="AD47" s="162">
        <v>90</v>
      </c>
      <c r="AE47" s="162">
        <v>5</v>
      </c>
      <c r="AF47" s="162">
        <v>95</v>
      </c>
      <c r="AG47" s="647">
        <v>5</v>
      </c>
      <c r="AH47" s="648"/>
      <c r="AI47" s="8" t="s">
        <v>344</v>
      </c>
      <c r="AJ47" s="493">
        <v>0</v>
      </c>
    </row>
    <row r="48" spans="1:36" s="2" customFormat="1" ht="70.5" customHeight="1" x14ac:dyDescent="0.2">
      <c r="A48" s="809"/>
      <c r="B48" s="22"/>
      <c r="C48" s="22"/>
      <c r="D48" s="3"/>
      <c r="E48" s="5" t="s">
        <v>357</v>
      </c>
      <c r="F48" s="12" t="s">
        <v>358</v>
      </c>
      <c r="G48" s="5" t="s">
        <v>290</v>
      </c>
      <c r="H48" s="645" t="s">
        <v>359</v>
      </c>
      <c r="I48" s="12" t="s">
        <v>360</v>
      </c>
      <c r="J48" s="13">
        <v>1</v>
      </c>
      <c r="K48" s="13">
        <v>-20</v>
      </c>
      <c r="L48" s="255">
        <v>200</v>
      </c>
      <c r="M48" s="13" t="s">
        <v>213</v>
      </c>
      <c r="N48" s="255"/>
      <c r="O48" s="255"/>
      <c r="P48" s="255"/>
      <c r="Q48" s="255"/>
      <c r="R48" s="255"/>
      <c r="S48" s="255"/>
      <c r="T48" s="255"/>
      <c r="U48" s="255"/>
      <c r="V48" s="255"/>
      <c r="W48" s="255"/>
      <c r="X48" s="255"/>
      <c r="Y48" s="485"/>
      <c r="Z48" s="646"/>
      <c r="AA48" s="162"/>
      <c r="AB48" s="162"/>
      <c r="AC48" s="162"/>
      <c r="AD48" s="162">
        <v>90</v>
      </c>
      <c r="AE48" s="162">
        <v>5</v>
      </c>
      <c r="AF48" s="162">
        <v>95</v>
      </c>
      <c r="AG48" s="647">
        <v>5</v>
      </c>
      <c r="AH48" s="648"/>
      <c r="AI48" s="8" t="s">
        <v>344</v>
      </c>
      <c r="AJ48" s="493">
        <v>0</v>
      </c>
    </row>
    <row r="49" spans="1:36" s="2" customFormat="1" ht="70.5" customHeight="1" x14ac:dyDescent="0.2">
      <c r="A49" s="809"/>
      <c r="B49" s="22"/>
      <c r="C49" s="22"/>
      <c r="D49" s="3"/>
      <c r="E49" s="5" t="s">
        <v>361</v>
      </c>
      <c r="F49" s="12" t="s">
        <v>362</v>
      </c>
      <c r="G49" s="5" t="s">
        <v>290</v>
      </c>
      <c r="H49" s="645" t="s">
        <v>363</v>
      </c>
      <c r="I49" s="12" t="s">
        <v>364</v>
      </c>
      <c r="J49" s="13">
        <v>1</v>
      </c>
      <c r="K49" s="13">
        <v>-20</v>
      </c>
      <c r="L49" s="255">
        <v>200</v>
      </c>
      <c r="M49" s="13" t="s">
        <v>213</v>
      </c>
      <c r="N49" s="255"/>
      <c r="O49" s="255"/>
      <c r="P49" s="255"/>
      <c r="Q49" s="255"/>
      <c r="R49" s="255"/>
      <c r="S49" s="255"/>
      <c r="T49" s="255"/>
      <c r="U49" s="255"/>
      <c r="V49" s="255"/>
      <c r="W49" s="255"/>
      <c r="X49" s="255"/>
      <c r="Y49" s="485"/>
      <c r="Z49" s="646"/>
      <c r="AA49" s="162"/>
      <c r="AB49" s="162"/>
      <c r="AC49" s="162"/>
      <c r="AD49" s="162">
        <v>140</v>
      </c>
      <c r="AE49" s="162">
        <v>5</v>
      </c>
      <c r="AF49" s="162">
        <v>150</v>
      </c>
      <c r="AG49" s="647">
        <v>5</v>
      </c>
      <c r="AH49" s="648"/>
      <c r="AI49" s="8" t="s">
        <v>344</v>
      </c>
      <c r="AJ49" s="493">
        <v>0</v>
      </c>
    </row>
    <row r="50" spans="1:36" s="2" customFormat="1" ht="70.5" customHeight="1" x14ac:dyDescent="0.2">
      <c r="A50" s="809"/>
      <c r="B50" s="22"/>
      <c r="C50" s="22"/>
      <c r="D50" s="3"/>
      <c r="E50" s="5" t="s">
        <v>365</v>
      </c>
      <c r="F50" s="12" t="s">
        <v>366</v>
      </c>
      <c r="G50" s="5" t="s">
        <v>290</v>
      </c>
      <c r="H50" s="645" t="s">
        <v>367</v>
      </c>
      <c r="I50" s="12" t="s">
        <v>368</v>
      </c>
      <c r="J50" s="13">
        <v>1</v>
      </c>
      <c r="K50" s="13">
        <v>-20</v>
      </c>
      <c r="L50" s="255">
        <v>200</v>
      </c>
      <c r="M50" s="13" t="s">
        <v>213</v>
      </c>
      <c r="N50" s="255"/>
      <c r="O50" s="255"/>
      <c r="P50" s="255"/>
      <c r="Q50" s="255"/>
      <c r="R50" s="255"/>
      <c r="S50" s="255"/>
      <c r="T50" s="255"/>
      <c r="U50" s="255"/>
      <c r="V50" s="255"/>
      <c r="W50" s="255"/>
      <c r="X50" s="255"/>
      <c r="Y50" s="485"/>
      <c r="Z50" s="646"/>
      <c r="AA50" s="162"/>
      <c r="AB50" s="162"/>
      <c r="AC50" s="162"/>
      <c r="AD50" s="162">
        <v>140</v>
      </c>
      <c r="AE50" s="162">
        <v>5</v>
      </c>
      <c r="AF50" s="162">
        <v>150</v>
      </c>
      <c r="AG50" s="647">
        <v>5</v>
      </c>
      <c r="AH50" s="648"/>
      <c r="AI50" s="8" t="s">
        <v>344</v>
      </c>
      <c r="AJ50" s="493">
        <v>0</v>
      </c>
    </row>
    <row r="51" spans="1:36" s="2" customFormat="1" ht="70.5" customHeight="1" x14ac:dyDescent="0.2">
      <c r="A51" s="809"/>
      <c r="B51" s="22"/>
      <c r="C51" s="22"/>
      <c r="D51" s="3"/>
      <c r="E51" s="5" t="s">
        <v>369</v>
      </c>
      <c r="F51" s="12" t="s">
        <v>370</v>
      </c>
      <c r="G51" s="5" t="s">
        <v>290</v>
      </c>
      <c r="H51" s="645" t="s">
        <v>371</v>
      </c>
      <c r="I51" s="12" t="s">
        <v>372</v>
      </c>
      <c r="J51" s="13">
        <v>1</v>
      </c>
      <c r="K51" s="13">
        <v>-20</v>
      </c>
      <c r="L51" s="255">
        <v>200</v>
      </c>
      <c r="M51" s="13" t="s">
        <v>213</v>
      </c>
      <c r="N51" s="255"/>
      <c r="O51" s="255"/>
      <c r="P51" s="255"/>
      <c r="Q51" s="255"/>
      <c r="R51" s="255"/>
      <c r="S51" s="255"/>
      <c r="T51" s="255"/>
      <c r="U51" s="255"/>
      <c r="V51" s="255"/>
      <c r="W51" s="255"/>
      <c r="X51" s="255"/>
      <c r="Y51" s="485"/>
      <c r="Z51" s="646"/>
      <c r="AA51" s="162"/>
      <c r="AB51" s="162"/>
      <c r="AC51" s="162"/>
      <c r="AD51" s="162">
        <v>140</v>
      </c>
      <c r="AE51" s="162">
        <v>5</v>
      </c>
      <c r="AF51" s="162">
        <v>150</v>
      </c>
      <c r="AG51" s="647">
        <v>5</v>
      </c>
      <c r="AH51" s="648"/>
      <c r="AI51" s="8" t="s">
        <v>344</v>
      </c>
      <c r="AJ51" s="493">
        <v>0</v>
      </c>
    </row>
    <row r="52" spans="1:36" s="2" customFormat="1" ht="70.5" customHeight="1" x14ac:dyDescent="0.2">
      <c r="A52" s="809"/>
      <c r="B52" s="22"/>
      <c r="C52" s="22"/>
      <c r="D52" s="3"/>
      <c r="E52" s="5" t="s">
        <v>373</v>
      </c>
      <c r="F52" s="12" t="s">
        <v>374</v>
      </c>
      <c r="G52" s="5" t="s">
        <v>290</v>
      </c>
      <c r="H52" s="645" t="s">
        <v>375</v>
      </c>
      <c r="I52" s="12" t="s">
        <v>376</v>
      </c>
      <c r="J52" s="13">
        <v>1</v>
      </c>
      <c r="K52" s="13">
        <v>-20</v>
      </c>
      <c r="L52" s="255">
        <v>200</v>
      </c>
      <c r="M52" s="13" t="s">
        <v>213</v>
      </c>
      <c r="N52" s="255"/>
      <c r="O52" s="255"/>
      <c r="P52" s="255"/>
      <c r="Q52" s="255"/>
      <c r="R52" s="255"/>
      <c r="S52" s="255"/>
      <c r="T52" s="255"/>
      <c r="U52" s="255"/>
      <c r="V52" s="255"/>
      <c r="W52" s="255"/>
      <c r="X52" s="255"/>
      <c r="Y52" s="485"/>
      <c r="Z52" s="646"/>
      <c r="AA52" s="162"/>
      <c r="AB52" s="162"/>
      <c r="AC52" s="162"/>
      <c r="AD52" s="162">
        <v>90</v>
      </c>
      <c r="AE52" s="162">
        <v>5</v>
      </c>
      <c r="AF52" s="162">
        <v>95</v>
      </c>
      <c r="AG52" s="647">
        <v>5</v>
      </c>
      <c r="AH52" s="648"/>
      <c r="AI52" s="8" t="s">
        <v>344</v>
      </c>
      <c r="AJ52" s="493">
        <v>0</v>
      </c>
    </row>
    <row r="53" spans="1:36" s="2" customFormat="1" ht="70.5" customHeight="1" x14ac:dyDescent="0.2">
      <c r="A53" s="809"/>
      <c r="B53" s="22"/>
      <c r="C53" s="22"/>
      <c r="D53" s="3"/>
      <c r="E53" s="5" t="s">
        <v>377</v>
      </c>
      <c r="F53" s="12" t="s">
        <v>378</v>
      </c>
      <c r="G53" s="5" t="s">
        <v>290</v>
      </c>
      <c r="H53" s="645" t="s">
        <v>379</v>
      </c>
      <c r="I53" s="12" t="s">
        <v>380</v>
      </c>
      <c r="J53" s="13">
        <v>1</v>
      </c>
      <c r="K53" s="13">
        <v>-20</v>
      </c>
      <c r="L53" s="255">
        <v>200</v>
      </c>
      <c r="M53" s="13" t="s">
        <v>213</v>
      </c>
      <c r="N53" s="255"/>
      <c r="O53" s="255"/>
      <c r="P53" s="255"/>
      <c r="Q53" s="255"/>
      <c r="R53" s="255"/>
      <c r="S53" s="255"/>
      <c r="T53" s="255"/>
      <c r="U53" s="255"/>
      <c r="V53" s="255"/>
      <c r="W53" s="255"/>
      <c r="X53" s="255"/>
      <c r="Y53" s="485"/>
      <c r="Z53" s="501"/>
      <c r="AA53" s="12"/>
      <c r="AB53" s="12"/>
      <c r="AC53" s="12"/>
      <c r="AD53" s="162">
        <v>90</v>
      </c>
      <c r="AE53" s="162">
        <v>5</v>
      </c>
      <c r="AF53" s="162">
        <v>95</v>
      </c>
      <c r="AG53" s="647">
        <v>5</v>
      </c>
      <c r="AH53" s="648"/>
      <c r="AI53" s="8" t="s">
        <v>344</v>
      </c>
      <c r="AJ53" s="493">
        <v>0</v>
      </c>
    </row>
    <row r="54" spans="1:36" s="2" customFormat="1" ht="141" customHeight="1" x14ac:dyDescent="0.2">
      <c r="A54" s="990"/>
      <c r="B54" s="991"/>
      <c r="C54" s="991"/>
      <c r="D54" s="992"/>
      <c r="E54" s="5" t="s">
        <v>381</v>
      </c>
      <c r="F54" s="12" t="s">
        <v>382</v>
      </c>
      <c r="G54" s="5" t="s">
        <v>383</v>
      </c>
      <c r="H54" s="645" t="s">
        <v>384</v>
      </c>
      <c r="I54" s="12" t="s">
        <v>385</v>
      </c>
      <c r="J54" s="13">
        <v>1</v>
      </c>
      <c r="K54" s="13">
        <v>0</v>
      </c>
      <c r="L54" s="13">
        <v>100</v>
      </c>
      <c r="M54" s="13" t="s">
        <v>44</v>
      </c>
      <c r="N54" s="255"/>
      <c r="O54" s="255"/>
      <c r="P54" s="255"/>
      <c r="Q54" s="255">
        <v>35</v>
      </c>
      <c r="R54" s="255">
        <v>5</v>
      </c>
      <c r="S54" s="255"/>
      <c r="T54" s="255">
        <v>75</v>
      </c>
      <c r="U54" s="255">
        <v>5</v>
      </c>
      <c r="V54" s="255"/>
      <c r="W54" s="255"/>
      <c r="X54" s="255"/>
      <c r="Y54" s="485"/>
      <c r="Z54" s="501">
        <v>20</v>
      </c>
      <c r="AA54" s="12">
        <v>5</v>
      </c>
      <c r="AB54" s="12">
        <v>30</v>
      </c>
      <c r="AC54" s="12">
        <v>5</v>
      </c>
      <c r="AD54" s="12">
        <v>80</v>
      </c>
      <c r="AE54" s="12">
        <v>5</v>
      </c>
      <c r="AF54" s="12"/>
      <c r="AG54" s="619"/>
      <c r="AH54" s="665"/>
      <c r="AI54" s="8" t="s">
        <v>386</v>
      </c>
      <c r="AJ54" s="493">
        <v>0</v>
      </c>
    </row>
    <row r="55" spans="1:36" s="2" customFormat="1" ht="69.650000000000006" customHeight="1" x14ac:dyDescent="0.2">
      <c r="A55" s="1010"/>
      <c r="B55" s="227"/>
      <c r="C55" s="227"/>
      <c r="D55" s="1011"/>
      <c r="E55" s="5" t="s">
        <v>387</v>
      </c>
      <c r="F55" s="12" t="s">
        <v>388</v>
      </c>
      <c r="G55" s="5" t="s">
        <v>383</v>
      </c>
      <c r="H55" s="645" t="s">
        <v>389</v>
      </c>
      <c r="I55" s="12" t="s">
        <v>385</v>
      </c>
      <c r="J55" s="13">
        <v>1</v>
      </c>
      <c r="K55" s="703">
        <v>-5</v>
      </c>
      <c r="L55" s="13">
        <v>100</v>
      </c>
      <c r="M55" s="13" t="s">
        <v>213</v>
      </c>
      <c r="N55" s="13"/>
      <c r="O55" s="13"/>
      <c r="P55" s="13"/>
      <c r="Q55" s="13"/>
      <c r="R55" s="13"/>
      <c r="S55" s="13"/>
      <c r="T55" s="13"/>
      <c r="U55" s="13"/>
      <c r="V55" s="13"/>
      <c r="W55" s="13"/>
      <c r="X55" s="13"/>
      <c r="Y55" s="568"/>
      <c r="Z55" s="501"/>
      <c r="AA55" s="12"/>
      <c r="AB55" s="12"/>
      <c r="AC55" s="12"/>
      <c r="AD55" s="12">
        <v>30</v>
      </c>
      <c r="AE55" s="12">
        <v>5</v>
      </c>
      <c r="AF55" s="12"/>
      <c r="AG55" s="619"/>
      <c r="AH55" s="163" t="s">
        <v>390</v>
      </c>
      <c r="AI55" s="8" t="s">
        <v>391</v>
      </c>
      <c r="AJ55" s="810">
        <v>2</v>
      </c>
    </row>
    <row r="56" spans="1:36" s="2" customFormat="1" ht="54" customHeight="1" x14ac:dyDescent="0.2">
      <c r="A56" s="993"/>
      <c r="B56" s="994"/>
      <c r="C56" s="994"/>
      <c r="D56" s="995"/>
      <c r="E56" s="5" t="s">
        <v>392</v>
      </c>
      <c r="F56" s="12" t="s">
        <v>393</v>
      </c>
      <c r="G56" s="5" t="s">
        <v>383</v>
      </c>
      <c r="H56" s="645" t="s">
        <v>394</v>
      </c>
      <c r="I56" s="12" t="s">
        <v>395</v>
      </c>
      <c r="J56" s="13">
        <v>1</v>
      </c>
      <c r="K56" s="703">
        <v>-5</v>
      </c>
      <c r="L56" s="13">
        <v>100</v>
      </c>
      <c r="M56" s="13" t="s">
        <v>213</v>
      </c>
      <c r="N56" s="13"/>
      <c r="O56" s="13"/>
      <c r="P56" s="13"/>
      <c r="Q56" s="13"/>
      <c r="R56" s="13"/>
      <c r="S56" s="13"/>
      <c r="T56" s="13"/>
      <c r="U56" s="13"/>
      <c r="V56" s="13"/>
      <c r="W56" s="13"/>
      <c r="X56" s="13"/>
      <c r="Y56" s="568"/>
      <c r="Z56" s="646"/>
      <c r="AA56" s="162"/>
      <c r="AB56" s="162"/>
      <c r="AC56" s="162"/>
      <c r="AD56" s="162">
        <v>20</v>
      </c>
      <c r="AE56" s="162">
        <v>5</v>
      </c>
      <c r="AF56" s="162"/>
      <c r="AG56" s="647"/>
      <c r="AH56" s="163" t="s">
        <v>390</v>
      </c>
      <c r="AI56" s="8" t="s">
        <v>396</v>
      </c>
      <c r="AJ56" s="810">
        <v>2</v>
      </c>
    </row>
    <row r="57" spans="1:36" ht="82.5" customHeight="1" x14ac:dyDescent="0.3">
      <c r="A57" s="814"/>
      <c r="E57" s="5" t="s">
        <v>397</v>
      </c>
      <c r="F57" s="12" t="s">
        <v>398</v>
      </c>
      <c r="G57" s="5" t="s">
        <v>134</v>
      </c>
      <c r="H57" s="645" t="s">
        <v>399</v>
      </c>
      <c r="I57" s="13" t="s">
        <v>400</v>
      </c>
      <c r="J57" s="13">
        <v>1</v>
      </c>
      <c r="K57" s="68">
        <v>-50</v>
      </c>
      <c r="L57" s="68">
        <v>200</v>
      </c>
      <c r="M57" s="13" t="s">
        <v>213</v>
      </c>
      <c r="N57" s="172"/>
      <c r="O57" s="172"/>
      <c r="P57" s="172"/>
      <c r="Q57" s="172"/>
      <c r="R57" s="172"/>
      <c r="S57" s="172"/>
      <c r="T57" s="12">
        <v>70</v>
      </c>
      <c r="U57" s="12">
        <v>5</v>
      </c>
      <c r="V57" s="172"/>
      <c r="W57" s="172"/>
      <c r="X57" s="172"/>
      <c r="Y57" s="172"/>
      <c r="Z57" s="719"/>
      <c r="AA57" s="720"/>
      <c r="AB57" s="720"/>
      <c r="AC57" s="720"/>
      <c r="AD57" s="720"/>
      <c r="AE57" s="720"/>
      <c r="AF57" s="720">
        <v>90</v>
      </c>
      <c r="AG57" s="721">
        <v>5</v>
      </c>
      <c r="AH57" s="172"/>
      <c r="AI57" s="8" t="s">
        <v>401</v>
      </c>
      <c r="AJ57" s="502">
        <v>1</v>
      </c>
    </row>
    <row r="58" spans="1:36" ht="75.650000000000006" customHeight="1" x14ac:dyDescent="0.3">
      <c r="A58" s="814"/>
      <c r="B58" s="5"/>
      <c r="C58" s="12"/>
      <c r="D58" s="5"/>
      <c r="E58" s="5" t="s">
        <v>402</v>
      </c>
      <c r="F58" s="12" t="s">
        <v>403</v>
      </c>
      <c r="G58" s="5" t="s">
        <v>134</v>
      </c>
      <c r="H58" s="698" t="s">
        <v>404</v>
      </c>
      <c r="I58" s="13" t="s">
        <v>405</v>
      </c>
      <c r="J58" s="13">
        <v>1</v>
      </c>
      <c r="K58" s="68">
        <v>-50</v>
      </c>
      <c r="L58" s="68">
        <v>200</v>
      </c>
      <c r="M58" s="13" t="s">
        <v>213</v>
      </c>
      <c r="N58" s="13"/>
      <c r="O58" s="13"/>
      <c r="P58" s="13"/>
      <c r="Q58" s="13"/>
      <c r="R58" s="13"/>
      <c r="S58" s="13"/>
      <c r="T58" s="13"/>
      <c r="U58" s="13"/>
      <c r="V58" s="96"/>
      <c r="W58" s="96"/>
      <c r="X58" s="96"/>
      <c r="Y58" s="96"/>
      <c r="Z58" s="719"/>
      <c r="AA58" s="720"/>
      <c r="AB58" s="720"/>
      <c r="AC58" s="720"/>
      <c r="AD58" s="720">
        <v>60</v>
      </c>
      <c r="AE58" s="720">
        <v>5</v>
      </c>
      <c r="AF58" s="720">
        <v>90</v>
      </c>
      <c r="AG58" s="721">
        <v>5</v>
      </c>
      <c r="AH58" s="12"/>
      <c r="AI58" s="8" t="s">
        <v>406</v>
      </c>
      <c r="AJ58" s="502">
        <v>0</v>
      </c>
    </row>
    <row r="59" spans="1:36" ht="74.5" customHeight="1" x14ac:dyDescent="0.3">
      <c r="A59" s="814"/>
      <c r="B59" s="5"/>
      <c r="C59" s="12"/>
      <c r="D59" s="5"/>
      <c r="E59" s="5" t="s">
        <v>407</v>
      </c>
      <c r="F59" s="12" t="s">
        <v>408</v>
      </c>
      <c r="G59" s="5" t="s">
        <v>290</v>
      </c>
      <c r="H59" s="698" t="s">
        <v>409</v>
      </c>
      <c r="I59" s="13" t="s">
        <v>410</v>
      </c>
      <c r="J59" s="13">
        <v>1</v>
      </c>
      <c r="K59" s="68">
        <v>0</v>
      </c>
      <c r="L59" s="68">
        <v>12.5</v>
      </c>
      <c r="M59" s="13" t="s">
        <v>193</v>
      </c>
      <c r="N59" s="13"/>
      <c r="O59" s="13"/>
      <c r="P59" s="13"/>
      <c r="Q59" s="13"/>
      <c r="R59" s="13"/>
      <c r="S59" s="13"/>
      <c r="T59" s="13"/>
      <c r="U59" s="13"/>
      <c r="V59" s="96"/>
      <c r="W59" s="96"/>
      <c r="X59" s="96"/>
      <c r="Y59" s="96"/>
      <c r="Z59" s="719"/>
      <c r="AA59" s="720"/>
      <c r="AB59" s="720"/>
      <c r="AC59" s="720"/>
      <c r="AD59" s="720">
        <v>1</v>
      </c>
      <c r="AE59" s="720">
        <v>5</v>
      </c>
      <c r="AF59" s="720">
        <v>2</v>
      </c>
      <c r="AG59" s="721">
        <v>5</v>
      </c>
      <c r="AH59" s="12"/>
      <c r="AI59" s="8" t="s">
        <v>293</v>
      </c>
      <c r="AJ59" s="502">
        <v>1</v>
      </c>
    </row>
    <row r="60" spans="1:36" ht="74.5" customHeight="1" x14ac:dyDescent="0.3">
      <c r="A60" s="814"/>
      <c r="B60" s="5"/>
      <c r="C60" s="12"/>
      <c r="D60" s="5"/>
      <c r="E60" s="5" t="s">
        <v>411</v>
      </c>
      <c r="F60" s="12" t="s">
        <v>412</v>
      </c>
      <c r="G60" s="5" t="s">
        <v>290</v>
      </c>
      <c r="H60" s="698" t="s">
        <v>413</v>
      </c>
      <c r="I60" s="13" t="s">
        <v>410</v>
      </c>
      <c r="J60" s="13">
        <v>1</v>
      </c>
      <c r="K60" s="68">
        <v>-30</v>
      </c>
      <c r="L60" s="68">
        <v>80</v>
      </c>
      <c r="M60" s="13" t="s">
        <v>213</v>
      </c>
      <c r="N60" s="13"/>
      <c r="O60" s="13"/>
      <c r="P60" s="13"/>
      <c r="Q60" s="13"/>
      <c r="R60" s="13"/>
      <c r="S60" s="13"/>
      <c r="T60" s="13"/>
      <c r="U60" s="13"/>
      <c r="V60" s="96"/>
      <c r="W60" s="96"/>
      <c r="X60" s="96"/>
      <c r="Y60" s="96"/>
      <c r="Z60" s="719"/>
      <c r="AA60" s="720"/>
      <c r="AB60" s="720"/>
      <c r="AC60" s="720"/>
      <c r="AD60" s="720">
        <v>60</v>
      </c>
      <c r="AE60" s="720">
        <v>5</v>
      </c>
      <c r="AF60" s="720">
        <v>70</v>
      </c>
      <c r="AG60" s="721">
        <v>5</v>
      </c>
      <c r="AH60" s="12"/>
      <c r="AI60" s="8" t="s">
        <v>293</v>
      </c>
      <c r="AJ60" s="502">
        <v>1</v>
      </c>
    </row>
    <row r="61" spans="1:36" ht="74.5" customHeight="1" x14ac:dyDescent="0.3">
      <c r="A61" s="814"/>
      <c r="B61" s="5"/>
      <c r="C61" s="12"/>
      <c r="D61" s="5"/>
      <c r="E61" s="5" t="s">
        <v>414</v>
      </c>
      <c r="F61" s="12" t="s">
        <v>415</v>
      </c>
      <c r="G61" s="5" t="s">
        <v>290</v>
      </c>
      <c r="H61" s="698" t="s">
        <v>416</v>
      </c>
      <c r="I61" s="13" t="s">
        <v>417</v>
      </c>
      <c r="J61" s="13">
        <v>1</v>
      </c>
      <c r="K61" s="68">
        <v>0</v>
      </c>
      <c r="L61" s="68">
        <v>12.5</v>
      </c>
      <c r="M61" s="13" t="s">
        <v>193</v>
      </c>
      <c r="N61" s="13"/>
      <c r="O61" s="13"/>
      <c r="P61" s="13"/>
      <c r="Q61" s="13"/>
      <c r="R61" s="13"/>
      <c r="S61" s="13"/>
      <c r="T61" s="13"/>
      <c r="U61" s="13"/>
      <c r="V61" s="96"/>
      <c r="W61" s="96"/>
      <c r="X61" s="96"/>
      <c r="Y61" s="96"/>
      <c r="Z61" s="719"/>
      <c r="AA61" s="720"/>
      <c r="AB61" s="720"/>
      <c r="AC61" s="720"/>
      <c r="AD61" s="720">
        <v>1</v>
      </c>
      <c r="AE61" s="720">
        <v>5</v>
      </c>
      <c r="AF61" s="720">
        <v>2</v>
      </c>
      <c r="AG61" s="721">
        <v>5</v>
      </c>
      <c r="AH61" s="12"/>
      <c r="AI61" s="8" t="s">
        <v>302</v>
      </c>
      <c r="AJ61" s="502">
        <v>1</v>
      </c>
    </row>
    <row r="62" spans="1:36" ht="74.5" customHeight="1" thickBot="1" x14ac:dyDescent="0.35">
      <c r="A62" s="815"/>
      <c r="B62" s="816"/>
      <c r="C62" s="817"/>
      <c r="D62" s="816"/>
      <c r="E62" s="816" t="s">
        <v>418</v>
      </c>
      <c r="F62" s="817" t="s">
        <v>419</v>
      </c>
      <c r="G62" s="816" t="s">
        <v>290</v>
      </c>
      <c r="H62" s="818" t="s">
        <v>420</v>
      </c>
      <c r="I62" s="819" t="s">
        <v>417</v>
      </c>
      <c r="J62" s="819">
        <v>1</v>
      </c>
      <c r="K62" s="820">
        <v>-30</v>
      </c>
      <c r="L62" s="820">
        <v>80</v>
      </c>
      <c r="M62" s="819" t="s">
        <v>213</v>
      </c>
      <c r="N62" s="819"/>
      <c r="O62" s="819"/>
      <c r="P62" s="819"/>
      <c r="Q62" s="819"/>
      <c r="R62" s="819"/>
      <c r="S62" s="819"/>
      <c r="T62" s="819"/>
      <c r="U62" s="819"/>
      <c r="V62" s="821"/>
      <c r="W62" s="821"/>
      <c r="X62" s="821"/>
      <c r="Y62" s="821"/>
      <c r="Z62" s="822"/>
      <c r="AA62" s="821"/>
      <c r="AB62" s="821"/>
      <c r="AC62" s="821"/>
      <c r="AD62" s="821">
        <v>60</v>
      </c>
      <c r="AE62" s="821">
        <v>5</v>
      </c>
      <c r="AF62" s="821">
        <v>70</v>
      </c>
      <c r="AG62" s="823">
        <v>5</v>
      </c>
      <c r="AH62" s="817"/>
      <c r="AI62" s="824" t="s">
        <v>302</v>
      </c>
      <c r="AJ62" s="825">
        <v>1</v>
      </c>
    </row>
    <row r="63" spans="1:36" ht="30" customHeight="1" x14ac:dyDescent="0.3">
      <c r="A63" s="1"/>
      <c r="B63" s="804"/>
      <c r="C63" s="804"/>
      <c r="D63" s="804"/>
      <c r="E63" s="231" t="s">
        <v>421</v>
      </c>
      <c r="F63" s="17"/>
      <c r="G63" s="17"/>
      <c r="H63" s="125"/>
      <c r="I63" s="125"/>
      <c r="J63" s="232"/>
      <c r="K63" s="233"/>
      <c r="L63" s="234"/>
      <c r="M63" s="233"/>
      <c r="N63" s="233"/>
      <c r="O63" s="233"/>
      <c r="P63" s="233"/>
      <c r="Q63" s="233"/>
      <c r="R63" s="233"/>
      <c r="S63" s="233"/>
      <c r="T63" s="233"/>
      <c r="U63" s="233"/>
      <c r="V63" s="233"/>
      <c r="W63" s="233"/>
      <c r="X63" s="233"/>
      <c r="Y63" s="233"/>
      <c r="Z63" s="233"/>
      <c r="AA63" s="233"/>
      <c r="AB63" s="233"/>
      <c r="AC63" s="233"/>
      <c r="AD63" s="233"/>
      <c r="AE63" s="233"/>
      <c r="AF63" s="233"/>
      <c r="AG63" s="233"/>
      <c r="AH63" s="233"/>
      <c r="AI63" s="805"/>
      <c r="AJ63" s="232"/>
    </row>
    <row r="64" spans="1:36" ht="13.4" customHeight="1" x14ac:dyDescent="0.3">
      <c r="A64" s="1"/>
    </row>
    <row r="66" spans="5:35" ht="13.4" customHeight="1" x14ac:dyDescent="0.3">
      <c r="E66" s="171">
        <f>COUNTA(E3:E62)</f>
        <v>60</v>
      </c>
      <c r="F66" s="171">
        <f>COUNTA(F3:F62)</f>
        <v>60</v>
      </c>
    </row>
    <row r="67" spans="5:35" ht="13.4" customHeight="1" x14ac:dyDescent="0.3">
      <c r="AI67" s="482"/>
    </row>
    <row r="100" ht="14" x14ac:dyDescent="0.3"/>
    <row r="122" ht="14" x14ac:dyDescent="0.3"/>
  </sheetData>
  <autoFilter ref="A2:AJ63" xr:uid="{00000000-0001-0000-0300-000000000000}"/>
  <mergeCells count="8">
    <mergeCell ref="Z1:AG1"/>
    <mergeCell ref="H1:H2"/>
    <mergeCell ref="G1:G2"/>
    <mergeCell ref="E1:E2"/>
    <mergeCell ref="N1:Y1"/>
    <mergeCell ref="K1:M1"/>
    <mergeCell ref="F1:F2"/>
    <mergeCell ref="I1:I2"/>
  </mergeCells>
  <phoneticPr fontId="0" type="noConversion"/>
  <conditionalFormatting sqref="E3:F62">
    <cfRule type="expression" dxfId="89" priority="21">
      <formula>LEN(E3)&gt;12</formula>
    </cfRule>
    <cfRule type="duplicateValues" dxfId="88" priority="3978"/>
  </conditionalFormatting>
  <conditionalFormatting sqref="I3:I62">
    <cfRule type="expression" dxfId="87" priority="16">
      <formula>LEN(I3)&gt;24</formula>
    </cfRule>
  </conditionalFormatting>
  <printOptions horizontalCentered="1"/>
  <pageMargins left="0.39370078740157483" right="0.39370078740157483" top="0.59055118110236227" bottom="0.59055118110236227" header="0.59055118110236227" footer="0.39370078740157483"/>
  <pageSetup paperSize="8" scale="21" fitToHeight="0" orientation="landscape" r:id="rId1"/>
  <headerFooter scaleWithDoc="0"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89165-C615-49AB-99A3-F8E8CCDB8489}">
  <sheetPr codeName="Sheet14">
    <tabColor indexed="39"/>
    <pageSetUpPr fitToPage="1"/>
  </sheetPr>
  <dimension ref="A1:N114"/>
  <sheetViews>
    <sheetView view="pageBreakPreview" topLeftCell="F1" zoomScale="60" zoomScaleNormal="70" workbookViewId="0">
      <selection activeCell="H25" sqref="H25"/>
    </sheetView>
  </sheetViews>
  <sheetFormatPr defaultColWidth="18.6640625" defaultRowHeight="13.4" customHeight="1" x14ac:dyDescent="0.3"/>
  <cols>
    <col min="1" max="4" width="11.44140625" style="181" hidden="1" customWidth="1"/>
    <col min="5" max="5" width="44.44140625" style="89" customWidth="1"/>
    <col min="6" max="6" width="31.44140625" style="89" bestFit="1" customWidth="1"/>
    <col min="7" max="7" width="37" style="7" customWidth="1"/>
    <col min="8" max="8" width="79.109375" style="90" bestFit="1" customWidth="1"/>
    <col min="9" max="9" width="10.44140625" style="97" customWidth="1"/>
    <col min="10" max="10" width="10.44140625" style="89" customWidth="1"/>
    <col min="11" max="11" width="10.44140625" style="98" customWidth="1"/>
    <col min="12" max="12" width="10.44140625" style="89" customWidth="1"/>
    <col min="13" max="13" width="66.6640625" style="14" customWidth="1"/>
    <col min="14" max="14" width="6.6640625" style="97" customWidth="1"/>
    <col min="15" max="16384" width="18.6640625" style="1"/>
  </cols>
  <sheetData>
    <row r="1" spans="1:14" s="100" customFormat="1" ht="21" customHeight="1" x14ac:dyDescent="0.4">
      <c r="A1" s="93"/>
      <c r="B1" s="93"/>
      <c r="C1" s="93"/>
      <c r="D1" s="93"/>
      <c r="E1" s="19" t="s">
        <v>1</v>
      </c>
      <c r="F1" s="19"/>
      <c r="G1" s="79"/>
      <c r="H1" s="19"/>
      <c r="I1" s="91"/>
      <c r="J1" s="28"/>
      <c r="K1" s="28"/>
      <c r="L1" s="92"/>
      <c r="M1" s="103"/>
      <c r="N1" s="93"/>
    </row>
    <row r="2" spans="1:14" s="100" customFormat="1" ht="21" customHeight="1" x14ac:dyDescent="0.4">
      <c r="A2" s="93"/>
      <c r="B2" s="93"/>
      <c r="C2" s="93"/>
      <c r="D2" s="93"/>
      <c r="E2" s="19" t="s">
        <v>37</v>
      </c>
      <c r="F2" s="19"/>
      <c r="G2" s="79"/>
      <c r="H2" s="19"/>
      <c r="I2" s="83"/>
      <c r="J2" s="79"/>
      <c r="K2" s="79"/>
      <c r="L2" s="79"/>
      <c r="M2" s="103"/>
      <c r="N2" s="93"/>
    </row>
    <row r="3" spans="1:14" s="100" customFormat="1" ht="21" customHeight="1" thickBot="1" x14ac:dyDescent="0.45">
      <c r="A3" s="93"/>
      <c r="B3" s="93"/>
      <c r="C3" s="93"/>
      <c r="D3" s="93"/>
      <c r="E3" s="80" t="s">
        <v>2</v>
      </c>
      <c r="F3" s="80"/>
      <c r="G3" s="99"/>
      <c r="H3" s="101"/>
      <c r="I3" s="104"/>
      <c r="J3" s="101"/>
      <c r="K3" s="101"/>
      <c r="L3" s="101"/>
      <c r="M3" s="103"/>
      <c r="N3" s="93"/>
    </row>
    <row r="4" spans="1:14" s="95" customFormat="1" ht="25.5" customHeight="1" thickBot="1" x14ac:dyDescent="0.35">
      <c r="A4" s="180"/>
      <c r="B4" s="180"/>
      <c r="C4" s="180"/>
      <c r="D4" s="180"/>
      <c r="E4" s="1050" t="s">
        <v>422</v>
      </c>
      <c r="F4" s="1051"/>
      <c r="G4" s="1051"/>
      <c r="H4" s="1051"/>
      <c r="I4" s="1051"/>
      <c r="J4" s="1051"/>
      <c r="K4" s="1051"/>
      <c r="L4" s="1051"/>
      <c r="M4" s="1051"/>
      <c r="N4" s="1052"/>
    </row>
    <row r="5" spans="1:14" s="102" customFormat="1" ht="18" customHeight="1" x14ac:dyDescent="0.2">
      <c r="A5" s="87"/>
      <c r="B5" s="87"/>
      <c r="C5" s="87"/>
      <c r="D5" s="87"/>
      <c r="E5" s="1058" t="s">
        <v>102</v>
      </c>
      <c r="F5" s="1058" t="s">
        <v>103</v>
      </c>
      <c r="G5" s="1056" t="s">
        <v>104</v>
      </c>
      <c r="H5" s="1056" t="s">
        <v>106</v>
      </c>
      <c r="I5" s="185"/>
      <c r="J5" s="1060" t="s">
        <v>90</v>
      </c>
      <c r="K5" s="1054"/>
      <c r="L5" s="1061"/>
      <c r="M5" s="966"/>
      <c r="N5" s="935"/>
    </row>
    <row r="6" spans="1:14" s="95" customFormat="1" ht="48.75" customHeight="1" x14ac:dyDescent="0.3">
      <c r="A6" s="934" t="s">
        <v>108</v>
      </c>
      <c r="B6" s="934" t="s">
        <v>109</v>
      </c>
      <c r="C6" s="934" t="s">
        <v>110</v>
      </c>
      <c r="D6" s="934" t="s">
        <v>111</v>
      </c>
      <c r="E6" s="1059"/>
      <c r="F6" s="1059"/>
      <c r="G6" s="1057"/>
      <c r="H6" s="1057"/>
      <c r="I6" s="194" t="s">
        <v>112</v>
      </c>
      <c r="J6" s="41" t="s">
        <v>113</v>
      </c>
      <c r="K6" s="67" t="s">
        <v>114</v>
      </c>
      <c r="L6" s="41" t="s">
        <v>115</v>
      </c>
      <c r="M6" s="967" t="s">
        <v>129</v>
      </c>
      <c r="N6" s="967" t="s">
        <v>130</v>
      </c>
    </row>
    <row r="7" spans="1:14" s="95" customFormat="1" ht="48.75" customHeight="1" x14ac:dyDescent="0.3">
      <c r="A7" s="934"/>
      <c r="B7" s="934"/>
      <c r="C7" s="934"/>
      <c r="D7" s="934"/>
      <c r="E7" s="971"/>
      <c r="F7" s="971"/>
      <c r="G7" s="967"/>
      <c r="H7" s="967"/>
      <c r="I7" s="194"/>
      <c r="J7" s="41"/>
      <c r="K7" s="67"/>
      <c r="L7" s="41"/>
      <c r="M7" s="967"/>
      <c r="N7" s="967"/>
    </row>
    <row r="8" spans="1:14" ht="30" customHeight="1" x14ac:dyDescent="0.3">
      <c r="E8" s="231" t="s">
        <v>421</v>
      </c>
      <c r="F8" s="17"/>
      <c r="G8" s="17"/>
      <c r="H8" s="125"/>
      <c r="I8" s="232"/>
      <c r="J8" s="233"/>
      <c r="K8" s="234"/>
      <c r="L8" s="233"/>
      <c r="M8" s="805"/>
      <c r="N8" s="232"/>
    </row>
    <row r="12" spans="1:14" s="7" customFormat="1" ht="13.4" customHeight="1" x14ac:dyDescent="0.3">
      <c r="A12" s="181"/>
      <c r="B12" s="181"/>
      <c r="C12" s="181"/>
      <c r="D12" s="181"/>
      <c r="E12" s="171">
        <v>0</v>
      </c>
      <c r="F12" s="171">
        <v>0</v>
      </c>
      <c r="H12" s="90"/>
      <c r="I12" s="97"/>
      <c r="J12" s="89"/>
      <c r="K12" s="98"/>
      <c r="L12" s="89"/>
      <c r="M12" s="14"/>
      <c r="N12" s="97"/>
    </row>
    <row r="21" ht="14" x14ac:dyDescent="0.3"/>
    <row r="22" ht="14" x14ac:dyDescent="0.3"/>
    <row r="51" spans="3:3" ht="13.4" customHeight="1" x14ac:dyDescent="0.3">
      <c r="C51" s="181" t="s">
        <v>15</v>
      </c>
    </row>
    <row r="92" ht="14" x14ac:dyDescent="0.3"/>
    <row r="114" ht="14" x14ac:dyDescent="0.3"/>
  </sheetData>
  <autoFilter ref="A6:N6" xr:uid="{00000000-0001-0000-0300-000000000000}"/>
  <mergeCells count="6">
    <mergeCell ref="J5:L5"/>
    <mergeCell ref="E4:N4"/>
    <mergeCell ref="E5:E6"/>
    <mergeCell ref="F5:F6"/>
    <mergeCell ref="G5:G6"/>
    <mergeCell ref="H5:H6"/>
  </mergeCells>
  <printOptions horizontalCentered="1"/>
  <pageMargins left="0.39370078740157483" right="0.39370078740157483" top="0.59055118110236227" bottom="0.59055118110236227" header="0.59055118110236227" footer="0.39370078740157483"/>
  <pageSetup paperSize="8" scale="57" fitToHeight="0" orientation="landscape" r:id="rId1"/>
  <headerFooter scaleWithDoc="0"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2819B-48A5-4B3C-B05A-E3C57C61B86C}">
  <sheetPr codeName="Sheet15">
    <tabColor indexed="39"/>
    <pageSetUpPr fitToPage="1"/>
  </sheetPr>
  <dimension ref="A1:P114"/>
  <sheetViews>
    <sheetView view="pageBreakPreview" topLeftCell="K10" zoomScale="115" zoomScaleNormal="10" zoomScaleSheetLayoutView="115" workbookViewId="0">
      <selection activeCell="O9" sqref="O9"/>
    </sheetView>
  </sheetViews>
  <sheetFormatPr defaultColWidth="18.6640625" defaultRowHeight="13.4" customHeight="1" outlineLevelCol="1" x14ac:dyDescent="0.2"/>
  <cols>
    <col min="1" max="3" width="11.44140625" style="3" hidden="1" customWidth="1"/>
    <col min="4" max="4" width="20.44140625" style="3" hidden="1" customWidth="1"/>
    <col min="5" max="5" width="34.44140625" style="21" customWidth="1"/>
    <col min="6" max="6" width="37.109375" style="21" customWidth="1"/>
    <col min="7" max="7" width="36.6640625" style="4" hidden="1" customWidth="1"/>
    <col min="8" max="8" width="132.44140625" style="4" customWidth="1" outlineLevel="1"/>
    <col min="9" max="9" width="36.6640625" style="4" customWidth="1"/>
    <col min="10" max="10" width="22.44140625" style="4" customWidth="1"/>
    <col min="11" max="11" width="20.6640625" style="3" customWidth="1"/>
    <col min="12" max="12" width="17" style="3" customWidth="1"/>
    <col min="13" max="13" width="16.33203125" style="21" customWidth="1"/>
    <col min="14" max="14" width="28.6640625" style="21" customWidth="1"/>
    <col min="15" max="15" width="81.33203125" style="21" customWidth="1"/>
    <col min="16" max="16" width="6.6640625" style="22" customWidth="1"/>
    <col min="17" max="16384" width="18.6640625" style="2"/>
  </cols>
  <sheetData>
    <row r="1" spans="1:16" s="80" customFormat="1" ht="21" customHeight="1" x14ac:dyDescent="0.2">
      <c r="A1" s="94"/>
      <c r="B1" s="94"/>
      <c r="C1" s="94"/>
      <c r="D1" s="94"/>
      <c r="E1" s="19" t="s">
        <v>1</v>
      </c>
      <c r="F1" s="19"/>
      <c r="G1" s="24"/>
      <c r="H1" s="19"/>
      <c r="I1" s="19"/>
      <c r="J1" s="19"/>
      <c r="K1" s="106"/>
      <c r="L1" s="106"/>
      <c r="M1" s="106"/>
      <c r="N1" s="106"/>
      <c r="O1" s="106"/>
      <c r="P1" s="94"/>
    </row>
    <row r="2" spans="1:16" s="80" customFormat="1" ht="21" customHeight="1" x14ac:dyDescent="0.2">
      <c r="A2" s="94"/>
      <c r="B2" s="94"/>
      <c r="C2" s="94"/>
      <c r="D2" s="94"/>
      <c r="E2" s="19" t="s">
        <v>37</v>
      </c>
      <c r="F2" s="19"/>
      <c r="G2" s="24"/>
      <c r="I2" s="170" t="s">
        <v>423</v>
      </c>
      <c r="J2" s="170"/>
      <c r="K2" s="34"/>
      <c r="L2" s="34"/>
      <c r="M2" s="24"/>
      <c r="N2" s="24"/>
      <c r="O2" s="106"/>
      <c r="P2" s="94"/>
    </row>
    <row r="3" spans="1:16" s="80" customFormat="1" ht="21" customHeight="1" thickBot="1" x14ac:dyDescent="0.25">
      <c r="A3" s="94"/>
      <c r="B3" s="94"/>
      <c r="C3" s="94"/>
      <c r="D3" s="94"/>
      <c r="E3" s="80" t="s">
        <v>2</v>
      </c>
      <c r="G3" s="19"/>
      <c r="H3" s="107"/>
      <c r="I3" s="107"/>
      <c r="J3" s="107"/>
      <c r="K3" s="106"/>
      <c r="L3" s="106"/>
      <c r="M3" s="106"/>
      <c r="N3" s="106"/>
      <c r="O3" s="106"/>
    </row>
    <row r="4" spans="1:16" s="51" customFormat="1" ht="12" customHeight="1" x14ac:dyDescent="0.2">
      <c r="A4" s="47"/>
      <c r="B4" s="47"/>
      <c r="C4" s="47"/>
      <c r="D4" s="47"/>
      <c r="E4" s="1062" t="s">
        <v>424</v>
      </c>
      <c r="F4" s="1046"/>
      <c r="G4" s="1046"/>
      <c r="H4" s="1046"/>
      <c r="I4" s="1046"/>
      <c r="J4" s="1046"/>
      <c r="K4" s="1046"/>
      <c r="L4" s="1046"/>
      <c r="M4" s="1046"/>
      <c r="N4" s="1046"/>
      <c r="O4" s="1046"/>
      <c r="P4" s="1063"/>
    </row>
    <row r="5" spans="1:16" s="51" customFormat="1" ht="13.5" customHeight="1" thickBot="1" x14ac:dyDescent="0.25">
      <c r="A5" s="47"/>
      <c r="B5" s="47"/>
      <c r="C5" s="47"/>
      <c r="D5" s="47"/>
      <c r="E5" s="1064"/>
      <c r="F5" s="1065"/>
      <c r="G5" s="1065"/>
      <c r="H5" s="1065"/>
      <c r="I5" s="1065"/>
      <c r="J5" s="1065"/>
      <c r="K5" s="1065"/>
      <c r="L5" s="1065"/>
      <c r="M5" s="1065"/>
      <c r="N5" s="1065"/>
      <c r="O5" s="1065"/>
      <c r="P5" s="1066"/>
    </row>
    <row r="6" spans="1:16" s="47" customFormat="1" ht="28" x14ac:dyDescent="0.3">
      <c r="A6" s="180" t="s">
        <v>108</v>
      </c>
      <c r="B6" s="180" t="s">
        <v>109</v>
      </c>
      <c r="C6" s="180" t="s">
        <v>110</v>
      </c>
      <c r="D6" s="180" t="s">
        <v>111</v>
      </c>
      <c r="E6" s="127" t="s">
        <v>102</v>
      </c>
      <c r="F6" s="242" t="s">
        <v>103</v>
      </c>
      <c r="G6" s="966" t="s">
        <v>104</v>
      </c>
      <c r="H6" s="966" t="s">
        <v>105</v>
      </c>
      <c r="I6" s="966" t="s">
        <v>106</v>
      </c>
      <c r="J6" s="966" t="s">
        <v>425</v>
      </c>
      <c r="K6" s="966" t="s">
        <v>426</v>
      </c>
      <c r="L6" s="966" t="s">
        <v>427</v>
      </c>
      <c r="M6" s="966" t="s">
        <v>428</v>
      </c>
      <c r="N6" s="966" t="s">
        <v>128</v>
      </c>
      <c r="O6" s="966" t="s">
        <v>129</v>
      </c>
      <c r="P6" s="966" t="s">
        <v>130</v>
      </c>
    </row>
    <row r="7" spans="1:16" ht="283.39999999999998" customHeight="1" x14ac:dyDescent="0.2">
      <c r="A7" s="262"/>
      <c r="B7" s="262"/>
      <c r="C7" s="262"/>
      <c r="D7" s="262" t="s">
        <v>131</v>
      </c>
      <c r="E7" s="5" t="s">
        <v>429</v>
      </c>
      <c r="F7" s="12" t="s">
        <v>430</v>
      </c>
      <c r="G7" s="5" t="s">
        <v>134</v>
      </c>
      <c r="H7" s="5" t="s">
        <v>431</v>
      </c>
      <c r="I7" s="13" t="s">
        <v>432</v>
      </c>
      <c r="J7" s="13" t="s">
        <v>433</v>
      </c>
      <c r="K7" s="13" t="s">
        <v>434</v>
      </c>
      <c r="L7" s="68"/>
      <c r="M7" s="12"/>
      <c r="N7" s="13"/>
      <c r="O7" s="789" t="s">
        <v>435</v>
      </c>
      <c r="P7" s="705">
        <v>2</v>
      </c>
    </row>
    <row r="8" spans="1:16" ht="278.14999999999998" customHeight="1" x14ac:dyDescent="0.2">
      <c r="A8" s="262"/>
      <c r="B8" s="262"/>
      <c r="C8" s="262"/>
      <c r="D8" s="262"/>
      <c r="E8" s="5" t="s">
        <v>436</v>
      </c>
      <c r="F8" s="12" t="s">
        <v>437</v>
      </c>
      <c r="G8" s="5" t="s">
        <v>290</v>
      </c>
      <c r="H8" s="5" t="s">
        <v>438</v>
      </c>
      <c r="I8" s="13" t="s">
        <v>439</v>
      </c>
      <c r="J8" s="13" t="s">
        <v>433</v>
      </c>
      <c r="K8" s="13" t="s">
        <v>434</v>
      </c>
      <c r="L8" s="68"/>
      <c r="M8" s="12"/>
      <c r="N8" s="13"/>
      <c r="O8" s="789" t="s">
        <v>440</v>
      </c>
      <c r="P8" s="705">
        <v>2</v>
      </c>
    </row>
    <row r="9" spans="1:16" ht="272.5" customHeight="1" x14ac:dyDescent="0.2">
      <c r="A9" s="262"/>
      <c r="B9" s="262"/>
      <c r="C9" s="262"/>
      <c r="D9" s="262" t="s">
        <v>131</v>
      </c>
      <c r="E9" s="5" t="s">
        <v>441</v>
      </c>
      <c r="F9" s="12" t="s">
        <v>442</v>
      </c>
      <c r="G9" s="5" t="s">
        <v>134</v>
      </c>
      <c r="H9" s="5" t="s">
        <v>443</v>
      </c>
      <c r="I9" s="13" t="s">
        <v>444</v>
      </c>
      <c r="J9" s="13" t="s">
        <v>433</v>
      </c>
      <c r="K9" s="13" t="s">
        <v>434</v>
      </c>
      <c r="L9" s="68"/>
      <c r="M9" s="12"/>
      <c r="N9" s="13"/>
      <c r="O9" s="789" t="s">
        <v>445</v>
      </c>
      <c r="P9" s="705">
        <v>2</v>
      </c>
    </row>
    <row r="10" spans="1:16" ht="267.64999999999998" customHeight="1" x14ac:dyDescent="0.2">
      <c r="A10" s="262"/>
      <c r="B10" s="262"/>
      <c r="C10" s="262"/>
      <c r="D10" s="262"/>
      <c r="E10" s="5" t="s">
        <v>446</v>
      </c>
      <c r="F10" s="12" t="s">
        <v>447</v>
      </c>
      <c r="G10" s="5" t="s">
        <v>134</v>
      </c>
      <c r="H10" s="5" t="s">
        <v>448</v>
      </c>
      <c r="I10" s="13" t="s">
        <v>449</v>
      </c>
      <c r="J10" s="13" t="s">
        <v>433</v>
      </c>
      <c r="K10" s="13" t="s">
        <v>434</v>
      </c>
      <c r="L10" s="68"/>
      <c r="M10" s="12"/>
      <c r="N10" s="13"/>
      <c r="O10" s="789" t="s">
        <v>445</v>
      </c>
      <c r="P10" s="705">
        <v>2</v>
      </c>
    </row>
    <row r="11" spans="1:16" ht="287.5" customHeight="1" x14ac:dyDescent="0.2">
      <c r="A11" s="262"/>
      <c r="B11" s="262"/>
      <c r="C11" s="262"/>
      <c r="D11" s="262" t="s">
        <v>131</v>
      </c>
      <c r="E11" s="5" t="s">
        <v>450</v>
      </c>
      <c r="F11" s="12" t="s">
        <v>451</v>
      </c>
      <c r="G11" s="5" t="s">
        <v>134</v>
      </c>
      <c r="H11" s="5" t="s">
        <v>452</v>
      </c>
      <c r="I11" s="13" t="s">
        <v>453</v>
      </c>
      <c r="J11" s="13" t="s">
        <v>433</v>
      </c>
      <c r="K11" s="13" t="s">
        <v>434</v>
      </c>
      <c r="L11" s="68"/>
      <c r="M11" s="12"/>
      <c r="N11" s="13"/>
      <c r="O11" s="789" t="s">
        <v>454</v>
      </c>
      <c r="P11" s="705">
        <v>2</v>
      </c>
    </row>
    <row r="12" spans="1:16" ht="299.14999999999998" customHeight="1" x14ac:dyDescent="0.2">
      <c r="A12" s="262"/>
      <c r="B12" s="262"/>
      <c r="C12" s="262"/>
      <c r="D12" s="262"/>
      <c r="E12" s="5" t="s">
        <v>455</v>
      </c>
      <c r="F12" s="12" t="s">
        <v>456</v>
      </c>
      <c r="G12" s="5" t="s">
        <v>134</v>
      </c>
      <c r="H12" s="5" t="s">
        <v>457</v>
      </c>
      <c r="I12" s="13" t="s">
        <v>458</v>
      </c>
      <c r="J12" s="13" t="s">
        <v>433</v>
      </c>
      <c r="K12" s="13" t="s">
        <v>434</v>
      </c>
      <c r="L12" s="68"/>
      <c r="M12" s="12"/>
      <c r="N12" s="198"/>
      <c r="O12" s="793" t="s">
        <v>454</v>
      </c>
      <c r="P12" s="705">
        <v>2</v>
      </c>
    </row>
    <row r="13" spans="1:16" ht="291.64999999999998" customHeight="1" x14ac:dyDescent="0.2">
      <c r="A13" s="262"/>
      <c r="B13" s="262"/>
      <c r="C13" s="262"/>
      <c r="D13" s="262" t="s">
        <v>131</v>
      </c>
      <c r="E13" s="5" t="s">
        <v>459</v>
      </c>
      <c r="F13" s="12" t="s">
        <v>460</v>
      </c>
      <c r="G13" s="5" t="s">
        <v>134</v>
      </c>
      <c r="H13" s="5" t="s">
        <v>461</v>
      </c>
      <c r="I13" s="13" t="s">
        <v>462</v>
      </c>
      <c r="J13" s="13" t="s">
        <v>433</v>
      </c>
      <c r="K13" s="13" t="s">
        <v>434</v>
      </c>
      <c r="L13" s="68"/>
      <c r="M13" s="12"/>
      <c r="N13" s="13"/>
      <c r="O13" s="789" t="s">
        <v>463</v>
      </c>
      <c r="P13" s="705">
        <v>2</v>
      </c>
    </row>
    <row r="14" spans="1:16" ht="299.5" customHeight="1" x14ac:dyDescent="0.2">
      <c r="A14" s="262"/>
      <c r="B14" s="262"/>
      <c r="C14" s="262"/>
      <c r="D14" s="262"/>
      <c r="E14" s="5" t="s">
        <v>464</v>
      </c>
      <c r="F14" s="12" t="s">
        <v>465</v>
      </c>
      <c r="G14" s="5" t="s">
        <v>134</v>
      </c>
      <c r="H14" s="5" t="s">
        <v>466</v>
      </c>
      <c r="I14" s="13" t="s">
        <v>467</v>
      </c>
      <c r="J14" s="13" t="s">
        <v>433</v>
      </c>
      <c r="K14" s="13" t="s">
        <v>434</v>
      </c>
      <c r="L14" s="68"/>
      <c r="M14" s="12"/>
      <c r="N14" s="13"/>
      <c r="O14" s="789" t="s">
        <v>463</v>
      </c>
      <c r="P14" s="705">
        <v>2</v>
      </c>
    </row>
    <row r="15" spans="1:16" ht="34.5" customHeight="1" x14ac:dyDescent="0.2">
      <c r="A15" s="262"/>
      <c r="B15" s="262"/>
      <c r="C15" s="262"/>
      <c r="D15" s="262" t="s">
        <v>131</v>
      </c>
      <c r="E15" s="704" t="s">
        <v>468</v>
      </c>
      <c r="F15" s="256" t="s">
        <v>469</v>
      </c>
      <c r="G15" s="254" t="s">
        <v>134</v>
      </c>
      <c r="H15" s="254" t="s">
        <v>470</v>
      </c>
      <c r="I15" s="13" t="s">
        <v>471</v>
      </c>
      <c r="J15" s="13" t="s">
        <v>433</v>
      </c>
      <c r="K15" s="13" t="s">
        <v>434</v>
      </c>
      <c r="L15" s="255"/>
      <c r="M15" s="256"/>
      <c r="N15" s="256"/>
      <c r="O15" s="317" t="s">
        <v>472</v>
      </c>
      <c r="P15" s="705">
        <v>2</v>
      </c>
    </row>
    <row r="16" spans="1:16" ht="35.15" customHeight="1" x14ac:dyDescent="0.2">
      <c r="A16" s="22"/>
      <c r="B16" s="22"/>
      <c r="C16" s="22"/>
      <c r="D16" s="22"/>
      <c r="E16" s="704" t="s">
        <v>473</v>
      </c>
      <c r="F16" s="256" t="s">
        <v>474</v>
      </c>
      <c r="G16" s="254" t="s">
        <v>134</v>
      </c>
      <c r="H16" s="254" t="s">
        <v>475</v>
      </c>
      <c r="I16" s="12" t="s">
        <v>476</v>
      </c>
      <c r="J16" s="13" t="s">
        <v>477</v>
      </c>
      <c r="K16" s="13" t="s">
        <v>478</v>
      </c>
      <c r="L16" s="13"/>
      <c r="M16" s="256"/>
      <c r="N16" s="256"/>
      <c r="O16" s="410"/>
      <c r="P16" s="705">
        <v>2</v>
      </c>
    </row>
    <row r="17" spans="1:16" ht="35.15" customHeight="1" x14ac:dyDescent="0.2">
      <c r="A17" s="22"/>
      <c r="B17" s="22"/>
      <c r="C17" s="22"/>
      <c r="D17" s="22"/>
      <c r="E17" s="704" t="s">
        <v>479</v>
      </c>
      <c r="F17" s="256" t="s">
        <v>480</v>
      </c>
      <c r="G17" s="254" t="s">
        <v>134</v>
      </c>
      <c r="H17" s="254" t="s">
        <v>481</v>
      </c>
      <c r="I17" s="12" t="s">
        <v>482</v>
      </c>
      <c r="J17" s="13" t="s">
        <v>477</v>
      </c>
      <c r="K17" s="13" t="s">
        <v>478</v>
      </c>
      <c r="L17" s="13"/>
      <c r="M17" s="256"/>
      <c r="N17" s="256"/>
      <c r="O17" s="410"/>
      <c r="P17" s="705">
        <v>2</v>
      </c>
    </row>
    <row r="18" spans="1:16" ht="35.15" customHeight="1" x14ac:dyDescent="0.2">
      <c r="A18" s="22"/>
      <c r="B18" s="22"/>
      <c r="C18" s="22"/>
      <c r="D18" s="22"/>
      <c r="E18" s="704" t="s">
        <v>483</v>
      </c>
      <c r="F18" s="256" t="s">
        <v>484</v>
      </c>
      <c r="G18" s="254" t="s">
        <v>134</v>
      </c>
      <c r="H18" s="254" t="s">
        <v>485</v>
      </c>
      <c r="I18" s="12" t="s">
        <v>486</v>
      </c>
      <c r="J18" s="13" t="s">
        <v>477</v>
      </c>
      <c r="K18" s="13" t="s">
        <v>478</v>
      </c>
      <c r="L18" s="13"/>
      <c r="M18" s="256"/>
      <c r="N18" s="256"/>
      <c r="O18" s="410"/>
      <c r="P18" s="705">
        <v>2</v>
      </c>
    </row>
    <row r="19" spans="1:16" ht="35.15" customHeight="1" x14ac:dyDescent="0.2">
      <c r="A19" s="22"/>
      <c r="B19" s="22"/>
      <c r="C19" s="22"/>
      <c r="D19" s="22"/>
      <c r="E19" s="704" t="s">
        <v>487</v>
      </c>
      <c r="F19" s="256" t="s">
        <v>488</v>
      </c>
      <c r="G19" s="254" t="s">
        <v>134</v>
      </c>
      <c r="H19" s="254" t="s">
        <v>489</v>
      </c>
      <c r="I19" s="12" t="s">
        <v>490</v>
      </c>
      <c r="J19" s="13" t="s">
        <v>477</v>
      </c>
      <c r="K19" s="13" t="s">
        <v>478</v>
      </c>
      <c r="L19" s="13"/>
      <c r="M19" s="256"/>
      <c r="N19" s="256"/>
      <c r="O19" s="410"/>
      <c r="P19" s="705">
        <v>2</v>
      </c>
    </row>
    <row r="20" spans="1:16" ht="34.5" customHeight="1" x14ac:dyDescent="0.2">
      <c r="A20" s="262"/>
      <c r="B20" s="262"/>
      <c r="C20" s="262"/>
      <c r="D20" s="262"/>
      <c r="E20" s="704" t="s">
        <v>491</v>
      </c>
      <c r="F20" s="256" t="s">
        <v>492</v>
      </c>
      <c r="G20" s="254" t="s">
        <v>134</v>
      </c>
      <c r="H20" s="254" t="s">
        <v>493</v>
      </c>
      <c r="I20" s="255" t="s">
        <v>494</v>
      </c>
      <c r="J20" s="13" t="s">
        <v>433</v>
      </c>
      <c r="K20" s="13" t="s">
        <v>434</v>
      </c>
      <c r="L20" s="263"/>
      <c r="M20" s="261"/>
      <c r="N20" s="261"/>
      <c r="O20" s="317" t="s">
        <v>495</v>
      </c>
      <c r="P20" s="705">
        <v>2</v>
      </c>
    </row>
    <row r="21" spans="1:16" ht="34.5" customHeight="1" x14ac:dyDescent="0.2">
      <c r="A21" s="262"/>
      <c r="B21" s="262"/>
      <c r="C21" s="262"/>
      <c r="D21" s="262"/>
      <c r="E21" s="704" t="s">
        <v>496</v>
      </c>
      <c r="F21" s="256" t="s">
        <v>497</v>
      </c>
      <c r="G21" s="254" t="s">
        <v>290</v>
      </c>
      <c r="H21" s="254" t="s">
        <v>498</v>
      </c>
      <c r="I21" s="255" t="s">
        <v>499</v>
      </c>
      <c r="J21" s="13" t="s">
        <v>433</v>
      </c>
      <c r="K21" s="13" t="s">
        <v>434</v>
      </c>
      <c r="L21" s="263"/>
      <c r="M21" s="261"/>
      <c r="N21" s="261"/>
      <c r="O21" s="317" t="s">
        <v>495</v>
      </c>
      <c r="P21" s="705">
        <v>2</v>
      </c>
    </row>
    <row r="22" spans="1:16" ht="34.5" customHeight="1" x14ac:dyDescent="0.2">
      <c r="A22" s="262"/>
      <c r="B22" s="262"/>
      <c r="C22" s="262"/>
      <c r="D22" s="262"/>
      <c r="E22" s="704" t="s">
        <v>500</v>
      </c>
      <c r="F22" s="256" t="s">
        <v>501</v>
      </c>
      <c r="G22" s="254" t="s">
        <v>290</v>
      </c>
      <c r="H22" s="254" t="s">
        <v>502</v>
      </c>
      <c r="I22" s="255" t="s">
        <v>503</v>
      </c>
      <c r="J22" s="13" t="s">
        <v>433</v>
      </c>
      <c r="K22" s="13" t="s">
        <v>434</v>
      </c>
      <c r="L22" s="263"/>
      <c r="M22" s="261"/>
      <c r="N22" s="261"/>
      <c r="O22" s="317" t="s">
        <v>495</v>
      </c>
      <c r="P22" s="705">
        <v>2</v>
      </c>
    </row>
    <row r="23" spans="1:16" ht="34.5" customHeight="1" x14ac:dyDescent="0.2">
      <c r="A23" s="262"/>
      <c r="B23" s="262"/>
      <c r="C23" s="262"/>
      <c r="D23" s="262"/>
      <c r="E23" s="704" t="s">
        <v>504</v>
      </c>
      <c r="F23" s="256" t="s">
        <v>505</v>
      </c>
      <c r="G23" s="254" t="s">
        <v>290</v>
      </c>
      <c r="H23" s="254" t="s">
        <v>506</v>
      </c>
      <c r="I23" s="255" t="s">
        <v>507</v>
      </c>
      <c r="J23" s="13" t="s">
        <v>433</v>
      </c>
      <c r="K23" s="13" t="s">
        <v>434</v>
      </c>
      <c r="L23" s="263"/>
      <c r="M23" s="261"/>
      <c r="N23" s="261"/>
      <c r="O23" s="317" t="s">
        <v>495</v>
      </c>
      <c r="P23" s="705">
        <v>2</v>
      </c>
    </row>
    <row r="24" spans="1:16" ht="34.5" customHeight="1" x14ac:dyDescent="0.2">
      <c r="A24" s="262"/>
      <c r="B24" s="262"/>
      <c r="C24" s="262"/>
      <c r="D24" s="262"/>
      <c r="E24" s="704" t="s">
        <v>508</v>
      </c>
      <c r="F24" s="256" t="s">
        <v>509</v>
      </c>
      <c r="G24" s="254" t="s">
        <v>290</v>
      </c>
      <c r="H24" s="254" t="s">
        <v>510</v>
      </c>
      <c r="I24" s="255" t="s">
        <v>511</v>
      </c>
      <c r="J24" s="13" t="s">
        <v>433</v>
      </c>
      <c r="K24" s="13" t="s">
        <v>434</v>
      </c>
      <c r="L24" s="263"/>
      <c r="M24" s="261"/>
      <c r="N24" s="261"/>
      <c r="O24" s="317" t="s">
        <v>495</v>
      </c>
      <c r="P24" s="705">
        <v>2</v>
      </c>
    </row>
    <row r="25" spans="1:16" ht="34.5" customHeight="1" x14ac:dyDescent="0.2">
      <c r="A25" s="262"/>
      <c r="B25" s="262"/>
      <c r="C25" s="262"/>
      <c r="D25" s="262"/>
      <c r="E25" s="704" t="s">
        <v>512</v>
      </c>
      <c r="F25" s="256" t="s">
        <v>513</v>
      </c>
      <c r="G25" s="254" t="s">
        <v>290</v>
      </c>
      <c r="H25" s="254" t="s">
        <v>514</v>
      </c>
      <c r="I25" s="255" t="s">
        <v>515</v>
      </c>
      <c r="J25" s="13" t="s">
        <v>433</v>
      </c>
      <c r="K25" s="13" t="s">
        <v>434</v>
      </c>
      <c r="L25" s="263"/>
      <c r="M25" s="261"/>
      <c r="N25" s="261"/>
      <c r="O25" s="317" t="s">
        <v>495</v>
      </c>
      <c r="P25" s="705">
        <v>2</v>
      </c>
    </row>
    <row r="26" spans="1:16" ht="34.5" customHeight="1" x14ac:dyDescent="0.2">
      <c r="A26" s="262"/>
      <c r="B26" s="262"/>
      <c r="C26" s="262"/>
      <c r="D26" s="262"/>
      <c r="E26" s="704" t="s">
        <v>516</v>
      </c>
      <c r="F26" s="12" t="s">
        <v>517</v>
      </c>
      <c r="G26" s="5" t="s">
        <v>134</v>
      </c>
      <c r="H26" s="5" t="s">
        <v>518</v>
      </c>
      <c r="I26" s="13" t="s">
        <v>519</v>
      </c>
      <c r="J26" s="13" t="s">
        <v>433</v>
      </c>
      <c r="K26" s="13" t="s">
        <v>434</v>
      </c>
      <c r="L26" s="553"/>
      <c r="M26" s="554"/>
      <c r="N26" s="554"/>
      <c r="O26" s="317" t="s">
        <v>520</v>
      </c>
      <c r="P26" s="705">
        <v>2</v>
      </c>
    </row>
    <row r="27" spans="1:16" ht="34.5" customHeight="1" x14ac:dyDescent="0.2">
      <c r="A27" s="262"/>
      <c r="B27" s="262"/>
      <c r="C27" s="262"/>
      <c r="D27" s="262"/>
      <c r="E27" s="704" t="s">
        <v>521</v>
      </c>
      <c r="F27" s="12" t="s">
        <v>522</v>
      </c>
      <c r="G27" s="5" t="s">
        <v>134</v>
      </c>
      <c r="H27" s="5" t="s">
        <v>523</v>
      </c>
      <c r="I27" s="13" t="s">
        <v>524</v>
      </c>
      <c r="J27" s="13" t="s">
        <v>433</v>
      </c>
      <c r="K27" s="13" t="s">
        <v>434</v>
      </c>
      <c r="L27" s="553"/>
      <c r="M27" s="554"/>
      <c r="N27" s="554"/>
      <c r="O27" s="317" t="s">
        <v>520</v>
      </c>
      <c r="P27" s="705">
        <v>2</v>
      </c>
    </row>
    <row r="28" spans="1:16" ht="34.5" customHeight="1" x14ac:dyDescent="0.2">
      <c r="A28" s="262"/>
      <c r="B28" s="262"/>
      <c r="C28" s="262"/>
      <c r="D28" s="262"/>
      <c r="E28" s="704" t="s">
        <v>525</v>
      </c>
      <c r="F28" s="12" t="s">
        <v>526</v>
      </c>
      <c r="G28" s="5" t="s">
        <v>134</v>
      </c>
      <c r="H28" s="5" t="s">
        <v>527</v>
      </c>
      <c r="I28" s="13" t="s">
        <v>528</v>
      </c>
      <c r="J28" s="13" t="s">
        <v>433</v>
      </c>
      <c r="K28" s="13" t="s">
        <v>434</v>
      </c>
      <c r="L28" s="553"/>
      <c r="M28" s="554"/>
      <c r="N28" s="554"/>
      <c r="O28" s="317" t="s">
        <v>520</v>
      </c>
      <c r="P28" s="705">
        <v>2</v>
      </c>
    </row>
    <row r="29" spans="1:16" ht="33.75" customHeight="1" x14ac:dyDescent="0.2">
      <c r="A29" s="881"/>
      <c r="B29" s="881"/>
      <c r="C29" s="881"/>
      <c r="D29" s="881"/>
      <c r="E29" s="742" t="s">
        <v>529</v>
      </c>
      <c r="F29" s="701" t="s">
        <v>530</v>
      </c>
      <c r="G29" s="742" t="s">
        <v>290</v>
      </c>
      <c r="H29" s="742" t="s">
        <v>531</v>
      </c>
      <c r="I29" s="702" t="s">
        <v>532</v>
      </c>
      <c r="J29" s="702" t="s">
        <v>433</v>
      </c>
      <c r="K29" s="702" t="s">
        <v>434</v>
      </c>
      <c r="L29" s="702"/>
      <c r="M29" s="701"/>
      <c r="N29" s="701"/>
      <c r="O29" s="768"/>
      <c r="P29" s="701">
        <v>2</v>
      </c>
    </row>
    <row r="30" spans="1:16" ht="55.5" customHeight="1" x14ac:dyDescent="0.2">
      <c r="A30" s="22"/>
      <c r="B30" s="22"/>
      <c r="C30" s="22"/>
      <c r="D30" s="22"/>
      <c r="E30" s="704" t="s">
        <v>533</v>
      </c>
      <c r="F30" s="705" t="s">
        <v>534</v>
      </c>
      <c r="G30" s="254" t="s">
        <v>290</v>
      </c>
      <c r="H30" s="254" t="s">
        <v>535</v>
      </c>
      <c r="I30" s="12" t="s">
        <v>536</v>
      </c>
      <c r="J30" s="13" t="s">
        <v>537</v>
      </c>
      <c r="K30" s="13" t="s">
        <v>538</v>
      </c>
      <c r="L30" s="13"/>
      <c r="M30" s="12"/>
      <c r="N30" s="12"/>
      <c r="O30" s="316" t="s">
        <v>539</v>
      </c>
      <c r="P30" s="705">
        <v>2</v>
      </c>
    </row>
    <row r="31" spans="1:16" ht="35.15" customHeight="1" x14ac:dyDescent="0.2">
      <c r="A31" s="22"/>
      <c r="B31" s="22"/>
      <c r="C31" s="22"/>
      <c r="D31" s="22"/>
      <c r="E31" s="704" t="s">
        <v>540</v>
      </c>
      <c r="F31" s="705" t="s">
        <v>541</v>
      </c>
      <c r="G31" s="254" t="s">
        <v>290</v>
      </c>
      <c r="H31" s="254" t="s">
        <v>542</v>
      </c>
      <c r="I31" s="12" t="s">
        <v>543</v>
      </c>
      <c r="J31" s="13" t="s">
        <v>537</v>
      </c>
      <c r="K31" s="13" t="s">
        <v>538</v>
      </c>
      <c r="L31" s="13"/>
      <c r="M31" s="12"/>
      <c r="N31" s="12"/>
      <c r="O31" s="923" t="s">
        <v>544</v>
      </c>
      <c r="P31" s="705">
        <v>2</v>
      </c>
    </row>
    <row r="32" spans="1:16" ht="35.15" customHeight="1" x14ac:dyDescent="0.2">
      <c r="A32" s="22"/>
      <c r="B32" s="22"/>
      <c r="C32" s="22"/>
      <c r="D32" s="22"/>
      <c r="E32" s="704" t="s">
        <v>545</v>
      </c>
      <c r="F32" s="705" t="s">
        <v>546</v>
      </c>
      <c r="G32" s="254" t="s">
        <v>290</v>
      </c>
      <c r="H32" s="254" t="s">
        <v>547</v>
      </c>
      <c r="I32" s="12" t="s">
        <v>548</v>
      </c>
      <c r="J32" s="13" t="s">
        <v>537</v>
      </c>
      <c r="K32" s="13" t="s">
        <v>538</v>
      </c>
      <c r="L32" s="13"/>
      <c r="M32" s="12"/>
      <c r="N32" s="12"/>
      <c r="O32" s="316" t="s">
        <v>539</v>
      </c>
      <c r="P32" s="705">
        <v>2</v>
      </c>
    </row>
    <row r="33" spans="1:16" ht="35.15" customHeight="1" x14ac:dyDescent="0.2">
      <c r="A33" s="22"/>
      <c r="B33" s="22"/>
      <c r="C33" s="22"/>
      <c r="D33" s="22"/>
      <c r="E33" s="704" t="s">
        <v>549</v>
      </c>
      <c r="F33" s="705" t="s">
        <v>550</v>
      </c>
      <c r="G33" s="254" t="s">
        <v>290</v>
      </c>
      <c r="H33" s="254" t="s">
        <v>551</v>
      </c>
      <c r="I33" s="12" t="s">
        <v>552</v>
      </c>
      <c r="J33" s="13" t="s">
        <v>537</v>
      </c>
      <c r="K33" s="13" t="s">
        <v>538</v>
      </c>
      <c r="L33" s="13"/>
      <c r="M33" s="12"/>
      <c r="N33" s="12"/>
      <c r="O33" s="923" t="s">
        <v>553</v>
      </c>
      <c r="P33" s="705">
        <v>2</v>
      </c>
    </row>
    <row r="34" spans="1:16" ht="57" customHeight="1" x14ac:dyDescent="0.2">
      <c r="A34" s="262"/>
      <c r="B34" s="262"/>
      <c r="C34" s="262"/>
      <c r="D34" s="262"/>
      <c r="E34" s="5" t="s">
        <v>554</v>
      </c>
      <c r="F34" s="705" t="s">
        <v>555</v>
      </c>
      <c r="G34" s="5" t="s">
        <v>383</v>
      </c>
      <c r="H34" s="5" t="s">
        <v>556</v>
      </c>
      <c r="I34" s="13" t="s">
        <v>557</v>
      </c>
      <c r="J34" s="13" t="s">
        <v>558</v>
      </c>
      <c r="K34" s="13" t="s">
        <v>559</v>
      </c>
      <c r="L34" s="553"/>
      <c r="M34" s="554"/>
      <c r="N34" s="554"/>
      <c r="O34" s="709" t="s">
        <v>560</v>
      </c>
      <c r="P34" s="705">
        <v>2</v>
      </c>
    </row>
    <row r="35" spans="1:16" ht="49.5" customHeight="1" x14ac:dyDescent="0.2">
      <c r="A35" s="262"/>
      <c r="B35" s="262"/>
      <c r="C35" s="262"/>
      <c r="D35" s="262"/>
      <c r="E35" s="704" t="s">
        <v>561</v>
      </c>
      <c r="F35" s="12" t="s">
        <v>562</v>
      </c>
      <c r="G35" s="5" t="s">
        <v>134</v>
      </c>
      <c r="H35" s="5" t="s">
        <v>563</v>
      </c>
      <c r="I35" s="13" t="s">
        <v>564</v>
      </c>
      <c r="J35" s="13" t="s">
        <v>433</v>
      </c>
      <c r="K35" s="13" t="s">
        <v>434</v>
      </c>
      <c r="L35" s="13"/>
      <c r="M35" s="73"/>
      <c r="N35" s="12"/>
      <c r="O35" s="8" t="s">
        <v>565</v>
      </c>
      <c r="P35" s="705">
        <v>2</v>
      </c>
    </row>
    <row r="36" spans="1:16" ht="42.65" customHeight="1" x14ac:dyDescent="0.2">
      <c r="A36" s="262"/>
      <c r="B36" s="262"/>
      <c r="C36" s="262"/>
      <c r="D36" s="262"/>
      <c r="E36" s="5" t="s">
        <v>566</v>
      </c>
      <c r="F36" s="705" t="s">
        <v>567</v>
      </c>
      <c r="G36" s="5" t="s">
        <v>134</v>
      </c>
      <c r="H36" s="5" t="s">
        <v>568</v>
      </c>
      <c r="I36" s="13" t="s">
        <v>569</v>
      </c>
      <c r="J36" s="13" t="s">
        <v>433</v>
      </c>
      <c r="K36" s="13" t="s">
        <v>434</v>
      </c>
      <c r="L36" s="553"/>
      <c r="M36" s="554"/>
      <c r="N36" s="554"/>
      <c r="O36" s="317" t="s">
        <v>570</v>
      </c>
      <c r="P36" s="705">
        <v>2</v>
      </c>
    </row>
    <row r="37" spans="1:16" ht="35.15" customHeight="1" x14ac:dyDescent="0.2">
      <c r="A37" s="262"/>
      <c r="B37" s="262"/>
      <c r="C37" s="262"/>
      <c r="D37" s="262"/>
      <c r="E37" s="742" t="s">
        <v>571</v>
      </c>
      <c r="F37" s="701" t="s">
        <v>572</v>
      </c>
      <c r="G37" s="742" t="s">
        <v>134</v>
      </c>
      <c r="H37" s="742" t="s">
        <v>573</v>
      </c>
      <c r="I37" s="702" t="s">
        <v>574</v>
      </c>
      <c r="J37" s="702" t="s">
        <v>433</v>
      </c>
      <c r="K37" s="702" t="s">
        <v>434</v>
      </c>
      <c r="L37" s="702"/>
      <c r="M37" s="701"/>
      <c r="N37" s="701"/>
      <c r="O37" s="768" t="s">
        <v>570</v>
      </c>
      <c r="P37" s="701">
        <v>2</v>
      </c>
    </row>
    <row r="38" spans="1:16" ht="35.15" customHeight="1" x14ac:dyDescent="0.2">
      <c r="A38" s="262"/>
      <c r="B38" s="262"/>
      <c r="C38" s="262"/>
      <c r="D38" s="262"/>
      <c r="E38" s="704" t="s">
        <v>575</v>
      </c>
      <c r="F38" s="12" t="s">
        <v>576</v>
      </c>
      <c r="G38" s="5" t="s">
        <v>134</v>
      </c>
      <c r="H38" s="5" t="s">
        <v>577</v>
      </c>
      <c r="I38" s="13" t="s">
        <v>578</v>
      </c>
      <c r="J38" s="13" t="s">
        <v>433</v>
      </c>
      <c r="K38" s="13" t="s">
        <v>434</v>
      </c>
      <c r="L38" s="553"/>
      <c r="M38" s="554"/>
      <c r="N38" s="554"/>
      <c r="O38" s="317"/>
      <c r="P38" s="705">
        <v>2</v>
      </c>
    </row>
    <row r="39" spans="1:16" ht="35.15" customHeight="1" x14ac:dyDescent="0.2">
      <c r="A39" s="262"/>
      <c r="B39" s="262"/>
      <c r="C39" s="262"/>
      <c r="D39" s="262"/>
      <c r="E39" s="742" t="s">
        <v>579</v>
      </c>
      <c r="F39" s="701" t="s">
        <v>579</v>
      </c>
      <c r="G39" s="742" t="s">
        <v>383</v>
      </c>
      <c r="H39" s="742" t="s">
        <v>580</v>
      </c>
      <c r="I39" s="702" t="s">
        <v>581</v>
      </c>
      <c r="J39" s="702" t="s">
        <v>433</v>
      </c>
      <c r="K39" s="702" t="s">
        <v>434</v>
      </c>
      <c r="L39" s="702"/>
      <c r="M39" s="701"/>
      <c r="N39" s="701"/>
      <c r="O39" s="768"/>
      <c r="P39" s="701">
        <v>2</v>
      </c>
    </row>
    <row r="40" spans="1:16" ht="34.5" customHeight="1" x14ac:dyDescent="0.2">
      <c r="A40" s="262"/>
      <c r="B40" s="262"/>
      <c r="C40" s="262"/>
      <c r="D40" s="262"/>
      <c r="E40" s="704" t="s">
        <v>582</v>
      </c>
      <c r="F40" s="12" t="s">
        <v>583</v>
      </c>
      <c r="G40" s="5" t="s">
        <v>290</v>
      </c>
      <c r="H40" s="217" t="s">
        <v>584</v>
      </c>
      <c r="I40" s="13" t="s">
        <v>585</v>
      </c>
      <c r="J40" s="13" t="s">
        <v>586</v>
      </c>
      <c r="K40" s="13" t="s">
        <v>587</v>
      </c>
      <c r="L40" s="13"/>
      <c r="M40" s="12"/>
      <c r="N40" s="12"/>
      <c r="O40" s="317"/>
      <c r="P40" s="705">
        <v>2</v>
      </c>
    </row>
    <row r="41" spans="1:16" ht="35.15" customHeight="1" x14ac:dyDescent="0.2">
      <c r="A41" s="262"/>
      <c r="B41" s="262"/>
      <c r="C41" s="262"/>
      <c r="D41" s="262"/>
      <c r="E41" s="704" t="s">
        <v>588</v>
      </c>
      <c r="F41" s="705" t="s">
        <v>589</v>
      </c>
      <c r="G41" s="704" t="s">
        <v>134</v>
      </c>
      <c r="H41" s="704" t="s">
        <v>590</v>
      </c>
      <c r="I41" s="703" t="s">
        <v>591</v>
      </c>
      <c r="J41" s="703" t="s">
        <v>592</v>
      </c>
      <c r="K41" s="703" t="s">
        <v>593</v>
      </c>
      <c r="L41" s="702"/>
      <c r="M41" s="701"/>
      <c r="N41" s="701"/>
      <c r="O41" s="709"/>
      <c r="P41" s="705">
        <v>2</v>
      </c>
    </row>
    <row r="42" spans="1:16" ht="34.5" customHeight="1" x14ac:dyDescent="0.2">
      <c r="A42" s="262"/>
      <c r="B42" s="262"/>
      <c r="C42" s="262"/>
      <c r="D42" s="262"/>
      <c r="E42" s="704" t="s">
        <v>594</v>
      </c>
      <c r="F42" s="705" t="s">
        <v>595</v>
      </c>
      <c r="G42" s="704" t="s">
        <v>134</v>
      </c>
      <c r="H42" s="704" t="s">
        <v>596</v>
      </c>
      <c r="I42" s="703" t="s">
        <v>597</v>
      </c>
      <c r="J42" s="703" t="s">
        <v>592</v>
      </c>
      <c r="K42" s="703" t="s">
        <v>598</v>
      </c>
      <c r="L42" s="702"/>
      <c r="M42" s="701"/>
      <c r="N42" s="701"/>
      <c r="O42" s="709"/>
      <c r="P42" s="705">
        <v>2</v>
      </c>
    </row>
    <row r="43" spans="1:16" s="1" customFormat="1" ht="30" customHeight="1" x14ac:dyDescent="0.3">
      <c r="E43" s="178" t="s">
        <v>421</v>
      </c>
      <c r="F43" s="5"/>
      <c r="G43" s="5"/>
      <c r="H43" s="175"/>
      <c r="I43" s="6"/>
      <c r="J43" s="6"/>
      <c r="K43" s="171"/>
      <c r="L43" s="172"/>
      <c r="M43" s="172"/>
      <c r="N43" s="172"/>
      <c r="O43" s="430"/>
      <c r="P43" s="172"/>
    </row>
    <row r="44" spans="1:16" ht="13.4" customHeight="1" x14ac:dyDescent="0.2">
      <c r="A44" s="2"/>
      <c r="B44" s="2"/>
      <c r="C44" s="2"/>
      <c r="D44" s="2"/>
    </row>
    <row r="45" spans="1:16" ht="13.4" customHeight="1" x14ac:dyDescent="0.2">
      <c r="A45" s="2"/>
      <c r="B45" s="2"/>
      <c r="C45" s="2"/>
      <c r="D45" s="2"/>
    </row>
    <row r="46" spans="1:16" ht="13.4" customHeight="1" x14ac:dyDescent="0.3">
      <c r="A46" s="2"/>
      <c r="B46" s="2"/>
      <c r="C46" s="2"/>
      <c r="D46" s="2"/>
      <c r="E46" s="171">
        <v>36</v>
      </c>
      <c r="F46" s="171">
        <v>36</v>
      </c>
    </row>
    <row r="47" spans="1:16" ht="13.4" customHeight="1" x14ac:dyDescent="0.2">
      <c r="A47" s="2"/>
      <c r="B47" s="2"/>
      <c r="C47" s="2"/>
      <c r="D47" s="2"/>
    </row>
    <row r="48" spans="1:16" ht="13.4" customHeight="1" x14ac:dyDescent="0.2">
      <c r="A48" s="2"/>
      <c r="B48" s="2"/>
      <c r="C48" s="2"/>
      <c r="D48" s="2"/>
    </row>
    <row r="49" spans="1:4" ht="13.4" customHeight="1" x14ac:dyDescent="0.2">
      <c r="A49" s="2"/>
      <c r="B49" s="2"/>
      <c r="C49" s="2" t="s">
        <v>15</v>
      </c>
      <c r="D49" s="2"/>
    </row>
    <row r="50" spans="1:4" ht="13.4" customHeight="1" x14ac:dyDescent="0.2">
      <c r="A50" s="2"/>
      <c r="B50" s="2"/>
      <c r="C50" s="2"/>
      <c r="D50" s="2"/>
    </row>
    <row r="51" spans="1:4" ht="13.4" customHeight="1" x14ac:dyDescent="0.2">
      <c r="A51" s="2"/>
      <c r="B51" s="2"/>
      <c r="C51" s="2"/>
      <c r="D51" s="2"/>
    </row>
    <row r="52" spans="1:4" ht="13.4" customHeight="1" x14ac:dyDescent="0.2">
      <c r="A52" s="2"/>
      <c r="B52" s="2"/>
      <c r="C52" s="2"/>
      <c r="D52" s="2"/>
    </row>
    <row r="53" spans="1:4" ht="13.4" customHeight="1" x14ac:dyDescent="0.2">
      <c r="A53" s="2"/>
      <c r="B53" s="2"/>
      <c r="C53" s="2"/>
      <c r="D53" s="2"/>
    </row>
    <row r="54" spans="1:4" ht="13.4" customHeight="1" x14ac:dyDescent="0.2">
      <c r="A54" s="2"/>
      <c r="B54" s="2"/>
      <c r="C54" s="2"/>
      <c r="D54" s="2"/>
    </row>
    <row r="55" spans="1:4" ht="13.4" customHeight="1" x14ac:dyDescent="0.2">
      <c r="A55" s="2"/>
      <c r="B55" s="2"/>
      <c r="C55" s="2"/>
      <c r="D55" s="2"/>
    </row>
    <row r="56" spans="1:4" ht="13.4" customHeight="1" x14ac:dyDescent="0.2">
      <c r="A56" s="2"/>
      <c r="B56" s="2"/>
      <c r="C56" s="2"/>
      <c r="D56" s="2"/>
    </row>
    <row r="57" spans="1:4" ht="13.4" customHeight="1" x14ac:dyDescent="0.2">
      <c r="A57" s="2"/>
      <c r="B57" s="2"/>
      <c r="C57" s="2"/>
      <c r="D57" s="2"/>
    </row>
    <row r="58" spans="1:4" ht="13.4" customHeight="1" x14ac:dyDescent="0.2">
      <c r="A58" s="2"/>
      <c r="B58" s="2"/>
      <c r="C58" s="2"/>
      <c r="D58" s="2"/>
    </row>
    <row r="59" spans="1:4" ht="13.4" customHeight="1" x14ac:dyDescent="0.2">
      <c r="A59" s="2"/>
      <c r="B59" s="2"/>
      <c r="C59" s="2"/>
      <c r="D59" s="2"/>
    </row>
    <row r="60" spans="1:4" ht="13.4" customHeight="1" x14ac:dyDescent="0.2">
      <c r="A60" s="2"/>
      <c r="B60" s="2"/>
      <c r="C60" s="2"/>
      <c r="D60" s="2"/>
    </row>
    <row r="61" spans="1:4" ht="13.4" customHeight="1" x14ac:dyDescent="0.2">
      <c r="A61" s="2"/>
      <c r="B61" s="2"/>
      <c r="C61" s="2"/>
      <c r="D61" s="2"/>
    </row>
    <row r="62" spans="1:4" ht="13.4" customHeight="1" x14ac:dyDescent="0.2">
      <c r="A62" s="2"/>
      <c r="B62" s="2"/>
      <c r="C62" s="2"/>
      <c r="D62" s="2"/>
    </row>
    <row r="63" spans="1:4" ht="13.4" customHeight="1" x14ac:dyDescent="0.2">
      <c r="A63" s="2"/>
      <c r="B63" s="2"/>
      <c r="C63" s="2"/>
      <c r="D63" s="2"/>
    </row>
    <row r="64" spans="1:4" ht="13.4" customHeight="1" x14ac:dyDescent="0.2">
      <c r="A64" s="2"/>
      <c r="B64" s="2"/>
      <c r="C64" s="2"/>
      <c r="D64" s="2"/>
    </row>
    <row r="65" spans="1:4" ht="13.4" customHeight="1" x14ac:dyDescent="0.2">
      <c r="A65" s="2"/>
      <c r="B65" s="2"/>
      <c r="C65" s="2"/>
      <c r="D65" s="2"/>
    </row>
    <row r="66" spans="1:4" ht="13.4" customHeight="1" x14ac:dyDescent="0.2">
      <c r="A66" s="2"/>
      <c r="B66" s="2"/>
      <c r="C66" s="2"/>
      <c r="D66" s="2"/>
    </row>
    <row r="67" spans="1:4" ht="13.4" customHeight="1" x14ac:dyDescent="0.2">
      <c r="A67" s="2"/>
      <c r="B67" s="2"/>
      <c r="C67" s="2"/>
      <c r="D67" s="2"/>
    </row>
    <row r="68" spans="1:4" ht="13.4" customHeight="1" x14ac:dyDescent="0.2">
      <c r="A68" s="2"/>
      <c r="B68" s="2"/>
      <c r="C68" s="2"/>
      <c r="D68" s="2"/>
    </row>
    <row r="69" spans="1:4" ht="13.4" customHeight="1" x14ac:dyDescent="0.2">
      <c r="A69" s="2"/>
      <c r="B69" s="2"/>
      <c r="C69" s="2"/>
      <c r="D69" s="2"/>
    </row>
    <row r="70" spans="1:4" ht="13.4" customHeight="1" x14ac:dyDescent="0.2">
      <c r="A70" s="2"/>
      <c r="B70" s="2"/>
      <c r="C70" s="2"/>
      <c r="D70" s="2"/>
    </row>
    <row r="71" spans="1:4" ht="13.4" customHeight="1" x14ac:dyDescent="0.2">
      <c r="A71" s="2"/>
      <c r="B71" s="2"/>
      <c r="C71" s="2"/>
      <c r="D71" s="2"/>
    </row>
    <row r="72" spans="1:4" ht="13.4" customHeight="1" x14ac:dyDescent="0.2">
      <c r="A72" s="2"/>
      <c r="B72" s="2"/>
      <c r="C72" s="2"/>
      <c r="D72" s="2"/>
    </row>
    <row r="73" spans="1:4" ht="13.4" customHeight="1" x14ac:dyDescent="0.2">
      <c r="A73" s="2"/>
      <c r="B73" s="2"/>
      <c r="C73" s="2"/>
      <c r="D73" s="2"/>
    </row>
    <row r="74" spans="1:4" ht="13.4" customHeight="1" x14ac:dyDescent="0.2">
      <c r="A74" s="2"/>
      <c r="B74" s="2"/>
      <c r="C74" s="2"/>
      <c r="D74" s="2"/>
    </row>
    <row r="75" spans="1:4" ht="13.4" customHeight="1" x14ac:dyDescent="0.2">
      <c r="A75" s="2"/>
      <c r="B75" s="2"/>
      <c r="C75" s="2"/>
      <c r="D75" s="2"/>
    </row>
    <row r="76" spans="1:4" ht="13.4" customHeight="1" x14ac:dyDescent="0.2">
      <c r="A76" s="2"/>
      <c r="B76" s="2"/>
      <c r="C76" s="2"/>
      <c r="D76" s="2"/>
    </row>
    <row r="77" spans="1:4" ht="13.4" customHeight="1" x14ac:dyDescent="0.2">
      <c r="A77" s="2"/>
      <c r="B77" s="2"/>
      <c r="C77" s="2"/>
      <c r="D77" s="2"/>
    </row>
    <row r="78" spans="1:4" ht="13.4" customHeight="1" x14ac:dyDescent="0.2">
      <c r="A78" s="2"/>
      <c r="B78" s="2"/>
      <c r="C78" s="2"/>
      <c r="D78" s="2"/>
    </row>
    <row r="79" spans="1:4" ht="13.4" customHeight="1" x14ac:dyDescent="0.2">
      <c r="A79" s="2"/>
      <c r="B79" s="2"/>
      <c r="C79" s="2"/>
      <c r="D79" s="2"/>
    </row>
    <row r="80" spans="1:4" ht="13.4" customHeight="1" x14ac:dyDescent="0.2">
      <c r="A80" s="2"/>
      <c r="B80" s="2"/>
      <c r="C80" s="2"/>
      <c r="D80" s="2"/>
    </row>
    <row r="81" spans="1:4" ht="13.4" customHeight="1" x14ac:dyDescent="0.2">
      <c r="A81" s="2"/>
      <c r="B81" s="2"/>
      <c r="C81" s="2"/>
      <c r="D81" s="2"/>
    </row>
    <row r="82" spans="1:4" ht="13.4" customHeight="1" x14ac:dyDescent="0.2">
      <c r="A82" s="2"/>
      <c r="B82" s="2"/>
      <c r="C82" s="2"/>
      <c r="D82" s="2"/>
    </row>
    <row r="83" spans="1:4" ht="13.4" customHeight="1" x14ac:dyDescent="0.2">
      <c r="A83" s="2"/>
      <c r="B83" s="2"/>
      <c r="C83" s="2"/>
      <c r="D83" s="2"/>
    </row>
    <row r="84" spans="1:4" ht="13.4" customHeight="1" x14ac:dyDescent="0.2">
      <c r="A84" s="2"/>
      <c r="B84" s="2"/>
      <c r="C84" s="2"/>
      <c r="D84" s="2"/>
    </row>
    <row r="92" spans="1:4" ht="14" x14ac:dyDescent="0.2"/>
    <row r="114" ht="14" x14ac:dyDescent="0.2"/>
  </sheetData>
  <autoFilter ref="A6:P42" xr:uid="{4D42819B-48A5-4B3C-B05A-E3C57C61B86C}"/>
  <mergeCells count="1">
    <mergeCell ref="E4:P5"/>
  </mergeCells>
  <phoneticPr fontId="15" type="noConversion"/>
  <conditionalFormatting sqref="E7:F199">
    <cfRule type="expression" dxfId="86" priority="10">
      <formula>LEN(E7)&gt;12</formula>
    </cfRule>
  </conditionalFormatting>
  <conditionalFormatting sqref="I7:I109">
    <cfRule type="expression" dxfId="85" priority="5">
      <formula>LEN(I7)&gt;24</formula>
    </cfRule>
  </conditionalFormatting>
  <conditionalFormatting sqref="J30:J33">
    <cfRule type="expression" dxfId="84" priority="13">
      <formula>LEN(J30)&gt;52</formula>
    </cfRule>
  </conditionalFormatting>
  <dataValidations disablePrompts="1" count="1">
    <dataValidation type="list" allowBlank="1" showInputMessage="1" showErrorMessage="1" sqref="M35" xr:uid="{1380FDA2-52A9-4E56-9888-22DC37AC0DFE}">
      <formula1>#REF!</formula1>
    </dataValidation>
  </dataValidations>
  <printOptions horizontalCentered="1"/>
  <pageMargins left="0.39370078740157483" right="0.39370078740157483" top="0.59055118110236227" bottom="0.59055118110236227" header="0.59055118110236227" footer="0.39370078740157483"/>
  <pageSetup paperSize="8" scale="40" fitToHeight="0" orientation="landscape" r:id="rId1"/>
  <headerFooter scaleWithDoc="0"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0">
    <tabColor indexed="39"/>
    <pageSetUpPr fitToPage="1"/>
  </sheetPr>
  <dimension ref="A1:S203"/>
  <sheetViews>
    <sheetView view="pageBreakPreview" topLeftCell="E1" zoomScale="70" zoomScaleNormal="25" zoomScaleSheetLayoutView="70" workbookViewId="0">
      <selection activeCell="F6" sqref="F6"/>
    </sheetView>
  </sheetViews>
  <sheetFormatPr defaultColWidth="18.6640625" defaultRowHeight="13.4" customHeight="1" outlineLevelCol="1" x14ac:dyDescent="0.2"/>
  <cols>
    <col min="1" max="3" width="7.6640625" style="3" hidden="1" customWidth="1"/>
    <col min="4" max="4" width="17.33203125" style="3" hidden="1" customWidth="1"/>
    <col min="5" max="5" width="32.6640625" style="21" customWidth="1"/>
    <col min="6" max="6" width="31.109375" style="21" customWidth="1"/>
    <col min="7" max="7" width="36.6640625" style="4" customWidth="1"/>
    <col min="8" max="8" width="116.33203125" style="4" customWidth="1" outlineLevel="1"/>
    <col min="9" max="9" width="60.6640625" style="4" customWidth="1"/>
    <col min="10" max="10" width="25" style="4" customWidth="1"/>
    <col min="11" max="11" width="28.109375" style="3" customWidth="1"/>
    <col min="12" max="13" width="17" style="3" customWidth="1"/>
    <col min="14" max="14" width="16.33203125" style="21" customWidth="1"/>
    <col min="15" max="15" width="40.6640625" style="21" customWidth="1"/>
    <col min="16" max="16" width="70.6640625" style="21" customWidth="1"/>
    <col min="17" max="17" width="6.6640625" style="22" customWidth="1"/>
    <col min="18" max="16384" width="18.6640625" style="2"/>
  </cols>
  <sheetData>
    <row r="1" spans="1:17" s="80" customFormat="1" ht="21" customHeight="1" x14ac:dyDescent="0.2">
      <c r="A1" s="94"/>
      <c r="B1" s="94"/>
      <c r="C1" s="94"/>
      <c r="D1" s="94"/>
      <c r="E1" s="19" t="s">
        <v>1</v>
      </c>
      <c r="F1" s="19"/>
      <c r="G1" s="24"/>
      <c r="H1" s="170"/>
      <c r="I1" s="19"/>
      <c r="J1" s="19"/>
      <c r="K1" s="106"/>
      <c r="L1" s="106"/>
      <c r="M1" s="106"/>
      <c r="N1" s="106"/>
      <c r="O1" s="106"/>
      <c r="P1" s="106"/>
      <c r="Q1" s="94"/>
    </row>
    <row r="2" spans="1:17" s="80" customFormat="1" ht="21" customHeight="1" x14ac:dyDescent="0.2">
      <c r="A2" s="94"/>
      <c r="B2" s="94"/>
      <c r="C2" s="94"/>
      <c r="D2" s="94"/>
      <c r="E2" s="19" t="s">
        <v>37</v>
      </c>
      <c r="F2" s="19"/>
      <c r="G2" s="24"/>
      <c r="J2" s="170" t="s">
        <v>423</v>
      </c>
      <c r="K2" s="34"/>
      <c r="L2" s="34"/>
      <c r="M2" s="34"/>
      <c r="N2" s="24"/>
      <c r="O2" s="24"/>
      <c r="P2" s="106"/>
      <c r="Q2" s="94"/>
    </row>
    <row r="3" spans="1:17" s="80" customFormat="1" ht="21" customHeight="1" thickBot="1" x14ac:dyDescent="0.25">
      <c r="A3" s="94"/>
      <c r="B3" s="94"/>
      <c r="C3" s="94"/>
      <c r="D3" s="94"/>
      <c r="E3" s="80" t="s">
        <v>2</v>
      </c>
      <c r="G3" s="19"/>
      <c r="H3" s="107"/>
      <c r="I3" s="107"/>
      <c r="J3" s="107"/>
      <c r="K3" s="106"/>
      <c r="L3" s="106"/>
      <c r="M3" s="106"/>
      <c r="N3" s="106"/>
      <c r="O3" s="106"/>
      <c r="P3" s="106"/>
    </row>
    <row r="4" spans="1:17" s="51" customFormat="1" ht="12" customHeight="1" x14ac:dyDescent="0.2">
      <c r="A4" s="47"/>
      <c r="B4" s="47"/>
      <c r="C4" s="47"/>
      <c r="D4" s="47"/>
      <c r="E4" s="1062" t="s">
        <v>599</v>
      </c>
      <c r="F4" s="1046"/>
      <c r="G4" s="1046"/>
      <c r="H4" s="1046"/>
      <c r="I4" s="1046"/>
      <c r="J4" s="1046"/>
      <c r="K4" s="1046"/>
      <c r="L4" s="1046"/>
      <c r="M4" s="1046"/>
      <c r="N4" s="1046"/>
      <c r="O4" s="1046"/>
      <c r="P4" s="1046"/>
      <c r="Q4" s="1063"/>
    </row>
    <row r="5" spans="1:17" s="51" customFormat="1" ht="13.5" customHeight="1" thickBot="1" x14ac:dyDescent="0.25">
      <c r="A5" s="47"/>
      <c r="B5" s="47"/>
      <c r="C5" s="47"/>
      <c r="D5" s="47"/>
      <c r="E5" s="1064"/>
      <c r="F5" s="1065"/>
      <c r="G5" s="1065"/>
      <c r="H5" s="1065"/>
      <c r="I5" s="1065"/>
      <c r="J5" s="1065"/>
      <c r="K5" s="1065"/>
      <c r="L5" s="1065"/>
      <c r="M5" s="1065"/>
      <c r="N5" s="1065"/>
      <c r="O5" s="1065"/>
      <c r="P5" s="1065"/>
      <c r="Q5" s="1066"/>
    </row>
    <row r="6" spans="1:17" s="47" customFormat="1" ht="28" x14ac:dyDescent="0.3">
      <c r="A6" s="180" t="s">
        <v>108</v>
      </c>
      <c r="B6" s="180" t="s">
        <v>109</v>
      </c>
      <c r="C6" s="180" t="s">
        <v>110</v>
      </c>
      <c r="D6" s="180" t="s">
        <v>111</v>
      </c>
      <c r="E6" s="127" t="s">
        <v>102</v>
      </c>
      <c r="F6" s="127" t="s">
        <v>103</v>
      </c>
      <c r="G6" s="966" t="s">
        <v>104</v>
      </c>
      <c r="H6" s="966" t="s">
        <v>105</v>
      </c>
      <c r="I6" s="966" t="s">
        <v>106</v>
      </c>
      <c r="J6" s="966" t="s">
        <v>425</v>
      </c>
      <c r="K6" s="966" t="s">
        <v>426</v>
      </c>
      <c r="L6" s="966" t="s">
        <v>427</v>
      </c>
      <c r="M6" s="966" t="s">
        <v>600</v>
      </c>
      <c r="N6" s="966" t="s">
        <v>428</v>
      </c>
      <c r="O6" s="966" t="s">
        <v>128</v>
      </c>
      <c r="P6" s="966" t="s">
        <v>129</v>
      </c>
      <c r="Q6" s="966" t="s">
        <v>130</v>
      </c>
    </row>
    <row r="7" spans="1:17" ht="30" customHeight="1" x14ac:dyDescent="0.2">
      <c r="E7" s="5" t="s">
        <v>601</v>
      </c>
      <c r="F7" s="12" t="s">
        <v>602</v>
      </c>
      <c r="G7" s="5" t="s">
        <v>134</v>
      </c>
      <c r="H7" s="698" t="s">
        <v>603</v>
      </c>
      <c r="I7" s="12" t="s">
        <v>604</v>
      </c>
      <c r="J7" s="13" t="s">
        <v>605</v>
      </c>
      <c r="K7" s="13" t="s">
        <v>586</v>
      </c>
      <c r="L7" s="13" t="s">
        <v>605</v>
      </c>
      <c r="M7" s="68" t="s">
        <v>606</v>
      </c>
      <c r="N7" s="12">
        <v>0</v>
      </c>
      <c r="O7" s="68"/>
      <c r="P7" s="8"/>
      <c r="Q7" s="13">
        <v>1</v>
      </c>
    </row>
    <row r="8" spans="1:17" ht="30" customHeight="1" x14ac:dyDescent="0.2">
      <c r="E8" s="5" t="s">
        <v>607</v>
      </c>
      <c r="F8" s="12" t="s">
        <v>608</v>
      </c>
      <c r="G8" s="5" t="s">
        <v>134</v>
      </c>
      <c r="H8" s="698" t="s">
        <v>609</v>
      </c>
      <c r="I8" s="12" t="s">
        <v>610</v>
      </c>
      <c r="J8" s="13" t="s">
        <v>605</v>
      </c>
      <c r="K8" s="13" t="s">
        <v>586</v>
      </c>
      <c r="L8" s="13" t="s">
        <v>605</v>
      </c>
      <c r="M8" s="68" t="s">
        <v>606</v>
      </c>
      <c r="N8" s="12">
        <v>0</v>
      </c>
      <c r="O8" s="68"/>
      <c r="P8" s="8"/>
      <c r="Q8" s="13">
        <v>1</v>
      </c>
    </row>
    <row r="9" spans="1:17" ht="30" customHeight="1" x14ac:dyDescent="0.2">
      <c r="E9" s="5" t="s">
        <v>611</v>
      </c>
      <c r="F9" s="12" t="s">
        <v>612</v>
      </c>
      <c r="G9" s="5" t="s">
        <v>134</v>
      </c>
      <c r="H9" s="698" t="s">
        <v>613</v>
      </c>
      <c r="I9" s="12" t="s">
        <v>614</v>
      </c>
      <c r="J9" s="13" t="s">
        <v>605</v>
      </c>
      <c r="K9" s="13" t="s">
        <v>586</v>
      </c>
      <c r="L9" s="13" t="s">
        <v>605</v>
      </c>
      <c r="M9" s="68" t="s">
        <v>606</v>
      </c>
      <c r="N9" s="12">
        <v>0</v>
      </c>
      <c r="O9" s="68"/>
      <c r="P9" s="8"/>
      <c r="Q9" s="13">
        <v>1</v>
      </c>
    </row>
    <row r="10" spans="1:17" ht="32.15" customHeight="1" x14ac:dyDescent="0.2">
      <c r="E10" s="704" t="s">
        <v>615</v>
      </c>
      <c r="F10" s="705" t="s">
        <v>616</v>
      </c>
      <c r="G10" s="5" t="s">
        <v>134</v>
      </c>
      <c r="H10" s="698" t="s">
        <v>617</v>
      </c>
      <c r="I10" s="12" t="s">
        <v>618</v>
      </c>
      <c r="J10" s="13" t="s">
        <v>605</v>
      </c>
      <c r="K10" s="13" t="s">
        <v>586</v>
      </c>
      <c r="L10" s="13" t="s">
        <v>605</v>
      </c>
      <c r="M10" s="68" t="s">
        <v>619</v>
      </c>
      <c r="N10" s="12">
        <v>0</v>
      </c>
      <c r="O10" s="68"/>
      <c r="P10" s="8" t="s">
        <v>620</v>
      </c>
      <c r="Q10" s="703">
        <v>2</v>
      </c>
    </row>
    <row r="11" spans="1:17" ht="36" customHeight="1" x14ac:dyDescent="0.2">
      <c r="E11" s="742" t="s">
        <v>621</v>
      </c>
      <c r="F11" s="701" t="s">
        <v>622</v>
      </c>
      <c r="G11" s="742" t="s">
        <v>134</v>
      </c>
      <c r="H11" s="743" t="s">
        <v>623</v>
      </c>
      <c r="I11" s="701" t="s">
        <v>624</v>
      </c>
      <c r="J11" s="702" t="s">
        <v>538</v>
      </c>
      <c r="K11" s="702" t="s">
        <v>537</v>
      </c>
      <c r="L11" s="702" t="s">
        <v>605</v>
      </c>
      <c r="M11" s="771" t="s">
        <v>619</v>
      </c>
      <c r="N11" s="701">
        <v>0</v>
      </c>
      <c r="O11" s="702"/>
      <c r="P11" s="728" t="s">
        <v>620</v>
      </c>
      <c r="Q11" s="703">
        <v>2</v>
      </c>
    </row>
    <row r="12" spans="1:17" ht="36" customHeight="1" x14ac:dyDescent="0.2">
      <c r="E12" s="742" t="s">
        <v>625</v>
      </c>
      <c r="F12" s="701" t="s">
        <v>626</v>
      </c>
      <c r="G12" s="742" t="s">
        <v>134</v>
      </c>
      <c r="H12" s="743" t="s">
        <v>627</v>
      </c>
      <c r="I12" s="701" t="s">
        <v>628</v>
      </c>
      <c r="J12" s="702" t="s">
        <v>538</v>
      </c>
      <c r="K12" s="702" t="s">
        <v>537</v>
      </c>
      <c r="L12" s="702" t="s">
        <v>605</v>
      </c>
      <c r="M12" s="771" t="s">
        <v>619</v>
      </c>
      <c r="N12" s="701">
        <v>0</v>
      </c>
      <c r="O12" s="702"/>
      <c r="P12" s="728" t="s">
        <v>620</v>
      </c>
      <c r="Q12" s="703">
        <v>2</v>
      </c>
    </row>
    <row r="13" spans="1:17" ht="36" customHeight="1" x14ac:dyDescent="0.2">
      <c r="E13" s="742" t="s">
        <v>629</v>
      </c>
      <c r="F13" s="701" t="s">
        <v>630</v>
      </c>
      <c r="G13" s="742" t="s">
        <v>134</v>
      </c>
      <c r="H13" s="743" t="s">
        <v>631</v>
      </c>
      <c r="I13" s="701" t="s">
        <v>632</v>
      </c>
      <c r="J13" s="702" t="s">
        <v>605</v>
      </c>
      <c r="K13" s="702" t="s">
        <v>586</v>
      </c>
      <c r="L13" s="702" t="s">
        <v>605</v>
      </c>
      <c r="M13" s="771" t="s">
        <v>619</v>
      </c>
      <c r="N13" s="701">
        <v>0</v>
      </c>
      <c r="O13" s="702"/>
      <c r="P13" s="728" t="s">
        <v>620</v>
      </c>
      <c r="Q13" s="703">
        <v>2</v>
      </c>
    </row>
    <row r="14" spans="1:17" ht="36" customHeight="1" x14ac:dyDescent="0.2">
      <c r="E14" s="704" t="s">
        <v>633</v>
      </c>
      <c r="F14" s="705" t="s">
        <v>634</v>
      </c>
      <c r="G14" s="5" t="s">
        <v>134</v>
      </c>
      <c r="H14" s="698" t="s">
        <v>635</v>
      </c>
      <c r="I14" s="12" t="s">
        <v>636</v>
      </c>
      <c r="J14" s="703" t="s">
        <v>538</v>
      </c>
      <c r="K14" s="703" t="s">
        <v>537</v>
      </c>
      <c r="L14" s="702" t="s">
        <v>605</v>
      </c>
      <c r="M14" s="703" t="s">
        <v>619</v>
      </c>
      <c r="N14" s="12">
        <v>0</v>
      </c>
      <c r="O14" s="13"/>
      <c r="P14" s="735" t="s">
        <v>637</v>
      </c>
      <c r="Q14" s="706">
        <v>2</v>
      </c>
    </row>
    <row r="15" spans="1:17" ht="36" customHeight="1" x14ac:dyDescent="0.2">
      <c r="E15" s="704" t="s">
        <v>638</v>
      </c>
      <c r="F15" s="705" t="s">
        <v>639</v>
      </c>
      <c r="G15" s="5" t="s">
        <v>134</v>
      </c>
      <c r="H15" s="698" t="s">
        <v>640</v>
      </c>
      <c r="I15" s="12" t="s">
        <v>641</v>
      </c>
      <c r="J15" s="703" t="s">
        <v>538</v>
      </c>
      <c r="K15" s="703" t="s">
        <v>537</v>
      </c>
      <c r="L15" s="702" t="s">
        <v>605</v>
      </c>
      <c r="M15" s="706" t="s">
        <v>619</v>
      </c>
      <c r="N15" s="12">
        <v>0</v>
      </c>
      <c r="O15" s="68"/>
      <c r="P15" s="735" t="s">
        <v>637</v>
      </c>
      <c r="Q15" s="703">
        <v>2</v>
      </c>
    </row>
    <row r="16" spans="1:17" ht="36" customHeight="1" x14ac:dyDescent="0.2">
      <c r="E16" s="704" t="s">
        <v>642</v>
      </c>
      <c r="F16" s="705" t="s">
        <v>643</v>
      </c>
      <c r="G16" s="5" t="s">
        <v>134</v>
      </c>
      <c r="H16" s="698" t="s">
        <v>644</v>
      </c>
      <c r="I16" s="12" t="s">
        <v>645</v>
      </c>
      <c r="J16" s="13" t="s">
        <v>605</v>
      </c>
      <c r="K16" s="13" t="s">
        <v>586</v>
      </c>
      <c r="L16" s="13" t="s">
        <v>605</v>
      </c>
      <c r="M16" s="706" t="s">
        <v>619</v>
      </c>
      <c r="N16" s="12">
        <v>0</v>
      </c>
      <c r="O16" s="68"/>
      <c r="P16" s="735" t="s">
        <v>637</v>
      </c>
      <c r="Q16" s="703">
        <v>2</v>
      </c>
    </row>
    <row r="17" spans="1:19" ht="36" customHeight="1" x14ac:dyDescent="0.2">
      <c r="E17" s="704" t="s">
        <v>646</v>
      </c>
      <c r="F17" s="705" t="s">
        <v>647</v>
      </c>
      <c r="G17" s="5" t="s">
        <v>134</v>
      </c>
      <c r="H17" s="698" t="s">
        <v>648</v>
      </c>
      <c r="I17" s="12" t="s">
        <v>649</v>
      </c>
      <c r="J17" s="703" t="s">
        <v>538</v>
      </c>
      <c r="K17" s="703" t="s">
        <v>537</v>
      </c>
      <c r="L17" s="702" t="s">
        <v>605</v>
      </c>
      <c r="M17" s="706" t="s">
        <v>619</v>
      </c>
      <c r="N17" s="161">
        <v>0</v>
      </c>
      <c r="O17" s="68"/>
      <c r="P17" s="735" t="s">
        <v>650</v>
      </c>
      <c r="Q17" s="703">
        <v>2</v>
      </c>
    </row>
    <row r="18" spans="1:19" ht="36" customHeight="1" x14ac:dyDescent="0.2">
      <c r="E18" s="704" t="s">
        <v>651</v>
      </c>
      <c r="F18" s="705" t="s">
        <v>652</v>
      </c>
      <c r="G18" s="5" t="s">
        <v>134</v>
      </c>
      <c r="H18" s="698" t="s">
        <v>653</v>
      </c>
      <c r="I18" s="12" t="s">
        <v>654</v>
      </c>
      <c r="J18" s="703" t="s">
        <v>538</v>
      </c>
      <c r="K18" s="703" t="s">
        <v>537</v>
      </c>
      <c r="L18" s="702" t="s">
        <v>605</v>
      </c>
      <c r="M18" s="706" t="s">
        <v>619</v>
      </c>
      <c r="N18" s="161">
        <v>0</v>
      </c>
      <c r="O18" s="68"/>
      <c r="P18" s="735" t="s">
        <v>650</v>
      </c>
      <c r="Q18" s="703">
        <v>2</v>
      </c>
    </row>
    <row r="19" spans="1:19" ht="36" customHeight="1" x14ac:dyDescent="0.2">
      <c r="E19" s="704" t="s">
        <v>655</v>
      </c>
      <c r="F19" s="705" t="s">
        <v>656</v>
      </c>
      <c r="G19" s="5" t="s">
        <v>134</v>
      </c>
      <c r="H19" s="698" t="s">
        <v>657</v>
      </c>
      <c r="I19" s="12" t="s">
        <v>658</v>
      </c>
      <c r="J19" s="13" t="s">
        <v>605</v>
      </c>
      <c r="K19" s="13" t="s">
        <v>586</v>
      </c>
      <c r="L19" s="13" t="s">
        <v>605</v>
      </c>
      <c r="M19" s="706" t="s">
        <v>619</v>
      </c>
      <c r="N19" s="12">
        <v>0</v>
      </c>
      <c r="O19" s="13"/>
      <c r="P19" s="735" t="s">
        <v>650</v>
      </c>
      <c r="Q19" s="703">
        <v>2</v>
      </c>
    </row>
    <row r="20" spans="1:19" ht="36" customHeight="1" x14ac:dyDescent="0.2">
      <c r="E20" s="704" t="s">
        <v>659</v>
      </c>
      <c r="F20" s="705" t="s">
        <v>660</v>
      </c>
      <c r="G20" s="5" t="s">
        <v>134</v>
      </c>
      <c r="H20" s="698" t="s">
        <v>661</v>
      </c>
      <c r="I20" s="12" t="s">
        <v>662</v>
      </c>
      <c r="J20" s="703" t="s">
        <v>538</v>
      </c>
      <c r="K20" s="703" t="s">
        <v>537</v>
      </c>
      <c r="L20" s="702" t="s">
        <v>605</v>
      </c>
      <c r="M20" s="706" t="s">
        <v>619</v>
      </c>
      <c r="N20" s="12">
        <v>0</v>
      </c>
      <c r="O20" s="13"/>
      <c r="P20" s="735" t="s">
        <v>663</v>
      </c>
      <c r="Q20" s="703">
        <v>2</v>
      </c>
    </row>
    <row r="21" spans="1:19" ht="36" customHeight="1" x14ac:dyDescent="0.2">
      <c r="E21" s="704" t="s">
        <v>664</v>
      </c>
      <c r="F21" s="705" t="s">
        <v>665</v>
      </c>
      <c r="G21" s="5" t="s">
        <v>134</v>
      </c>
      <c r="H21" s="698" t="s">
        <v>666</v>
      </c>
      <c r="I21" s="12" t="s">
        <v>667</v>
      </c>
      <c r="J21" s="703" t="s">
        <v>538</v>
      </c>
      <c r="K21" s="703" t="s">
        <v>537</v>
      </c>
      <c r="L21" s="702" t="s">
        <v>605</v>
      </c>
      <c r="M21" s="703" t="s">
        <v>619</v>
      </c>
      <c r="N21" s="12">
        <v>0</v>
      </c>
      <c r="O21" s="13"/>
      <c r="P21" s="735" t="s">
        <v>663</v>
      </c>
      <c r="Q21" s="703">
        <v>2</v>
      </c>
    </row>
    <row r="22" spans="1:19" ht="36" customHeight="1" x14ac:dyDescent="0.2">
      <c r="E22" s="704" t="s">
        <v>668</v>
      </c>
      <c r="F22" s="705" t="s">
        <v>669</v>
      </c>
      <c r="G22" s="5" t="s">
        <v>134</v>
      </c>
      <c r="H22" s="698" t="s">
        <v>670</v>
      </c>
      <c r="I22" s="12" t="s">
        <v>671</v>
      </c>
      <c r="J22" s="13" t="s">
        <v>605</v>
      </c>
      <c r="K22" s="13" t="s">
        <v>586</v>
      </c>
      <c r="L22" s="13" t="s">
        <v>605</v>
      </c>
      <c r="M22" s="706" t="s">
        <v>619</v>
      </c>
      <c r="N22" s="12">
        <v>0</v>
      </c>
      <c r="O22" s="13"/>
      <c r="P22" s="735" t="s">
        <v>663</v>
      </c>
      <c r="Q22" s="703">
        <v>2</v>
      </c>
    </row>
    <row r="23" spans="1:19" ht="36" customHeight="1" x14ac:dyDescent="0.2">
      <c r="E23" s="704" t="s">
        <v>672</v>
      </c>
      <c r="F23" s="705" t="s">
        <v>673</v>
      </c>
      <c r="G23" s="5" t="s">
        <v>134</v>
      </c>
      <c r="H23" s="698" t="s">
        <v>674</v>
      </c>
      <c r="I23" s="12" t="s">
        <v>675</v>
      </c>
      <c r="J23" s="703" t="s">
        <v>538</v>
      </c>
      <c r="K23" s="703" t="s">
        <v>537</v>
      </c>
      <c r="L23" s="702" t="s">
        <v>605</v>
      </c>
      <c r="M23" s="706" t="s">
        <v>619</v>
      </c>
      <c r="N23" s="12">
        <v>0</v>
      </c>
      <c r="O23" s="13"/>
      <c r="P23" s="735" t="s">
        <v>676</v>
      </c>
      <c r="Q23" s="703">
        <v>2</v>
      </c>
    </row>
    <row r="24" spans="1:19" ht="36" customHeight="1" x14ac:dyDescent="0.2">
      <c r="E24" s="704" t="s">
        <v>677</v>
      </c>
      <c r="F24" s="705" t="s">
        <v>678</v>
      </c>
      <c r="G24" s="5" t="s">
        <v>134</v>
      </c>
      <c r="H24" s="698" t="s">
        <v>679</v>
      </c>
      <c r="I24" s="12" t="s">
        <v>680</v>
      </c>
      <c r="J24" s="703" t="s">
        <v>538</v>
      </c>
      <c r="K24" s="703" t="s">
        <v>537</v>
      </c>
      <c r="L24" s="702" t="s">
        <v>605</v>
      </c>
      <c r="M24" s="706" t="s">
        <v>619</v>
      </c>
      <c r="N24" s="12">
        <v>0</v>
      </c>
      <c r="O24" s="13"/>
      <c r="P24" s="735" t="s">
        <v>676</v>
      </c>
      <c r="Q24" s="703">
        <v>2</v>
      </c>
    </row>
    <row r="25" spans="1:19" ht="36" customHeight="1" x14ac:dyDescent="0.2">
      <c r="E25" s="704" t="s">
        <v>681</v>
      </c>
      <c r="F25" s="705" t="s">
        <v>682</v>
      </c>
      <c r="G25" s="5" t="s">
        <v>134</v>
      </c>
      <c r="H25" s="698" t="s">
        <v>683</v>
      </c>
      <c r="I25" s="12" t="s">
        <v>684</v>
      </c>
      <c r="J25" s="13" t="s">
        <v>605</v>
      </c>
      <c r="K25" s="13" t="s">
        <v>586</v>
      </c>
      <c r="L25" s="13" t="s">
        <v>605</v>
      </c>
      <c r="M25" s="706" t="s">
        <v>619</v>
      </c>
      <c r="N25" s="12">
        <v>0</v>
      </c>
      <c r="O25" s="13"/>
      <c r="P25" s="735" t="s">
        <v>676</v>
      </c>
      <c r="Q25" s="703">
        <v>2</v>
      </c>
    </row>
    <row r="26" spans="1:19" ht="30" customHeight="1" x14ac:dyDescent="0.2">
      <c r="E26" s="5" t="s">
        <v>685</v>
      </c>
      <c r="F26" s="12" t="s">
        <v>686</v>
      </c>
      <c r="G26" s="5" t="s">
        <v>134</v>
      </c>
      <c r="H26" s="698" t="s">
        <v>687</v>
      </c>
      <c r="I26" s="12" t="s">
        <v>688</v>
      </c>
      <c r="J26" s="13" t="s">
        <v>605</v>
      </c>
      <c r="K26" s="13" t="s">
        <v>586</v>
      </c>
      <c r="L26" s="13" t="s">
        <v>605</v>
      </c>
      <c r="M26" s="13" t="s">
        <v>606</v>
      </c>
      <c r="N26" s="12">
        <v>0</v>
      </c>
      <c r="O26" s="13"/>
      <c r="P26" s="8"/>
      <c r="Q26" s="13">
        <v>1</v>
      </c>
      <c r="S26" s="836"/>
    </row>
    <row r="27" spans="1:19" ht="30" customHeight="1" x14ac:dyDescent="0.2">
      <c r="A27" s="22"/>
      <c r="B27" s="22"/>
      <c r="C27" s="22"/>
      <c r="D27" s="22"/>
      <c r="E27" s="5" t="s">
        <v>689</v>
      </c>
      <c r="F27" s="12" t="s">
        <v>690</v>
      </c>
      <c r="G27" s="5" t="s">
        <v>134</v>
      </c>
      <c r="H27" s="698" t="s">
        <v>613</v>
      </c>
      <c r="I27" s="12" t="s">
        <v>614</v>
      </c>
      <c r="J27" s="13" t="s">
        <v>605</v>
      </c>
      <c r="K27" s="13" t="s">
        <v>586</v>
      </c>
      <c r="L27" s="13" t="s">
        <v>605</v>
      </c>
      <c r="M27" s="13" t="s">
        <v>606</v>
      </c>
      <c r="N27" s="12">
        <v>0</v>
      </c>
      <c r="O27" s="13"/>
      <c r="P27" s="8"/>
      <c r="Q27" s="13">
        <v>1</v>
      </c>
      <c r="S27" s="836"/>
    </row>
    <row r="28" spans="1:19" ht="30" customHeight="1" x14ac:dyDescent="0.2">
      <c r="A28" s="22"/>
      <c r="B28" s="22"/>
      <c r="C28" s="22"/>
      <c r="D28" s="22"/>
      <c r="E28" s="5" t="s">
        <v>691</v>
      </c>
      <c r="F28" s="12" t="s">
        <v>692</v>
      </c>
      <c r="G28" s="5" t="s">
        <v>134</v>
      </c>
      <c r="H28" s="698" t="s">
        <v>693</v>
      </c>
      <c r="I28" s="12" t="s">
        <v>694</v>
      </c>
      <c r="J28" s="13" t="s">
        <v>605</v>
      </c>
      <c r="K28" s="13" t="s">
        <v>586</v>
      </c>
      <c r="L28" s="13" t="s">
        <v>605</v>
      </c>
      <c r="M28" s="68" t="s">
        <v>606</v>
      </c>
      <c r="N28" s="12">
        <v>0</v>
      </c>
      <c r="O28" s="13"/>
      <c r="P28" s="8"/>
      <c r="Q28" s="13">
        <v>1</v>
      </c>
      <c r="S28" s="836"/>
    </row>
    <row r="29" spans="1:19" ht="30" customHeight="1" x14ac:dyDescent="0.2">
      <c r="A29" s="22"/>
      <c r="B29" s="22"/>
      <c r="C29" s="22"/>
      <c r="D29" s="22"/>
      <c r="E29" s="5" t="s">
        <v>695</v>
      </c>
      <c r="F29" s="12" t="s">
        <v>696</v>
      </c>
      <c r="G29" s="5" t="s">
        <v>134</v>
      </c>
      <c r="H29" s="698" t="s">
        <v>697</v>
      </c>
      <c r="I29" s="12" t="s">
        <v>698</v>
      </c>
      <c r="J29" s="13" t="s">
        <v>605</v>
      </c>
      <c r="K29" s="13" t="s">
        <v>586</v>
      </c>
      <c r="L29" s="13" t="s">
        <v>605</v>
      </c>
      <c r="M29" s="68" t="s">
        <v>606</v>
      </c>
      <c r="N29" s="12">
        <v>0</v>
      </c>
      <c r="O29" s="13"/>
      <c r="P29" s="8"/>
      <c r="Q29" s="13">
        <v>1</v>
      </c>
      <c r="S29" s="836"/>
    </row>
    <row r="30" spans="1:19" ht="30" customHeight="1" x14ac:dyDescent="0.2">
      <c r="A30" s="22"/>
      <c r="B30" s="22"/>
      <c r="C30" s="22"/>
      <c r="D30" s="22"/>
      <c r="E30" s="5" t="s">
        <v>699</v>
      </c>
      <c r="F30" s="12" t="s">
        <v>700</v>
      </c>
      <c r="G30" s="5" t="s">
        <v>134</v>
      </c>
      <c r="H30" s="698" t="s">
        <v>701</v>
      </c>
      <c r="I30" s="12" t="s">
        <v>702</v>
      </c>
      <c r="J30" s="13" t="s">
        <v>605</v>
      </c>
      <c r="K30" s="13" t="s">
        <v>586</v>
      </c>
      <c r="L30" s="13" t="s">
        <v>605</v>
      </c>
      <c r="M30" s="68" t="s">
        <v>606</v>
      </c>
      <c r="N30" s="12">
        <v>0</v>
      </c>
      <c r="O30" s="13"/>
      <c r="P30" s="8"/>
      <c r="Q30" s="13">
        <v>1</v>
      </c>
      <c r="S30" s="836"/>
    </row>
    <row r="31" spans="1:19" ht="30" customHeight="1" x14ac:dyDescent="0.2">
      <c r="A31" s="22"/>
      <c r="B31" s="22"/>
      <c r="C31" s="22"/>
      <c r="D31" s="22"/>
      <c r="E31" s="5" t="s">
        <v>703</v>
      </c>
      <c r="F31" s="12" t="s">
        <v>704</v>
      </c>
      <c r="G31" s="5" t="s">
        <v>134</v>
      </c>
      <c r="H31" s="698" t="s">
        <v>705</v>
      </c>
      <c r="I31" s="12" t="s">
        <v>706</v>
      </c>
      <c r="J31" s="13" t="s">
        <v>605</v>
      </c>
      <c r="K31" s="13" t="s">
        <v>586</v>
      </c>
      <c r="L31" s="13" t="s">
        <v>605</v>
      </c>
      <c r="M31" s="68" t="s">
        <v>606</v>
      </c>
      <c r="N31" s="12">
        <v>0</v>
      </c>
      <c r="O31" s="13"/>
      <c r="P31" s="8"/>
      <c r="Q31" s="13">
        <v>1</v>
      </c>
      <c r="S31" s="836"/>
    </row>
    <row r="32" spans="1:19" ht="30" customHeight="1" x14ac:dyDescent="0.2">
      <c r="A32" s="22"/>
      <c r="B32" s="22"/>
      <c r="C32" s="22"/>
      <c r="D32" s="22"/>
      <c r="E32" s="5" t="s">
        <v>707</v>
      </c>
      <c r="F32" s="12" t="s">
        <v>708</v>
      </c>
      <c r="G32" s="5" t="s">
        <v>134</v>
      </c>
      <c r="H32" s="698" t="s">
        <v>709</v>
      </c>
      <c r="I32" s="12" t="s">
        <v>710</v>
      </c>
      <c r="J32" s="13" t="s">
        <v>605</v>
      </c>
      <c r="K32" s="13" t="s">
        <v>586</v>
      </c>
      <c r="L32" s="13" t="s">
        <v>605</v>
      </c>
      <c r="M32" s="68" t="s">
        <v>606</v>
      </c>
      <c r="N32" s="12">
        <v>0</v>
      </c>
      <c r="O32" s="13"/>
      <c r="P32" s="8"/>
      <c r="Q32" s="13">
        <v>1</v>
      </c>
      <c r="S32" s="836"/>
    </row>
    <row r="33" spans="1:19" ht="30" customHeight="1" x14ac:dyDescent="0.2">
      <c r="A33" s="22"/>
      <c r="B33" s="22"/>
      <c r="C33" s="22"/>
      <c r="D33" s="22"/>
      <c r="E33" s="5" t="s">
        <v>711</v>
      </c>
      <c r="F33" s="12" t="s">
        <v>712</v>
      </c>
      <c r="G33" s="5" t="s">
        <v>134</v>
      </c>
      <c r="H33" s="698" t="s">
        <v>713</v>
      </c>
      <c r="I33" s="12" t="s">
        <v>714</v>
      </c>
      <c r="J33" s="703" t="s">
        <v>538</v>
      </c>
      <c r="K33" s="703" t="s">
        <v>537</v>
      </c>
      <c r="L33" s="553" t="s">
        <v>605</v>
      </c>
      <c r="M33" s="68" t="s">
        <v>606</v>
      </c>
      <c r="N33" s="12">
        <v>0</v>
      </c>
      <c r="O33" s="13"/>
      <c r="P33" s="8"/>
      <c r="Q33" s="703">
        <v>2</v>
      </c>
      <c r="S33" s="836"/>
    </row>
    <row r="34" spans="1:19" ht="30" customHeight="1" x14ac:dyDescent="0.2">
      <c r="A34" s="22"/>
      <c r="B34" s="22"/>
      <c r="C34" s="22"/>
      <c r="D34" s="22"/>
      <c r="E34" s="704" t="s">
        <v>715</v>
      </c>
      <c r="F34" s="12" t="s">
        <v>716</v>
      </c>
      <c r="G34" s="5" t="s">
        <v>134</v>
      </c>
      <c r="H34" s="698" t="s">
        <v>717</v>
      </c>
      <c r="I34" s="12" t="s">
        <v>718</v>
      </c>
      <c r="J34" s="13" t="s">
        <v>605</v>
      </c>
      <c r="K34" s="13" t="s">
        <v>586</v>
      </c>
      <c r="L34" s="13" t="s">
        <v>605</v>
      </c>
      <c r="M34" s="68" t="s">
        <v>606</v>
      </c>
      <c r="N34" s="12">
        <v>0</v>
      </c>
      <c r="O34" s="13"/>
      <c r="P34" s="8"/>
      <c r="Q34" s="703">
        <v>2</v>
      </c>
      <c r="S34" s="836"/>
    </row>
    <row r="35" spans="1:19" ht="30" customHeight="1" x14ac:dyDescent="0.2">
      <c r="A35" s="22"/>
      <c r="B35" s="22"/>
      <c r="C35" s="22"/>
      <c r="D35" s="22"/>
      <c r="E35" s="5" t="s">
        <v>719</v>
      </c>
      <c r="F35" s="12" t="s">
        <v>720</v>
      </c>
      <c r="G35" s="5" t="s">
        <v>134</v>
      </c>
      <c r="H35" s="698" t="s">
        <v>721</v>
      </c>
      <c r="I35" s="12" t="s">
        <v>722</v>
      </c>
      <c r="J35" s="703" t="s">
        <v>538</v>
      </c>
      <c r="K35" s="703" t="s">
        <v>537</v>
      </c>
      <c r="L35" s="553" t="s">
        <v>605</v>
      </c>
      <c r="M35" s="68" t="s">
        <v>606</v>
      </c>
      <c r="N35" s="12">
        <v>0</v>
      </c>
      <c r="O35" s="13"/>
      <c r="P35" s="8"/>
      <c r="Q35" s="703">
        <v>2</v>
      </c>
      <c r="S35" s="836"/>
    </row>
    <row r="36" spans="1:19" ht="30" customHeight="1" x14ac:dyDescent="0.2">
      <c r="A36" s="22"/>
      <c r="B36" s="22"/>
      <c r="C36" s="22"/>
      <c r="D36" s="22"/>
      <c r="E36" s="704" t="s">
        <v>723</v>
      </c>
      <c r="F36" s="12" t="s">
        <v>724</v>
      </c>
      <c r="G36" s="5" t="s">
        <v>134</v>
      </c>
      <c r="H36" s="698" t="s">
        <v>725</v>
      </c>
      <c r="I36" s="12" t="s">
        <v>726</v>
      </c>
      <c r="J36" s="703" t="s">
        <v>537</v>
      </c>
      <c r="K36" s="703" t="s">
        <v>538</v>
      </c>
      <c r="L36" s="553" t="s">
        <v>605</v>
      </c>
      <c r="M36" s="68" t="s">
        <v>606</v>
      </c>
      <c r="N36" s="12">
        <v>0</v>
      </c>
      <c r="O36" s="13"/>
      <c r="P36" s="8"/>
      <c r="Q36" s="703">
        <v>2</v>
      </c>
      <c r="S36" s="836"/>
    </row>
    <row r="37" spans="1:19" ht="30" customHeight="1" x14ac:dyDescent="0.2">
      <c r="A37" s="22"/>
      <c r="B37" s="22"/>
      <c r="C37" s="22"/>
      <c r="D37" s="22"/>
      <c r="E37" s="5" t="s">
        <v>727</v>
      </c>
      <c r="F37" s="12" t="s">
        <v>728</v>
      </c>
      <c r="G37" s="704" t="s">
        <v>729</v>
      </c>
      <c r="H37" s="767" t="s">
        <v>730</v>
      </c>
      <c r="I37" s="705" t="s">
        <v>731</v>
      </c>
      <c r="J37" s="703" t="s">
        <v>538</v>
      </c>
      <c r="K37" s="703" t="s">
        <v>537</v>
      </c>
      <c r="L37" s="779"/>
      <c r="M37" s="706" t="s">
        <v>606</v>
      </c>
      <c r="N37" s="705"/>
      <c r="O37" s="703"/>
      <c r="P37" s="735"/>
      <c r="Q37" s="703">
        <v>2</v>
      </c>
      <c r="S37" s="836"/>
    </row>
    <row r="38" spans="1:19" ht="30" customHeight="1" x14ac:dyDescent="0.2">
      <c r="A38" s="22"/>
      <c r="B38" s="22"/>
      <c r="C38" s="22"/>
      <c r="D38" s="22"/>
      <c r="E38" s="5" t="s">
        <v>732</v>
      </c>
      <c r="F38" s="12" t="s">
        <v>733</v>
      </c>
      <c r="G38" s="704" t="s">
        <v>729</v>
      </c>
      <c r="H38" s="767" t="s">
        <v>734</v>
      </c>
      <c r="I38" s="705" t="s">
        <v>735</v>
      </c>
      <c r="J38" s="703" t="s">
        <v>538</v>
      </c>
      <c r="K38" s="703" t="s">
        <v>537</v>
      </c>
      <c r="L38" s="779"/>
      <c r="M38" s="706" t="s">
        <v>606</v>
      </c>
      <c r="N38" s="705"/>
      <c r="O38" s="703"/>
      <c r="P38" s="735"/>
      <c r="Q38" s="703">
        <v>2</v>
      </c>
      <c r="S38" s="836"/>
    </row>
    <row r="39" spans="1:19" ht="30" customHeight="1" x14ac:dyDescent="0.2">
      <c r="A39" s="22"/>
      <c r="B39" s="22"/>
      <c r="C39" s="22"/>
      <c r="E39" s="254" t="s">
        <v>736</v>
      </c>
      <c r="F39" s="256" t="s">
        <v>737</v>
      </c>
      <c r="G39" s="254" t="s">
        <v>134</v>
      </c>
      <c r="H39" s="277" t="s">
        <v>738</v>
      </c>
      <c r="I39" s="13" t="s">
        <v>739</v>
      </c>
      <c r="J39" s="13" t="s">
        <v>605</v>
      </c>
      <c r="K39" s="13" t="s">
        <v>586</v>
      </c>
      <c r="L39" s="13" t="s">
        <v>605</v>
      </c>
      <c r="M39" s="68" t="s">
        <v>606</v>
      </c>
      <c r="N39" s="705">
        <v>3</v>
      </c>
      <c r="O39" s="255"/>
      <c r="P39" s="8" t="s">
        <v>740</v>
      </c>
      <c r="Q39" s="703">
        <v>2</v>
      </c>
    </row>
    <row r="40" spans="1:19" ht="30" customHeight="1" x14ac:dyDescent="0.2">
      <c r="A40" s="22"/>
      <c r="B40" s="22"/>
      <c r="C40" s="22"/>
      <c r="E40" s="5" t="s">
        <v>741</v>
      </c>
      <c r="F40" s="12" t="s">
        <v>742</v>
      </c>
      <c r="G40" s="5" t="s">
        <v>134</v>
      </c>
      <c r="H40" s="698" t="s">
        <v>743</v>
      </c>
      <c r="I40" s="13" t="s">
        <v>744</v>
      </c>
      <c r="J40" s="13" t="s">
        <v>605</v>
      </c>
      <c r="K40" s="13" t="s">
        <v>586</v>
      </c>
      <c r="L40" s="13" t="s">
        <v>605</v>
      </c>
      <c r="M40" s="68" t="s">
        <v>606</v>
      </c>
      <c r="N40" s="705">
        <v>3</v>
      </c>
      <c r="O40" s="13"/>
      <c r="P40" s="8" t="s">
        <v>740</v>
      </c>
      <c r="Q40" s="703">
        <v>2</v>
      </c>
    </row>
    <row r="41" spans="1:19" ht="103.5" customHeight="1" x14ac:dyDescent="0.2">
      <c r="A41" s="22"/>
      <c r="B41" s="22"/>
      <c r="C41" s="22"/>
      <c r="E41" s="5" t="s">
        <v>745</v>
      </c>
      <c r="F41" s="12" t="s">
        <v>746</v>
      </c>
      <c r="G41" s="5" t="s">
        <v>134</v>
      </c>
      <c r="H41" s="698" t="s">
        <v>747</v>
      </c>
      <c r="I41" s="13" t="s">
        <v>748</v>
      </c>
      <c r="J41" s="13" t="s">
        <v>749</v>
      </c>
      <c r="K41" s="13" t="s">
        <v>586</v>
      </c>
      <c r="L41" s="13" t="s">
        <v>749</v>
      </c>
      <c r="M41" s="68" t="s">
        <v>606</v>
      </c>
      <c r="N41" s="705">
        <v>3</v>
      </c>
      <c r="O41" s="13"/>
      <c r="P41" s="8" t="s">
        <v>750</v>
      </c>
      <c r="Q41" s="703">
        <v>2</v>
      </c>
    </row>
    <row r="42" spans="1:19" ht="113.5" customHeight="1" x14ac:dyDescent="0.2">
      <c r="A42" s="22"/>
      <c r="B42" s="22"/>
      <c r="C42" s="22"/>
      <c r="E42" s="5" t="s">
        <v>751</v>
      </c>
      <c r="F42" s="12" t="s">
        <v>752</v>
      </c>
      <c r="G42" s="5" t="s">
        <v>134</v>
      </c>
      <c r="H42" s="698" t="s">
        <v>747</v>
      </c>
      <c r="I42" s="13" t="s">
        <v>753</v>
      </c>
      <c r="J42" s="13" t="s">
        <v>754</v>
      </c>
      <c r="K42" s="13" t="s">
        <v>586</v>
      </c>
      <c r="L42" s="13" t="s">
        <v>754</v>
      </c>
      <c r="M42" s="68" t="s">
        <v>606</v>
      </c>
      <c r="N42" s="705">
        <v>3</v>
      </c>
      <c r="O42" s="13"/>
      <c r="P42" s="8" t="s">
        <v>755</v>
      </c>
      <c r="Q42" s="703">
        <v>2</v>
      </c>
    </row>
    <row r="43" spans="1:19" ht="106" customHeight="1" x14ac:dyDescent="0.2">
      <c r="A43" s="22"/>
      <c r="B43" s="22"/>
      <c r="C43" s="22"/>
      <c r="D43" s="22" t="s">
        <v>131</v>
      </c>
      <c r="E43" s="5" t="s">
        <v>756</v>
      </c>
      <c r="F43" s="12" t="s">
        <v>757</v>
      </c>
      <c r="G43" s="5" t="s">
        <v>134</v>
      </c>
      <c r="H43" s="698" t="s">
        <v>758</v>
      </c>
      <c r="I43" s="12" t="s">
        <v>759</v>
      </c>
      <c r="J43" s="13" t="s">
        <v>537</v>
      </c>
      <c r="K43" s="13" t="s">
        <v>586</v>
      </c>
      <c r="L43" s="13"/>
      <c r="M43" s="68" t="s">
        <v>606</v>
      </c>
      <c r="N43" s="12"/>
      <c r="O43" s="13"/>
      <c r="P43" s="8" t="s">
        <v>760</v>
      </c>
      <c r="Q43" s="703">
        <v>2</v>
      </c>
    </row>
    <row r="44" spans="1:19" ht="61.5" customHeight="1" x14ac:dyDescent="0.2">
      <c r="A44" s="22"/>
      <c r="B44" s="22"/>
      <c r="C44" s="22"/>
      <c r="D44" s="22"/>
      <c r="E44" s="5" t="s">
        <v>761</v>
      </c>
      <c r="F44" s="705" t="s">
        <v>762</v>
      </c>
      <c r="G44" s="5" t="s">
        <v>134</v>
      </c>
      <c r="H44" s="698" t="s">
        <v>763</v>
      </c>
      <c r="I44" s="12" t="s">
        <v>764</v>
      </c>
      <c r="J44" s="13" t="s">
        <v>586</v>
      </c>
      <c r="K44" s="13" t="s">
        <v>537</v>
      </c>
      <c r="L44" s="13"/>
      <c r="M44" s="13" t="s">
        <v>606</v>
      </c>
      <c r="N44" s="12"/>
      <c r="O44" s="13"/>
      <c r="P44" s="8" t="s">
        <v>765</v>
      </c>
      <c r="Q44" s="703">
        <v>2</v>
      </c>
    </row>
    <row r="45" spans="1:19" ht="30" customHeight="1" x14ac:dyDescent="0.2">
      <c r="A45" s="262"/>
      <c r="B45" s="262"/>
      <c r="C45" s="262"/>
      <c r="D45" s="262"/>
      <c r="E45" s="704" t="s">
        <v>766</v>
      </c>
      <c r="F45" s="12" t="s">
        <v>767</v>
      </c>
      <c r="G45" s="5" t="s">
        <v>134</v>
      </c>
      <c r="H45" s="698" t="s">
        <v>768</v>
      </c>
      <c r="I45" s="13" t="s">
        <v>769</v>
      </c>
      <c r="J45" s="13" t="s">
        <v>770</v>
      </c>
      <c r="K45" s="13" t="s">
        <v>771</v>
      </c>
      <c r="L45" s="13"/>
      <c r="M45" s="73" t="s">
        <v>606</v>
      </c>
      <c r="N45" s="12"/>
      <c r="O45" s="317"/>
      <c r="P45" s="8"/>
      <c r="Q45" s="703">
        <v>2</v>
      </c>
    </row>
    <row r="46" spans="1:19" ht="30" customHeight="1" x14ac:dyDescent="0.2">
      <c r="A46" s="262"/>
      <c r="B46" s="262"/>
      <c r="C46" s="262"/>
      <c r="D46" s="262"/>
      <c r="E46" s="704" t="s">
        <v>772</v>
      </c>
      <c r="F46" s="12" t="s">
        <v>773</v>
      </c>
      <c r="G46" s="5" t="s">
        <v>134</v>
      </c>
      <c r="H46" s="698" t="s">
        <v>774</v>
      </c>
      <c r="I46" s="13" t="s">
        <v>775</v>
      </c>
      <c r="J46" s="13" t="s">
        <v>776</v>
      </c>
      <c r="K46" s="13" t="s">
        <v>478</v>
      </c>
      <c r="L46" s="13"/>
      <c r="M46" s="73" t="s">
        <v>606</v>
      </c>
      <c r="N46" s="12"/>
      <c r="O46" s="317"/>
      <c r="P46" s="8"/>
      <c r="Q46" s="703">
        <v>2</v>
      </c>
    </row>
    <row r="47" spans="1:19" ht="96.65" customHeight="1" x14ac:dyDescent="0.2">
      <c r="A47" s="22"/>
      <c r="B47" s="22"/>
      <c r="C47" s="22"/>
      <c r="E47" s="5" t="s">
        <v>777</v>
      </c>
      <c r="F47" s="12" t="s">
        <v>778</v>
      </c>
      <c r="G47" s="5" t="s">
        <v>134</v>
      </c>
      <c r="H47" s="698" t="s">
        <v>779</v>
      </c>
      <c r="I47" s="13" t="s">
        <v>780</v>
      </c>
      <c r="J47" s="13" t="s">
        <v>749</v>
      </c>
      <c r="K47" s="13" t="s">
        <v>586</v>
      </c>
      <c r="L47" s="13" t="s">
        <v>749</v>
      </c>
      <c r="M47" s="13" t="s">
        <v>606</v>
      </c>
      <c r="N47" s="705">
        <v>3</v>
      </c>
      <c r="O47" s="13"/>
      <c r="P47" s="8" t="s">
        <v>781</v>
      </c>
      <c r="Q47" s="702">
        <v>2</v>
      </c>
    </row>
    <row r="48" spans="1:19" ht="96.65" customHeight="1" x14ac:dyDescent="0.2">
      <c r="A48" s="22"/>
      <c r="B48" s="22"/>
      <c r="C48" s="22"/>
      <c r="E48" s="5" t="s">
        <v>782</v>
      </c>
      <c r="F48" s="12" t="s">
        <v>783</v>
      </c>
      <c r="G48" s="5" t="s">
        <v>134</v>
      </c>
      <c r="H48" s="698" t="s">
        <v>779</v>
      </c>
      <c r="I48" s="13" t="s">
        <v>784</v>
      </c>
      <c r="J48" s="13" t="s">
        <v>754</v>
      </c>
      <c r="K48" s="13" t="s">
        <v>586</v>
      </c>
      <c r="L48" s="13" t="s">
        <v>754</v>
      </c>
      <c r="M48" s="13" t="s">
        <v>606</v>
      </c>
      <c r="N48" s="705">
        <v>3</v>
      </c>
      <c r="O48" s="13"/>
      <c r="P48" s="8" t="s">
        <v>785</v>
      </c>
      <c r="Q48" s="702">
        <v>2</v>
      </c>
    </row>
    <row r="49" spans="1:17" ht="30" customHeight="1" x14ac:dyDescent="0.2">
      <c r="A49" s="22"/>
      <c r="B49" s="22"/>
      <c r="C49" s="22"/>
      <c r="E49" s="5" t="s">
        <v>786</v>
      </c>
      <c r="F49" s="12" t="s">
        <v>787</v>
      </c>
      <c r="G49" s="5" t="s">
        <v>134</v>
      </c>
      <c r="H49" s="698" t="s">
        <v>788</v>
      </c>
      <c r="I49" s="13" t="s">
        <v>789</v>
      </c>
      <c r="J49" s="13" t="s">
        <v>605</v>
      </c>
      <c r="K49" s="13" t="s">
        <v>586</v>
      </c>
      <c r="L49" s="13" t="s">
        <v>605</v>
      </c>
      <c r="M49" s="68" t="s">
        <v>606</v>
      </c>
      <c r="N49" s="703">
        <v>3</v>
      </c>
      <c r="O49" s="13"/>
      <c r="P49" s="8" t="s">
        <v>203</v>
      </c>
      <c r="Q49" s="703">
        <v>2</v>
      </c>
    </row>
    <row r="50" spans="1:17" ht="30" customHeight="1" x14ac:dyDescent="0.2">
      <c r="A50" s="22"/>
      <c r="B50" s="22"/>
      <c r="C50" s="22" t="s">
        <v>15</v>
      </c>
      <c r="E50" s="5" t="s">
        <v>790</v>
      </c>
      <c r="F50" s="12" t="s">
        <v>791</v>
      </c>
      <c r="G50" s="5" t="s">
        <v>134</v>
      </c>
      <c r="H50" s="698" t="s">
        <v>792</v>
      </c>
      <c r="I50" s="12" t="s">
        <v>793</v>
      </c>
      <c r="J50" s="12" t="s">
        <v>605</v>
      </c>
      <c r="K50" s="12" t="s">
        <v>586</v>
      </c>
      <c r="L50" s="12" t="s">
        <v>605</v>
      </c>
      <c r="M50" s="68" t="s">
        <v>606</v>
      </c>
      <c r="N50" s="705">
        <v>3</v>
      </c>
      <c r="O50" s="12"/>
      <c r="P50" s="316" t="s">
        <v>203</v>
      </c>
      <c r="Q50" s="703">
        <v>2</v>
      </c>
    </row>
    <row r="51" spans="1:17" ht="30" customHeight="1" x14ac:dyDescent="0.2">
      <c r="A51" s="22"/>
      <c r="B51" s="22"/>
      <c r="C51" s="22"/>
      <c r="D51" s="22"/>
      <c r="E51" s="5" t="s">
        <v>794</v>
      </c>
      <c r="F51" s="12" t="s">
        <v>795</v>
      </c>
      <c r="G51" s="5" t="s">
        <v>134</v>
      </c>
      <c r="H51" s="698" t="s">
        <v>796</v>
      </c>
      <c r="I51" s="12" t="s">
        <v>797</v>
      </c>
      <c r="J51" s="13" t="s">
        <v>605</v>
      </c>
      <c r="K51" s="13" t="s">
        <v>586</v>
      </c>
      <c r="L51" s="13" t="s">
        <v>605</v>
      </c>
      <c r="M51" s="68" t="s">
        <v>606</v>
      </c>
      <c r="N51" s="705">
        <v>3</v>
      </c>
      <c r="O51" s="13"/>
      <c r="P51" s="8"/>
      <c r="Q51" s="703">
        <v>2</v>
      </c>
    </row>
    <row r="52" spans="1:17" ht="30" customHeight="1" x14ac:dyDescent="0.2">
      <c r="A52" s="22"/>
      <c r="B52" s="22"/>
      <c r="C52" s="22"/>
      <c r="D52" s="22"/>
      <c r="E52" s="5" t="s">
        <v>798</v>
      </c>
      <c r="F52" s="12" t="s">
        <v>799</v>
      </c>
      <c r="G52" s="5" t="s">
        <v>134</v>
      </c>
      <c r="H52" s="698" t="s">
        <v>800</v>
      </c>
      <c r="I52" s="12" t="s">
        <v>801</v>
      </c>
      <c r="J52" s="13" t="s">
        <v>605</v>
      </c>
      <c r="K52" s="13" t="s">
        <v>586</v>
      </c>
      <c r="L52" s="13" t="s">
        <v>605</v>
      </c>
      <c r="M52" s="68" t="s">
        <v>606</v>
      </c>
      <c r="N52" s="705">
        <v>3</v>
      </c>
      <c r="O52" s="13"/>
      <c r="P52" s="8"/>
      <c r="Q52" s="703">
        <v>2</v>
      </c>
    </row>
    <row r="53" spans="1:17" ht="30.65" customHeight="1" x14ac:dyDescent="0.2">
      <c r="A53" s="22"/>
      <c r="B53" s="22"/>
      <c r="C53" s="22"/>
      <c r="D53" s="22"/>
      <c r="E53" s="5" t="s">
        <v>802</v>
      </c>
      <c r="F53" s="12" t="s">
        <v>803</v>
      </c>
      <c r="G53" s="5" t="s">
        <v>134</v>
      </c>
      <c r="H53" s="698" t="s">
        <v>804</v>
      </c>
      <c r="I53" s="12" t="s">
        <v>805</v>
      </c>
      <c r="J53" s="13" t="s">
        <v>586</v>
      </c>
      <c r="K53" s="13" t="s">
        <v>605</v>
      </c>
      <c r="L53" s="13" t="s">
        <v>605</v>
      </c>
      <c r="M53" s="68" t="s">
        <v>619</v>
      </c>
      <c r="N53" s="705">
        <v>3</v>
      </c>
      <c r="O53" s="13"/>
      <c r="P53" s="198" t="s">
        <v>806</v>
      </c>
      <c r="Q53" s="703">
        <v>2</v>
      </c>
    </row>
    <row r="54" spans="1:17" ht="105.65" customHeight="1" x14ac:dyDescent="0.2">
      <c r="A54" s="22"/>
      <c r="B54" s="22"/>
      <c r="C54" s="22"/>
      <c r="D54" s="22"/>
      <c r="E54" s="5" t="s">
        <v>807</v>
      </c>
      <c r="F54" s="12" t="s">
        <v>808</v>
      </c>
      <c r="G54" s="5" t="s">
        <v>134</v>
      </c>
      <c r="H54" s="698" t="s">
        <v>809</v>
      </c>
      <c r="I54" s="12" t="s">
        <v>810</v>
      </c>
      <c r="J54" s="13" t="s">
        <v>605</v>
      </c>
      <c r="K54" s="13" t="s">
        <v>586</v>
      </c>
      <c r="L54" s="13" t="s">
        <v>605</v>
      </c>
      <c r="M54" s="68" t="s">
        <v>619</v>
      </c>
      <c r="N54" s="705">
        <v>0</v>
      </c>
      <c r="O54" s="13" t="s">
        <v>811</v>
      </c>
      <c r="P54" s="8" t="s">
        <v>812</v>
      </c>
      <c r="Q54" s="703">
        <v>2</v>
      </c>
    </row>
    <row r="55" spans="1:17" ht="30" customHeight="1" x14ac:dyDescent="0.2">
      <c r="A55" s="22"/>
      <c r="B55" s="22"/>
      <c r="C55" s="22"/>
      <c r="D55" s="22"/>
      <c r="E55" s="5" t="s">
        <v>813</v>
      </c>
      <c r="F55" s="12" t="s">
        <v>814</v>
      </c>
      <c r="G55" s="5" t="s">
        <v>134</v>
      </c>
      <c r="H55" s="698" t="s">
        <v>815</v>
      </c>
      <c r="I55" s="12" t="s">
        <v>816</v>
      </c>
      <c r="J55" s="13" t="s">
        <v>537</v>
      </c>
      <c r="K55" s="13" t="s">
        <v>586</v>
      </c>
      <c r="L55" s="13" t="s">
        <v>537</v>
      </c>
      <c r="M55" s="68" t="s">
        <v>606</v>
      </c>
      <c r="N55" s="12">
        <v>0</v>
      </c>
      <c r="O55" s="13"/>
      <c r="P55" s="8"/>
      <c r="Q55" s="13">
        <v>0</v>
      </c>
    </row>
    <row r="56" spans="1:17" ht="30" customHeight="1" x14ac:dyDescent="0.2">
      <c r="A56" s="22"/>
      <c r="B56" s="22"/>
      <c r="C56" s="22"/>
      <c r="D56" s="22"/>
      <c r="E56" s="5" t="s">
        <v>817</v>
      </c>
      <c r="F56" s="12" t="s">
        <v>818</v>
      </c>
      <c r="G56" s="5" t="s">
        <v>134</v>
      </c>
      <c r="H56" s="698" t="s">
        <v>819</v>
      </c>
      <c r="I56" s="12" t="s">
        <v>820</v>
      </c>
      <c r="J56" s="13" t="s">
        <v>537</v>
      </c>
      <c r="K56" s="13" t="s">
        <v>586</v>
      </c>
      <c r="L56" s="13" t="s">
        <v>537</v>
      </c>
      <c r="M56" s="68" t="s">
        <v>606</v>
      </c>
      <c r="N56" s="12">
        <v>0</v>
      </c>
      <c r="O56" s="13"/>
      <c r="P56" s="8"/>
      <c r="Q56" s="13">
        <v>0</v>
      </c>
    </row>
    <row r="57" spans="1:17" ht="90.65" customHeight="1" x14ac:dyDescent="0.2">
      <c r="A57" s="22"/>
      <c r="B57" s="22"/>
      <c r="C57" s="22"/>
      <c r="D57" s="22"/>
      <c r="E57" s="5" t="s">
        <v>821</v>
      </c>
      <c r="F57" s="12" t="s">
        <v>822</v>
      </c>
      <c r="G57" s="5" t="s">
        <v>134</v>
      </c>
      <c r="H57" s="698" t="s">
        <v>823</v>
      </c>
      <c r="I57" s="12" t="s">
        <v>824</v>
      </c>
      <c r="J57" s="13" t="s">
        <v>537</v>
      </c>
      <c r="K57" s="13" t="s">
        <v>586</v>
      </c>
      <c r="L57" s="13"/>
      <c r="M57" s="68" t="s">
        <v>606</v>
      </c>
      <c r="N57" s="705">
        <v>3</v>
      </c>
      <c r="O57" s="13"/>
      <c r="P57" s="8" t="s">
        <v>825</v>
      </c>
      <c r="Q57" s="703">
        <v>2</v>
      </c>
    </row>
    <row r="58" spans="1:17" ht="90.65" customHeight="1" x14ac:dyDescent="0.2">
      <c r="A58" s="22"/>
      <c r="B58" s="22"/>
      <c r="C58" s="22"/>
      <c r="D58" s="22"/>
      <c r="E58" s="5" t="s">
        <v>826</v>
      </c>
      <c r="F58" s="12" t="s">
        <v>827</v>
      </c>
      <c r="G58" s="5" t="s">
        <v>134</v>
      </c>
      <c r="H58" s="698" t="s">
        <v>828</v>
      </c>
      <c r="I58" s="13" t="s">
        <v>829</v>
      </c>
      <c r="J58" s="13" t="s">
        <v>537</v>
      </c>
      <c r="K58" s="13" t="s">
        <v>586</v>
      </c>
      <c r="L58" s="13" t="s">
        <v>537</v>
      </c>
      <c r="M58" s="780" t="s">
        <v>606</v>
      </c>
      <c r="N58" s="705">
        <v>3</v>
      </c>
      <c r="O58" s="13" t="s">
        <v>830</v>
      </c>
      <c r="P58" s="8" t="s">
        <v>831</v>
      </c>
      <c r="Q58" s="703">
        <v>2</v>
      </c>
    </row>
    <row r="59" spans="1:17" ht="90.65" customHeight="1" x14ac:dyDescent="0.2">
      <c r="A59" s="22"/>
      <c r="B59" s="22"/>
      <c r="C59" s="22"/>
      <c r="D59" s="22"/>
      <c r="E59" s="5" t="s">
        <v>832</v>
      </c>
      <c r="F59" s="12" t="s">
        <v>833</v>
      </c>
      <c r="G59" s="5" t="s">
        <v>134</v>
      </c>
      <c r="H59" s="698" t="s">
        <v>834</v>
      </c>
      <c r="I59" s="13" t="s">
        <v>835</v>
      </c>
      <c r="J59" s="13" t="s">
        <v>537</v>
      </c>
      <c r="K59" s="13" t="s">
        <v>586</v>
      </c>
      <c r="L59" s="13" t="s">
        <v>537</v>
      </c>
      <c r="M59" s="780" t="s">
        <v>606</v>
      </c>
      <c r="N59" s="705">
        <v>3</v>
      </c>
      <c r="O59" s="13" t="s">
        <v>830</v>
      </c>
      <c r="P59" s="8" t="s">
        <v>836</v>
      </c>
      <c r="Q59" s="703">
        <v>2</v>
      </c>
    </row>
    <row r="60" spans="1:17" ht="30" customHeight="1" x14ac:dyDescent="0.2">
      <c r="A60" s="22"/>
      <c r="B60" s="22"/>
      <c r="C60" s="22"/>
      <c r="D60" s="22"/>
      <c r="E60" s="5" t="s">
        <v>837</v>
      </c>
      <c r="F60" s="12" t="s">
        <v>838</v>
      </c>
      <c r="G60" s="5" t="s">
        <v>290</v>
      </c>
      <c r="H60" s="698" t="s">
        <v>839</v>
      </c>
      <c r="I60" s="12" t="s">
        <v>840</v>
      </c>
      <c r="J60" s="13" t="s">
        <v>605</v>
      </c>
      <c r="K60" s="13" t="s">
        <v>586</v>
      </c>
      <c r="L60" s="13" t="s">
        <v>605</v>
      </c>
      <c r="M60" s="68" t="s">
        <v>606</v>
      </c>
      <c r="N60" s="705">
        <v>3</v>
      </c>
      <c r="O60" s="13" t="s">
        <v>841</v>
      </c>
      <c r="P60" s="8"/>
      <c r="Q60" s="703">
        <v>2</v>
      </c>
    </row>
    <row r="61" spans="1:17" ht="30" customHeight="1" x14ac:dyDescent="0.2">
      <c r="A61" s="22"/>
      <c r="B61" s="22"/>
      <c r="C61" s="22"/>
      <c r="D61" s="22"/>
      <c r="E61" s="5" t="s">
        <v>842</v>
      </c>
      <c r="F61" s="12" t="s">
        <v>843</v>
      </c>
      <c r="G61" s="5" t="s">
        <v>290</v>
      </c>
      <c r="H61" s="698" t="s">
        <v>844</v>
      </c>
      <c r="I61" s="12" t="s">
        <v>845</v>
      </c>
      <c r="J61" s="13" t="s">
        <v>605</v>
      </c>
      <c r="K61" s="13" t="s">
        <v>586</v>
      </c>
      <c r="L61" s="13" t="s">
        <v>605</v>
      </c>
      <c r="M61" s="68" t="s">
        <v>606</v>
      </c>
      <c r="N61" s="12">
        <v>0</v>
      </c>
      <c r="O61" s="13"/>
      <c r="P61" s="8"/>
      <c r="Q61" s="703">
        <v>2</v>
      </c>
    </row>
    <row r="62" spans="1:17" ht="30" customHeight="1" x14ac:dyDescent="0.2">
      <c r="A62" s="22"/>
      <c r="B62" s="22"/>
      <c r="C62" s="22"/>
      <c r="D62" s="22"/>
      <c r="E62" s="5" t="s">
        <v>846</v>
      </c>
      <c r="F62" s="12" t="s">
        <v>847</v>
      </c>
      <c r="G62" s="5" t="s">
        <v>290</v>
      </c>
      <c r="H62" s="698" t="s">
        <v>848</v>
      </c>
      <c r="I62" s="12" t="s">
        <v>849</v>
      </c>
      <c r="J62" s="13" t="s">
        <v>605</v>
      </c>
      <c r="K62" s="13" t="s">
        <v>586</v>
      </c>
      <c r="L62" s="13" t="s">
        <v>605</v>
      </c>
      <c r="M62" s="68" t="s">
        <v>606</v>
      </c>
      <c r="N62" s="12">
        <v>0</v>
      </c>
      <c r="O62" s="13"/>
      <c r="P62" s="8"/>
      <c r="Q62" s="703">
        <v>2</v>
      </c>
    </row>
    <row r="63" spans="1:17" ht="30" customHeight="1" x14ac:dyDescent="0.2">
      <c r="A63" s="22"/>
      <c r="B63" s="22"/>
      <c r="C63" s="22"/>
      <c r="D63" s="22"/>
      <c r="E63" s="5" t="s">
        <v>850</v>
      </c>
      <c r="F63" s="12" t="s">
        <v>851</v>
      </c>
      <c r="G63" s="5" t="s">
        <v>290</v>
      </c>
      <c r="H63" s="698" t="s">
        <v>852</v>
      </c>
      <c r="I63" s="12" t="s">
        <v>853</v>
      </c>
      <c r="J63" s="13" t="s">
        <v>605</v>
      </c>
      <c r="K63" s="13" t="s">
        <v>586</v>
      </c>
      <c r="L63" s="13" t="s">
        <v>605</v>
      </c>
      <c r="M63" s="68" t="s">
        <v>606</v>
      </c>
      <c r="N63" s="705">
        <v>3</v>
      </c>
      <c r="O63" s="13"/>
      <c r="P63" s="8"/>
      <c r="Q63" s="703">
        <v>2</v>
      </c>
    </row>
    <row r="64" spans="1:17" ht="30" customHeight="1" x14ac:dyDescent="0.2">
      <c r="A64" s="22"/>
      <c r="B64" s="22"/>
      <c r="C64" s="22"/>
      <c r="D64" s="22"/>
      <c r="E64" s="5" t="s">
        <v>854</v>
      </c>
      <c r="F64" s="12" t="s">
        <v>855</v>
      </c>
      <c r="G64" s="5" t="s">
        <v>290</v>
      </c>
      <c r="H64" s="698" t="s">
        <v>856</v>
      </c>
      <c r="I64" s="12" t="s">
        <v>857</v>
      </c>
      <c r="J64" s="13" t="s">
        <v>605</v>
      </c>
      <c r="K64" s="13" t="s">
        <v>586</v>
      </c>
      <c r="L64" s="13" t="s">
        <v>605</v>
      </c>
      <c r="M64" s="68" t="s">
        <v>606</v>
      </c>
      <c r="N64" s="12">
        <v>0</v>
      </c>
      <c r="O64" s="13"/>
      <c r="P64" s="8"/>
      <c r="Q64" s="703">
        <v>2</v>
      </c>
    </row>
    <row r="65" spans="1:17" ht="30" customHeight="1" x14ac:dyDescent="0.2">
      <c r="A65" s="22"/>
      <c r="B65" s="22"/>
      <c r="C65" s="22"/>
      <c r="D65" s="22"/>
      <c r="E65" s="5" t="s">
        <v>858</v>
      </c>
      <c r="F65" s="12" t="s">
        <v>859</v>
      </c>
      <c r="G65" s="5" t="s">
        <v>290</v>
      </c>
      <c r="H65" s="698" t="s">
        <v>860</v>
      </c>
      <c r="I65" s="12" t="s">
        <v>861</v>
      </c>
      <c r="J65" s="13" t="s">
        <v>605</v>
      </c>
      <c r="K65" s="13" t="s">
        <v>586</v>
      </c>
      <c r="L65" s="13" t="s">
        <v>605</v>
      </c>
      <c r="M65" s="68" t="s">
        <v>606</v>
      </c>
      <c r="N65" s="12">
        <v>0</v>
      </c>
      <c r="O65" s="13"/>
      <c r="P65" s="8"/>
      <c r="Q65" s="703">
        <v>2</v>
      </c>
    </row>
    <row r="66" spans="1:17" ht="30" customHeight="1" x14ac:dyDescent="0.2">
      <c r="A66" s="22"/>
      <c r="B66" s="22"/>
      <c r="C66" s="22"/>
      <c r="D66" s="22"/>
      <c r="E66" s="5" t="s">
        <v>862</v>
      </c>
      <c r="F66" s="12" t="s">
        <v>863</v>
      </c>
      <c r="G66" s="5" t="s">
        <v>290</v>
      </c>
      <c r="H66" s="698" t="s">
        <v>864</v>
      </c>
      <c r="I66" s="12" t="s">
        <v>865</v>
      </c>
      <c r="J66" s="13" t="s">
        <v>605</v>
      </c>
      <c r="K66" s="13" t="s">
        <v>586</v>
      </c>
      <c r="L66" s="13" t="s">
        <v>605</v>
      </c>
      <c r="M66" s="68" t="s">
        <v>606</v>
      </c>
      <c r="N66" s="705">
        <v>3</v>
      </c>
      <c r="O66" s="13" t="s">
        <v>866</v>
      </c>
      <c r="P66" s="8"/>
      <c r="Q66" s="703">
        <v>2</v>
      </c>
    </row>
    <row r="67" spans="1:17" ht="30" customHeight="1" x14ac:dyDescent="0.2">
      <c r="A67" s="22"/>
      <c r="B67" s="22"/>
      <c r="C67" s="22"/>
      <c r="D67" s="22"/>
      <c r="E67" s="5" t="s">
        <v>867</v>
      </c>
      <c r="F67" s="12" t="s">
        <v>868</v>
      </c>
      <c r="G67" s="5" t="s">
        <v>290</v>
      </c>
      <c r="H67" s="698" t="s">
        <v>869</v>
      </c>
      <c r="I67" s="12" t="s">
        <v>870</v>
      </c>
      <c r="J67" s="13" t="s">
        <v>605</v>
      </c>
      <c r="K67" s="13" t="s">
        <v>586</v>
      </c>
      <c r="L67" s="13" t="s">
        <v>605</v>
      </c>
      <c r="M67" s="68" t="s">
        <v>606</v>
      </c>
      <c r="N67" s="705">
        <v>3</v>
      </c>
      <c r="O67" s="13" t="s">
        <v>866</v>
      </c>
      <c r="P67" s="8"/>
      <c r="Q67" s="706">
        <v>2</v>
      </c>
    </row>
    <row r="68" spans="1:17" ht="30" customHeight="1" x14ac:dyDescent="0.2">
      <c r="A68" s="22"/>
      <c r="B68" s="22"/>
      <c r="C68" s="22"/>
      <c r="D68" s="22"/>
      <c r="E68" s="5" t="s">
        <v>871</v>
      </c>
      <c r="F68" s="12" t="s">
        <v>872</v>
      </c>
      <c r="G68" s="5" t="s">
        <v>290</v>
      </c>
      <c r="H68" s="698" t="s">
        <v>873</v>
      </c>
      <c r="I68" s="12" t="s">
        <v>874</v>
      </c>
      <c r="J68" s="13" t="s">
        <v>605</v>
      </c>
      <c r="K68" s="13" t="s">
        <v>586</v>
      </c>
      <c r="L68" s="13" t="s">
        <v>605</v>
      </c>
      <c r="M68" s="13" t="s">
        <v>619</v>
      </c>
      <c r="N68" s="707">
        <v>3</v>
      </c>
      <c r="O68" s="13" t="s">
        <v>841</v>
      </c>
      <c r="P68" s="8" t="s">
        <v>875</v>
      </c>
      <c r="Q68" s="706">
        <v>2</v>
      </c>
    </row>
    <row r="69" spans="1:17" ht="30" customHeight="1" x14ac:dyDescent="0.2">
      <c r="A69" s="22"/>
      <c r="B69" s="22"/>
      <c r="C69" s="22"/>
      <c r="D69" s="22"/>
      <c r="E69" s="5" t="s">
        <v>876</v>
      </c>
      <c r="F69" s="12" t="s">
        <v>877</v>
      </c>
      <c r="G69" s="5" t="s">
        <v>290</v>
      </c>
      <c r="H69" s="698" t="s">
        <v>878</v>
      </c>
      <c r="I69" s="12" t="s">
        <v>879</v>
      </c>
      <c r="J69" s="13" t="s">
        <v>605</v>
      </c>
      <c r="K69" s="13" t="s">
        <v>586</v>
      </c>
      <c r="L69" s="13" t="s">
        <v>605</v>
      </c>
      <c r="M69" s="13" t="s">
        <v>606</v>
      </c>
      <c r="N69" s="707">
        <v>3</v>
      </c>
      <c r="O69" s="13"/>
      <c r="P69" s="8"/>
      <c r="Q69" s="706">
        <v>2</v>
      </c>
    </row>
    <row r="70" spans="1:17" ht="30" customHeight="1" x14ac:dyDescent="0.2">
      <c r="A70" s="22"/>
      <c r="B70" s="22"/>
      <c r="C70" s="22"/>
      <c r="D70" s="22"/>
      <c r="E70" s="5" t="s">
        <v>880</v>
      </c>
      <c r="F70" s="12" t="s">
        <v>881</v>
      </c>
      <c r="G70" s="5" t="s">
        <v>290</v>
      </c>
      <c r="H70" s="698" t="s">
        <v>882</v>
      </c>
      <c r="I70" s="12" t="s">
        <v>883</v>
      </c>
      <c r="J70" s="13" t="s">
        <v>605</v>
      </c>
      <c r="K70" s="13" t="s">
        <v>586</v>
      </c>
      <c r="L70" s="13" t="s">
        <v>605</v>
      </c>
      <c r="M70" s="13" t="s">
        <v>606</v>
      </c>
      <c r="N70" s="707">
        <v>3</v>
      </c>
      <c r="O70" s="13" t="s">
        <v>866</v>
      </c>
      <c r="P70" s="8"/>
      <c r="Q70" s="706">
        <v>2</v>
      </c>
    </row>
    <row r="71" spans="1:17" ht="30" customHeight="1" x14ac:dyDescent="0.2">
      <c r="A71" s="22"/>
      <c r="B71" s="22"/>
      <c r="C71" s="22"/>
      <c r="D71" s="22"/>
      <c r="E71" s="5" t="s">
        <v>884</v>
      </c>
      <c r="F71" s="12" t="s">
        <v>885</v>
      </c>
      <c r="G71" s="5" t="s">
        <v>290</v>
      </c>
      <c r="H71" s="698" t="s">
        <v>886</v>
      </c>
      <c r="I71" s="12" t="s">
        <v>887</v>
      </c>
      <c r="J71" s="13" t="s">
        <v>605</v>
      </c>
      <c r="K71" s="13" t="s">
        <v>586</v>
      </c>
      <c r="L71" s="13" t="s">
        <v>605</v>
      </c>
      <c r="M71" s="13" t="s">
        <v>606</v>
      </c>
      <c r="N71" s="707">
        <v>3</v>
      </c>
      <c r="O71" s="13" t="s">
        <v>866</v>
      </c>
      <c r="P71" s="8"/>
      <c r="Q71" s="706">
        <v>2</v>
      </c>
    </row>
    <row r="72" spans="1:17" ht="30" customHeight="1" x14ac:dyDescent="0.2">
      <c r="A72" s="22"/>
      <c r="B72" s="22"/>
      <c r="C72" s="22"/>
      <c r="D72" s="22"/>
      <c r="E72" s="5" t="s">
        <v>888</v>
      </c>
      <c r="F72" s="12" t="s">
        <v>889</v>
      </c>
      <c r="G72" s="5" t="s">
        <v>290</v>
      </c>
      <c r="H72" s="698" t="s">
        <v>890</v>
      </c>
      <c r="I72" s="12" t="s">
        <v>891</v>
      </c>
      <c r="J72" s="13" t="s">
        <v>605</v>
      </c>
      <c r="K72" s="13" t="s">
        <v>586</v>
      </c>
      <c r="L72" s="13" t="s">
        <v>605</v>
      </c>
      <c r="M72" s="13" t="s">
        <v>606</v>
      </c>
      <c r="N72" s="707">
        <v>3</v>
      </c>
      <c r="O72" s="13" t="s">
        <v>866</v>
      </c>
      <c r="P72" s="8"/>
      <c r="Q72" s="703">
        <v>2</v>
      </c>
    </row>
    <row r="73" spans="1:17" ht="30" customHeight="1" x14ac:dyDescent="0.2">
      <c r="A73" s="22"/>
      <c r="B73" s="22"/>
      <c r="C73" s="22"/>
      <c r="D73" s="22"/>
      <c r="E73" s="5" t="s">
        <v>892</v>
      </c>
      <c r="F73" s="12" t="s">
        <v>893</v>
      </c>
      <c r="G73" s="5" t="s">
        <v>290</v>
      </c>
      <c r="H73" s="698" t="s">
        <v>894</v>
      </c>
      <c r="I73" s="12" t="s">
        <v>895</v>
      </c>
      <c r="J73" s="13" t="s">
        <v>605</v>
      </c>
      <c r="K73" s="13" t="s">
        <v>586</v>
      </c>
      <c r="L73" s="13" t="s">
        <v>605</v>
      </c>
      <c r="M73" s="68" t="s">
        <v>606</v>
      </c>
      <c r="N73" s="705">
        <v>3</v>
      </c>
      <c r="O73" s="13" t="s">
        <v>866</v>
      </c>
      <c r="P73" s="8"/>
      <c r="Q73" s="706">
        <v>2</v>
      </c>
    </row>
    <row r="74" spans="1:17" ht="30" customHeight="1" x14ac:dyDescent="0.2">
      <c r="A74" s="22"/>
      <c r="B74" s="22"/>
      <c r="C74" s="22"/>
      <c r="D74" s="22"/>
      <c r="E74" s="5" t="s">
        <v>896</v>
      </c>
      <c r="F74" s="12" t="s">
        <v>897</v>
      </c>
      <c r="G74" s="5" t="s">
        <v>290</v>
      </c>
      <c r="H74" s="698" t="s">
        <v>898</v>
      </c>
      <c r="I74" s="12" t="s">
        <v>899</v>
      </c>
      <c r="J74" s="13" t="s">
        <v>605</v>
      </c>
      <c r="K74" s="13" t="s">
        <v>586</v>
      </c>
      <c r="L74" s="13" t="s">
        <v>605</v>
      </c>
      <c r="M74" s="13" t="s">
        <v>606</v>
      </c>
      <c r="N74" s="705">
        <v>3</v>
      </c>
      <c r="O74" s="13" t="s">
        <v>866</v>
      </c>
      <c r="P74" s="8"/>
      <c r="Q74" s="706">
        <v>2</v>
      </c>
    </row>
    <row r="75" spans="1:17" ht="30" customHeight="1" x14ac:dyDescent="0.2">
      <c r="A75" s="22"/>
      <c r="B75" s="22"/>
      <c r="C75" s="22"/>
      <c r="D75" s="22"/>
      <c r="E75" s="5" t="s">
        <v>900</v>
      </c>
      <c r="F75" s="12" t="s">
        <v>901</v>
      </c>
      <c r="G75" s="5" t="s">
        <v>290</v>
      </c>
      <c r="H75" s="698" t="s">
        <v>902</v>
      </c>
      <c r="I75" s="12" t="s">
        <v>903</v>
      </c>
      <c r="J75" s="13" t="s">
        <v>605</v>
      </c>
      <c r="K75" s="13" t="s">
        <v>586</v>
      </c>
      <c r="L75" s="13" t="s">
        <v>605</v>
      </c>
      <c r="M75" s="13" t="s">
        <v>606</v>
      </c>
      <c r="N75" s="705">
        <v>3</v>
      </c>
      <c r="O75" s="13" t="s">
        <v>866</v>
      </c>
      <c r="P75" s="8"/>
      <c r="Q75" s="703">
        <v>2</v>
      </c>
    </row>
    <row r="76" spans="1:17" ht="30" customHeight="1" x14ac:dyDescent="0.2">
      <c r="A76" s="22"/>
      <c r="B76" s="22"/>
      <c r="C76" s="22"/>
      <c r="D76" s="22"/>
      <c r="E76" s="704" t="s">
        <v>904</v>
      </c>
      <c r="F76" s="12" t="s">
        <v>905</v>
      </c>
      <c r="G76" s="5" t="s">
        <v>290</v>
      </c>
      <c r="H76" s="698" t="s">
        <v>906</v>
      </c>
      <c r="I76" s="12" t="s">
        <v>907</v>
      </c>
      <c r="J76" s="13" t="s">
        <v>605</v>
      </c>
      <c r="K76" s="13" t="s">
        <v>586</v>
      </c>
      <c r="L76" s="13" t="s">
        <v>605</v>
      </c>
      <c r="M76" s="780" t="s">
        <v>606</v>
      </c>
      <c r="N76" s="705">
        <v>0</v>
      </c>
      <c r="O76" s="13"/>
      <c r="P76" s="8"/>
      <c r="Q76" s="706">
        <v>2</v>
      </c>
    </row>
    <row r="77" spans="1:17" ht="30" customHeight="1" x14ac:dyDescent="0.2">
      <c r="A77" s="22"/>
      <c r="B77" s="22"/>
      <c r="C77" s="22"/>
      <c r="D77" s="22"/>
      <c r="E77" s="704" t="s">
        <v>908</v>
      </c>
      <c r="F77" s="12" t="s">
        <v>909</v>
      </c>
      <c r="G77" s="5" t="s">
        <v>290</v>
      </c>
      <c r="H77" s="698" t="s">
        <v>910</v>
      </c>
      <c r="I77" s="12" t="s">
        <v>911</v>
      </c>
      <c r="J77" s="13" t="s">
        <v>776</v>
      </c>
      <c r="K77" s="13" t="s">
        <v>478</v>
      </c>
      <c r="L77" s="13"/>
      <c r="M77" s="73" t="s">
        <v>606</v>
      </c>
      <c r="N77" s="707">
        <v>0</v>
      </c>
      <c r="O77" s="13"/>
      <c r="P77" s="8"/>
      <c r="Q77" s="706">
        <v>2</v>
      </c>
    </row>
    <row r="78" spans="1:17" ht="30" customHeight="1" x14ac:dyDescent="0.2">
      <c r="A78" s="22"/>
      <c r="B78" s="22"/>
      <c r="C78" s="22"/>
      <c r="D78" s="22"/>
      <c r="E78" s="704" t="s">
        <v>912</v>
      </c>
      <c r="F78" s="12" t="s">
        <v>913</v>
      </c>
      <c r="G78" s="5" t="s">
        <v>290</v>
      </c>
      <c r="H78" s="698" t="s">
        <v>914</v>
      </c>
      <c r="I78" s="12" t="s">
        <v>915</v>
      </c>
      <c r="J78" s="13" t="s">
        <v>770</v>
      </c>
      <c r="K78" s="13" t="s">
        <v>771</v>
      </c>
      <c r="L78" s="13"/>
      <c r="M78" s="73" t="s">
        <v>606</v>
      </c>
      <c r="N78" s="707">
        <v>0</v>
      </c>
      <c r="O78" s="13"/>
      <c r="P78" s="8"/>
      <c r="Q78" s="706">
        <v>2</v>
      </c>
    </row>
    <row r="79" spans="1:17" ht="30" customHeight="1" x14ac:dyDescent="0.2">
      <c r="A79" s="22"/>
      <c r="B79" s="22"/>
      <c r="C79" s="22"/>
      <c r="D79" s="22"/>
      <c r="E79" s="742" t="s">
        <v>916</v>
      </c>
      <c r="F79" s="701" t="s">
        <v>916</v>
      </c>
      <c r="G79" s="742" t="s">
        <v>290</v>
      </c>
      <c r="H79" s="743" t="s">
        <v>917</v>
      </c>
      <c r="I79" s="701" t="s">
        <v>918</v>
      </c>
      <c r="J79" s="702" t="s">
        <v>605</v>
      </c>
      <c r="K79" s="702" t="s">
        <v>586</v>
      </c>
      <c r="L79" s="702" t="s">
        <v>605</v>
      </c>
      <c r="M79" s="744" t="s">
        <v>606</v>
      </c>
      <c r="N79" s="770">
        <v>3</v>
      </c>
      <c r="O79" s="702"/>
      <c r="P79" s="728"/>
      <c r="Q79" s="706">
        <v>2</v>
      </c>
    </row>
    <row r="80" spans="1:17" ht="30" customHeight="1" x14ac:dyDescent="0.2">
      <c r="A80" s="22"/>
      <c r="B80" s="22"/>
      <c r="C80" s="22"/>
      <c r="D80" s="22"/>
      <c r="E80" s="742" t="s">
        <v>919</v>
      </c>
      <c r="F80" s="701" t="s">
        <v>919</v>
      </c>
      <c r="G80" s="742" t="s">
        <v>290</v>
      </c>
      <c r="H80" s="743" t="s">
        <v>920</v>
      </c>
      <c r="I80" s="701" t="s">
        <v>921</v>
      </c>
      <c r="J80" s="702" t="s">
        <v>776</v>
      </c>
      <c r="K80" s="702" t="s">
        <v>478</v>
      </c>
      <c r="L80" s="702"/>
      <c r="M80" s="744" t="s">
        <v>606</v>
      </c>
      <c r="N80" s="770">
        <v>3</v>
      </c>
      <c r="O80" s="702"/>
      <c r="P80" s="728"/>
      <c r="Q80" s="706">
        <v>2</v>
      </c>
    </row>
    <row r="81" spans="1:17" ht="30" customHeight="1" x14ac:dyDescent="0.2">
      <c r="A81" s="22"/>
      <c r="B81" s="22"/>
      <c r="C81" s="22"/>
      <c r="D81" s="22"/>
      <c r="E81" s="5" t="s">
        <v>922</v>
      </c>
      <c r="F81" s="12" t="s">
        <v>923</v>
      </c>
      <c r="G81" s="5" t="s">
        <v>290</v>
      </c>
      <c r="H81" s="698" t="s">
        <v>924</v>
      </c>
      <c r="I81" s="12" t="s">
        <v>925</v>
      </c>
      <c r="J81" s="13" t="s">
        <v>605</v>
      </c>
      <c r="K81" s="13" t="s">
        <v>586</v>
      </c>
      <c r="L81" s="13" t="s">
        <v>605</v>
      </c>
      <c r="M81" s="13" t="s">
        <v>606</v>
      </c>
      <c r="N81" s="707">
        <v>3</v>
      </c>
      <c r="O81" s="703" t="s">
        <v>926</v>
      </c>
      <c r="P81" s="8"/>
      <c r="Q81" s="706">
        <v>2</v>
      </c>
    </row>
    <row r="82" spans="1:17" ht="30" customHeight="1" x14ac:dyDescent="0.2">
      <c r="A82" s="22"/>
      <c r="B82" s="22"/>
      <c r="C82" s="22"/>
      <c r="D82" s="22"/>
      <c r="E82" s="5" t="s">
        <v>927</v>
      </c>
      <c r="F82" s="12" t="s">
        <v>928</v>
      </c>
      <c r="G82" s="5" t="s">
        <v>290</v>
      </c>
      <c r="H82" s="698" t="s">
        <v>929</v>
      </c>
      <c r="I82" s="12" t="s">
        <v>930</v>
      </c>
      <c r="J82" s="13" t="s">
        <v>605</v>
      </c>
      <c r="K82" s="13" t="s">
        <v>586</v>
      </c>
      <c r="L82" s="13" t="s">
        <v>605</v>
      </c>
      <c r="M82" s="13" t="s">
        <v>606</v>
      </c>
      <c r="N82" s="707">
        <v>3</v>
      </c>
      <c r="O82" s="13"/>
      <c r="P82" s="8"/>
      <c r="Q82" s="706">
        <v>2</v>
      </c>
    </row>
    <row r="83" spans="1:17" ht="30" customHeight="1" x14ac:dyDescent="0.2">
      <c r="A83" s="22"/>
      <c r="B83" s="22"/>
      <c r="C83" s="22"/>
      <c r="D83" s="22"/>
      <c r="E83" s="5" t="s">
        <v>931</v>
      </c>
      <c r="F83" s="12" t="s">
        <v>932</v>
      </c>
      <c r="G83" s="5" t="s">
        <v>290</v>
      </c>
      <c r="H83" s="698" t="s">
        <v>933</v>
      </c>
      <c r="I83" s="12" t="s">
        <v>934</v>
      </c>
      <c r="J83" s="13" t="s">
        <v>605</v>
      </c>
      <c r="K83" s="13" t="s">
        <v>586</v>
      </c>
      <c r="L83" s="13" t="s">
        <v>605</v>
      </c>
      <c r="M83" s="13" t="s">
        <v>606</v>
      </c>
      <c r="N83" s="707">
        <v>3</v>
      </c>
      <c r="O83" s="13" t="s">
        <v>935</v>
      </c>
      <c r="P83" s="8"/>
      <c r="Q83" s="706">
        <v>2</v>
      </c>
    </row>
    <row r="84" spans="1:17" ht="30" customHeight="1" x14ac:dyDescent="0.2">
      <c r="A84" s="22"/>
      <c r="B84" s="22"/>
      <c r="C84" s="22"/>
      <c r="D84" s="22"/>
      <c r="E84" s="5" t="s">
        <v>936</v>
      </c>
      <c r="F84" s="12" t="s">
        <v>937</v>
      </c>
      <c r="G84" s="5" t="s">
        <v>290</v>
      </c>
      <c r="H84" s="698" t="s">
        <v>938</v>
      </c>
      <c r="I84" s="12" t="s">
        <v>939</v>
      </c>
      <c r="J84" s="13" t="s">
        <v>605</v>
      </c>
      <c r="K84" s="13" t="s">
        <v>586</v>
      </c>
      <c r="L84" s="13" t="s">
        <v>605</v>
      </c>
      <c r="M84" s="13" t="s">
        <v>606</v>
      </c>
      <c r="N84" s="707">
        <v>3</v>
      </c>
      <c r="O84" s="13" t="s">
        <v>935</v>
      </c>
      <c r="P84" s="8"/>
      <c r="Q84" s="706">
        <v>2</v>
      </c>
    </row>
    <row r="85" spans="1:17" ht="30" customHeight="1" x14ac:dyDescent="0.2">
      <c r="A85" s="22"/>
      <c r="B85" s="22"/>
      <c r="C85" s="22"/>
      <c r="D85" s="22"/>
      <c r="E85" s="5" t="s">
        <v>940</v>
      </c>
      <c r="F85" s="12" t="s">
        <v>941</v>
      </c>
      <c r="G85" s="5" t="s">
        <v>290</v>
      </c>
      <c r="H85" s="698" t="s">
        <v>942</v>
      </c>
      <c r="I85" s="12" t="s">
        <v>943</v>
      </c>
      <c r="J85" s="13" t="s">
        <v>605</v>
      </c>
      <c r="K85" s="13" t="s">
        <v>586</v>
      </c>
      <c r="L85" s="13" t="s">
        <v>605</v>
      </c>
      <c r="M85" s="68" t="s">
        <v>606</v>
      </c>
      <c r="N85" s="161">
        <v>0</v>
      </c>
      <c r="O85" s="13"/>
      <c r="P85" s="8"/>
      <c r="Q85" s="706">
        <v>2</v>
      </c>
    </row>
    <row r="86" spans="1:17" ht="30" customHeight="1" x14ac:dyDescent="0.2">
      <c r="A86" s="22"/>
      <c r="B86" s="22"/>
      <c r="C86" s="22"/>
      <c r="D86" s="22"/>
      <c r="E86" s="5" t="s">
        <v>944</v>
      </c>
      <c r="F86" s="12" t="s">
        <v>945</v>
      </c>
      <c r="G86" s="5" t="s">
        <v>290</v>
      </c>
      <c r="H86" s="698" t="s">
        <v>946</v>
      </c>
      <c r="I86" s="12" t="s">
        <v>947</v>
      </c>
      <c r="J86" s="13" t="s">
        <v>605</v>
      </c>
      <c r="K86" s="13" t="s">
        <v>586</v>
      </c>
      <c r="L86" s="13" t="s">
        <v>605</v>
      </c>
      <c r="M86" s="68" t="s">
        <v>606</v>
      </c>
      <c r="N86" s="161">
        <v>0</v>
      </c>
      <c r="O86" s="13"/>
      <c r="P86" s="8"/>
      <c r="Q86" s="706">
        <v>2</v>
      </c>
    </row>
    <row r="87" spans="1:17" ht="30" customHeight="1" x14ac:dyDescent="0.2">
      <c r="A87" s="22"/>
      <c r="B87" s="22"/>
      <c r="C87" s="22"/>
      <c r="D87" s="22"/>
      <c r="E87" s="17" t="s">
        <v>948</v>
      </c>
      <c r="F87" s="12" t="s">
        <v>949</v>
      </c>
      <c r="G87" s="5" t="s">
        <v>290</v>
      </c>
      <c r="H87" s="698" t="s">
        <v>950</v>
      </c>
      <c r="I87" s="161" t="s">
        <v>951</v>
      </c>
      <c r="J87" s="13" t="s">
        <v>605</v>
      </c>
      <c r="K87" s="13" t="s">
        <v>586</v>
      </c>
      <c r="L87" s="13" t="s">
        <v>605</v>
      </c>
      <c r="M87" s="68" t="s">
        <v>606</v>
      </c>
      <c r="N87" s="12">
        <v>0</v>
      </c>
      <c r="O87" s="68"/>
      <c r="P87" s="61"/>
      <c r="Q87" s="706">
        <v>2</v>
      </c>
    </row>
    <row r="88" spans="1:17" ht="30" customHeight="1" x14ac:dyDescent="0.2">
      <c r="A88" s="22"/>
      <c r="B88" s="22"/>
      <c r="C88" s="22"/>
      <c r="D88" s="22"/>
      <c r="E88" s="17" t="s">
        <v>952</v>
      </c>
      <c r="F88" s="12" t="s">
        <v>953</v>
      </c>
      <c r="G88" s="5" t="s">
        <v>290</v>
      </c>
      <c r="H88" s="698" t="s">
        <v>954</v>
      </c>
      <c r="I88" s="161" t="s">
        <v>955</v>
      </c>
      <c r="J88" s="13" t="s">
        <v>605</v>
      </c>
      <c r="K88" s="13" t="s">
        <v>586</v>
      </c>
      <c r="L88" s="13" t="s">
        <v>605</v>
      </c>
      <c r="M88" s="68" t="s">
        <v>606</v>
      </c>
      <c r="N88" s="12">
        <v>0</v>
      </c>
      <c r="O88" s="68"/>
      <c r="P88" s="61"/>
      <c r="Q88" s="706">
        <v>2</v>
      </c>
    </row>
    <row r="89" spans="1:17" ht="30" customHeight="1" x14ac:dyDescent="0.2">
      <c r="A89" s="22"/>
      <c r="B89" s="22"/>
      <c r="C89" s="22"/>
      <c r="D89" s="22"/>
      <c r="E89" s="17" t="s">
        <v>956</v>
      </c>
      <c r="F89" s="161" t="s">
        <v>957</v>
      </c>
      <c r="G89" s="5" t="s">
        <v>290</v>
      </c>
      <c r="H89" s="698" t="s">
        <v>958</v>
      </c>
      <c r="I89" s="161" t="s">
        <v>959</v>
      </c>
      <c r="J89" s="13" t="s">
        <v>605</v>
      </c>
      <c r="K89" s="13" t="s">
        <v>586</v>
      </c>
      <c r="L89" s="13" t="s">
        <v>605</v>
      </c>
      <c r="M89" s="68" t="s">
        <v>606</v>
      </c>
      <c r="N89" s="705">
        <v>3</v>
      </c>
      <c r="O89" s="68" t="s">
        <v>935</v>
      </c>
      <c r="P89" s="61"/>
      <c r="Q89" s="706">
        <v>2</v>
      </c>
    </row>
    <row r="90" spans="1:17" ht="30" customHeight="1" x14ac:dyDescent="0.2">
      <c r="A90" s="22"/>
      <c r="B90" s="22"/>
      <c r="C90" s="22"/>
      <c r="D90" s="22"/>
      <c r="E90" s="17" t="s">
        <v>960</v>
      </c>
      <c r="F90" s="161" t="s">
        <v>961</v>
      </c>
      <c r="G90" s="5" t="s">
        <v>290</v>
      </c>
      <c r="H90" s="698" t="s">
        <v>962</v>
      </c>
      <c r="I90" s="161" t="s">
        <v>963</v>
      </c>
      <c r="J90" s="13" t="s">
        <v>605</v>
      </c>
      <c r="K90" s="13" t="s">
        <v>586</v>
      </c>
      <c r="L90" s="13" t="s">
        <v>605</v>
      </c>
      <c r="M90" s="68" t="s">
        <v>606</v>
      </c>
      <c r="N90" s="707">
        <v>3</v>
      </c>
      <c r="O90" s="68" t="s">
        <v>935</v>
      </c>
      <c r="P90" s="61"/>
      <c r="Q90" s="706">
        <v>2</v>
      </c>
    </row>
    <row r="91" spans="1:17" ht="73.5" customHeight="1" x14ac:dyDescent="0.2">
      <c r="A91" s="22"/>
      <c r="B91" s="22"/>
      <c r="C91" s="22"/>
      <c r="D91" s="22"/>
      <c r="E91" s="769" t="s">
        <v>964</v>
      </c>
      <c r="F91" s="770" t="s">
        <v>965</v>
      </c>
      <c r="G91" s="742" t="s">
        <v>290</v>
      </c>
      <c r="H91" s="743" t="s">
        <v>966</v>
      </c>
      <c r="I91" s="770" t="s">
        <v>967</v>
      </c>
      <c r="J91" s="702" t="s">
        <v>538</v>
      </c>
      <c r="K91" s="702" t="s">
        <v>537</v>
      </c>
      <c r="L91" s="702"/>
      <c r="M91" s="771" t="s">
        <v>619</v>
      </c>
      <c r="N91" s="701">
        <v>0</v>
      </c>
      <c r="O91" s="771"/>
      <c r="P91" s="772" t="s">
        <v>968</v>
      </c>
      <c r="Q91" s="771">
        <v>2</v>
      </c>
    </row>
    <row r="92" spans="1:17" ht="46.5" customHeight="1" x14ac:dyDescent="0.2">
      <c r="A92" s="22"/>
      <c r="B92" s="22"/>
      <c r="C92" s="22"/>
      <c r="D92" s="22"/>
      <c r="E92" s="17" t="s">
        <v>969</v>
      </c>
      <c r="F92" s="161" t="s">
        <v>970</v>
      </c>
      <c r="G92" s="5" t="s">
        <v>290</v>
      </c>
      <c r="H92" s="698" t="s">
        <v>971</v>
      </c>
      <c r="I92" s="161" t="s">
        <v>972</v>
      </c>
      <c r="J92" s="13" t="s">
        <v>605</v>
      </c>
      <c r="K92" s="13" t="s">
        <v>586</v>
      </c>
      <c r="L92" s="13" t="s">
        <v>605</v>
      </c>
      <c r="M92" s="68" t="s">
        <v>619</v>
      </c>
      <c r="N92" s="705">
        <v>0</v>
      </c>
      <c r="O92" s="68" t="s">
        <v>926</v>
      </c>
      <c r="P92" s="61" t="s">
        <v>875</v>
      </c>
      <c r="Q92" s="706">
        <v>2</v>
      </c>
    </row>
    <row r="93" spans="1:17" ht="46.5" customHeight="1" x14ac:dyDescent="0.2">
      <c r="A93" s="22"/>
      <c r="B93" s="22"/>
      <c r="C93" s="22"/>
      <c r="D93" s="22"/>
      <c r="E93" s="17" t="s">
        <v>973</v>
      </c>
      <c r="F93" s="260" t="s">
        <v>974</v>
      </c>
      <c r="G93" s="254" t="s">
        <v>290</v>
      </c>
      <c r="H93" s="277" t="s">
        <v>975</v>
      </c>
      <c r="I93" s="161" t="s">
        <v>976</v>
      </c>
      <c r="J93" s="68" t="s">
        <v>605</v>
      </c>
      <c r="K93" s="68" t="s">
        <v>586</v>
      </c>
      <c r="L93" s="68" t="s">
        <v>605</v>
      </c>
      <c r="M93" s="68" t="s">
        <v>606</v>
      </c>
      <c r="N93" s="705">
        <v>3</v>
      </c>
      <c r="O93" s="68" t="s">
        <v>935</v>
      </c>
      <c r="P93" s="61"/>
      <c r="Q93" s="703">
        <v>2</v>
      </c>
    </row>
    <row r="94" spans="1:17" ht="46.5" customHeight="1" x14ac:dyDescent="0.2">
      <c r="A94" s="22"/>
      <c r="B94" s="22"/>
      <c r="C94" s="22"/>
      <c r="D94" s="22"/>
      <c r="E94" s="17" t="s">
        <v>977</v>
      </c>
      <c r="F94" s="260" t="s">
        <v>978</v>
      </c>
      <c r="G94" s="254" t="s">
        <v>290</v>
      </c>
      <c r="H94" s="277" t="s">
        <v>979</v>
      </c>
      <c r="I94" s="161" t="s">
        <v>980</v>
      </c>
      <c r="J94" s="68" t="s">
        <v>605</v>
      </c>
      <c r="K94" s="68" t="s">
        <v>586</v>
      </c>
      <c r="L94" s="68" t="s">
        <v>605</v>
      </c>
      <c r="M94" s="68" t="s">
        <v>606</v>
      </c>
      <c r="N94" s="705">
        <v>3</v>
      </c>
      <c r="O94" s="68" t="s">
        <v>935</v>
      </c>
      <c r="P94" s="735"/>
      <c r="Q94" s="703">
        <v>2</v>
      </c>
    </row>
    <row r="95" spans="1:17" ht="46.5" customHeight="1" x14ac:dyDescent="0.2">
      <c r="A95" s="22"/>
      <c r="B95" s="22"/>
      <c r="C95" s="22"/>
      <c r="D95" s="22"/>
      <c r="E95" s="17" t="s">
        <v>981</v>
      </c>
      <c r="F95" s="161" t="s">
        <v>982</v>
      </c>
      <c r="G95" s="5" t="s">
        <v>290</v>
      </c>
      <c r="H95" s="698" t="s">
        <v>983</v>
      </c>
      <c r="I95" s="161" t="s">
        <v>984</v>
      </c>
      <c r="J95" s="68" t="s">
        <v>605</v>
      </c>
      <c r="K95" s="13" t="s">
        <v>586</v>
      </c>
      <c r="L95" s="13" t="s">
        <v>605</v>
      </c>
      <c r="M95" s="68" t="s">
        <v>606</v>
      </c>
      <c r="N95" s="705">
        <v>3</v>
      </c>
      <c r="O95" s="68" t="s">
        <v>935</v>
      </c>
      <c r="P95" s="61"/>
      <c r="Q95" s="703">
        <v>2</v>
      </c>
    </row>
    <row r="96" spans="1:17" ht="46.5" customHeight="1" x14ac:dyDescent="0.2">
      <c r="A96" s="22"/>
      <c r="B96" s="22"/>
      <c r="C96" s="22"/>
      <c r="D96" s="22"/>
      <c r="E96" s="17" t="s">
        <v>985</v>
      </c>
      <c r="F96" s="161" t="s">
        <v>986</v>
      </c>
      <c r="G96" s="5" t="s">
        <v>290</v>
      </c>
      <c r="H96" s="698" t="s">
        <v>987</v>
      </c>
      <c r="I96" s="161" t="s">
        <v>988</v>
      </c>
      <c r="J96" s="13" t="s">
        <v>605</v>
      </c>
      <c r="K96" s="13" t="s">
        <v>586</v>
      </c>
      <c r="L96" s="13" t="s">
        <v>605</v>
      </c>
      <c r="M96" s="68" t="s">
        <v>606</v>
      </c>
      <c r="N96" s="705">
        <v>3</v>
      </c>
      <c r="O96" s="68" t="s">
        <v>935</v>
      </c>
      <c r="P96" s="61"/>
      <c r="Q96" s="703">
        <v>2</v>
      </c>
    </row>
    <row r="97" spans="1:17" ht="46.5" customHeight="1" x14ac:dyDescent="0.2">
      <c r="A97" s="22"/>
      <c r="B97" s="22"/>
      <c r="C97" s="22"/>
      <c r="D97" s="22"/>
      <c r="E97" s="17" t="s">
        <v>989</v>
      </c>
      <c r="F97" s="161" t="s">
        <v>990</v>
      </c>
      <c r="G97" s="5" t="s">
        <v>290</v>
      </c>
      <c r="H97" s="698" t="s">
        <v>991</v>
      </c>
      <c r="I97" s="161" t="s">
        <v>992</v>
      </c>
      <c r="J97" s="68" t="s">
        <v>605</v>
      </c>
      <c r="K97" s="68" t="s">
        <v>586</v>
      </c>
      <c r="L97" s="68" t="s">
        <v>605</v>
      </c>
      <c r="M97" s="68" t="s">
        <v>606</v>
      </c>
      <c r="N97" s="705">
        <v>3</v>
      </c>
      <c r="O97" s="68" t="s">
        <v>935</v>
      </c>
      <c r="P97" s="61"/>
      <c r="Q97" s="703">
        <v>2</v>
      </c>
    </row>
    <row r="98" spans="1:17" ht="46.5" customHeight="1" x14ac:dyDescent="0.2">
      <c r="A98" s="22"/>
      <c r="B98" s="22"/>
      <c r="C98" s="22"/>
      <c r="D98" s="22"/>
      <c r="E98" s="17" t="s">
        <v>993</v>
      </c>
      <c r="F98" s="161" t="s">
        <v>994</v>
      </c>
      <c r="G98" s="5" t="s">
        <v>290</v>
      </c>
      <c r="H98" s="698" t="s">
        <v>995</v>
      </c>
      <c r="I98" s="161" t="s">
        <v>996</v>
      </c>
      <c r="J98" s="68" t="s">
        <v>605</v>
      </c>
      <c r="K98" s="68" t="s">
        <v>586</v>
      </c>
      <c r="L98" s="68" t="s">
        <v>605</v>
      </c>
      <c r="M98" s="68" t="s">
        <v>606</v>
      </c>
      <c r="N98" s="705">
        <v>3</v>
      </c>
      <c r="O98" s="68" t="s">
        <v>935</v>
      </c>
      <c r="P98" s="61"/>
      <c r="Q98" s="703">
        <v>2</v>
      </c>
    </row>
    <row r="99" spans="1:17" ht="46.5" customHeight="1" x14ac:dyDescent="0.2">
      <c r="A99" s="22"/>
      <c r="B99" s="22"/>
      <c r="C99" s="22"/>
      <c r="D99" s="22"/>
      <c r="E99" s="17" t="s">
        <v>997</v>
      </c>
      <c r="F99" s="260" t="s">
        <v>998</v>
      </c>
      <c r="G99" s="254" t="s">
        <v>290</v>
      </c>
      <c r="H99" s="277" t="s">
        <v>999</v>
      </c>
      <c r="I99" s="161" t="s">
        <v>1000</v>
      </c>
      <c r="J99" s="13" t="s">
        <v>605</v>
      </c>
      <c r="K99" s="13" t="s">
        <v>586</v>
      </c>
      <c r="L99" s="13" t="s">
        <v>605</v>
      </c>
      <c r="M99" s="68" t="s">
        <v>606</v>
      </c>
      <c r="N99" s="707">
        <v>3</v>
      </c>
      <c r="O99" s="68"/>
      <c r="P99" s="61"/>
      <c r="Q99" s="703">
        <v>2</v>
      </c>
    </row>
    <row r="100" spans="1:17" ht="46.5" customHeight="1" x14ac:dyDescent="0.2">
      <c r="A100" s="22"/>
      <c r="B100" s="22"/>
      <c r="C100" s="22"/>
      <c r="D100" s="22"/>
      <c r="E100" s="708" t="s">
        <v>1001</v>
      </c>
      <c r="F100" s="260" t="s">
        <v>1002</v>
      </c>
      <c r="G100" s="254" t="s">
        <v>290</v>
      </c>
      <c r="H100" s="277" t="s">
        <v>1003</v>
      </c>
      <c r="I100" s="161" t="s">
        <v>1004</v>
      </c>
      <c r="J100" s="13" t="s">
        <v>605</v>
      </c>
      <c r="K100" s="13" t="s">
        <v>586</v>
      </c>
      <c r="L100" s="13" t="s">
        <v>605</v>
      </c>
      <c r="M100" s="780" t="s">
        <v>606</v>
      </c>
      <c r="N100" s="707">
        <v>0</v>
      </c>
      <c r="O100" s="68"/>
      <c r="P100" s="61"/>
      <c r="Q100" s="703">
        <v>2</v>
      </c>
    </row>
    <row r="101" spans="1:17" ht="46.5" customHeight="1" x14ac:dyDescent="0.2">
      <c r="A101" s="22"/>
      <c r="B101" s="22"/>
      <c r="C101" s="22"/>
      <c r="D101" s="22"/>
      <c r="E101" s="708" t="s">
        <v>1005</v>
      </c>
      <c r="F101" s="260" t="s">
        <v>1006</v>
      </c>
      <c r="G101" s="254" t="s">
        <v>290</v>
      </c>
      <c r="H101" s="277" t="s">
        <v>1007</v>
      </c>
      <c r="I101" s="161" t="s">
        <v>1008</v>
      </c>
      <c r="J101" s="13" t="s">
        <v>776</v>
      </c>
      <c r="K101" s="13" t="s">
        <v>478</v>
      </c>
      <c r="L101" s="13"/>
      <c r="M101" s="780" t="s">
        <v>606</v>
      </c>
      <c r="N101" s="707">
        <v>0</v>
      </c>
      <c r="O101" s="68"/>
      <c r="P101" s="61"/>
      <c r="Q101" s="703">
        <v>2</v>
      </c>
    </row>
    <row r="102" spans="1:17" ht="46.5" customHeight="1" x14ac:dyDescent="0.2">
      <c r="A102" s="22"/>
      <c r="B102" s="22"/>
      <c r="C102" s="22"/>
      <c r="D102" s="22"/>
      <c r="E102" s="708" t="s">
        <v>1009</v>
      </c>
      <c r="F102" s="260" t="s">
        <v>1010</v>
      </c>
      <c r="G102" s="254" t="s">
        <v>290</v>
      </c>
      <c r="H102" s="277" t="s">
        <v>1011</v>
      </c>
      <c r="I102" s="161" t="s">
        <v>1012</v>
      </c>
      <c r="J102" s="13" t="s">
        <v>770</v>
      </c>
      <c r="K102" s="13" t="s">
        <v>771</v>
      </c>
      <c r="L102" s="13"/>
      <c r="M102" s="780" t="s">
        <v>606</v>
      </c>
      <c r="N102" s="707">
        <v>0</v>
      </c>
      <c r="O102" s="68"/>
      <c r="P102" s="61"/>
      <c r="Q102" s="703">
        <v>2</v>
      </c>
    </row>
    <row r="103" spans="1:17" ht="46.5" customHeight="1" x14ac:dyDescent="0.2">
      <c r="A103" s="22"/>
      <c r="B103" s="22"/>
      <c r="C103" s="22"/>
      <c r="D103" s="22"/>
      <c r="E103" s="17" t="s">
        <v>1013</v>
      </c>
      <c r="F103" s="260" t="s">
        <v>1014</v>
      </c>
      <c r="G103" s="254" t="s">
        <v>134</v>
      </c>
      <c r="H103" s="277" t="s">
        <v>1015</v>
      </c>
      <c r="I103" s="161" t="s">
        <v>1016</v>
      </c>
      <c r="J103" s="13" t="s">
        <v>537</v>
      </c>
      <c r="K103" s="13" t="s">
        <v>538</v>
      </c>
      <c r="L103" s="13" t="s">
        <v>537</v>
      </c>
      <c r="M103" s="780" t="s">
        <v>606</v>
      </c>
      <c r="N103" s="707">
        <v>3</v>
      </c>
      <c r="O103" s="68"/>
      <c r="P103" s="61" t="s">
        <v>1017</v>
      </c>
      <c r="Q103" s="703">
        <v>2</v>
      </c>
    </row>
    <row r="104" spans="1:17" ht="98.5" customHeight="1" x14ac:dyDescent="0.2">
      <c r="A104" s="22"/>
      <c r="B104" s="22"/>
      <c r="C104" s="22"/>
      <c r="D104" s="22"/>
      <c r="E104" s="17" t="s">
        <v>1018</v>
      </c>
      <c r="F104" s="260" t="s">
        <v>1019</v>
      </c>
      <c r="G104" s="254" t="s">
        <v>134</v>
      </c>
      <c r="H104" s="277" t="s">
        <v>1020</v>
      </c>
      <c r="I104" s="161" t="s">
        <v>1021</v>
      </c>
      <c r="J104" s="13" t="s">
        <v>538</v>
      </c>
      <c r="K104" s="13" t="s">
        <v>537</v>
      </c>
      <c r="L104" s="13" t="s">
        <v>538</v>
      </c>
      <c r="M104" s="780" t="s">
        <v>606</v>
      </c>
      <c r="N104" s="161">
        <v>10</v>
      </c>
      <c r="O104" s="68" t="s">
        <v>1022</v>
      </c>
      <c r="P104" s="61" t="s">
        <v>1023</v>
      </c>
      <c r="Q104" s="703">
        <v>2</v>
      </c>
    </row>
    <row r="105" spans="1:17" ht="44.5" customHeight="1" x14ac:dyDescent="0.2">
      <c r="A105" s="22"/>
      <c r="B105" s="22"/>
      <c r="C105" s="22"/>
      <c r="D105" s="22"/>
      <c r="E105" s="17" t="s">
        <v>1024</v>
      </c>
      <c r="F105" s="260" t="s">
        <v>1025</v>
      </c>
      <c r="G105" s="254" t="s">
        <v>336</v>
      </c>
      <c r="H105" s="277" t="s">
        <v>1026</v>
      </c>
      <c r="I105" s="161" t="s">
        <v>338</v>
      </c>
      <c r="J105" s="13" t="s">
        <v>605</v>
      </c>
      <c r="K105" s="13" t="s">
        <v>586</v>
      </c>
      <c r="L105" s="13" t="s">
        <v>605</v>
      </c>
      <c r="M105" s="68" t="s">
        <v>606</v>
      </c>
      <c r="N105" s="707">
        <v>3</v>
      </c>
      <c r="O105" s="68"/>
      <c r="P105" s="61" t="s">
        <v>1027</v>
      </c>
      <c r="Q105" s="703">
        <v>2</v>
      </c>
    </row>
    <row r="106" spans="1:17" ht="44.5" customHeight="1" x14ac:dyDescent="0.2">
      <c r="A106" s="262"/>
      <c r="B106" s="262"/>
      <c r="C106" s="262"/>
      <c r="D106" s="262"/>
      <c r="E106" s="17" t="s">
        <v>1028</v>
      </c>
      <c r="F106" s="161" t="s">
        <v>1029</v>
      </c>
      <c r="G106" s="5" t="s">
        <v>134</v>
      </c>
      <c r="H106" s="698" t="s">
        <v>1030</v>
      </c>
      <c r="I106" s="68" t="s">
        <v>1031</v>
      </c>
      <c r="J106" s="13" t="s">
        <v>605</v>
      </c>
      <c r="K106" s="13" t="s">
        <v>586</v>
      </c>
      <c r="L106" s="13" t="s">
        <v>605</v>
      </c>
      <c r="M106" s="780" t="s">
        <v>606</v>
      </c>
      <c r="N106" s="707">
        <v>3</v>
      </c>
      <c r="O106" s="781"/>
      <c r="P106" s="782" t="s">
        <v>1032</v>
      </c>
      <c r="Q106" s="703">
        <v>2</v>
      </c>
    </row>
    <row r="107" spans="1:17" ht="58.5" customHeight="1" x14ac:dyDescent="0.2">
      <c r="A107" s="262"/>
      <c r="B107" s="262"/>
      <c r="C107" s="262"/>
      <c r="D107" s="262"/>
      <c r="E107" s="17" t="s">
        <v>1033</v>
      </c>
      <c r="F107" s="161" t="s">
        <v>1034</v>
      </c>
      <c r="G107" s="5" t="s">
        <v>134</v>
      </c>
      <c r="H107" s="698" t="s">
        <v>1035</v>
      </c>
      <c r="I107" s="68" t="s">
        <v>1036</v>
      </c>
      <c r="J107" s="13" t="s">
        <v>1037</v>
      </c>
      <c r="K107" s="13" t="s">
        <v>598</v>
      </c>
      <c r="L107" s="13" t="s">
        <v>1037</v>
      </c>
      <c r="M107" s="780" t="s">
        <v>606</v>
      </c>
      <c r="N107" s="161">
        <v>10</v>
      </c>
      <c r="O107" s="68" t="s">
        <v>1038</v>
      </c>
      <c r="P107" s="782" t="s">
        <v>1039</v>
      </c>
      <c r="Q107" s="703">
        <v>2</v>
      </c>
    </row>
    <row r="108" spans="1:17" ht="58.5" customHeight="1" x14ac:dyDescent="0.2">
      <c r="A108" s="22"/>
      <c r="B108" s="22"/>
      <c r="C108" s="22"/>
      <c r="D108" s="22"/>
      <c r="E108" s="17" t="s">
        <v>1040</v>
      </c>
      <c r="F108" s="707" t="s">
        <v>1041</v>
      </c>
      <c r="G108" s="5" t="s">
        <v>134</v>
      </c>
      <c r="H108" s="698" t="s">
        <v>1042</v>
      </c>
      <c r="I108" s="161" t="s">
        <v>1043</v>
      </c>
      <c r="J108" s="13" t="s">
        <v>605</v>
      </c>
      <c r="K108" s="13" t="s">
        <v>586</v>
      </c>
      <c r="L108" s="13" t="s">
        <v>605</v>
      </c>
      <c r="M108" s="68" t="s">
        <v>619</v>
      </c>
      <c r="N108" s="161">
        <v>0</v>
      </c>
      <c r="O108" s="68"/>
      <c r="P108" s="61" t="s">
        <v>1044</v>
      </c>
      <c r="Q108" s="703">
        <v>2</v>
      </c>
    </row>
    <row r="109" spans="1:17" ht="41.15" customHeight="1" x14ac:dyDescent="0.2">
      <c r="A109" s="22"/>
      <c r="B109" s="22"/>
      <c r="C109" s="22"/>
      <c r="D109" s="22"/>
      <c r="E109" s="17" t="s">
        <v>1045</v>
      </c>
      <c r="F109" s="707" t="s">
        <v>1046</v>
      </c>
      <c r="G109" s="5" t="s">
        <v>134</v>
      </c>
      <c r="H109" s="698" t="s">
        <v>1047</v>
      </c>
      <c r="I109" s="161" t="s">
        <v>1048</v>
      </c>
      <c r="J109" s="13" t="s">
        <v>538</v>
      </c>
      <c r="K109" s="13" t="s">
        <v>537</v>
      </c>
      <c r="L109" s="13"/>
      <c r="M109" s="780" t="s">
        <v>606</v>
      </c>
      <c r="N109" s="707">
        <v>0</v>
      </c>
      <c r="O109" s="68"/>
      <c r="P109" s="61" t="s">
        <v>1049</v>
      </c>
      <c r="Q109" s="702">
        <v>2</v>
      </c>
    </row>
    <row r="110" spans="1:17" ht="41.15" customHeight="1" x14ac:dyDescent="0.2">
      <c r="A110" s="22"/>
      <c r="B110" s="22"/>
      <c r="C110" s="22"/>
      <c r="D110" s="22"/>
      <c r="E110" s="17" t="s">
        <v>1050</v>
      </c>
      <c r="F110" s="707" t="s">
        <v>1051</v>
      </c>
      <c r="G110" s="5" t="s">
        <v>134</v>
      </c>
      <c r="H110" s="698" t="s">
        <v>1052</v>
      </c>
      <c r="I110" s="161" t="s">
        <v>1053</v>
      </c>
      <c r="J110" s="13" t="s">
        <v>538</v>
      </c>
      <c r="K110" s="13" t="s">
        <v>537</v>
      </c>
      <c r="L110" s="13"/>
      <c r="M110" s="780" t="s">
        <v>606</v>
      </c>
      <c r="N110" s="707">
        <v>0</v>
      </c>
      <c r="O110" s="68"/>
      <c r="P110" s="61" t="s">
        <v>1049</v>
      </c>
      <c r="Q110" s="702">
        <v>2</v>
      </c>
    </row>
    <row r="111" spans="1:17" ht="41.15" customHeight="1" x14ac:dyDescent="0.2">
      <c r="A111" s="22"/>
      <c r="B111" s="22"/>
      <c r="C111" s="22"/>
      <c r="D111" s="22"/>
      <c r="E111" s="17" t="s">
        <v>1054</v>
      </c>
      <c r="F111" s="707" t="s">
        <v>1055</v>
      </c>
      <c r="G111" s="5" t="s">
        <v>134</v>
      </c>
      <c r="H111" s="698" t="s">
        <v>1056</v>
      </c>
      <c r="I111" s="161" t="s">
        <v>1057</v>
      </c>
      <c r="J111" s="13" t="s">
        <v>538</v>
      </c>
      <c r="K111" s="13" t="s">
        <v>537</v>
      </c>
      <c r="L111" s="13"/>
      <c r="M111" s="780" t="s">
        <v>606</v>
      </c>
      <c r="N111" s="707">
        <v>0</v>
      </c>
      <c r="O111" s="68"/>
      <c r="P111" s="61" t="s">
        <v>1049</v>
      </c>
      <c r="Q111" s="703">
        <v>2</v>
      </c>
    </row>
    <row r="112" spans="1:17" ht="41.15" customHeight="1" x14ac:dyDescent="0.2">
      <c r="A112" s="22"/>
      <c r="B112" s="22"/>
      <c r="C112" s="22"/>
      <c r="D112" s="22"/>
      <c r="E112" s="17" t="s">
        <v>1058</v>
      </c>
      <c r="F112" s="707" t="s">
        <v>1059</v>
      </c>
      <c r="G112" s="5" t="s">
        <v>134</v>
      </c>
      <c r="H112" s="698" t="s">
        <v>1060</v>
      </c>
      <c r="I112" s="161" t="s">
        <v>1061</v>
      </c>
      <c r="J112" s="13" t="s">
        <v>538</v>
      </c>
      <c r="K112" s="13" t="s">
        <v>537</v>
      </c>
      <c r="L112" s="13"/>
      <c r="M112" s="780" t="s">
        <v>606</v>
      </c>
      <c r="N112" s="707">
        <v>0</v>
      </c>
      <c r="O112" s="68"/>
      <c r="P112" s="61" t="s">
        <v>1049</v>
      </c>
      <c r="Q112" s="706">
        <v>2</v>
      </c>
    </row>
    <row r="113" spans="1:17" ht="41.15" customHeight="1" x14ac:dyDescent="0.2">
      <c r="A113" s="22"/>
      <c r="B113" s="22"/>
      <c r="C113" s="22"/>
      <c r="D113" s="22"/>
      <c r="E113" s="17" t="s">
        <v>1062</v>
      </c>
      <c r="F113" s="707" t="s">
        <v>1063</v>
      </c>
      <c r="G113" s="5" t="s">
        <v>134</v>
      </c>
      <c r="H113" s="698" t="s">
        <v>1064</v>
      </c>
      <c r="I113" s="161" t="s">
        <v>1065</v>
      </c>
      <c r="J113" s="13" t="s">
        <v>538</v>
      </c>
      <c r="K113" s="13" t="s">
        <v>537</v>
      </c>
      <c r="L113" s="13"/>
      <c r="M113" s="780" t="s">
        <v>606</v>
      </c>
      <c r="N113" s="707">
        <v>0</v>
      </c>
      <c r="O113" s="68"/>
      <c r="P113" s="61" t="s">
        <v>1066</v>
      </c>
      <c r="Q113" s="706">
        <v>2</v>
      </c>
    </row>
    <row r="114" spans="1:17" ht="41.15" customHeight="1" x14ac:dyDescent="0.2">
      <c r="A114" s="22"/>
      <c r="B114" s="22"/>
      <c r="C114" s="22"/>
      <c r="D114" s="22"/>
      <c r="E114" s="17" t="s">
        <v>1067</v>
      </c>
      <c r="F114" s="707" t="s">
        <v>1068</v>
      </c>
      <c r="G114" s="5" t="s">
        <v>134</v>
      </c>
      <c r="H114" s="698" t="s">
        <v>1069</v>
      </c>
      <c r="I114" s="161" t="s">
        <v>1070</v>
      </c>
      <c r="J114" s="13" t="s">
        <v>538</v>
      </c>
      <c r="K114" s="13" t="s">
        <v>537</v>
      </c>
      <c r="L114" s="13"/>
      <c r="M114" s="780" t="s">
        <v>606</v>
      </c>
      <c r="N114" s="707">
        <v>0</v>
      </c>
      <c r="O114" s="68"/>
      <c r="P114" s="61" t="s">
        <v>1066</v>
      </c>
      <c r="Q114" s="706">
        <v>2</v>
      </c>
    </row>
    <row r="115" spans="1:17" ht="41.15" customHeight="1" x14ac:dyDescent="0.2">
      <c r="A115" s="22"/>
      <c r="B115" s="22"/>
      <c r="C115" s="22"/>
      <c r="D115" s="22"/>
      <c r="E115" s="17" t="s">
        <v>1071</v>
      </c>
      <c r="F115" s="707" t="s">
        <v>1072</v>
      </c>
      <c r="G115" s="5" t="s">
        <v>134</v>
      </c>
      <c r="H115" s="698" t="s">
        <v>1073</v>
      </c>
      <c r="I115" s="161" t="s">
        <v>1074</v>
      </c>
      <c r="J115" s="13" t="s">
        <v>538</v>
      </c>
      <c r="K115" s="13" t="s">
        <v>537</v>
      </c>
      <c r="L115" s="13"/>
      <c r="M115" s="780" t="s">
        <v>606</v>
      </c>
      <c r="N115" s="707">
        <v>0</v>
      </c>
      <c r="O115" s="68"/>
      <c r="P115" s="61" t="s">
        <v>1066</v>
      </c>
      <c r="Q115" s="706">
        <v>2</v>
      </c>
    </row>
    <row r="116" spans="1:17" ht="41.15" customHeight="1" x14ac:dyDescent="0.2">
      <c r="A116" s="22"/>
      <c r="B116" s="22"/>
      <c r="C116" s="22"/>
      <c r="D116" s="22"/>
      <c r="E116" s="17" t="s">
        <v>1075</v>
      </c>
      <c r="F116" s="707" t="s">
        <v>1076</v>
      </c>
      <c r="G116" s="5" t="s">
        <v>134</v>
      </c>
      <c r="H116" s="698" t="s">
        <v>1077</v>
      </c>
      <c r="I116" s="161" t="s">
        <v>1078</v>
      </c>
      <c r="J116" s="13" t="s">
        <v>538</v>
      </c>
      <c r="K116" s="13" t="s">
        <v>537</v>
      </c>
      <c r="L116" s="13"/>
      <c r="M116" s="780" t="s">
        <v>606</v>
      </c>
      <c r="N116" s="707">
        <v>0</v>
      </c>
      <c r="O116" s="68"/>
      <c r="P116" s="61" t="s">
        <v>1066</v>
      </c>
      <c r="Q116" s="706">
        <v>2</v>
      </c>
    </row>
    <row r="117" spans="1:17" ht="41.15" customHeight="1" x14ac:dyDescent="0.2">
      <c r="A117" s="22"/>
      <c r="B117" s="22"/>
      <c r="C117" s="22"/>
      <c r="D117" s="22"/>
      <c r="E117" s="17" t="s">
        <v>1079</v>
      </c>
      <c r="F117" s="161" t="s">
        <v>1080</v>
      </c>
      <c r="G117" s="5" t="s">
        <v>134</v>
      </c>
      <c r="H117" s="767" t="s">
        <v>1081</v>
      </c>
      <c r="I117" s="161" t="s">
        <v>1082</v>
      </c>
      <c r="J117" s="13" t="s">
        <v>1037</v>
      </c>
      <c r="K117" s="13" t="s">
        <v>1083</v>
      </c>
      <c r="L117" s="13"/>
      <c r="M117" s="68" t="s">
        <v>606</v>
      </c>
      <c r="N117" s="707">
        <v>0</v>
      </c>
      <c r="O117" s="68"/>
      <c r="P117" s="61" t="s">
        <v>570</v>
      </c>
      <c r="Q117" s="706">
        <v>2</v>
      </c>
    </row>
    <row r="118" spans="1:17" ht="41.15" customHeight="1" x14ac:dyDescent="0.2">
      <c r="A118" s="22"/>
      <c r="B118" s="22"/>
      <c r="C118" s="22"/>
      <c r="D118" s="22"/>
      <c r="E118" s="17" t="s">
        <v>1084</v>
      </c>
      <c r="F118" s="161" t="s">
        <v>1085</v>
      </c>
      <c r="G118" s="5" t="s">
        <v>134</v>
      </c>
      <c r="H118" s="767" t="s">
        <v>1086</v>
      </c>
      <c r="I118" s="161" t="s">
        <v>1087</v>
      </c>
      <c r="J118" s="13" t="s">
        <v>598</v>
      </c>
      <c r="K118" s="13" t="s">
        <v>1088</v>
      </c>
      <c r="L118" s="13"/>
      <c r="M118" s="68" t="s">
        <v>606</v>
      </c>
      <c r="N118" s="707">
        <v>0</v>
      </c>
      <c r="O118" s="68"/>
      <c r="P118" s="61" t="s">
        <v>570</v>
      </c>
      <c r="Q118" s="706">
        <v>2</v>
      </c>
    </row>
    <row r="119" spans="1:17" ht="210.65" customHeight="1" x14ac:dyDescent="0.2">
      <c r="A119" s="22"/>
      <c r="B119" s="22"/>
      <c r="C119" s="22"/>
      <c r="D119" s="22" t="s">
        <v>131</v>
      </c>
      <c r="E119" s="17" t="s">
        <v>1089</v>
      </c>
      <c r="F119" s="707" t="s">
        <v>1090</v>
      </c>
      <c r="G119" s="5" t="s">
        <v>134</v>
      </c>
      <c r="H119" s="698" t="s">
        <v>1091</v>
      </c>
      <c r="I119" s="161" t="s">
        <v>1092</v>
      </c>
      <c r="J119" s="13" t="s">
        <v>1093</v>
      </c>
      <c r="K119" s="13" t="s">
        <v>537</v>
      </c>
      <c r="L119" s="13"/>
      <c r="M119" s="68" t="s">
        <v>606</v>
      </c>
      <c r="N119" s="707">
        <v>0</v>
      </c>
      <c r="O119" s="68"/>
      <c r="P119" s="61" t="s">
        <v>1094</v>
      </c>
      <c r="Q119" s="706">
        <v>2</v>
      </c>
    </row>
    <row r="120" spans="1:17" ht="200.5" customHeight="1" x14ac:dyDescent="0.2">
      <c r="A120" s="22"/>
      <c r="B120" s="22"/>
      <c r="C120" s="22"/>
      <c r="D120" s="22" t="s">
        <v>131</v>
      </c>
      <c r="E120" s="17" t="s">
        <v>1095</v>
      </c>
      <c r="F120" s="707" t="s">
        <v>1096</v>
      </c>
      <c r="G120" s="254" t="s">
        <v>134</v>
      </c>
      <c r="H120" s="277" t="s">
        <v>1097</v>
      </c>
      <c r="I120" s="161" t="s">
        <v>1098</v>
      </c>
      <c r="J120" s="13" t="s">
        <v>1093</v>
      </c>
      <c r="K120" s="13" t="s">
        <v>537</v>
      </c>
      <c r="L120" s="13"/>
      <c r="M120" s="68" t="s">
        <v>606</v>
      </c>
      <c r="N120" s="707">
        <v>0</v>
      </c>
      <c r="O120" s="68"/>
      <c r="P120" s="61" t="s">
        <v>1099</v>
      </c>
      <c r="Q120" s="706">
        <v>2</v>
      </c>
    </row>
    <row r="121" spans="1:17" ht="100.5" customHeight="1" x14ac:dyDescent="0.2">
      <c r="A121" s="22"/>
      <c r="B121" s="22"/>
      <c r="C121" s="22"/>
      <c r="D121" s="22"/>
      <c r="E121" s="17" t="s">
        <v>1100</v>
      </c>
      <c r="F121" s="707" t="s">
        <v>1101</v>
      </c>
      <c r="G121" s="5" t="s">
        <v>134</v>
      </c>
      <c r="H121" s="698" t="s">
        <v>1102</v>
      </c>
      <c r="I121" s="161" t="s">
        <v>1103</v>
      </c>
      <c r="J121" s="13" t="s">
        <v>586</v>
      </c>
      <c r="K121" s="13" t="s">
        <v>537</v>
      </c>
      <c r="L121" s="13"/>
      <c r="M121" s="68" t="s">
        <v>619</v>
      </c>
      <c r="N121" s="707">
        <v>0</v>
      </c>
      <c r="O121" s="68"/>
      <c r="P121" s="61" t="s">
        <v>1104</v>
      </c>
      <c r="Q121" s="706">
        <v>2</v>
      </c>
    </row>
    <row r="122" spans="1:17" ht="27" customHeight="1" x14ac:dyDescent="0.2">
      <c r="A122" s="22"/>
      <c r="B122" s="22"/>
      <c r="C122" s="22"/>
      <c r="D122" s="22"/>
      <c r="E122" s="17" t="s">
        <v>1105</v>
      </c>
      <c r="F122" s="161" t="s">
        <v>1106</v>
      </c>
      <c r="G122" s="5" t="s">
        <v>134</v>
      </c>
      <c r="H122" s="698" t="s">
        <v>1107</v>
      </c>
      <c r="I122" s="161" t="s">
        <v>1108</v>
      </c>
      <c r="J122" s="13" t="s">
        <v>586</v>
      </c>
      <c r="K122" s="13" t="s">
        <v>537</v>
      </c>
      <c r="L122" s="13" t="s">
        <v>537</v>
      </c>
      <c r="M122" s="68" t="s">
        <v>619</v>
      </c>
      <c r="N122" s="707">
        <v>3</v>
      </c>
      <c r="O122" s="68"/>
      <c r="P122" s="382" t="s">
        <v>1109</v>
      </c>
      <c r="Q122" s="706">
        <v>2</v>
      </c>
    </row>
    <row r="123" spans="1:17" ht="27" customHeight="1" x14ac:dyDescent="0.2">
      <c r="A123" s="22"/>
      <c r="B123" s="22"/>
      <c r="C123" s="22"/>
      <c r="D123" s="22"/>
      <c r="E123" s="708" t="s">
        <v>1110</v>
      </c>
      <c r="F123" s="161" t="s">
        <v>1111</v>
      </c>
      <c r="G123" s="5" t="s">
        <v>134</v>
      </c>
      <c r="H123" s="698" t="s">
        <v>1112</v>
      </c>
      <c r="I123" s="161" t="s">
        <v>1113</v>
      </c>
      <c r="J123" s="13" t="s">
        <v>1114</v>
      </c>
      <c r="K123" s="13" t="s">
        <v>1115</v>
      </c>
      <c r="L123" s="13"/>
      <c r="M123" s="68" t="s">
        <v>619</v>
      </c>
      <c r="N123" s="707">
        <v>0</v>
      </c>
      <c r="O123" s="68"/>
      <c r="P123" s="382" t="s">
        <v>1109</v>
      </c>
      <c r="Q123" s="706">
        <v>2</v>
      </c>
    </row>
    <row r="124" spans="1:17" ht="27" customHeight="1" x14ac:dyDescent="0.2">
      <c r="A124" s="22"/>
      <c r="B124" s="22"/>
      <c r="C124" s="22"/>
      <c r="D124" s="22"/>
      <c r="E124" s="708" t="s">
        <v>1116</v>
      </c>
      <c r="F124" s="161" t="s">
        <v>1117</v>
      </c>
      <c r="G124" s="5" t="s">
        <v>134</v>
      </c>
      <c r="H124" s="698" t="s">
        <v>1118</v>
      </c>
      <c r="I124" s="161" t="s">
        <v>1119</v>
      </c>
      <c r="J124" s="13" t="s">
        <v>1120</v>
      </c>
      <c r="K124" s="13" t="s">
        <v>1121</v>
      </c>
      <c r="L124" s="13"/>
      <c r="M124" s="68" t="s">
        <v>619</v>
      </c>
      <c r="N124" s="707">
        <v>0</v>
      </c>
      <c r="O124" s="68"/>
      <c r="P124" s="382" t="s">
        <v>1109</v>
      </c>
      <c r="Q124" s="706">
        <v>2</v>
      </c>
    </row>
    <row r="125" spans="1:17" ht="27" customHeight="1" x14ac:dyDescent="0.2">
      <c r="A125" s="22"/>
      <c r="B125" s="22"/>
      <c r="C125" s="22"/>
      <c r="D125" s="22"/>
      <c r="E125" s="708" t="s">
        <v>1122</v>
      </c>
      <c r="F125" s="161" t="s">
        <v>1123</v>
      </c>
      <c r="G125" s="5" t="s">
        <v>134</v>
      </c>
      <c r="H125" s="698" t="s">
        <v>1124</v>
      </c>
      <c r="I125" s="161" t="s">
        <v>1125</v>
      </c>
      <c r="J125" s="13" t="s">
        <v>770</v>
      </c>
      <c r="K125" s="13" t="s">
        <v>771</v>
      </c>
      <c r="L125" s="68"/>
      <c r="M125" s="68" t="s">
        <v>619</v>
      </c>
      <c r="N125" s="705">
        <v>0</v>
      </c>
      <c r="O125" s="68"/>
      <c r="P125" s="382" t="s">
        <v>1109</v>
      </c>
      <c r="Q125" s="703">
        <v>2</v>
      </c>
    </row>
    <row r="126" spans="1:17" ht="27" customHeight="1" x14ac:dyDescent="0.2">
      <c r="A126" s="22"/>
      <c r="B126" s="22"/>
      <c r="C126" s="22"/>
      <c r="D126" s="22"/>
      <c r="E126" s="708" t="s">
        <v>1126</v>
      </c>
      <c r="F126" s="161" t="s">
        <v>1127</v>
      </c>
      <c r="G126" s="5" t="s">
        <v>134</v>
      </c>
      <c r="H126" s="698" t="s">
        <v>1128</v>
      </c>
      <c r="I126" s="161" t="s">
        <v>1129</v>
      </c>
      <c r="J126" s="13" t="s">
        <v>776</v>
      </c>
      <c r="K126" s="13" t="s">
        <v>478</v>
      </c>
      <c r="L126" s="68"/>
      <c r="M126" s="68" t="s">
        <v>619</v>
      </c>
      <c r="N126" s="705">
        <v>0</v>
      </c>
      <c r="O126" s="68"/>
      <c r="P126" s="382" t="s">
        <v>1109</v>
      </c>
      <c r="Q126" s="706">
        <v>2</v>
      </c>
    </row>
    <row r="127" spans="1:17" ht="27" customHeight="1" x14ac:dyDescent="0.2">
      <c r="A127" s="22"/>
      <c r="B127" s="22"/>
      <c r="C127" s="22"/>
      <c r="D127" s="22"/>
      <c r="E127" s="708" t="s">
        <v>1130</v>
      </c>
      <c r="F127" s="161" t="s">
        <v>1131</v>
      </c>
      <c r="G127" s="5" t="s">
        <v>134</v>
      </c>
      <c r="H127" s="698" t="s">
        <v>1132</v>
      </c>
      <c r="I127" s="161" t="s">
        <v>1133</v>
      </c>
      <c r="J127" s="13" t="s">
        <v>538</v>
      </c>
      <c r="K127" s="13" t="s">
        <v>537</v>
      </c>
      <c r="L127" s="13" t="s">
        <v>537</v>
      </c>
      <c r="M127" s="68" t="s">
        <v>619</v>
      </c>
      <c r="N127" s="707">
        <v>0</v>
      </c>
      <c r="O127" s="68"/>
      <c r="P127" s="382" t="s">
        <v>1109</v>
      </c>
      <c r="Q127" s="706">
        <v>2</v>
      </c>
    </row>
    <row r="128" spans="1:17" ht="30" customHeight="1" x14ac:dyDescent="0.2">
      <c r="A128" s="22"/>
      <c r="B128" s="22"/>
      <c r="C128" s="22"/>
      <c r="D128" s="22"/>
      <c r="E128" s="708" t="s">
        <v>1134</v>
      </c>
      <c r="F128" s="161" t="s">
        <v>1135</v>
      </c>
      <c r="G128" s="5" t="s">
        <v>383</v>
      </c>
      <c r="H128" s="698" t="s">
        <v>1136</v>
      </c>
      <c r="I128" s="161" t="s">
        <v>1137</v>
      </c>
      <c r="J128" s="13" t="s">
        <v>605</v>
      </c>
      <c r="K128" s="13" t="s">
        <v>586</v>
      </c>
      <c r="L128" s="13" t="s">
        <v>605</v>
      </c>
      <c r="M128" s="68" t="s">
        <v>606</v>
      </c>
      <c r="N128" s="707">
        <v>0</v>
      </c>
      <c r="O128" s="68"/>
      <c r="P128" s="710"/>
      <c r="Q128" s="706">
        <v>2</v>
      </c>
    </row>
    <row r="129" spans="1:17" ht="30" customHeight="1" x14ac:dyDescent="0.2">
      <c r="A129" s="22"/>
      <c r="B129" s="22"/>
      <c r="C129" s="22"/>
      <c r="D129" s="22"/>
      <c r="E129" s="708" t="s">
        <v>1138</v>
      </c>
      <c r="F129" s="161" t="s">
        <v>1139</v>
      </c>
      <c r="G129" s="5" t="s">
        <v>383</v>
      </c>
      <c r="H129" s="698" t="s">
        <v>1140</v>
      </c>
      <c r="I129" s="161" t="s">
        <v>1141</v>
      </c>
      <c r="J129" s="13" t="s">
        <v>776</v>
      </c>
      <c r="K129" s="13" t="s">
        <v>478</v>
      </c>
      <c r="L129" s="68"/>
      <c r="M129" s="68" t="s">
        <v>606</v>
      </c>
      <c r="N129" s="705">
        <v>0</v>
      </c>
      <c r="O129" s="68"/>
      <c r="P129" s="710"/>
      <c r="Q129" s="706">
        <v>2</v>
      </c>
    </row>
    <row r="130" spans="1:17" ht="30" customHeight="1" x14ac:dyDescent="0.2">
      <c r="A130" s="22"/>
      <c r="B130" s="22"/>
      <c r="C130" s="22"/>
      <c r="D130" s="22"/>
      <c r="E130" s="708" t="s">
        <v>1142</v>
      </c>
      <c r="F130" s="161" t="s">
        <v>1143</v>
      </c>
      <c r="G130" s="5" t="s">
        <v>383</v>
      </c>
      <c r="H130" s="698" t="s">
        <v>1144</v>
      </c>
      <c r="I130" s="161" t="s">
        <v>1145</v>
      </c>
      <c r="J130" s="68" t="s">
        <v>770</v>
      </c>
      <c r="K130" s="68" t="s">
        <v>771</v>
      </c>
      <c r="L130" s="68"/>
      <c r="M130" s="68" t="s">
        <v>606</v>
      </c>
      <c r="N130" s="705">
        <v>0</v>
      </c>
      <c r="O130" s="68"/>
      <c r="P130" s="710"/>
      <c r="Q130" s="703">
        <v>2</v>
      </c>
    </row>
    <row r="131" spans="1:17" ht="30" customHeight="1" x14ac:dyDescent="0.2">
      <c r="E131" s="17" t="s">
        <v>1146</v>
      </c>
      <c r="F131" s="707" t="s">
        <v>1147</v>
      </c>
      <c r="G131" s="5" t="s">
        <v>134</v>
      </c>
      <c r="H131" s="698" t="s">
        <v>1148</v>
      </c>
      <c r="I131" s="161" t="s">
        <v>1149</v>
      </c>
      <c r="J131" s="706" t="s">
        <v>538</v>
      </c>
      <c r="K131" s="706" t="s">
        <v>537</v>
      </c>
      <c r="L131" s="771" t="s">
        <v>605</v>
      </c>
      <c r="M131" s="68" t="s">
        <v>606</v>
      </c>
      <c r="N131" s="12">
        <v>0</v>
      </c>
      <c r="O131" s="68"/>
      <c r="P131" s="61"/>
      <c r="Q131" s="706">
        <v>2</v>
      </c>
    </row>
    <row r="132" spans="1:17" ht="30" customHeight="1" x14ac:dyDescent="0.2">
      <c r="E132" s="17" t="s">
        <v>1150</v>
      </c>
      <c r="F132" s="707" t="s">
        <v>1151</v>
      </c>
      <c r="G132" s="5" t="s">
        <v>134</v>
      </c>
      <c r="H132" s="698" t="s">
        <v>1152</v>
      </c>
      <c r="I132" s="161" t="s">
        <v>1153</v>
      </c>
      <c r="J132" s="706" t="s">
        <v>538</v>
      </c>
      <c r="K132" s="706" t="s">
        <v>537</v>
      </c>
      <c r="L132" s="771" t="s">
        <v>605</v>
      </c>
      <c r="M132" s="68" t="s">
        <v>606</v>
      </c>
      <c r="N132" s="12">
        <v>0</v>
      </c>
      <c r="O132" s="68"/>
      <c r="P132" s="61"/>
      <c r="Q132" s="706">
        <v>2</v>
      </c>
    </row>
    <row r="133" spans="1:17" ht="30" customHeight="1" x14ac:dyDescent="0.2">
      <c r="E133" s="17" t="s">
        <v>1154</v>
      </c>
      <c r="F133" s="707" t="s">
        <v>1155</v>
      </c>
      <c r="G133" s="5" t="s">
        <v>134</v>
      </c>
      <c r="H133" s="698" t="s">
        <v>1156</v>
      </c>
      <c r="I133" s="161" t="s">
        <v>1157</v>
      </c>
      <c r="J133" s="68" t="s">
        <v>605</v>
      </c>
      <c r="K133" s="68" t="s">
        <v>586</v>
      </c>
      <c r="L133" s="68" t="s">
        <v>605</v>
      </c>
      <c r="M133" s="68" t="s">
        <v>606</v>
      </c>
      <c r="N133" s="12">
        <v>0</v>
      </c>
      <c r="O133" s="68"/>
      <c r="P133" s="61"/>
      <c r="Q133" s="703">
        <v>2</v>
      </c>
    </row>
    <row r="134" spans="1:17" ht="30" customHeight="1" x14ac:dyDescent="0.2">
      <c r="E134" s="17" t="s">
        <v>1158</v>
      </c>
      <c r="F134" s="707" t="s">
        <v>1159</v>
      </c>
      <c r="G134" s="5" t="s">
        <v>134</v>
      </c>
      <c r="H134" s="698" t="s">
        <v>1160</v>
      </c>
      <c r="I134" s="161" t="s">
        <v>1161</v>
      </c>
      <c r="J134" s="68" t="s">
        <v>605</v>
      </c>
      <c r="K134" s="68" t="s">
        <v>586</v>
      </c>
      <c r="L134" s="68" t="s">
        <v>605</v>
      </c>
      <c r="M134" s="68" t="s">
        <v>606</v>
      </c>
      <c r="N134" s="12">
        <v>0</v>
      </c>
      <c r="O134" s="68"/>
      <c r="P134" s="61"/>
      <c r="Q134" s="703">
        <v>2</v>
      </c>
    </row>
    <row r="135" spans="1:17" ht="30" customHeight="1" x14ac:dyDescent="0.2">
      <c r="E135" s="17" t="s">
        <v>1162</v>
      </c>
      <c r="F135" s="707" t="s">
        <v>1163</v>
      </c>
      <c r="G135" s="5" t="s">
        <v>134</v>
      </c>
      <c r="H135" s="698" t="s">
        <v>1164</v>
      </c>
      <c r="I135" s="161" t="s">
        <v>1165</v>
      </c>
      <c r="J135" s="68" t="s">
        <v>605</v>
      </c>
      <c r="K135" s="68" t="s">
        <v>586</v>
      </c>
      <c r="L135" s="68" t="s">
        <v>605</v>
      </c>
      <c r="M135" s="68" t="s">
        <v>606</v>
      </c>
      <c r="N135" s="161">
        <v>0</v>
      </c>
      <c r="O135" s="13"/>
      <c r="P135" s="61"/>
      <c r="Q135" s="703">
        <v>2</v>
      </c>
    </row>
    <row r="136" spans="1:17" ht="30" customHeight="1" x14ac:dyDescent="0.2">
      <c r="E136" s="17" t="s">
        <v>1166</v>
      </c>
      <c r="F136" s="707" t="s">
        <v>1167</v>
      </c>
      <c r="G136" s="5" t="s">
        <v>134</v>
      </c>
      <c r="H136" s="698" t="s">
        <v>1168</v>
      </c>
      <c r="I136" s="161" t="s">
        <v>1169</v>
      </c>
      <c r="J136" s="68" t="s">
        <v>605</v>
      </c>
      <c r="K136" s="68" t="s">
        <v>586</v>
      </c>
      <c r="L136" s="68" t="s">
        <v>605</v>
      </c>
      <c r="M136" s="68" t="s">
        <v>606</v>
      </c>
      <c r="N136" s="12">
        <v>0</v>
      </c>
      <c r="O136" s="68"/>
      <c r="P136" s="61"/>
      <c r="Q136" s="703">
        <v>2</v>
      </c>
    </row>
    <row r="137" spans="1:17" ht="32.5" customHeight="1" x14ac:dyDescent="0.2">
      <c r="E137" s="708" t="s">
        <v>1170</v>
      </c>
      <c r="F137" s="707" t="s">
        <v>1171</v>
      </c>
      <c r="G137" s="5" t="s">
        <v>134</v>
      </c>
      <c r="H137" s="698" t="s">
        <v>1172</v>
      </c>
      <c r="I137" s="161" t="s">
        <v>1173</v>
      </c>
      <c r="J137" s="68" t="s">
        <v>537</v>
      </c>
      <c r="K137" s="68" t="s">
        <v>586</v>
      </c>
      <c r="L137" s="68"/>
      <c r="M137" s="68" t="s">
        <v>619</v>
      </c>
      <c r="N137" s="705">
        <v>0</v>
      </c>
      <c r="O137" s="68"/>
      <c r="P137" s="61" t="s">
        <v>620</v>
      </c>
      <c r="Q137" s="706">
        <v>2</v>
      </c>
    </row>
    <row r="138" spans="1:17" ht="32.5" customHeight="1" x14ac:dyDescent="0.2">
      <c r="E138" s="708" t="s">
        <v>1174</v>
      </c>
      <c r="F138" s="707" t="s">
        <v>1175</v>
      </c>
      <c r="G138" s="5" t="s">
        <v>134</v>
      </c>
      <c r="H138" s="698" t="s">
        <v>1176</v>
      </c>
      <c r="I138" s="161" t="s">
        <v>1177</v>
      </c>
      <c r="J138" s="68" t="s">
        <v>537</v>
      </c>
      <c r="K138" s="68" t="s">
        <v>586</v>
      </c>
      <c r="L138" s="68"/>
      <c r="M138" s="68" t="s">
        <v>619</v>
      </c>
      <c r="N138" s="705">
        <v>0</v>
      </c>
      <c r="O138" s="68"/>
      <c r="P138" s="61" t="s">
        <v>620</v>
      </c>
      <c r="Q138" s="703">
        <v>2</v>
      </c>
    </row>
    <row r="139" spans="1:17" ht="104.15" customHeight="1" x14ac:dyDescent="0.2">
      <c r="A139" s="22"/>
      <c r="B139" s="22"/>
      <c r="C139" s="22"/>
      <c r="D139" s="22"/>
      <c r="E139" s="17" t="s">
        <v>1178</v>
      </c>
      <c r="F139" s="161" t="s">
        <v>1179</v>
      </c>
      <c r="G139" s="5" t="s">
        <v>290</v>
      </c>
      <c r="H139" s="698" t="s">
        <v>1180</v>
      </c>
      <c r="I139" s="161" t="s">
        <v>1181</v>
      </c>
      <c r="J139" s="68" t="s">
        <v>605</v>
      </c>
      <c r="K139" s="68" t="s">
        <v>586</v>
      </c>
      <c r="L139" s="68" t="s">
        <v>605</v>
      </c>
      <c r="M139" s="68" t="s">
        <v>606</v>
      </c>
      <c r="N139" s="705">
        <v>3</v>
      </c>
      <c r="O139" s="706" t="s">
        <v>1182</v>
      </c>
      <c r="P139" s="710" t="s">
        <v>1183</v>
      </c>
      <c r="Q139" s="703">
        <v>2</v>
      </c>
    </row>
    <row r="140" spans="1:17" ht="30" customHeight="1" x14ac:dyDescent="0.2">
      <c r="A140" s="22"/>
      <c r="B140" s="22"/>
      <c r="C140" s="22"/>
      <c r="D140" s="22"/>
      <c r="E140" s="17" t="s">
        <v>1184</v>
      </c>
      <c r="F140" s="707" t="s">
        <v>1185</v>
      </c>
      <c r="G140" s="704" t="s">
        <v>134</v>
      </c>
      <c r="H140" s="767" t="s">
        <v>1186</v>
      </c>
      <c r="I140" s="707" t="s">
        <v>1187</v>
      </c>
      <c r="J140" s="706" t="s">
        <v>605</v>
      </c>
      <c r="K140" s="706" t="s">
        <v>586</v>
      </c>
      <c r="L140" s="706" t="s">
        <v>605</v>
      </c>
      <c r="M140" s="706" t="s">
        <v>606</v>
      </c>
      <c r="N140" s="705">
        <v>3</v>
      </c>
      <c r="O140" s="706"/>
      <c r="P140" s="783" t="s">
        <v>1188</v>
      </c>
      <c r="Q140" s="703">
        <v>2</v>
      </c>
    </row>
    <row r="141" spans="1:17" ht="30" customHeight="1" x14ac:dyDescent="0.2">
      <c r="A141" s="22"/>
      <c r="B141" s="22"/>
      <c r="C141" s="22"/>
      <c r="D141" s="22"/>
      <c r="E141" s="769" t="s">
        <v>1189</v>
      </c>
      <c r="F141" s="770" t="s">
        <v>1190</v>
      </c>
      <c r="G141" s="742" t="s">
        <v>134</v>
      </c>
      <c r="H141" s="743" t="s">
        <v>1191</v>
      </c>
      <c r="I141" s="770" t="s">
        <v>1192</v>
      </c>
      <c r="J141" s="771" t="s">
        <v>605</v>
      </c>
      <c r="K141" s="771" t="s">
        <v>586</v>
      </c>
      <c r="L141" s="771" t="s">
        <v>605</v>
      </c>
      <c r="M141" s="771" t="s">
        <v>606</v>
      </c>
      <c r="N141" s="701">
        <v>0</v>
      </c>
      <c r="O141" s="771"/>
      <c r="P141" s="772"/>
      <c r="Q141" s="703">
        <v>2</v>
      </c>
    </row>
    <row r="142" spans="1:17" ht="30" customHeight="1" x14ac:dyDescent="0.2">
      <c r="A142" s="22"/>
      <c r="B142" s="22"/>
      <c r="C142" s="22"/>
      <c r="D142" s="22"/>
      <c r="E142" s="769" t="s">
        <v>1193</v>
      </c>
      <c r="F142" s="770" t="s">
        <v>1194</v>
      </c>
      <c r="G142" s="742" t="s">
        <v>134</v>
      </c>
      <c r="H142" s="743" t="s">
        <v>1195</v>
      </c>
      <c r="I142" s="770" t="s">
        <v>1192</v>
      </c>
      <c r="J142" s="771" t="s">
        <v>537</v>
      </c>
      <c r="K142" s="771" t="s">
        <v>586</v>
      </c>
      <c r="L142" s="771"/>
      <c r="M142" s="771" t="s">
        <v>606</v>
      </c>
      <c r="N142" s="701">
        <v>0</v>
      </c>
      <c r="O142" s="771"/>
      <c r="P142" s="772"/>
      <c r="Q142" s="703">
        <v>2</v>
      </c>
    </row>
    <row r="143" spans="1:17" ht="30" customHeight="1" x14ac:dyDescent="0.2">
      <c r="A143" s="22"/>
      <c r="B143" s="22"/>
      <c r="C143" s="22"/>
      <c r="D143" s="22"/>
      <c r="E143" s="17" t="s">
        <v>1196</v>
      </c>
      <c r="F143" s="161" t="s">
        <v>1197</v>
      </c>
      <c r="G143" s="5" t="s">
        <v>134</v>
      </c>
      <c r="H143" s="698" t="s">
        <v>1198</v>
      </c>
      <c r="I143" s="161" t="s">
        <v>1199</v>
      </c>
      <c r="J143" s="68" t="s">
        <v>537</v>
      </c>
      <c r="K143" s="68" t="s">
        <v>586</v>
      </c>
      <c r="L143" s="68"/>
      <c r="M143" s="68" t="s">
        <v>606</v>
      </c>
      <c r="N143" s="705">
        <v>0</v>
      </c>
      <c r="O143" s="68"/>
      <c r="P143" s="61"/>
      <c r="Q143" s="703">
        <v>2</v>
      </c>
    </row>
    <row r="144" spans="1:17" ht="30" customHeight="1" x14ac:dyDescent="0.2">
      <c r="A144" s="22"/>
      <c r="B144" s="22"/>
      <c r="C144" s="22"/>
      <c r="D144" s="22"/>
      <c r="E144" s="17" t="s">
        <v>1200</v>
      </c>
      <c r="F144" s="161" t="s">
        <v>1201</v>
      </c>
      <c r="G144" s="5" t="s">
        <v>134</v>
      </c>
      <c r="H144" s="698" t="s">
        <v>1198</v>
      </c>
      <c r="I144" s="161" t="s">
        <v>1202</v>
      </c>
      <c r="J144" s="13" t="s">
        <v>537</v>
      </c>
      <c r="K144" s="13" t="s">
        <v>586</v>
      </c>
      <c r="L144" s="13"/>
      <c r="M144" s="68" t="s">
        <v>606</v>
      </c>
      <c r="N144" s="707">
        <v>0</v>
      </c>
      <c r="O144" s="68"/>
      <c r="P144" s="61"/>
      <c r="Q144" s="703">
        <v>2</v>
      </c>
    </row>
    <row r="145" spans="1:17" ht="30" customHeight="1" x14ac:dyDescent="0.2">
      <c r="A145" s="22"/>
      <c r="B145" s="22"/>
      <c r="C145" s="22"/>
      <c r="D145" s="22"/>
      <c r="E145" s="17" t="s">
        <v>1203</v>
      </c>
      <c r="F145" s="161" t="s">
        <v>1204</v>
      </c>
      <c r="G145" s="5" t="s">
        <v>134</v>
      </c>
      <c r="H145" s="698" t="s">
        <v>1205</v>
      </c>
      <c r="I145" s="161" t="s">
        <v>1206</v>
      </c>
      <c r="J145" s="13" t="s">
        <v>537</v>
      </c>
      <c r="K145" s="13" t="s">
        <v>586</v>
      </c>
      <c r="L145" s="13"/>
      <c r="M145" s="68" t="s">
        <v>606</v>
      </c>
      <c r="N145" s="707">
        <v>0</v>
      </c>
      <c r="O145" s="68"/>
      <c r="P145" s="61"/>
      <c r="Q145" s="706">
        <v>2</v>
      </c>
    </row>
    <row r="146" spans="1:17" ht="30" customHeight="1" x14ac:dyDescent="0.2">
      <c r="A146" s="22"/>
      <c r="B146" s="22"/>
      <c r="C146" s="22"/>
      <c r="D146" s="22"/>
      <c r="E146" s="17" t="s">
        <v>1207</v>
      </c>
      <c r="F146" s="161" t="s">
        <v>1208</v>
      </c>
      <c r="G146" s="5" t="s">
        <v>134</v>
      </c>
      <c r="H146" s="698" t="s">
        <v>1205</v>
      </c>
      <c r="I146" s="161" t="s">
        <v>1209</v>
      </c>
      <c r="J146" s="13" t="s">
        <v>537</v>
      </c>
      <c r="K146" s="13" t="s">
        <v>586</v>
      </c>
      <c r="L146" s="13"/>
      <c r="M146" s="68" t="s">
        <v>606</v>
      </c>
      <c r="N146" s="707">
        <v>0</v>
      </c>
      <c r="O146" s="68"/>
      <c r="P146" s="61"/>
      <c r="Q146" s="703">
        <v>2</v>
      </c>
    </row>
    <row r="147" spans="1:17" ht="30" customHeight="1" x14ac:dyDescent="0.2">
      <c r="A147" s="22"/>
      <c r="B147" s="22"/>
      <c r="C147" s="22"/>
      <c r="D147" s="22"/>
      <c r="E147" s="17" t="s">
        <v>1210</v>
      </c>
      <c r="F147" s="161" t="s">
        <v>1211</v>
      </c>
      <c r="G147" s="5" t="s">
        <v>383</v>
      </c>
      <c r="H147" s="698" t="s">
        <v>1212</v>
      </c>
      <c r="I147" s="161" t="s">
        <v>1213</v>
      </c>
      <c r="J147" s="13" t="s">
        <v>605</v>
      </c>
      <c r="K147" s="13" t="s">
        <v>586</v>
      </c>
      <c r="L147" s="13" t="s">
        <v>605</v>
      </c>
      <c r="M147" s="68" t="s">
        <v>606</v>
      </c>
      <c r="N147" s="707">
        <v>3</v>
      </c>
      <c r="O147" s="364" t="s">
        <v>1038</v>
      </c>
      <c r="P147" s="61" t="s">
        <v>1214</v>
      </c>
      <c r="Q147" s="703">
        <v>2</v>
      </c>
    </row>
    <row r="148" spans="1:17" ht="30" customHeight="1" x14ac:dyDescent="0.2">
      <c r="A148" s="22"/>
      <c r="B148" s="22"/>
      <c r="C148" s="22"/>
      <c r="D148" s="22"/>
      <c r="E148" s="17" t="s">
        <v>1215</v>
      </c>
      <c r="F148" s="161" t="s">
        <v>1216</v>
      </c>
      <c r="G148" s="5" t="s">
        <v>383</v>
      </c>
      <c r="H148" s="698" t="s">
        <v>1217</v>
      </c>
      <c r="I148" s="161" t="s">
        <v>1218</v>
      </c>
      <c r="J148" s="13" t="s">
        <v>1037</v>
      </c>
      <c r="K148" s="13" t="s">
        <v>1083</v>
      </c>
      <c r="L148" s="13"/>
      <c r="M148" s="68" t="s">
        <v>606</v>
      </c>
      <c r="N148" s="707">
        <v>0</v>
      </c>
      <c r="O148" s="68"/>
      <c r="P148" s="61" t="s">
        <v>1219</v>
      </c>
      <c r="Q148" s="703">
        <v>2</v>
      </c>
    </row>
    <row r="149" spans="1:17" ht="30" customHeight="1" x14ac:dyDescent="0.2">
      <c r="A149" s="22"/>
      <c r="B149" s="22"/>
      <c r="C149" s="22"/>
      <c r="D149" s="22"/>
      <c r="E149" s="17" t="s">
        <v>1220</v>
      </c>
      <c r="F149" s="161" t="s">
        <v>1221</v>
      </c>
      <c r="G149" s="5" t="s">
        <v>383</v>
      </c>
      <c r="H149" s="698" t="s">
        <v>1222</v>
      </c>
      <c r="I149" s="161" t="s">
        <v>1218</v>
      </c>
      <c r="J149" s="13" t="s">
        <v>598</v>
      </c>
      <c r="K149" s="13" t="s">
        <v>1088</v>
      </c>
      <c r="L149" s="13"/>
      <c r="M149" s="68" t="s">
        <v>606</v>
      </c>
      <c r="N149" s="707">
        <v>0</v>
      </c>
      <c r="O149" s="68"/>
      <c r="P149" s="61" t="s">
        <v>1219</v>
      </c>
      <c r="Q149" s="703">
        <v>2</v>
      </c>
    </row>
    <row r="150" spans="1:17" ht="30" customHeight="1" x14ac:dyDescent="0.2">
      <c r="A150" s="22"/>
      <c r="B150" s="22"/>
      <c r="C150" s="22"/>
      <c r="D150" s="22"/>
      <c r="E150" s="17" t="s">
        <v>1223</v>
      </c>
      <c r="F150" s="161" t="s">
        <v>1224</v>
      </c>
      <c r="G150" s="5" t="s">
        <v>383</v>
      </c>
      <c r="H150" s="698" t="s">
        <v>1225</v>
      </c>
      <c r="I150" s="161" t="s">
        <v>1226</v>
      </c>
      <c r="J150" s="13" t="s">
        <v>1037</v>
      </c>
      <c r="K150" s="13" t="s">
        <v>1083</v>
      </c>
      <c r="L150" s="13"/>
      <c r="M150" s="68" t="s">
        <v>606</v>
      </c>
      <c r="N150" s="707">
        <v>0</v>
      </c>
      <c r="O150" s="68"/>
      <c r="P150" s="61" t="s">
        <v>1219</v>
      </c>
      <c r="Q150" s="703">
        <v>2</v>
      </c>
    </row>
    <row r="151" spans="1:17" ht="30" customHeight="1" x14ac:dyDescent="0.2">
      <c r="A151" s="22"/>
      <c r="B151" s="22"/>
      <c r="C151" s="22"/>
      <c r="D151" s="22"/>
      <c r="E151" s="17" t="s">
        <v>1227</v>
      </c>
      <c r="F151" s="161" t="s">
        <v>1228</v>
      </c>
      <c r="G151" s="5" t="s">
        <v>383</v>
      </c>
      <c r="H151" s="698" t="s">
        <v>1229</v>
      </c>
      <c r="I151" s="161" t="s">
        <v>1226</v>
      </c>
      <c r="J151" s="13" t="s">
        <v>1230</v>
      </c>
      <c r="K151" s="13" t="s">
        <v>1088</v>
      </c>
      <c r="L151" s="13"/>
      <c r="M151" s="68" t="s">
        <v>606</v>
      </c>
      <c r="N151" s="707">
        <v>0</v>
      </c>
      <c r="O151" s="68"/>
      <c r="P151" s="61" t="s">
        <v>1219</v>
      </c>
      <c r="Q151" s="703">
        <v>2</v>
      </c>
    </row>
    <row r="152" spans="1:17" ht="30" customHeight="1" x14ac:dyDescent="0.2">
      <c r="A152" s="22"/>
      <c r="B152" s="22"/>
      <c r="C152" s="22"/>
      <c r="D152" s="22"/>
      <c r="E152" s="17" t="s">
        <v>1231</v>
      </c>
      <c r="F152" s="161" t="s">
        <v>1232</v>
      </c>
      <c r="G152" s="5" t="s">
        <v>383</v>
      </c>
      <c r="H152" s="698" t="s">
        <v>1233</v>
      </c>
      <c r="I152" s="161" t="s">
        <v>1234</v>
      </c>
      <c r="J152" s="13" t="s">
        <v>1037</v>
      </c>
      <c r="K152" s="13" t="s">
        <v>1083</v>
      </c>
      <c r="L152" s="13"/>
      <c r="M152" s="68" t="s">
        <v>606</v>
      </c>
      <c r="N152" s="707">
        <v>0</v>
      </c>
      <c r="O152" s="68"/>
      <c r="P152" s="61" t="s">
        <v>1219</v>
      </c>
      <c r="Q152" s="703">
        <v>2</v>
      </c>
    </row>
    <row r="153" spans="1:17" ht="30" customHeight="1" x14ac:dyDescent="0.2">
      <c r="A153" s="22"/>
      <c r="B153" s="22"/>
      <c r="C153" s="22"/>
      <c r="D153" s="22"/>
      <c r="E153" s="17" t="s">
        <v>1235</v>
      </c>
      <c r="F153" s="161" t="s">
        <v>1236</v>
      </c>
      <c r="G153" s="5" t="s">
        <v>383</v>
      </c>
      <c r="H153" s="698" t="s">
        <v>1237</v>
      </c>
      <c r="I153" s="161" t="s">
        <v>1234</v>
      </c>
      <c r="J153" s="13" t="s">
        <v>598</v>
      </c>
      <c r="K153" s="13" t="s">
        <v>1088</v>
      </c>
      <c r="L153" s="13"/>
      <c r="M153" s="68" t="s">
        <v>606</v>
      </c>
      <c r="N153" s="707">
        <v>0</v>
      </c>
      <c r="O153" s="68"/>
      <c r="P153" s="61" t="s">
        <v>1219</v>
      </c>
      <c r="Q153" s="703">
        <v>2</v>
      </c>
    </row>
    <row r="154" spans="1:17" ht="30" customHeight="1" x14ac:dyDescent="0.2">
      <c r="A154" s="22"/>
      <c r="B154" s="22"/>
      <c r="C154" s="22"/>
      <c r="D154" s="22"/>
      <c r="E154" s="17" t="s">
        <v>1238</v>
      </c>
      <c r="F154" s="161" t="s">
        <v>1239</v>
      </c>
      <c r="G154" s="5" t="s">
        <v>383</v>
      </c>
      <c r="H154" s="698" t="s">
        <v>1240</v>
      </c>
      <c r="I154" s="161" t="s">
        <v>1241</v>
      </c>
      <c r="J154" s="13" t="s">
        <v>1037</v>
      </c>
      <c r="K154" s="13" t="s">
        <v>1083</v>
      </c>
      <c r="L154" s="13"/>
      <c r="M154" s="68" t="s">
        <v>606</v>
      </c>
      <c r="N154" s="707">
        <v>0</v>
      </c>
      <c r="O154" s="68"/>
      <c r="P154" s="61" t="s">
        <v>1219</v>
      </c>
      <c r="Q154" s="703">
        <v>2</v>
      </c>
    </row>
    <row r="155" spans="1:17" ht="30" customHeight="1" x14ac:dyDescent="0.2">
      <c r="A155" s="22"/>
      <c r="B155" s="22"/>
      <c r="C155" s="22"/>
      <c r="D155" s="22"/>
      <c r="E155" s="17" t="s">
        <v>1242</v>
      </c>
      <c r="F155" s="161" t="s">
        <v>1243</v>
      </c>
      <c r="G155" s="5" t="s">
        <v>383</v>
      </c>
      <c r="H155" s="698" t="s">
        <v>1244</v>
      </c>
      <c r="I155" s="161" t="s">
        <v>1241</v>
      </c>
      <c r="J155" s="13" t="s">
        <v>598</v>
      </c>
      <c r="K155" s="13" t="s">
        <v>1088</v>
      </c>
      <c r="L155" s="13"/>
      <c r="M155" s="68" t="s">
        <v>606</v>
      </c>
      <c r="N155" s="707">
        <v>0</v>
      </c>
      <c r="O155" s="68"/>
      <c r="P155" s="61" t="s">
        <v>1219</v>
      </c>
      <c r="Q155" s="703">
        <v>2</v>
      </c>
    </row>
    <row r="156" spans="1:17" ht="30" customHeight="1" x14ac:dyDescent="0.2">
      <c r="A156" s="22"/>
      <c r="B156" s="22"/>
      <c r="C156" s="22"/>
      <c r="D156" s="22"/>
      <c r="E156" s="17" t="s">
        <v>1245</v>
      </c>
      <c r="F156" s="707" t="s">
        <v>1246</v>
      </c>
      <c r="G156" s="5" t="s">
        <v>290</v>
      </c>
      <c r="H156" s="698" t="s">
        <v>1247</v>
      </c>
      <c r="I156" s="161" t="s">
        <v>1248</v>
      </c>
      <c r="J156" s="68" t="s">
        <v>605</v>
      </c>
      <c r="K156" s="68" t="s">
        <v>586</v>
      </c>
      <c r="L156" s="68" t="s">
        <v>605</v>
      </c>
      <c r="M156" s="68" t="s">
        <v>606</v>
      </c>
      <c r="N156" s="161">
        <v>0</v>
      </c>
      <c r="O156" s="68"/>
      <c r="P156" s="61"/>
      <c r="Q156" s="703">
        <v>2</v>
      </c>
    </row>
    <row r="157" spans="1:17" ht="30" customHeight="1" x14ac:dyDescent="0.2">
      <c r="A157" s="22"/>
      <c r="B157" s="22"/>
      <c r="C157" s="22"/>
      <c r="D157" s="22"/>
      <c r="E157" s="17" t="s">
        <v>1249</v>
      </c>
      <c r="F157" s="707" t="s">
        <v>1250</v>
      </c>
      <c r="G157" s="5" t="s">
        <v>134</v>
      </c>
      <c r="H157" s="698" t="s">
        <v>1251</v>
      </c>
      <c r="I157" s="161" t="s">
        <v>1252</v>
      </c>
      <c r="J157" s="13" t="s">
        <v>605</v>
      </c>
      <c r="K157" s="13" t="s">
        <v>586</v>
      </c>
      <c r="L157" s="13" t="s">
        <v>605</v>
      </c>
      <c r="M157" s="68" t="s">
        <v>606</v>
      </c>
      <c r="N157" s="12">
        <v>0</v>
      </c>
      <c r="O157" s="68"/>
      <c r="P157" s="61"/>
      <c r="Q157" s="703">
        <v>2</v>
      </c>
    </row>
    <row r="158" spans="1:17" ht="30" customHeight="1" x14ac:dyDescent="0.2">
      <c r="A158" s="22"/>
      <c r="B158" s="22"/>
      <c r="C158" s="22"/>
      <c r="D158" s="22"/>
      <c r="E158" s="17" t="s">
        <v>1253</v>
      </c>
      <c r="F158" s="707" t="s">
        <v>1254</v>
      </c>
      <c r="G158" s="5" t="s">
        <v>134</v>
      </c>
      <c r="H158" s="698" t="s">
        <v>1251</v>
      </c>
      <c r="I158" s="161" t="s">
        <v>1255</v>
      </c>
      <c r="J158" s="13" t="s">
        <v>605</v>
      </c>
      <c r="K158" s="13" t="s">
        <v>586</v>
      </c>
      <c r="L158" s="13" t="s">
        <v>605</v>
      </c>
      <c r="M158" s="68" t="s">
        <v>606</v>
      </c>
      <c r="N158" s="161">
        <v>0</v>
      </c>
      <c r="O158" s="68"/>
      <c r="P158" s="61"/>
      <c r="Q158" s="703">
        <v>2</v>
      </c>
    </row>
    <row r="159" spans="1:17" ht="30" customHeight="1" x14ac:dyDescent="0.2">
      <c r="A159" s="22"/>
      <c r="B159" s="22"/>
      <c r="C159" s="22"/>
      <c r="D159" s="22"/>
      <c r="E159" s="17" t="s">
        <v>1256</v>
      </c>
      <c r="F159" s="707" t="s">
        <v>1257</v>
      </c>
      <c r="G159" s="5" t="s">
        <v>134</v>
      </c>
      <c r="H159" s="698" t="s">
        <v>1258</v>
      </c>
      <c r="I159" s="161" t="s">
        <v>1259</v>
      </c>
      <c r="J159" s="13" t="s">
        <v>605</v>
      </c>
      <c r="K159" s="13" t="s">
        <v>586</v>
      </c>
      <c r="L159" s="13" t="s">
        <v>605</v>
      </c>
      <c r="M159" s="68" t="s">
        <v>606</v>
      </c>
      <c r="N159" s="161">
        <v>0</v>
      </c>
      <c r="O159" s="68"/>
      <c r="P159" s="61"/>
      <c r="Q159" s="703">
        <v>2</v>
      </c>
    </row>
    <row r="160" spans="1:17" ht="30" customHeight="1" x14ac:dyDescent="0.2">
      <c r="A160" s="22"/>
      <c r="B160" s="22"/>
      <c r="C160" s="22"/>
      <c r="D160" s="22"/>
      <c r="E160" s="17" t="s">
        <v>1260</v>
      </c>
      <c r="F160" s="707" t="s">
        <v>1261</v>
      </c>
      <c r="G160" s="5" t="s">
        <v>134</v>
      </c>
      <c r="H160" s="698" t="s">
        <v>1262</v>
      </c>
      <c r="I160" s="161" t="s">
        <v>1263</v>
      </c>
      <c r="J160" s="13" t="s">
        <v>605</v>
      </c>
      <c r="K160" s="13" t="s">
        <v>586</v>
      </c>
      <c r="L160" s="13" t="s">
        <v>605</v>
      </c>
      <c r="M160" s="68" t="s">
        <v>606</v>
      </c>
      <c r="N160" s="161">
        <v>0</v>
      </c>
      <c r="O160" s="68"/>
      <c r="P160" s="61"/>
      <c r="Q160" s="703">
        <v>2</v>
      </c>
    </row>
    <row r="161" spans="1:17" ht="30" customHeight="1" x14ac:dyDescent="0.2">
      <c r="A161" s="22"/>
      <c r="B161" s="22"/>
      <c r="C161" s="22"/>
      <c r="D161" s="22"/>
      <c r="E161" s="769" t="s">
        <v>1264</v>
      </c>
      <c r="F161" s="770" t="s">
        <v>1265</v>
      </c>
      <c r="G161" s="742" t="s">
        <v>134</v>
      </c>
      <c r="H161" s="743" t="s">
        <v>1266</v>
      </c>
      <c r="I161" s="770" t="s">
        <v>1267</v>
      </c>
      <c r="J161" s="702" t="s">
        <v>605</v>
      </c>
      <c r="K161" s="702" t="s">
        <v>586</v>
      </c>
      <c r="L161" s="702" t="s">
        <v>605</v>
      </c>
      <c r="M161" s="771" t="s">
        <v>606</v>
      </c>
      <c r="N161" s="770">
        <v>0</v>
      </c>
      <c r="O161" s="771"/>
      <c r="P161" s="772"/>
      <c r="Q161" s="702">
        <v>2</v>
      </c>
    </row>
    <row r="162" spans="1:17" ht="30" customHeight="1" x14ac:dyDescent="0.2">
      <c r="A162" s="22"/>
      <c r="B162" s="22"/>
      <c r="C162" s="22"/>
      <c r="D162" s="22"/>
      <c r="E162" s="708" t="s">
        <v>1268</v>
      </c>
      <c r="F162" s="707" t="s">
        <v>1269</v>
      </c>
      <c r="G162" s="5" t="s">
        <v>290</v>
      </c>
      <c r="H162" s="698" t="s">
        <v>1270</v>
      </c>
      <c r="I162" s="161" t="s">
        <v>1271</v>
      </c>
      <c r="J162" s="13" t="s">
        <v>433</v>
      </c>
      <c r="K162" s="13" t="s">
        <v>434</v>
      </c>
      <c r="L162" s="13"/>
      <c r="M162" s="68" t="s">
        <v>606</v>
      </c>
      <c r="N162" s="161">
        <v>0</v>
      </c>
      <c r="O162" s="68"/>
      <c r="P162" s="61"/>
      <c r="Q162" s="703">
        <v>2</v>
      </c>
    </row>
    <row r="163" spans="1:17" ht="30" customHeight="1" x14ac:dyDescent="0.2">
      <c r="A163" s="22"/>
      <c r="B163" s="22"/>
      <c r="C163" s="22"/>
      <c r="D163" s="22"/>
      <c r="E163" s="708" t="s">
        <v>1272</v>
      </c>
      <c r="F163" s="161" t="s">
        <v>1273</v>
      </c>
      <c r="G163" s="5" t="s">
        <v>290</v>
      </c>
      <c r="H163" s="698" t="s">
        <v>1274</v>
      </c>
      <c r="I163" s="161" t="s">
        <v>1275</v>
      </c>
      <c r="J163" s="13" t="s">
        <v>586</v>
      </c>
      <c r="K163" s="13" t="s">
        <v>605</v>
      </c>
      <c r="L163" s="13" t="s">
        <v>605</v>
      </c>
      <c r="M163" s="68" t="s">
        <v>606</v>
      </c>
      <c r="N163" s="707">
        <v>3</v>
      </c>
      <c r="O163" s="68"/>
      <c r="P163" s="61"/>
      <c r="Q163" s="703">
        <v>2</v>
      </c>
    </row>
    <row r="164" spans="1:17" ht="30" customHeight="1" x14ac:dyDescent="0.2">
      <c r="A164" s="22"/>
      <c r="B164" s="22"/>
      <c r="C164" s="22"/>
      <c r="D164" s="22"/>
      <c r="E164" s="17" t="s">
        <v>1276</v>
      </c>
      <c r="F164" s="707" t="s">
        <v>1277</v>
      </c>
      <c r="G164" s="5" t="s">
        <v>134</v>
      </c>
      <c r="H164" s="698" t="s">
        <v>1278</v>
      </c>
      <c r="I164" s="161" t="s">
        <v>1279</v>
      </c>
      <c r="J164" s="13" t="s">
        <v>605</v>
      </c>
      <c r="K164" s="13" t="s">
        <v>586</v>
      </c>
      <c r="L164" s="13" t="s">
        <v>605</v>
      </c>
      <c r="M164" s="68" t="s">
        <v>606</v>
      </c>
      <c r="N164" s="161">
        <v>0</v>
      </c>
      <c r="O164" s="68"/>
      <c r="P164" s="61"/>
      <c r="Q164" s="703">
        <v>2</v>
      </c>
    </row>
    <row r="165" spans="1:17" ht="30" customHeight="1" x14ac:dyDescent="0.2">
      <c r="A165" s="22"/>
      <c r="B165" s="22"/>
      <c r="C165" s="22"/>
      <c r="D165" s="22"/>
      <c r="E165" s="708" t="s">
        <v>1280</v>
      </c>
      <c r="F165" s="707" t="s">
        <v>1281</v>
      </c>
      <c r="G165" s="5" t="s">
        <v>134</v>
      </c>
      <c r="H165" s="698" t="s">
        <v>1282</v>
      </c>
      <c r="I165" s="161" t="s">
        <v>1283</v>
      </c>
      <c r="J165" s="13" t="s">
        <v>586</v>
      </c>
      <c r="K165" s="13" t="s">
        <v>605</v>
      </c>
      <c r="L165" s="13" t="s">
        <v>605</v>
      </c>
      <c r="M165" s="68" t="s">
        <v>606</v>
      </c>
      <c r="N165" s="161">
        <v>0</v>
      </c>
      <c r="O165" s="68"/>
      <c r="P165" s="61"/>
      <c r="Q165" s="703">
        <v>2</v>
      </c>
    </row>
    <row r="166" spans="1:17" ht="30" customHeight="1" x14ac:dyDescent="0.2">
      <c r="A166" s="22"/>
      <c r="B166" s="22"/>
      <c r="C166" s="22"/>
      <c r="D166" s="22"/>
      <c r="E166" s="708" t="s">
        <v>1284</v>
      </c>
      <c r="F166" s="707" t="s">
        <v>1285</v>
      </c>
      <c r="G166" s="5" t="s">
        <v>134</v>
      </c>
      <c r="H166" s="698" t="s">
        <v>1286</v>
      </c>
      <c r="I166" s="161" t="s">
        <v>1283</v>
      </c>
      <c r="J166" s="13" t="s">
        <v>586</v>
      </c>
      <c r="K166" s="13" t="s">
        <v>605</v>
      </c>
      <c r="L166" s="13" t="s">
        <v>605</v>
      </c>
      <c r="M166" s="68" t="s">
        <v>606</v>
      </c>
      <c r="N166" s="161">
        <v>0</v>
      </c>
      <c r="O166" s="68"/>
      <c r="P166" s="61"/>
      <c r="Q166" s="703">
        <v>2</v>
      </c>
    </row>
    <row r="167" spans="1:17" ht="30" customHeight="1" x14ac:dyDescent="0.2">
      <c r="A167" s="22"/>
      <c r="B167" s="22"/>
      <c r="C167" s="22"/>
      <c r="D167" s="22"/>
      <c r="E167" s="708" t="s">
        <v>1287</v>
      </c>
      <c r="F167" s="707" t="s">
        <v>1288</v>
      </c>
      <c r="G167" s="5" t="s">
        <v>134</v>
      </c>
      <c r="H167" s="698" t="s">
        <v>1289</v>
      </c>
      <c r="I167" s="161" t="s">
        <v>1283</v>
      </c>
      <c r="J167" s="13" t="s">
        <v>605</v>
      </c>
      <c r="K167" s="13" t="s">
        <v>586</v>
      </c>
      <c r="L167" s="13" t="s">
        <v>605</v>
      </c>
      <c r="M167" s="68" t="s">
        <v>606</v>
      </c>
      <c r="N167" s="161">
        <v>0</v>
      </c>
      <c r="O167" s="68"/>
      <c r="P167" s="61"/>
      <c r="Q167" s="703">
        <v>2</v>
      </c>
    </row>
    <row r="168" spans="1:17" ht="30" customHeight="1" x14ac:dyDescent="0.2">
      <c r="A168" s="22"/>
      <c r="B168" s="22"/>
      <c r="C168" s="22"/>
      <c r="D168" s="22"/>
      <c r="E168" s="17" t="s">
        <v>1290</v>
      </c>
      <c r="F168" s="161" t="s">
        <v>1291</v>
      </c>
      <c r="G168" s="5" t="s">
        <v>290</v>
      </c>
      <c r="H168" s="698" t="s">
        <v>1292</v>
      </c>
      <c r="I168" s="161" t="s">
        <v>1293</v>
      </c>
      <c r="J168" s="13" t="s">
        <v>605</v>
      </c>
      <c r="K168" s="13" t="s">
        <v>586</v>
      </c>
      <c r="L168" s="13" t="s">
        <v>605</v>
      </c>
      <c r="M168" s="68" t="s">
        <v>606</v>
      </c>
      <c r="N168" s="161">
        <v>0</v>
      </c>
      <c r="O168" s="68"/>
      <c r="P168" s="61" t="s">
        <v>1294</v>
      </c>
      <c r="Q168" s="703">
        <v>2</v>
      </c>
    </row>
    <row r="169" spans="1:17" ht="30" customHeight="1" x14ac:dyDescent="0.2">
      <c r="A169" s="22"/>
      <c r="B169" s="22"/>
      <c r="C169" s="22"/>
      <c r="D169" s="22"/>
      <c r="E169" s="708" t="s">
        <v>1295</v>
      </c>
      <c r="F169" s="707" t="s">
        <v>1296</v>
      </c>
      <c r="G169" s="704" t="s">
        <v>729</v>
      </c>
      <c r="H169" s="767" t="s">
        <v>1297</v>
      </c>
      <c r="I169" s="707" t="s">
        <v>1298</v>
      </c>
      <c r="J169" s="703" t="s">
        <v>605</v>
      </c>
      <c r="K169" s="703" t="s">
        <v>586</v>
      </c>
      <c r="L169" s="703" t="s">
        <v>605</v>
      </c>
      <c r="M169" s="706" t="s">
        <v>606</v>
      </c>
      <c r="N169" s="707">
        <v>0</v>
      </c>
      <c r="O169" s="706"/>
      <c r="P169" s="710"/>
      <c r="Q169" s="703">
        <v>2</v>
      </c>
    </row>
    <row r="170" spans="1:17" ht="30" customHeight="1" x14ac:dyDescent="0.2">
      <c r="A170" s="22"/>
      <c r="B170" s="22"/>
      <c r="C170" s="22"/>
      <c r="D170" s="22"/>
      <c r="E170" s="708" t="s">
        <v>1299</v>
      </c>
      <c r="F170" s="707" t="s">
        <v>1300</v>
      </c>
      <c r="G170" s="704" t="s">
        <v>729</v>
      </c>
      <c r="H170" s="767" t="s">
        <v>1301</v>
      </c>
      <c r="I170" s="707" t="s">
        <v>1302</v>
      </c>
      <c r="J170" s="703" t="s">
        <v>605</v>
      </c>
      <c r="K170" s="703" t="s">
        <v>586</v>
      </c>
      <c r="L170" s="703" t="s">
        <v>605</v>
      </c>
      <c r="M170" s="706" t="s">
        <v>606</v>
      </c>
      <c r="N170" s="707">
        <v>0</v>
      </c>
      <c r="O170" s="706"/>
      <c r="P170" s="710"/>
      <c r="Q170" s="706">
        <v>2</v>
      </c>
    </row>
    <row r="171" spans="1:17" ht="17.5" customHeight="1" x14ac:dyDescent="0.2">
      <c r="A171" s="22"/>
      <c r="B171" s="22"/>
      <c r="C171" s="22"/>
      <c r="D171" s="22"/>
      <c r="E171" s="17"/>
      <c r="F171" s="161"/>
      <c r="G171" s="5"/>
      <c r="H171" s="5"/>
      <c r="I171" s="161"/>
      <c r="J171" s="68"/>
      <c r="K171" s="68"/>
      <c r="L171" s="68"/>
      <c r="M171" s="68"/>
      <c r="N171" s="161"/>
      <c r="O171" s="68"/>
      <c r="P171" s="61"/>
      <c r="Q171" s="68"/>
    </row>
    <row r="172" spans="1:17" s="1" customFormat="1" ht="30" customHeight="1" x14ac:dyDescent="0.3">
      <c r="E172" s="231" t="s">
        <v>421</v>
      </c>
      <c r="F172" s="17"/>
      <c r="G172" s="5"/>
      <c r="H172" s="6"/>
      <c r="I172" s="125"/>
      <c r="J172" s="125"/>
      <c r="K172" s="232"/>
      <c r="L172" s="233"/>
      <c r="M172" s="234"/>
      <c r="N172" s="233"/>
      <c r="O172" s="233"/>
      <c r="P172" s="233"/>
      <c r="Q172" s="233"/>
    </row>
    <row r="173" spans="1:17" ht="13.4" customHeight="1" x14ac:dyDescent="0.2">
      <c r="A173" s="2"/>
      <c r="B173" s="2"/>
      <c r="C173" s="2"/>
      <c r="D173" s="2"/>
    </row>
    <row r="174" spans="1:17" ht="13.4" customHeight="1" x14ac:dyDescent="0.2">
      <c r="A174" s="2"/>
      <c r="B174" s="2"/>
      <c r="C174" s="2"/>
      <c r="D174" s="2"/>
    </row>
    <row r="175" spans="1:17" ht="13.4" customHeight="1" x14ac:dyDescent="0.3">
      <c r="A175" s="2"/>
      <c r="B175" s="2"/>
      <c r="C175" s="2"/>
      <c r="D175" s="2"/>
      <c r="E175" s="171">
        <v>164</v>
      </c>
      <c r="F175" s="171">
        <v>164</v>
      </c>
    </row>
    <row r="176" spans="1:17" ht="13.4" customHeight="1" x14ac:dyDescent="0.2">
      <c r="A176" s="2"/>
      <c r="B176" s="2"/>
      <c r="C176" s="2"/>
      <c r="D176" s="2"/>
    </row>
    <row r="177" spans="1:4" ht="13.4" customHeight="1" x14ac:dyDescent="0.2">
      <c r="A177" s="2"/>
      <c r="B177" s="2"/>
      <c r="C177" s="2"/>
      <c r="D177" s="2"/>
    </row>
    <row r="178" spans="1:4" ht="13.4" customHeight="1" x14ac:dyDescent="0.2">
      <c r="A178" s="2"/>
      <c r="B178" s="2"/>
      <c r="C178" s="2"/>
      <c r="D178" s="2"/>
    </row>
    <row r="179" spans="1:4" ht="13.4" customHeight="1" x14ac:dyDescent="0.2">
      <c r="A179" s="2"/>
      <c r="B179" s="2"/>
      <c r="C179" s="2"/>
      <c r="D179" s="2"/>
    </row>
    <row r="180" spans="1:4" ht="13.4" customHeight="1" x14ac:dyDescent="0.2">
      <c r="A180" s="2"/>
      <c r="B180" s="2"/>
      <c r="C180" s="2"/>
      <c r="D180" s="2"/>
    </row>
    <row r="181" spans="1:4" ht="13.4" customHeight="1" x14ac:dyDescent="0.2">
      <c r="A181" s="2"/>
      <c r="B181" s="2"/>
      <c r="C181" s="2"/>
      <c r="D181" s="2"/>
    </row>
    <row r="182" spans="1:4" ht="13.4" customHeight="1" x14ac:dyDescent="0.2">
      <c r="A182" s="2"/>
      <c r="B182" s="2"/>
      <c r="C182" s="2"/>
      <c r="D182" s="2"/>
    </row>
    <row r="183" spans="1:4" ht="13.4" customHeight="1" x14ac:dyDescent="0.2">
      <c r="A183" s="2"/>
      <c r="B183" s="2"/>
      <c r="C183" s="2"/>
      <c r="D183" s="2"/>
    </row>
    <row r="184" spans="1:4" ht="13.4" customHeight="1" x14ac:dyDescent="0.2">
      <c r="A184" s="2"/>
      <c r="B184" s="2"/>
      <c r="C184" s="2"/>
      <c r="D184" s="2"/>
    </row>
    <row r="185" spans="1:4" ht="13.4" customHeight="1" x14ac:dyDescent="0.2">
      <c r="A185" s="2"/>
      <c r="B185" s="2"/>
      <c r="C185" s="2"/>
      <c r="D185" s="2"/>
    </row>
    <row r="186" spans="1:4" ht="13.4" customHeight="1" x14ac:dyDescent="0.2">
      <c r="A186" s="2"/>
      <c r="B186" s="2"/>
      <c r="C186" s="2"/>
      <c r="D186" s="2"/>
    </row>
    <row r="187" spans="1:4" ht="13.4" customHeight="1" x14ac:dyDescent="0.2">
      <c r="A187" s="2"/>
      <c r="B187" s="2"/>
      <c r="C187" s="2"/>
      <c r="D187" s="2"/>
    </row>
    <row r="188" spans="1:4" ht="13.4" customHeight="1" x14ac:dyDescent="0.2">
      <c r="A188" s="2"/>
      <c r="B188" s="2"/>
      <c r="C188" s="2"/>
      <c r="D188" s="2"/>
    </row>
    <row r="189" spans="1:4" ht="13.4" customHeight="1" x14ac:dyDescent="0.2">
      <c r="A189" s="2"/>
      <c r="B189" s="2"/>
      <c r="C189" s="2"/>
      <c r="D189" s="2"/>
    </row>
    <row r="190" spans="1:4" ht="13.4" customHeight="1" x14ac:dyDescent="0.2">
      <c r="A190" s="2"/>
      <c r="B190" s="2"/>
      <c r="C190" s="2"/>
      <c r="D190" s="2"/>
    </row>
    <row r="191" spans="1:4" ht="13.4" customHeight="1" x14ac:dyDescent="0.2">
      <c r="A191" s="2"/>
      <c r="B191" s="2"/>
      <c r="C191" s="2"/>
      <c r="D191" s="2"/>
    </row>
    <row r="192" spans="1:4" ht="13.4" customHeight="1" x14ac:dyDescent="0.2">
      <c r="A192" s="2"/>
      <c r="B192" s="2"/>
      <c r="C192" s="2"/>
      <c r="D192" s="2"/>
    </row>
    <row r="193" spans="1:4" ht="13.4" customHeight="1" x14ac:dyDescent="0.2">
      <c r="A193" s="2"/>
      <c r="B193" s="2"/>
      <c r="C193" s="2"/>
      <c r="D193" s="2"/>
    </row>
    <row r="194" spans="1:4" ht="13.4" customHeight="1" x14ac:dyDescent="0.2">
      <c r="A194" s="2"/>
      <c r="B194" s="2"/>
      <c r="C194" s="2"/>
      <c r="D194" s="2"/>
    </row>
    <row r="195" spans="1:4" ht="13.4" customHeight="1" x14ac:dyDescent="0.2">
      <c r="A195" s="2"/>
      <c r="B195" s="2"/>
      <c r="C195" s="2"/>
      <c r="D195" s="2"/>
    </row>
    <row r="196" spans="1:4" ht="13.4" customHeight="1" x14ac:dyDescent="0.2">
      <c r="A196" s="2"/>
      <c r="B196" s="2"/>
      <c r="C196" s="2"/>
      <c r="D196" s="2"/>
    </row>
    <row r="197" spans="1:4" ht="13.4" customHeight="1" x14ac:dyDescent="0.2">
      <c r="A197" s="2"/>
      <c r="B197" s="2"/>
      <c r="C197" s="2"/>
      <c r="D197" s="2"/>
    </row>
    <row r="198" spans="1:4" ht="13.4" customHeight="1" x14ac:dyDescent="0.2">
      <c r="A198" s="2"/>
      <c r="B198" s="2"/>
      <c r="C198" s="2"/>
      <c r="D198" s="2"/>
    </row>
    <row r="199" spans="1:4" ht="13.4" customHeight="1" x14ac:dyDescent="0.2">
      <c r="A199" s="2"/>
      <c r="B199" s="2"/>
      <c r="C199" s="2"/>
      <c r="D199" s="2"/>
    </row>
    <row r="200" spans="1:4" ht="13.4" customHeight="1" x14ac:dyDescent="0.2">
      <c r="A200" s="2"/>
      <c r="B200" s="2"/>
      <c r="C200" s="2"/>
      <c r="D200" s="2"/>
    </row>
    <row r="201" spans="1:4" ht="13.4" customHeight="1" x14ac:dyDescent="0.2">
      <c r="A201" s="2"/>
      <c r="B201" s="2"/>
      <c r="C201" s="2"/>
      <c r="D201" s="2"/>
    </row>
    <row r="202" spans="1:4" ht="13.4" customHeight="1" x14ac:dyDescent="0.2">
      <c r="A202" s="2"/>
      <c r="B202" s="2"/>
      <c r="C202" s="2"/>
      <c r="D202" s="2"/>
    </row>
    <row r="203" spans="1:4" ht="13.4" customHeight="1" x14ac:dyDescent="0.2">
      <c r="A203" s="2"/>
      <c r="B203" s="2"/>
      <c r="C203" s="2"/>
      <c r="D203" s="2"/>
    </row>
  </sheetData>
  <autoFilter ref="A6:Q172" xr:uid="{00000000-0001-0000-0400-000000000000}"/>
  <mergeCells count="1">
    <mergeCell ref="E4:Q5"/>
  </mergeCells>
  <phoneticPr fontId="0" type="noConversion"/>
  <conditionalFormatting sqref="E13:E14">
    <cfRule type="duplicateValues" dxfId="83" priority="4009"/>
  </conditionalFormatting>
  <conditionalFormatting sqref="E15:E16 E7:E10">
    <cfRule type="duplicateValues" dxfId="82" priority="3670"/>
  </conditionalFormatting>
  <conditionalFormatting sqref="E17:E18">
    <cfRule type="duplicateValues" dxfId="81" priority="62"/>
  </conditionalFormatting>
  <conditionalFormatting sqref="E26:E27">
    <cfRule type="duplicateValues" dxfId="80" priority="3712"/>
  </conditionalFormatting>
  <conditionalFormatting sqref="E74:E75">
    <cfRule type="expression" dxfId="79" priority="64">
      <formula>LEN(E74)&gt;16</formula>
    </cfRule>
    <cfRule type="duplicateValues" dxfId="78" priority="66"/>
  </conditionalFormatting>
  <conditionalFormatting sqref="E91:E94 E19:E25 E28:E73 E11:E12 E76:E88 E96:E171">
    <cfRule type="duplicateValues" dxfId="77" priority="4190"/>
  </conditionalFormatting>
  <conditionalFormatting sqref="E92:E94 E96:E171">
    <cfRule type="duplicateValues" dxfId="76" priority="4187"/>
  </conditionalFormatting>
  <conditionalFormatting sqref="E95 E89:E90">
    <cfRule type="duplicateValues" dxfId="75" priority="3647"/>
  </conditionalFormatting>
  <conditionalFormatting sqref="E7:F73">
    <cfRule type="expression" dxfId="74" priority="60">
      <formula>LEN(E7)&gt;16</formula>
    </cfRule>
  </conditionalFormatting>
  <conditionalFormatting sqref="E76:F171">
    <cfRule type="expression" dxfId="73" priority="30">
      <formula>LEN(E76)&gt;16</formula>
    </cfRule>
  </conditionalFormatting>
  <conditionalFormatting sqref="F13:F14">
    <cfRule type="duplicateValues" dxfId="72" priority="4008"/>
  </conditionalFormatting>
  <conditionalFormatting sqref="F15:F16 F7:F10">
    <cfRule type="duplicateValues" dxfId="71" priority="3668"/>
  </conditionalFormatting>
  <conditionalFormatting sqref="F17:F18">
    <cfRule type="duplicateValues" dxfId="70" priority="61"/>
  </conditionalFormatting>
  <conditionalFormatting sqref="F74">
    <cfRule type="expression" dxfId="69" priority="52">
      <formula>LEN(F74)&gt;16</formula>
    </cfRule>
  </conditionalFormatting>
  <conditionalFormatting sqref="F77:F84">
    <cfRule type="duplicateValues" dxfId="68" priority="4038"/>
  </conditionalFormatting>
  <conditionalFormatting sqref="F91:F94 F19:F74 F11:F12 F76:F88 F96:F171">
    <cfRule type="duplicateValues" dxfId="67" priority="4200"/>
  </conditionalFormatting>
  <conditionalFormatting sqref="F91:F94 F96:F171">
    <cfRule type="duplicateValues" dxfId="66" priority="4197"/>
  </conditionalFormatting>
  <conditionalFormatting sqref="F95 F89:F90">
    <cfRule type="duplicateValues" dxfId="65" priority="3649"/>
  </conditionalFormatting>
  <conditionalFormatting sqref="F95">
    <cfRule type="duplicateValues" dxfId="64" priority="3651"/>
  </conditionalFormatting>
  <conditionalFormatting sqref="F96">
    <cfRule type="duplicateValues" dxfId="63" priority="43"/>
    <cfRule type="duplicateValues" dxfId="62" priority="44"/>
    <cfRule type="duplicateValues" dxfId="61" priority="45"/>
  </conditionalFormatting>
  <conditionalFormatting sqref="F97">
    <cfRule type="duplicateValues" dxfId="60" priority="40"/>
    <cfRule type="duplicateValues" dxfId="59" priority="41"/>
    <cfRule type="duplicateValues" dxfId="58" priority="42"/>
  </conditionalFormatting>
  <conditionalFormatting sqref="I13:I14 I74:I75">
    <cfRule type="expression" dxfId="57" priority="63">
      <formula>LEN(I13)&gt;24</formula>
    </cfRule>
  </conditionalFormatting>
  <conditionalFormatting sqref="I15:I98 I7:I12">
    <cfRule type="expression" dxfId="56" priority="76">
      <formula>LEN(I7)&gt;24</formula>
    </cfRule>
  </conditionalFormatting>
  <conditionalFormatting sqref="I17:I25">
    <cfRule type="expression" dxfId="55" priority="59">
      <formula>LEN(I17)&gt;24</formula>
    </cfRule>
  </conditionalFormatting>
  <conditionalFormatting sqref="I99:I171">
    <cfRule type="expression" dxfId="54" priority="9">
      <formula>LEN(I99)&gt;24</formula>
    </cfRule>
  </conditionalFormatting>
  <conditionalFormatting sqref="J44">
    <cfRule type="expression" dxfId="53" priority="71">
      <formula>LEN(J44)&gt;52</formula>
    </cfRule>
  </conditionalFormatting>
  <conditionalFormatting sqref="J47:K47">
    <cfRule type="expression" dxfId="52" priority="73">
      <formula>LEN(J47)&gt;52</formula>
    </cfRule>
  </conditionalFormatting>
  <conditionalFormatting sqref="J49:K56">
    <cfRule type="expression" dxfId="51" priority="13">
      <formula>LEN(J49)&gt;52</formula>
    </cfRule>
  </conditionalFormatting>
  <conditionalFormatting sqref="J60:K60">
    <cfRule type="expression" dxfId="50" priority="12">
      <formula>LEN(J60)&gt;52</formula>
    </cfRule>
  </conditionalFormatting>
  <conditionalFormatting sqref="K45">
    <cfRule type="expression" dxfId="49" priority="46">
      <formula>LEN(K45)&gt;52</formula>
    </cfRule>
  </conditionalFormatting>
  <conditionalFormatting sqref="K69">
    <cfRule type="expression" dxfId="48" priority="67">
      <formula>LEN(K69)&gt;52</formula>
    </cfRule>
  </conditionalFormatting>
  <conditionalFormatting sqref="K77:K84">
    <cfRule type="expression" dxfId="47" priority="23">
      <formula>LEN(K77)&gt;52</formula>
    </cfRule>
  </conditionalFormatting>
  <conditionalFormatting sqref="L21">
    <cfRule type="expression" dxfId="46" priority="11">
      <formula>LEN(L21)&gt;52</formula>
    </cfRule>
  </conditionalFormatting>
  <conditionalFormatting sqref="S26:S38">
    <cfRule type="duplicateValues" dxfId="45" priority="1"/>
  </conditionalFormatting>
  <dataValidations disablePrompts="1" count="1">
    <dataValidation type="list" allowBlank="1" showInputMessage="1" showErrorMessage="1" sqref="M44:M48 M77:M84 M26:M27 M74:M75 M68:M72 M14" xr:uid="{7C5E4F9C-6DE6-4268-BB21-441608A87A97}">
      <formula1>#REF!</formula1>
    </dataValidation>
  </dataValidations>
  <printOptions horizontalCentered="1"/>
  <pageMargins left="0.39370078740157483" right="0.39370078740157483" top="0.59055118110236227" bottom="0.59055118110236227" header="0.59055118110236227" footer="0.39370078740157483"/>
  <pageSetup paperSize="8" scale="35" fitToHeight="0" orientation="landscape" r:id="rId1"/>
  <headerFooter scaleWithDoc="0"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tabColor indexed="12"/>
    <pageSetUpPr fitToPage="1"/>
  </sheetPr>
  <dimension ref="A1:V114"/>
  <sheetViews>
    <sheetView view="pageBreakPreview" topLeftCell="J1" zoomScale="70" zoomScaleNormal="70" zoomScaleSheetLayoutView="70" workbookViewId="0">
      <selection activeCell="N6" sqref="N6"/>
    </sheetView>
  </sheetViews>
  <sheetFormatPr defaultColWidth="18.6640625" defaultRowHeight="13.4" customHeight="1" outlineLevelCol="1" x14ac:dyDescent="0.2"/>
  <cols>
    <col min="1" max="4" width="11.44140625" style="3" hidden="1" customWidth="1"/>
    <col min="5" max="5" width="28" style="3" bestFit="1" customWidth="1"/>
    <col min="6" max="6" width="28" style="3" customWidth="1"/>
    <col min="7" max="7" width="8.6640625" style="2" customWidth="1"/>
    <col min="8" max="8" width="36.6640625" style="3" customWidth="1"/>
    <col min="9" max="9" width="65.6640625" style="2" hidden="1" customWidth="1" outlineLevel="1"/>
    <col min="10" max="10" width="63.109375" style="2" customWidth="1" collapsed="1"/>
    <col min="11" max="11" width="16.109375" style="3" customWidth="1"/>
    <col min="12" max="14" width="8.6640625" style="2" customWidth="1"/>
    <col min="15" max="15" width="67.6640625" style="2" bestFit="1" customWidth="1"/>
    <col min="16" max="16" width="13.109375" style="3" bestFit="1" customWidth="1"/>
    <col min="17" max="20" width="9.33203125" style="2" customWidth="1"/>
    <col min="21" max="16384" width="18.6640625" style="2"/>
  </cols>
  <sheetData>
    <row r="1" spans="1:22" s="30" customFormat="1" ht="21" customHeight="1" x14ac:dyDescent="0.2">
      <c r="A1" s="94"/>
      <c r="B1" s="94"/>
      <c r="C1" s="94"/>
      <c r="D1" s="94"/>
      <c r="E1" s="19" t="s">
        <v>1</v>
      </c>
      <c r="F1" s="19"/>
      <c r="G1" s="29"/>
      <c r="I1" s="19"/>
      <c r="J1" s="19"/>
      <c r="K1" s="19"/>
      <c r="L1" s="19"/>
      <c r="M1" s="24"/>
      <c r="N1" s="24"/>
      <c r="O1" s="24"/>
      <c r="P1" s="26"/>
      <c r="Q1" s="75"/>
      <c r="R1" s="25"/>
      <c r="S1" s="25"/>
      <c r="T1" s="32"/>
    </row>
    <row r="2" spans="1:22" s="30" customFormat="1" ht="21" customHeight="1" x14ac:dyDescent="0.2">
      <c r="A2" s="94"/>
      <c r="B2" s="94"/>
      <c r="C2" s="94"/>
      <c r="D2" s="94"/>
      <c r="E2" s="19" t="s">
        <v>37</v>
      </c>
      <c r="F2" s="19"/>
      <c r="I2" s="168"/>
      <c r="J2" s="168"/>
      <c r="K2" s="168"/>
      <c r="L2" s="168"/>
      <c r="M2" s="169"/>
      <c r="N2" s="169"/>
      <c r="O2" s="169"/>
      <c r="P2" s="26"/>
      <c r="Q2" s="75"/>
      <c r="R2" s="25"/>
      <c r="S2" s="25"/>
      <c r="T2" s="32"/>
    </row>
    <row r="3" spans="1:22" s="30" customFormat="1" ht="21" customHeight="1" thickBot="1" x14ac:dyDescent="0.25">
      <c r="A3" s="94"/>
      <c r="B3" s="94"/>
      <c r="C3" s="94"/>
      <c r="D3" s="94"/>
      <c r="E3" s="80" t="s">
        <v>2</v>
      </c>
      <c r="F3" s="80"/>
      <c r="I3" s="25"/>
      <c r="J3" s="25"/>
      <c r="K3" s="25"/>
      <c r="L3" s="34"/>
      <c r="M3" s="76"/>
      <c r="N3" s="77"/>
      <c r="O3" s="34"/>
      <c r="Q3" s="78"/>
      <c r="R3" s="25"/>
      <c r="S3" s="25"/>
      <c r="T3" s="32"/>
    </row>
    <row r="4" spans="1:22" s="42" customFormat="1" ht="25.5" customHeight="1" thickBot="1" x14ac:dyDescent="0.25">
      <c r="A4" s="47"/>
      <c r="B4" s="47"/>
      <c r="C4" s="47"/>
      <c r="D4" s="47"/>
      <c r="E4" s="1067" t="s">
        <v>1303</v>
      </c>
      <c r="F4" s="1068"/>
      <c r="G4" s="1068"/>
      <c r="H4" s="1068"/>
      <c r="I4" s="1068"/>
      <c r="J4" s="1068"/>
      <c r="K4" s="1068"/>
      <c r="L4" s="1068"/>
      <c r="M4" s="1068"/>
      <c r="N4" s="1068"/>
      <c r="O4" s="1068"/>
      <c r="P4" s="1069"/>
      <c r="Q4" s="2"/>
    </row>
    <row r="5" spans="1:22" s="42" customFormat="1" ht="17.5" x14ac:dyDescent="0.2">
      <c r="A5" s="47"/>
      <c r="B5" s="47"/>
      <c r="C5" s="47"/>
      <c r="D5" s="47"/>
      <c r="E5" s="128"/>
      <c r="F5" s="30"/>
      <c r="L5" s="970" t="s">
        <v>1304</v>
      </c>
      <c r="M5" s="1012"/>
      <c r="N5" s="625"/>
      <c r="P5" s="160"/>
      <c r="Q5" s="2"/>
    </row>
    <row r="6" spans="1:22" s="42" customFormat="1" ht="48.75" customHeight="1" x14ac:dyDescent="0.3">
      <c r="A6" s="180" t="s">
        <v>108</v>
      </c>
      <c r="B6" s="180" t="s">
        <v>109</v>
      </c>
      <c r="C6" s="180" t="s">
        <v>110</v>
      </c>
      <c r="D6" s="180" t="s">
        <v>111</v>
      </c>
      <c r="E6" s="971" t="s">
        <v>102</v>
      </c>
      <c r="F6" s="85" t="s">
        <v>103</v>
      </c>
      <c r="G6" s="967" t="s">
        <v>109</v>
      </c>
      <c r="H6" s="967" t="s">
        <v>104</v>
      </c>
      <c r="I6" s="967" t="s">
        <v>105</v>
      </c>
      <c r="J6" s="967" t="s">
        <v>106</v>
      </c>
      <c r="K6" s="41" t="s">
        <v>1305</v>
      </c>
      <c r="L6" s="45" t="s">
        <v>1306</v>
      </c>
      <c r="M6" s="45" t="s">
        <v>1307</v>
      </c>
      <c r="N6" s="85" t="s">
        <v>1308</v>
      </c>
      <c r="O6" s="967" t="s">
        <v>129</v>
      </c>
      <c r="P6" s="967" t="s">
        <v>130</v>
      </c>
      <c r="Q6" s="2"/>
      <c r="R6"/>
      <c r="S6"/>
      <c r="T6"/>
      <c r="U6"/>
    </row>
    <row r="7" spans="1:22" ht="79" customHeight="1" x14ac:dyDescent="0.2">
      <c r="A7" s="22"/>
      <c r="B7" s="22"/>
      <c r="C7" s="22"/>
      <c r="D7" s="22"/>
      <c r="E7" s="704" t="s">
        <v>1269</v>
      </c>
      <c r="F7" s="5" t="s">
        <v>1309</v>
      </c>
      <c r="G7" s="5" t="s">
        <v>1310</v>
      </c>
      <c r="H7" s="5" t="s">
        <v>290</v>
      </c>
      <c r="I7" s="175" t="s">
        <v>1311</v>
      </c>
      <c r="J7" s="557" t="s">
        <v>1312</v>
      </c>
      <c r="K7" s="12" t="s">
        <v>1313</v>
      </c>
      <c r="L7" s="113" t="s">
        <v>131</v>
      </c>
      <c r="M7" s="113" t="s">
        <v>131</v>
      </c>
      <c r="N7" s="113" t="s">
        <v>131</v>
      </c>
      <c r="O7" s="933" t="s">
        <v>1314</v>
      </c>
      <c r="P7" s="703">
        <v>2</v>
      </c>
      <c r="R7"/>
      <c r="S7"/>
      <c r="T7"/>
      <c r="U7"/>
    </row>
    <row r="8" spans="1:22" s="1" customFormat="1" ht="30" customHeight="1" x14ac:dyDescent="0.3">
      <c r="A8" s="22"/>
      <c r="B8" s="22"/>
      <c r="C8" s="22"/>
      <c r="D8" s="22"/>
      <c r="E8" s="178" t="s">
        <v>421</v>
      </c>
      <c r="F8" s="5"/>
      <c r="G8" s="5"/>
      <c r="H8" s="175"/>
      <c r="I8" s="6"/>
      <c r="J8" s="171"/>
      <c r="K8" s="172"/>
      <c r="L8" s="173"/>
      <c r="M8" s="172"/>
      <c r="N8" s="172"/>
      <c r="O8" s="172"/>
      <c r="P8" s="172"/>
      <c r="Q8"/>
      <c r="R8"/>
      <c r="S8"/>
      <c r="T8"/>
      <c r="U8"/>
      <c r="V8"/>
    </row>
    <row r="9" spans="1:22" s="1" customFormat="1" ht="13.4" customHeight="1" x14ac:dyDescent="0.3">
      <c r="A9" s="22"/>
      <c r="B9" s="22"/>
      <c r="C9" s="22"/>
      <c r="D9" s="22"/>
      <c r="E9" s="89"/>
      <c r="F9" s="89"/>
      <c r="G9" s="7"/>
      <c r="H9" s="90"/>
      <c r="I9" s="90"/>
      <c r="J9" s="97"/>
      <c r="K9" s="89"/>
      <c r="L9" s="98"/>
      <c r="M9" s="89"/>
      <c r="N9" s="89"/>
      <c r="O9" s="89"/>
      <c r="P9" s="89"/>
      <c r="Q9" s="89"/>
      <c r="R9"/>
      <c r="S9"/>
      <c r="T9"/>
      <c r="U9"/>
      <c r="V9" s="89"/>
    </row>
    <row r="10" spans="1:22" s="1" customFormat="1" ht="13.4" customHeight="1" x14ac:dyDescent="0.3">
      <c r="A10" s="22"/>
      <c r="B10" s="22"/>
      <c r="C10" s="22"/>
      <c r="D10" s="22"/>
      <c r="E10" s="89"/>
      <c r="F10" s="89"/>
      <c r="G10" s="7"/>
      <c r="H10" s="90"/>
      <c r="I10" s="90"/>
      <c r="J10" s="97"/>
      <c r="K10" s="89"/>
      <c r="L10" s="98"/>
      <c r="M10" s="89"/>
      <c r="N10" s="89"/>
      <c r="O10" s="89"/>
      <c r="P10" s="89"/>
      <c r="Q10" s="89"/>
      <c r="R10" s="89"/>
      <c r="S10" s="89"/>
      <c r="T10" s="89"/>
      <c r="U10" s="89"/>
      <c r="V10" s="89"/>
    </row>
    <row r="11" spans="1:22" s="1" customFormat="1" ht="13.4" customHeight="1" x14ac:dyDescent="0.3">
      <c r="A11" s="22"/>
      <c r="B11" s="22"/>
      <c r="C11" s="22"/>
      <c r="D11" s="22"/>
      <c r="E11" s="89"/>
      <c r="F11" s="89"/>
      <c r="G11" s="7"/>
      <c r="H11" s="90"/>
      <c r="I11" s="90"/>
      <c r="J11" s="97"/>
      <c r="K11" s="89"/>
      <c r="L11" s="98"/>
      <c r="M11" s="89"/>
      <c r="N11" s="89"/>
      <c r="O11" s="89"/>
      <c r="P11" s="89"/>
      <c r="Q11" s="89"/>
      <c r="R11" s="89"/>
      <c r="S11" s="89"/>
      <c r="T11" s="89"/>
      <c r="U11" s="89"/>
      <c r="V11" s="89"/>
    </row>
    <row r="12" spans="1:22" s="1" customFormat="1" ht="13.4" customHeight="1" x14ac:dyDescent="0.3">
      <c r="A12" s="22"/>
      <c r="B12" s="22"/>
      <c r="C12" s="22"/>
      <c r="D12" s="22"/>
      <c r="E12" s="171">
        <v>1</v>
      </c>
      <c r="F12" s="171">
        <v>1</v>
      </c>
      <c r="G12" s="7"/>
      <c r="H12" s="90"/>
      <c r="I12" s="90"/>
      <c r="J12" s="97"/>
      <c r="K12" s="89"/>
      <c r="L12" s="98"/>
      <c r="M12" s="89"/>
      <c r="N12" s="89"/>
      <c r="O12" s="89"/>
      <c r="P12" s="89"/>
      <c r="Q12" s="89"/>
      <c r="R12" s="89"/>
      <c r="S12" s="89"/>
      <c r="T12" s="89"/>
      <c r="U12" s="89"/>
      <c r="V12" s="89"/>
    </row>
    <row r="13" spans="1:22" ht="13.4" customHeight="1" x14ac:dyDescent="0.2">
      <c r="A13" s="22"/>
      <c r="B13" s="22"/>
      <c r="C13" s="22"/>
      <c r="D13" s="22"/>
    </row>
    <row r="14" spans="1:22" ht="13.4" customHeight="1" x14ac:dyDescent="0.2">
      <c r="A14" s="22"/>
      <c r="B14" s="22"/>
      <c r="C14" s="22"/>
      <c r="D14" s="22"/>
      <c r="I14" s="3">
        <v>1</v>
      </c>
      <c r="J14" s="3"/>
    </row>
    <row r="15" spans="1:22" ht="13.4" customHeight="1" x14ac:dyDescent="0.2">
      <c r="A15" s="22"/>
      <c r="B15" s="22"/>
      <c r="C15" s="22"/>
      <c r="D15" s="22"/>
    </row>
    <row r="16" spans="1:22" ht="14" x14ac:dyDescent="0.2">
      <c r="A16" s="22"/>
      <c r="B16" s="22"/>
      <c r="C16" s="22"/>
      <c r="D16" s="22"/>
      <c r="J16" s="11"/>
    </row>
    <row r="17" spans="1:4" ht="13.4" customHeight="1" x14ac:dyDescent="0.2">
      <c r="A17" s="22"/>
      <c r="B17" s="22"/>
      <c r="C17" s="22"/>
      <c r="D17" s="22"/>
    </row>
    <row r="18" spans="1:4" ht="13.4" customHeight="1" x14ac:dyDescent="0.2">
      <c r="A18" s="22"/>
      <c r="B18" s="22"/>
      <c r="C18" s="22"/>
      <c r="D18" s="22"/>
    </row>
    <row r="19" spans="1:4" ht="13.4" customHeight="1" x14ac:dyDescent="0.2">
      <c r="A19" s="22"/>
      <c r="B19" s="22"/>
      <c r="C19" s="22"/>
      <c r="D19" s="22"/>
    </row>
    <row r="20" spans="1:4" ht="13.4" customHeight="1" x14ac:dyDescent="0.2">
      <c r="A20" s="22"/>
      <c r="B20" s="22"/>
      <c r="C20" s="22"/>
      <c r="D20" s="22"/>
    </row>
    <row r="21" spans="1:4" ht="14" x14ac:dyDescent="0.2">
      <c r="A21" s="22"/>
      <c r="B21" s="22"/>
      <c r="C21" s="22"/>
      <c r="D21" s="22"/>
    </row>
    <row r="22" spans="1:4" ht="14" x14ac:dyDescent="0.2">
      <c r="A22" s="22"/>
      <c r="B22" s="22"/>
      <c r="C22" s="22"/>
      <c r="D22" s="22"/>
    </row>
    <row r="23" spans="1:4" ht="13.4" customHeight="1" x14ac:dyDescent="0.2">
      <c r="A23" s="22"/>
      <c r="B23" s="22"/>
      <c r="C23" s="22"/>
      <c r="D23" s="22"/>
    </row>
    <row r="24" spans="1:4" ht="13.4" customHeight="1" x14ac:dyDescent="0.2">
      <c r="A24" s="22"/>
      <c r="B24" s="22"/>
      <c r="C24" s="22"/>
      <c r="D24" s="22"/>
    </row>
    <row r="25" spans="1:4" ht="13.4" customHeight="1" x14ac:dyDescent="0.2">
      <c r="A25" s="22"/>
      <c r="B25" s="22"/>
      <c r="C25" s="22"/>
      <c r="D25" s="22"/>
    </row>
    <row r="26" spans="1:4" ht="13.4" customHeight="1" x14ac:dyDescent="0.2">
      <c r="A26" s="22"/>
      <c r="B26" s="22"/>
      <c r="C26" s="22"/>
      <c r="D26" s="22"/>
    </row>
    <row r="27" spans="1:4" ht="13.4" customHeight="1" x14ac:dyDescent="0.2">
      <c r="A27" s="22"/>
      <c r="B27" s="22"/>
      <c r="C27" s="22"/>
      <c r="D27" s="22"/>
    </row>
    <row r="28" spans="1:4" ht="13.4" customHeight="1" x14ac:dyDescent="0.2">
      <c r="A28" s="22"/>
      <c r="B28" s="22"/>
      <c r="C28" s="22"/>
      <c r="D28" s="22"/>
    </row>
    <row r="29" spans="1:4" ht="13.4" customHeight="1" x14ac:dyDescent="0.2">
      <c r="A29" s="22"/>
      <c r="B29" s="22"/>
      <c r="C29" s="22"/>
      <c r="D29" s="22"/>
    </row>
    <row r="30" spans="1:4" ht="13.4" customHeight="1" x14ac:dyDescent="0.3">
      <c r="A30" s="22"/>
      <c r="B30" s="97"/>
      <c r="C30" s="97"/>
      <c r="D30" s="97"/>
    </row>
    <row r="31" spans="1:4" ht="13.4" customHeight="1" x14ac:dyDescent="0.2">
      <c r="A31" s="22"/>
      <c r="B31" s="22"/>
      <c r="C31" s="22"/>
      <c r="D31" s="22"/>
    </row>
    <row r="32" spans="1:4" ht="13.4" customHeight="1" x14ac:dyDescent="0.2">
      <c r="A32" s="22"/>
      <c r="B32" s="22"/>
      <c r="C32" s="22"/>
      <c r="D32" s="22"/>
    </row>
    <row r="33" spans="1:4" ht="13.4" customHeight="1" x14ac:dyDescent="0.2">
      <c r="A33" s="22"/>
      <c r="B33" s="22"/>
      <c r="C33" s="22"/>
      <c r="D33" s="22"/>
    </row>
    <row r="34" spans="1:4" ht="13.4" customHeight="1" x14ac:dyDescent="0.2">
      <c r="A34" s="22"/>
      <c r="B34" s="22"/>
      <c r="C34" s="22"/>
      <c r="D34" s="22"/>
    </row>
    <row r="35" spans="1:4" ht="13.4" customHeight="1" x14ac:dyDescent="0.2">
      <c r="A35" s="22"/>
      <c r="B35" s="22"/>
      <c r="C35" s="22"/>
      <c r="D35" s="22"/>
    </row>
    <row r="36" spans="1:4" ht="13.4" customHeight="1" x14ac:dyDescent="0.2">
      <c r="A36" s="22"/>
      <c r="B36" s="22"/>
      <c r="C36" s="22"/>
      <c r="D36" s="22"/>
    </row>
    <row r="37" spans="1:4" ht="13.4" customHeight="1" x14ac:dyDescent="0.2">
      <c r="A37" s="22"/>
      <c r="B37" s="22"/>
      <c r="C37" s="22"/>
      <c r="D37" s="22"/>
    </row>
    <row r="38" spans="1:4" ht="13.4" customHeight="1" x14ac:dyDescent="0.2">
      <c r="A38" s="22"/>
      <c r="B38" s="22"/>
      <c r="C38" s="22"/>
      <c r="D38" s="22"/>
    </row>
    <row r="39" spans="1:4" ht="13.4" customHeight="1" x14ac:dyDescent="0.2">
      <c r="A39" s="22"/>
      <c r="B39" s="22"/>
      <c r="C39" s="22"/>
      <c r="D39" s="22"/>
    </row>
    <row r="40" spans="1:4" ht="13.4" customHeight="1" x14ac:dyDescent="0.2">
      <c r="A40" s="22"/>
      <c r="B40" s="22"/>
      <c r="C40" s="22"/>
      <c r="D40" s="22"/>
    </row>
    <row r="41" spans="1:4" ht="13.4" customHeight="1" x14ac:dyDescent="0.2">
      <c r="A41" s="22"/>
      <c r="B41" s="22"/>
      <c r="C41" s="22"/>
      <c r="D41" s="22"/>
    </row>
    <row r="42" spans="1:4" ht="13.4" customHeight="1" x14ac:dyDescent="0.2">
      <c r="A42" s="22"/>
      <c r="B42" s="22"/>
      <c r="C42" s="22"/>
      <c r="D42" s="22"/>
    </row>
    <row r="43" spans="1:4" ht="13.4" customHeight="1" x14ac:dyDescent="0.2">
      <c r="A43" s="22"/>
      <c r="B43" s="22"/>
      <c r="C43" s="22"/>
      <c r="D43" s="22"/>
    </row>
    <row r="44" spans="1:4" ht="13.4" customHeight="1" x14ac:dyDescent="0.2">
      <c r="A44" s="22"/>
      <c r="B44" s="22"/>
      <c r="C44" s="22"/>
      <c r="D44" s="22"/>
    </row>
    <row r="45" spans="1:4" ht="13.4" customHeight="1" x14ac:dyDescent="0.2">
      <c r="A45" s="22"/>
      <c r="B45" s="22"/>
      <c r="C45" s="22"/>
      <c r="D45" s="22"/>
    </row>
    <row r="46" spans="1:4" ht="13.4" customHeight="1" x14ac:dyDescent="0.2">
      <c r="A46" s="22"/>
      <c r="B46" s="22"/>
      <c r="C46" s="22"/>
      <c r="D46" s="22"/>
    </row>
    <row r="47" spans="1:4" ht="13.4" customHeight="1" x14ac:dyDescent="0.2">
      <c r="A47" s="22"/>
      <c r="B47" s="22"/>
      <c r="C47" s="22"/>
      <c r="D47" s="22"/>
    </row>
    <row r="48" spans="1:4" ht="13.4" customHeight="1" x14ac:dyDescent="0.2">
      <c r="A48" s="22"/>
      <c r="B48" s="22"/>
      <c r="C48" s="22"/>
      <c r="D48" s="22"/>
    </row>
    <row r="49" spans="1:4" ht="13.4" customHeight="1" x14ac:dyDescent="0.2">
      <c r="A49" s="22"/>
      <c r="B49" s="22"/>
      <c r="C49" s="22"/>
      <c r="D49" s="22"/>
    </row>
    <row r="50" spans="1:4" ht="13.4" customHeight="1" x14ac:dyDescent="0.2">
      <c r="A50" s="22"/>
      <c r="B50" s="22"/>
      <c r="C50" s="22" t="s">
        <v>15</v>
      </c>
      <c r="D50" s="22"/>
    </row>
    <row r="51" spans="1:4" ht="13.4" customHeight="1" x14ac:dyDescent="0.2">
      <c r="A51" s="22"/>
      <c r="B51" s="22"/>
      <c r="C51" s="22"/>
      <c r="D51" s="22"/>
    </row>
    <row r="52" spans="1:4" ht="13.4" customHeight="1" x14ac:dyDescent="0.2">
      <c r="A52" s="22"/>
      <c r="B52" s="22"/>
      <c r="C52" s="22"/>
      <c r="D52" s="22"/>
    </row>
    <row r="53" spans="1:4" ht="13.4" customHeight="1" x14ac:dyDescent="0.2">
      <c r="A53" s="22"/>
      <c r="B53" s="22"/>
      <c r="C53" s="22"/>
      <c r="D53" s="22"/>
    </row>
    <row r="54" spans="1:4" ht="13.4" customHeight="1" x14ac:dyDescent="0.2">
      <c r="A54" s="22"/>
      <c r="B54" s="22"/>
      <c r="C54" s="22"/>
      <c r="D54" s="22"/>
    </row>
    <row r="55" spans="1:4" ht="13.4" customHeight="1" x14ac:dyDescent="0.2">
      <c r="A55" s="22"/>
      <c r="B55" s="22"/>
      <c r="C55" s="22"/>
      <c r="D55" s="22"/>
    </row>
    <row r="56" spans="1:4" ht="13.4" customHeight="1" x14ac:dyDescent="0.2">
      <c r="A56" s="22"/>
      <c r="B56" s="22"/>
      <c r="C56" s="22"/>
      <c r="D56" s="22"/>
    </row>
    <row r="57" spans="1:4" ht="13.4" customHeight="1" x14ac:dyDescent="0.2">
      <c r="A57" s="22"/>
      <c r="B57" s="22"/>
      <c r="C57" s="22"/>
      <c r="D57" s="22"/>
    </row>
    <row r="58" spans="1:4" ht="13.4" customHeight="1" x14ac:dyDescent="0.2">
      <c r="A58" s="22"/>
      <c r="B58" s="22"/>
      <c r="C58" s="22"/>
      <c r="D58" s="22"/>
    </row>
    <row r="59" spans="1:4" ht="13.4" customHeight="1" x14ac:dyDescent="0.2">
      <c r="A59" s="22"/>
      <c r="B59" s="22"/>
      <c r="C59" s="22"/>
      <c r="D59" s="22"/>
    </row>
    <row r="60" spans="1:4" ht="13.4" customHeight="1" x14ac:dyDescent="0.2">
      <c r="A60" s="22"/>
      <c r="B60" s="22"/>
      <c r="C60" s="22"/>
      <c r="D60" s="22"/>
    </row>
    <row r="61" spans="1:4" ht="13.4" customHeight="1" x14ac:dyDescent="0.2">
      <c r="A61" s="22"/>
      <c r="B61" s="22"/>
      <c r="C61" s="22"/>
      <c r="D61" s="22"/>
    </row>
    <row r="62" spans="1:4" ht="13.4" customHeight="1" x14ac:dyDescent="0.2">
      <c r="A62" s="22"/>
      <c r="B62" s="22"/>
      <c r="C62" s="22"/>
      <c r="D62" s="22"/>
    </row>
    <row r="63" spans="1:4" ht="13.4" customHeight="1" x14ac:dyDescent="0.2">
      <c r="A63" s="22"/>
      <c r="B63" s="22"/>
      <c r="C63" s="22"/>
      <c r="D63" s="22"/>
    </row>
    <row r="64" spans="1:4" ht="13.4" customHeight="1" x14ac:dyDescent="0.2">
      <c r="A64" s="22"/>
      <c r="B64" s="22"/>
      <c r="C64" s="22"/>
      <c r="D64" s="22"/>
    </row>
    <row r="65" spans="1:4" ht="13.4" customHeight="1" x14ac:dyDescent="0.2">
      <c r="A65" s="22"/>
      <c r="B65" s="22"/>
      <c r="C65" s="22"/>
      <c r="D65" s="22"/>
    </row>
    <row r="66" spans="1:4" ht="13.4" customHeight="1" x14ac:dyDescent="0.2">
      <c r="A66" s="22"/>
      <c r="B66" s="22"/>
      <c r="C66" s="22"/>
      <c r="D66" s="22"/>
    </row>
    <row r="67" spans="1:4" ht="13.4" customHeight="1" x14ac:dyDescent="0.2">
      <c r="A67" s="22"/>
      <c r="B67" s="22"/>
      <c r="C67" s="22"/>
      <c r="D67" s="22"/>
    </row>
    <row r="68" spans="1:4" ht="13.4" customHeight="1" x14ac:dyDescent="0.2">
      <c r="A68" s="22"/>
      <c r="B68" s="22"/>
      <c r="C68" s="22"/>
      <c r="D68" s="22"/>
    </row>
    <row r="69" spans="1:4" ht="13.4" customHeight="1" x14ac:dyDescent="0.2">
      <c r="A69" s="22"/>
      <c r="B69" s="22"/>
      <c r="C69" s="22"/>
      <c r="D69" s="22"/>
    </row>
    <row r="70" spans="1:4" ht="13.4" customHeight="1" x14ac:dyDescent="0.2">
      <c r="A70" s="22"/>
      <c r="B70" s="22"/>
      <c r="C70" s="22"/>
      <c r="D70" s="22"/>
    </row>
    <row r="71" spans="1:4" ht="13.4" customHeight="1" x14ac:dyDescent="0.2">
      <c r="A71" s="22"/>
      <c r="B71" s="22"/>
      <c r="C71" s="22"/>
      <c r="D71" s="22"/>
    </row>
    <row r="72" spans="1:4" ht="13.4" customHeight="1" x14ac:dyDescent="0.2">
      <c r="A72" s="2"/>
      <c r="B72" s="2"/>
      <c r="C72" s="2"/>
      <c r="D72" s="2"/>
    </row>
    <row r="73" spans="1:4" ht="13.4" customHeight="1" x14ac:dyDescent="0.3">
      <c r="A73" s="1"/>
      <c r="B73" s="1"/>
      <c r="C73" s="1"/>
      <c r="D73" s="1"/>
    </row>
    <row r="74" spans="1:4" ht="13.4" customHeight="1" x14ac:dyDescent="0.2">
      <c r="A74" s="2"/>
      <c r="B74" s="2"/>
      <c r="C74" s="2"/>
      <c r="D74" s="2"/>
    </row>
    <row r="75" spans="1:4" ht="13.4" customHeight="1" x14ac:dyDescent="0.2">
      <c r="A75" s="2"/>
      <c r="B75" s="2"/>
      <c r="C75" s="2"/>
      <c r="D75" s="2"/>
    </row>
    <row r="76" spans="1:4" ht="13.4" customHeight="1" x14ac:dyDescent="0.2">
      <c r="A76" s="2"/>
      <c r="B76" s="2"/>
      <c r="C76" s="2"/>
      <c r="D76" s="2"/>
    </row>
    <row r="77" spans="1:4" ht="13.4" customHeight="1" x14ac:dyDescent="0.2">
      <c r="A77" s="2"/>
      <c r="B77" s="2"/>
      <c r="C77" s="2"/>
      <c r="D77" s="2"/>
    </row>
    <row r="78" spans="1:4" ht="13.4" customHeight="1" x14ac:dyDescent="0.2">
      <c r="A78" s="2"/>
      <c r="B78" s="2"/>
      <c r="C78" s="2"/>
      <c r="D78" s="2"/>
    </row>
    <row r="79" spans="1:4" ht="13.4" customHeight="1" x14ac:dyDescent="0.2">
      <c r="A79" s="2"/>
      <c r="B79" s="2"/>
      <c r="C79" s="2"/>
      <c r="D79" s="2"/>
    </row>
    <row r="80" spans="1:4" ht="13.4" customHeight="1" x14ac:dyDescent="0.2">
      <c r="A80" s="2"/>
      <c r="B80" s="2"/>
      <c r="C80" s="2"/>
      <c r="D80" s="2"/>
    </row>
    <row r="81" spans="1:4" ht="13.4" customHeight="1" x14ac:dyDescent="0.2">
      <c r="A81" s="2"/>
      <c r="B81" s="2"/>
      <c r="C81" s="2"/>
      <c r="D81" s="2"/>
    </row>
    <row r="82" spans="1:4" ht="13.4" customHeight="1" x14ac:dyDescent="0.2">
      <c r="A82" s="2"/>
      <c r="B82" s="2"/>
      <c r="C82" s="2"/>
      <c r="D82" s="2"/>
    </row>
    <row r="83" spans="1:4" ht="13.4" customHeight="1" x14ac:dyDescent="0.2">
      <c r="A83" s="2"/>
      <c r="B83" s="2"/>
      <c r="C83" s="2"/>
      <c r="D83" s="2"/>
    </row>
    <row r="84" spans="1:4" ht="13.4" customHeight="1" x14ac:dyDescent="0.2">
      <c r="A84" s="2"/>
      <c r="B84" s="2"/>
      <c r="C84" s="2"/>
      <c r="D84" s="2"/>
    </row>
    <row r="85" spans="1:4" ht="13.4" customHeight="1" x14ac:dyDescent="0.2">
      <c r="A85" s="2"/>
      <c r="B85" s="2"/>
      <c r="C85" s="2"/>
      <c r="D85" s="2"/>
    </row>
    <row r="86" spans="1:4" ht="13.4" customHeight="1" x14ac:dyDescent="0.2">
      <c r="A86" s="2"/>
      <c r="B86" s="2"/>
      <c r="C86" s="2"/>
      <c r="D86" s="2"/>
    </row>
    <row r="87" spans="1:4" ht="13.4" customHeight="1" x14ac:dyDescent="0.2">
      <c r="A87" s="2"/>
      <c r="B87" s="2"/>
      <c r="C87" s="2"/>
      <c r="D87" s="2"/>
    </row>
    <row r="88" spans="1:4" ht="13.4" customHeight="1" x14ac:dyDescent="0.2">
      <c r="A88" s="2"/>
      <c r="B88" s="2"/>
      <c r="C88" s="2"/>
      <c r="D88" s="2"/>
    </row>
    <row r="89" spans="1:4" ht="13.4" customHeight="1" x14ac:dyDescent="0.2">
      <c r="A89" s="2"/>
      <c r="B89" s="2"/>
      <c r="C89" s="2"/>
      <c r="D89" s="2"/>
    </row>
    <row r="90" spans="1:4" ht="13.4" customHeight="1" x14ac:dyDescent="0.2">
      <c r="A90" s="2"/>
      <c r="B90" s="2"/>
      <c r="C90" s="2"/>
      <c r="D90" s="2"/>
    </row>
    <row r="91" spans="1:4" ht="13.4" customHeight="1" x14ac:dyDescent="0.2">
      <c r="A91" s="2"/>
      <c r="B91" s="2"/>
      <c r="C91" s="2"/>
      <c r="D91" s="2"/>
    </row>
    <row r="92" spans="1:4" ht="14" x14ac:dyDescent="0.2">
      <c r="A92" s="2"/>
      <c r="B92" s="2"/>
      <c r="C92" s="2"/>
      <c r="D92" s="2"/>
    </row>
    <row r="93" spans="1:4" ht="13.4" customHeight="1" x14ac:dyDescent="0.2">
      <c r="A93" s="2"/>
      <c r="B93" s="2"/>
      <c r="C93" s="2"/>
      <c r="D93" s="2"/>
    </row>
    <row r="94" spans="1:4" ht="13.4" customHeight="1" x14ac:dyDescent="0.2">
      <c r="A94" s="2"/>
      <c r="B94" s="2"/>
      <c r="C94" s="2"/>
      <c r="D94" s="2"/>
    </row>
    <row r="95" spans="1:4" ht="13.4" customHeight="1" x14ac:dyDescent="0.2">
      <c r="A95" s="2"/>
      <c r="B95" s="2"/>
      <c r="C95" s="2"/>
      <c r="D95" s="2"/>
    </row>
    <row r="96" spans="1:4" ht="13.4" customHeight="1" x14ac:dyDescent="0.2">
      <c r="A96" s="2"/>
      <c r="B96" s="2"/>
      <c r="C96" s="2"/>
      <c r="D96" s="2"/>
    </row>
    <row r="97" spans="1:4" ht="13.4" customHeight="1" x14ac:dyDescent="0.2">
      <c r="A97" s="2"/>
      <c r="B97" s="2"/>
      <c r="C97" s="2"/>
      <c r="D97" s="2"/>
    </row>
    <row r="98" spans="1:4" ht="13.4" customHeight="1" x14ac:dyDescent="0.2">
      <c r="A98" s="2"/>
      <c r="B98" s="2"/>
      <c r="C98" s="2"/>
      <c r="D98" s="2"/>
    </row>
    <row r="99" spans="1:4" ht="13.4" customHeight="1" x14ac:dyDescent="0.2">
      <c r="A99" s="2"/>
      <c r="B99" s="2"/>
      <c r="C99" s="2"/>
      <c r="D99" s="2"/>
    </row>
    <row r="100" spans="1:4" ht="13.4" customHeight="1" x14ac:dyDescent="0.2">
      <c r="A100" s="2"/>
      <c r="B100" s="2"/>
      <c r="C100" s="2"/>
      <c r="D100" s="2"/>
    </row>
    <row r="101" spans="1:4" ht="13.4" customHeight="1" x14ac:dyDescent="0.2">
      <c r="A101" s="2"/>
      <c r="B101" s="2"/>
      <c r="C101" s="2"/>
      <c r="D101" s="2"/>
    </row>
    <row r="102" spans="1:4" ht="13.4" customHeight="1" x14ac:dyDescent="0.2">
      <c r="A102" s="2"/>
      <c r="B102" s="2"/>
      <c r="C102" s="2"/>
      <c r="D102" s="2"/>
    </row>
    <row r="103" spans="1:4" ht="13.4" customHeight="1" x14ac:dyDescent="0.2">
      <c r="A103" s="2"/>
      <c r="B103" s="2"/>
      <c r="C103" s="2"/>
      <c r="D103" s="2"/>
    </row>
    <row r="104" spans="1:4" ht="13.4" customHeight="1" x14ac:dyDescent="0.2">
      <c r="A104" s="2"/>
      <c r="B104" s="2"/>
      <c r="C104" s="2"/>
      <c r="D104" s="2"/>
    </row>
    <row r="105" spans="1:4" ht="13.4" customHeight="1" x14ac:dyDescent="0.2">
      <c r="A105" s="2"/>
      <c r="B105" s="2"/>
      <c r="C105" s="2"/>
      <c r="D105" s="2"/>
    </row>
    <row r="106" spans="1:4" ht="13.4" customHeight="1" x14ac:dyDescent="0.2">
      <c r="A106" s="2"/>
      <c r="B106" s="2"/>
      <c r="C106" s="2"/>
      <c r="D106" s="2"/>
    </row>
    <row r="107" spans="1:4" ht="13.4" customHeight="1" x14ac:dyDescent="0.2">
      <c r="A107" s="2"/>
      <c r="B107" s="2"/>
      <c r="C107" s="2"/>
      <c r="D107" s="2"/>
    </row>
    <row r="108" spans="1:4" ht="13.4" customHeight="1" x14ac:dyDescent="0.2">
      <c r="A108" s="2"/>
      <c r="B108" s="2"/>
      <c r="C108" s="2"/>
      <c r="D108" s="2"/>
    </row>
    <row r="109" spans="1:4" ht="13.4" customHeight="1" x14ac:dyDescent="0.2">
      <c r="A109" s="2"/>
      <c r="B109" s="2"/>
      <c r="C109" s="2"/>
      <c r="D109" s="2"/>
    </row>
    <row r="110" spans="1:4" ht="13.4" customHeight="1" x14ac:dyDescent="0.2">
      <c r="A110" s="2"/>
      <c r="B110" s="2"/>
      <c r="C110" s="2"/>
      <c r="D110" s="2"/>
    </row>
    <row r="111" spans="1:4" ht="13.4" customHeight="1" x14ac:dyDescent="0.2">
      <c r="A111" s="2"/>
      <c r="B111" s="2"/>
      <c r="C111" s="2"/>
      <c r="D111" s="2"/>
    </row>
    <row r="112" spans="1:4" ht="13.4" customHeight="1" x14ac:dyDescent="0.2">
      <c r="A112" s="2"/>
      <c r="B112" s="2"/>
      <c r="C112" s="2"/>
      <c r="D112" s="2"/>
    </row>
    <row r="113" spans="1:4" ht="13.4" customHeight="1" x14ac:dyDescent="0.2">
      <c r="A113" s="2"/>
      <c r="B113" s="2"/>
      <c r="C113" s="2"/>
      <c r="D113" s="2"/>
    </row>
    <row r="114" spans="1:4" ht="14" x14ac:dyDescent="0.2">
      <c r="A114" s="2"/>
      <c r="B114" s="2"/>
      <c r="C114" s="2"/>
      <c r="D114" s="2"/>
    </row>
  </sheetData>
  <autoFilter ref="E6:P7" xr:uid="{00000000-0009-0000-0000-000005000000}"/>
  <mergeCells count="1">
    <mergeCell ref="E4:P4"/>
  </mergeCells>
  <phoneticPr fontId="0" type="noConversion"/>
  <conditionalFormatting sqref="E7">
    <cfRule type="duplicateValues" dxfId="44" priority="3732"/>
  </conditionalFormatting>
  <conditionalFormatting sqref="E7:F7">
    <cfRule type="expression" dxfId="43" priority="1">
      <formula>LEN(E7)&gt;16</formula>
    </cfRule>
  </conditionalFormatting>
  <conditionalFormatting sqref="F7">
    <cfRule type="duplicateValues" dxfId="42" priority="3733"/>
  </conditionalFormatting>
  <conditionalFormatting sqref="I7:J7">
    <cfRule type="expression" dxfId="41" priority="8">
      <formula>LEN(I7)&gt;52</formula>
    </cfRule>
  </conditionalFormatting>
  <conditionalFormatting sqref="J7">
    <cfRule type="expression" dxfId="40" priority="7">
      <formula>LEN(J7)&gt;24</formula>
    </cfRule>
  </conditionalFormatting>
  <printOptions horizontalCentered="1"/>
  <pageMargins left="0.39370078740157483" right="0.39370078740157483" top="0.59055118110236227" bottom="0.59055118110236227" header="0.59055118110236227" footer="0.39370078740157483"/>
  <pageSetup paperSize="8" scale="61" fitToHeight="0" orientation="landscape" r:id="rId1"/>
  <headerFooter scaleWithDoc="0"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3">
    <tabColor indexed="39"/>
    <pageSetUpPr fitToPage="1"/>
  </sheetPr>
  <dimension ref="A1:AF113"/>
  <sheetViews>
    <sheetView view="pageBreakPreview" topLeftCell="M1" zoomScale="85" zoomScaleNormal="25" zoomScaleSheetLayoutView="85" workbookViewId="0">
      <selection activeCell="P30" sqref="P30"/>
    </sheetView>
  </sheetViews>
  <sheetFormatPr defaultColWidth="9.33203125" defaultRowHeight="13.4" customHeight="1" outlineLevelCol="1" x14ac:dyDescent="0.2"/>
  <cols>
    <col min="1" max="3" width="11.44140625" style="3" customWidth="1"/>
    <col min="4" max="4" width="8" style="3" customWidth="1"/>
    <col min="5" max="5" width="26.33203125" style="15" customWidth="1"/>
    <col min="6" max="6" width="36.6640625" style="15" customWidth="1"/>
    <col min="7" max="7" width="117.33203125" style="15" bestFit="1" customWidth="1" outlineLevel="1"/>
    <col min="8" max="8" width="60.6640625" style="15" bestFit="1" customWidth="1"/>
    <col min="9" max="9" width="17.44140625" style="179" customWidth="1"/>
    <col min="10" max="10" width="11.33203125" style="15" customWidth="1"/>
    <col min="11" max="12" width="6.6640625" style="70" customWidth="1"/>
    <col min="13" max="13" width="31.109375" style="70" customWidth="1"/>
    <col min="14" max="14" width="43.6640625" style="70" customWidth="1"/>
    <col min="15" max="15" width="8" style="22" customWidth="1"/>
    <col min="16" max="16" width="61.6640625" style="22" customWidth="1"/>
    <col min="17" max="17" width="54.109375" style="218" customWidth="1"/>
    <col min="18" max="25" width="9.33203125" style="15" customWidth="1"/>
    <col min="26" max="26" width="72.109375" style="15" customWidth="1"/>
    <col min="27" max="29" width="9.33203125" style="15" customWidth="1"/>
    <col min="30" max="16384" width="9.33203125" style="15"/>
  </cols>
  <sheetData>
    <row r="1" spans="1:31" s="80" customFormat="1" ht="21" customHeight="1" x14ac:dyDescent="0.2">
      <c r="A1" s="94"/>
      <c r="B1" s="94"/>
      <c r="C1" s="94"/>
      <c r="D1" s="94"/>
      <c r="E1" s="19" t="s">
        <v>1</v>
      </c>
      <c r="G1" s="108"/>
      <c r="H1" s="108"/>
      <c r="I1" s="108"/>
      <c r="J1" s="108"/>
      <c r="K1" s="24"/>
      <c r="L1" s="24"/>
      <c r="M1" s="94"/>
      <c r="O1" s="94"/>
      <c r="P1" s="94"/>
      <c r="Q1" s="109"/>
    </row>
    <row r="2" spans="1:31" s="80" customFormat="1" ht="21" customHeight="1" x14ac:dyDescent="0.2">
      <c r="A2" s="94"/>
      <c r="B2" s="94"/>
      <c r="C2" s="94"/>
      <c r="D2" s="94"/>
      <c r="E2" s="19" t="s">
        <v>37</v>
      </c>
      <c r="G2" s="94"/>
      <c r="H2" s="94"/>
      <c r="I2" s="165"/>
      <c r="J2" s="176"/>
      <c r="K2" s="24"/>
      <c r="L2" s="24"/>
      <c r="M2" s="165"/>
      <c r="N2" s="165"/>
      <c r="O2" s="94"/>
      <c r="P2" s="94"/>
      <c r="Q2" s="109"/>
    </row>
    <row r="3" spans="1:31" s="80" customFormat="1" ht="21" customHeight="1" thickBot="1" x14ac:dyDescent="0.25">
      <c r="A3" s="94"/>
      <c r="B3" s="94"/>
      <c r="C3" s="94"/>
      <c r="D3" s="94"/>
      <c r="E3" s="80" t="s">
        <v>2</v>
      </c>
      <c r="I3" s="94"/>
      <c r="K3" s="34"/>
      <c r="L3" s="34"/>
      <c r="M3" s="223"/>
      <c r="Q3" s="230"/>
      <c r="T3" s="42"/>
      <c r="U3" s="42"/>
    </row>
    <row r="4" spans="1:31" s="51" customFormat="1" ht="25.5" customHeight="1" thickBot="1" x14ac:dyDescent="0.25">
      <c r="A4" s="47"/>
      <c r="B4" s="47"/>
      <c r="C4" s="47"/>
      <c r="D4" s="47"/>
      <c r="E4" s="1067" t="s">
        <v>1315</v>
      </c>
      <c r="F4" s="1068"/>
      <c r="G4" s="1068"/>
      <c r="H4" s="1068"/>
      <c r="I4" s="1068"/>
      <c r="J4" s="1068"/>
      <c r="K4" s="1068"/>
      <c r="L4" s="1068"/>
      <c r="M4" s="1068"/>
      <c r="N4" s="1068"/>
      <c r="O4" s="1068"/>
      <c r="P4" s="1068"/>
      <c r="Q4" s="1068"/>
      <c r="R4" s="1068"/>
      <c r="S4" s="1068"/>
      <c r="T4" s="1068"/>
      <c r="U4" s="1068"/>
      <c r="V4" s="1068"/>
      <c r="W4" s="1068"/>
      <c r="X4" s="1068"/>
      <c r="Y4" s="1068"/>
      <c r="Z4" s="1068"/>
      <c r="AA4" s="1069"/>
      <c r="AB4" s="474"/>
    </row>
    <row r="5" spans="1:31" s="51" customFormat="1" ht="14" x14ac:dyDescent="0.2">
      <c r="A5" s="47"/>
      <c r="B5" s="47"/>
      <c r="C5" s="47"/>
      <c r="D5" s="47"/>
      <c r="E5" s="188"/>
      <c r="I5" s="47"/>
      <c r="K5" s="1070"/>
      <c r="L5" s="1071"/>
      <c r="M5" s="1072"/>
      <c r="N5" s="973"/>
      <c r="O5" s="1073" t="s">
        <v>1316</v>
      </c>
      <c r="P5" s="1074"/>
      <c r="Q5" s="1074"/>
      <c r="R5" s="1074"/>
      <c r="S5" s="1074"/>
      <c r="T5" s="1074"/>
      <c r="U5" s="1074"/>
      <c r="V5" s="1074"/>
      <c r="W5" s="1074"/>
      <c r="X5" s="1074"/>
      <c r="Y5" s="1075"/>
      <c r="Z5" s="187"/>
      <c r="AA5" s="226"/>
    </row>
    <row r="6" spans="1:31" s="51" customFormat="1" ht="111" customHeight="1" x14ac:dyDescent="0.3">
      <c r="A6" s="180" t="s">
        <v>108</v>
      </c>
      <c r="B6" s="180" t="s">
        <v>109</v>
      </c>
      <c r="C6" s="180" t="s">
        <v>110</v>
      </c>
      <c r="D6" s="180" t="s">
        <v>111</v>
      </c>
      <c r="E6" s="971" t="s">
        <v>103</v>
      </c>
      <c r="F6" s="967" t="s">
        <v>104</v>
      </c>
      <c r="G6" s="967" t="s">
        <v>1317</v>
      </c>
      <c r="H6" s="967" t="s">
        <v>106</v>
      </c>
      <c r="I6" s="967" t="s">
        <v>1318</v>
      </c>
      <c r="J6" s="967" t="s">
        <v>1319</v>
      </c>
      <c r="K6" s="41" t="s">
        <v>1320</v>
      </c>
      <c r="L6" s="41" t="s">
        <v>1321</v>
      </c>
      <c r="M6" s="967" t="s">
        <v>1322</v>
      </c>
      <c r="N6" s="967" t="s">
        <v>1323</v>
      </c>
      <c r="O6" s="149" t="s">
        <v>1324</v>
      </c>
      <c r="P6" s="149" t="s">
        <v>1325</v>
      </c>
      <c r="Q6" s="149" t="s">
        <v>1326</v>
      </c>
      <c r="R6" s="189" t="s">
        <v>1327</v>
      </c>
      <c r="S6" s="189" t="s">
        <v>1328</v>
      </c>
      <c r="T6" s="148" t="s">
        <v>1329</v>
      </c>
      <c r="U6" s="148" t="s">
        <v>1330</v>
      </c>
      <c r="V6" s="148" t="s">
        <v>1331</v>
      </c>
      <c r="W6" s="148" t="s">
        <v>1332</v>
      </c>
      <c r="X6" s="148" t="s">
        <v>1333</v>
      </c>
      <c r="Y6" s="41" t="s">
        <v>1334</v>
      </c>
      <c r="Z6" s="967" t="s">
        <v>129</v>
      </c>
      <c r="AA6" s="967" t="s">
        <v>130</v>
      </c>
      <c r="AB6" s="972"/>
      <c r="AC6"/>
      <c r="AD6"/>
      <c r="AE6"/>
    </row>
    <row r="7" spans="1:31" ht="55.5" customHeight="1" x14ac:dyDescent="0.2">
      <c r="A7" s="22"/>
      <c r="B7" s="22"/>
      <c r="C7" s="22"/>
      <c r="D7" s="22"/>
      <c r="E7" s="254" t="s">
        <v>1335</v>
      </c>
      <c r="F7" s="254" t="s">
        <v>134</v>
      </c>
      <c r="G7" s="254" t="s">
        <v>1336</v>
      </c>
      <c r="H7" s="429" t="s">
        <v>1337</v>
      </c>
      <c r="I7" s="318" t="s">
        <v>1338</v>
      </c>
      <c r="J7" s="256" t="s">
        <v>48</v>
      </c>
      <c r="K7" s="318" t="s">
        <v>131</v>
      </c>
      <c r="L7" s="256" t="s">
        <v>131</v>
      </c>
      <c r="M7" s="255" t="s">
        <v>1339</v>
      </c>
      <c r="N7" s="703" t="s">
        <v>1340</v>
      </c>
      <c r="O7" s="702" t="s">
        <v>1341</v>
      </c>
      <c r="P7" s="725" t="s">
        <v>1342</v>
      </c>
      <c r="Q7" s="702" t="s">
        <v>1343</v>
      </c>
      <c r="R7" s="701">
        <v>1800</v>
      </c>
      <c r="S7" s="726"/>
      <c r="T7" s="726"/>
      <c r="U7" s="726"/>
      <c r="V7" s="726"/>
      <c r="W7" s="726" t="s">
        <v>131</v>
      </c>
      <c r="X7" s="727" t="s">
        <v>131</v>
      </c>
      <c r="Y7" s="727" t="s">
        <v>131</v>
      </c>
      <c r="Z7" s="728" t="s">
        <v>1344</v>
      </c>
      <c r="AA7" s="703">
        <v>2</v>
      </c>
      <c r="AB7" s="473"/>
      <c r="AC7"/>
      <c r="AD7"/>
      <c r="AE7"/>
    </row>
    <row r="8" spans="1:31" ht="63.65" customHeight="1" x14ac:dyDescent="0.2">
      <c r="A8" s="22"/>
      <c r="B8" s="22"/>
      <c r="C8" s="22"/>
      <c r="D8" s="22"/>
      <c r="E8" s="266" t="s">
        <v>1345</v>
      </c>
      <c r="F8" s="254" t="s">
        <v>134</v>
      </c>
      <c r="G8" s="254" t="s">
        <v>1346</v>
      </c>
      <c r="H8" s="330" t="s">
        <v>1347</v>
      </c>
      <c r="I8" s="318" t="s">
        <v>1338</v>
      </c>
      <c r="J8" s="256" t="s">
        <v>48</v>
      </c>
      <c r="K8" s="318" t="s">
        <v>131</v>
      </c>
      <c r="L8" s="256" t="s">
        <v>131</v>
      </c>
      <c r="M8" s="790" t="s">
        <v>1348</v>
      </c>
      <c r="N8" s="790" t="s">
        <v>1349</v>
      </c>
      <c r="O8" s="255"/>
      <c r="P8" s="319"/>
      <c r="Q8" s="255"/>
      <c r="R8" s="256"/>
      <c r="S8" s="320"/>
      <c r="T8" s="320"/>
      <c r="U8" s="320"/>
      <c r="V8" s="320"/>
      <c r="W8" s="320"/>
      <c r="X8" s="321"/>
      <c r="Y8" s="321"/>
      <c r="Z8" s="259"/>
      <c r="AA8" s="703">
        <v>2</v>
      </c>
      <c r="AB8" s="473"/>
      <c r="AC8"/>
      <c r="AD8"/>
      <c r="AE8"/>
    </row>
    <row r="9" spans="1:31" ht="41.15" customHeight="1" x14ac:dyDescent="0.2">
      <c r="A9" s="22"/>
      <c r="B9" s="22"/>
      <c r="C9" s="22"/>
      <c r="D9" s="22"/>
      <c r="E9" s="266"/>
      <c r="F9" s="254" t="s">
        <v>134</v>
      </c>
      <c r="G9" s="254" t="s">
        <v>1350</v>
      </c>
      <c r="H9" s="259" t="s">
        <v>1351</v>
      </c>
      <c r="I9" s="318" t="s">
        <v>1352</v>
      </c>
      <c r="J9" s="256" t="s">
        <v>48</v>
      </c>
      <c r="K9" s="318" t="s">
        <v>131</v>
      </c>
      <c r="L9" s="256" t="s">
        <v>131</v>
      </c>
      <c r="M9" s="957" t="s">
        <v>1353</v>
      </c>
      <c r="N9" s="255" t="s">
        <v>1354</v>
      </c>
      <c r="O9" s="255"/>
      <c r="P9" s="319"/>
      <c r="Q9" s="255"/>
      <c r="R9" s="256"/>
      <c r="S9" s="320"/>
      <c r="T9" s="320"/>
      <c r="U9" s="320"/>
      <c r="V9" s="320"/>
      <c r="W9" s="320"/>
      <c r="X9" s="321"/>
      <c r="Y9" s="321"/>
      <c r="Z9" s="259"/>
      <c r="AA9" s="703">
        <v>2</v>
      </c>
      <c r="AB9" s="473"/>
      <c r="AC9"/>
      <c r="AD9"/>
      <c r="AE9"/>
    </row>
    <row r="10" spans="1:31" ht="48" customHeight="1" x14ac:dyDescent="0.2">
      <c r="A10" s="22"/>
      <c r="B10" s="22"/>
      <c r="C10" s="22"/>
      <c r="D10" s="22"/>
      <c r="E10" s="266" t="s">
        <v>1355</v>
      </c>
      <c r="F10" s="254" t="s">
        <v>290</v>
      </c>
      <c r="G10" s="254" t="s">
        <v>1356</v>
      </c>
      <c r="H10" s="330" t="s">
        <v>1357</v>
      </c>
      <c r="I10" s="318" t="s">
        <v>1352</v>
      </c>
      <c r="J10" s="256" t="s">
        <v>48</v>
      </c>
      <c r="K10" s="318" t="s">
        <v>131</v>
      </c>
      <c r="L10" s="256" t="s">
        <v>131</v>
      </c>
      <c r="M10" s="255" t="s">
        <v>1358</v>
      </c>
      <c r="N10" s="703" t="s">
        <v>1359</v>
      </c>
      <c r="O10" s="255"/>
      <c r="P10" s="319"/>
      <c r="Q10" s="255"/>
      <c r="R10" s="256"/>
      <c r="S10" s="320"/>
      <c r="T10" s="320"/>
      <c r="U10" s="320"/>
      <c r="V10" s="320"/>
      <c r="W10" s="320"/>
      <c r="X10" s="321"/>
      <c r="Y10" s="321"/>
      <c r="Z10" s="259"/>
      <c r="AA10" s="703">
        <v>2</v>
      </c>
      <c r="AB10" s="473"/>
      <c r="AC10"/>
      <c r="AD10"/>
      <c r="AE10"/>
    </row>
    <row r="11" spans="1:31" ht="58.5" customHeight="1" x14ac:dyDescent="0.2">
      <c r="A11" s="22"/>
      <c r="B11" s="22"/>
      <c r="C11" s="22"/>
      <c r="D11" s="22"/>
      <c r="E11" s="266" t="s">
        <v>1360</v>
      </c>
      <c r="F11" s="254" t="s">
        <v>290</v>
      </c>
      <c r="G11" s="254" t="s">
        <v>1361</v>
      </c>
      <c r="H11" s="330" t="s">
        <v>1362</v>
      </c>
      <c r="I11" s="715" t="s">
        <v>1338</v>
      </c>
      <c r="J11" s="256" t="s">
        <v>48</v>
      </c>
      <c r="K11" s="318" t="s">
        <v>131</v>
      </c>
      <c r="L11" s="256" t="s">
        <v>131</v>
      </c>
      <c r="M11" s="255" t="s">
        <v>1363</v>
      </c>
      <c r="N11" s="703" t="s">
        <v>1364</v>
      </c>
      <c r="O11" s="255"/>
      <c r="P11" s="319"/>
      <c r="Q11" s="255"/>
      <c r="R11" s="256"/>
      <c r="S11" s="320"/>
      <c r="T11" s="320"/>
      <c r="U11" s="320"/>
      <c r="V11" s="320"/>
      <c r="W11" s="320"/>
      <c r="X11" s="321"/>
      <c r="Y11" s="321"/>
      <c r="Z11" s="259"/>
      <c r="AA11" s="703">
        <v>2</v>
      </c>
      <c r="AB11" s="473"/>
      <c r="AC11"/>
      <c r="AD11"/>
      <c r="AE11"/>
    </row>
    <row r="12" spans="1:31" ht="42" customHeight="1" x14ac:dyDescent="0.3">
      <c r="A12" s="22"/>
      <c r="B12" s="22"/>
      <c r="C12" s="22"/>
      <c r="D12" s="22"/>
      <c r="E12" s="266" t="s">
        <v>1365</v>
      </c>
      <c r="F12" s="254" t="s">
        <v>383</v>
      </c>
      <c r="G12" s="5" t="s">
        <v>1366</v>
      </c>
      <c r="H12" s="330" t="s">
        <v>1367</v>
      </c>
      <c r="I12" s="318" t="s">
        <v>1338</v>
      </c>
      <c r="J12" s="256" t="s">
        <v>48</v>
      </c>
      <c r="K12" s="318" t="s">
        <v>131</v>
      </c>
      <c r="L12" s="256" t="s">
        <v>131</v>
      </c>
      <c r="M12" s="255" t="s">
        <v>1368</v>
      </c>
      <c r="N12" s="255" t="s">
        <v>1369</v>
      </c>
      <c r="O12" s="255"/>
      <c r="P12" s="319"/>
      <c r="Q12" s="255"/>
      <c r="R12" s="256"/>
      <c r="S12" s="320"/>
      <c r="T12" s="320"/>
      <c r="U12" s="320"/>
      <c r="V12" s="320"/>
      <c r="W12" s="320"/>
      <c r="X12" s="321"/>
      <c r="Y12" s="321"/>
      <c r="Z12" s="8"/>
      <c r="AA12" s="13">
        <v>1</v>
      </c>
      <c r="AB12" s="473"/>
      <c r="AC12" s="712"/>
      <c r="AD12"/>
      <c r="AE12"/>
    </row>
    <row r="13" spans="1:31" ht="70.400000000000006" customHeight="1" x14ac:dyDescent="0.35">
      <c r="A13" s="22"/>
      <c r="B13" s="22"/>
      <c r="C13" s="22"/>
      <c r="D13" s="22"/>
      <c r="E13" s="266" t="s">
        <v>1370</v>
      </c>
      <c r="F13" s="254" t="s">
        <v>134</v>
      </c>
      <c r="G13" s="254" t="s">
        <v>1371</v>
      </c>
      <c r="H13" s="330" t="s">
        <v>1098</v>
      </c>
      <c r="I13" s="318" t="s">
        <v>1372</v>
      </c>
      <c r="J13" s="256" t="s">
        <v>729</v>
      </c>
      <c r="K13" s="318" t="s">
        <v>131</v>
      </c>
      <c r="L13" s="256" t="s">
        <v>131</v>
      </c>
      <c r="M13" s="255" t="s">
        <v>1373</v>
      </c>
      <c r="N13" s="255" t="s">
        <v>1374</v>
      </c>
      <c r="O13" s="13" t="s">
        <v>1375</v>
      </c>
      <c r="P13" s="255" t="s">
        <v>1376</v>
      </c>
      <c r="Q13" s="255" t="s">
        <v>1377</v>
      </c>
      <c r="R13" s="256">
        <v>0</v>
      </c>
      <c r="S13" s="320"/>
      <c r="T13" s="320" t="s">
        <v>131</v>
      </c>
      <c r="U13" s="320"/>
      <c r="V13" s="320"/>
      <c r="W13" s="320"/>
      <c r="X13" s="321"/>
      <c r="Y13" s="304"/>
      <c r="Z13" s="722" t="s">
        <v>1378</v>
      </c>
      <c r="AA13" s="13">
        <v>1</v>
      </c>
      <c r="AB13" s="473"/>
      <c r="AC13" s="713"/>
      <c r="AD13"/>
      <c r="AE13"/>
    </row>
    <row r="14" spans="1:31" ht="39" customHeight="1" x14ac:dyDescent="0.35">
      <c r="A14" s="22"/>
      <c r="B14" s="22"/>
      <c r="C14" s="22"/>
      <c r="D14" s="22"/>
      <c r="E14" s="266"/>
      <c r="F14" s="254"/>
      <c r="G14" s="254"/>
      <c r="H14" s="330"/>
      <c r="I14" s="318"/>
      <c r="J14" s="256"/>
      <c r="K14" s="318"/>
      <c r="L14" s="256"/>
      <c r="M14" s="255"/>
      <c r="N14" s="255"/>
      <c r="O14" s="13" t="s">
        <v>1341</v>
      </c>
      <c r="P14" s="255" t="s">
        <v>1379</v>
      </c>
      <c r="Q14" s="255" t="s">
        <v>1380</v>
      </c>
      <c r="R14" s="705">
        <v>3</v>
      </c>
      <c r="S14" s="320"/>
      <c r="T14" s="320"/>
      <c r="U14" s="320"/>
      <c r="V14" s="320"/>
      <c r="W14" s="320" t="s">
        <v>131</v>
      </c>
      <c r="X14" s="321"/>
      <c r="Y14" s="304"/>
      <c r="Z14" s="722" t="s">
        <v>1381</v>
      </c>
      <c r="AA14" s="703">
        <v>2</v>
      </c>
      <c r="AB14" s="473"/>
      <c r="AC14" s="713"/>
      <c r="AD14"/>
      <c r="AE14"/>
    </row>
    <row r="15" spans="1:31" ht="73.400000000000006" customHeight="1" x14ac:dyDescent="0.35">
      <c r="A15" s="22"/>
      <c r="B15" s="22"/>
      <c r="C15" s="22"/>
      <c r="D15" s="22"/>
      <c r="E15" s="266" t="s">
        <v>1382</v>
      </c>
      <c r="F15" s="254" t="s">
        <v>134</v>
      </c>
      <c r="H15" s="330" t="s">
        <v>1092</v>
      </c>
      <c r="I15" s="318" t="s">
        <v>1372</v>
      </c>
      <c r="J15" s="256" t="s">
        <v>729</v>
      </c>
      <c r="K15" s="318" t="s">
        <v>131</v>
      </c>
      <c r="L15" s="256" t="s">
        <v>131</v>
      </c>
      <c r="M15" s="255" t="s">
        <v>1374</v>
      </c>
      <c r="N15" s="255" t="s">
        <v>1373</v>
      </c>
      <c r="O15" s="13" t="s">
        <v>1375</v>
      </c>
      <c r="P15" s="255" t="s">
        <v>1383</v>
      </c>
      <c r="Q15" s="255" t="s">
        <v>1384</v>
      </c>
      <c r="R15" s="256">
        <v>0</v>
      </c>
      <c r="S15" s="320"/>
      <c r="T15" s="320" t="s">
        <v>131</v>
      </c>
      <c r="U15" s="320"/>
      <c r="V15" s="320"/>
      <c r="W15" s="320"/>
      <c r="X15" s="321"/>
      <c r="Y15" s="304"/>
      <c r="Z15" s="722" t="s">
        <v>1378</v>
      </c>
      <c r="AA15" s="13">
        <v>1</v>
      </c>
      <c r="AB15" s="473"/>
      <c r="AC15" s="713"/>
      <c r="AD15"/>
      <c r="AE15"/>
    </row>
    <row r="16" spans="1:31" ht="39" customHeight="1" x14ac:dyDescent="0.35">
      <c r="A16" s="22"/>
      <c r="B16" s="22"/>
      <c r="C16" s="22"/>
      <c r="D16" s="22"/>
      <c r="E16" s="266"/>
      <c r="F16" s="254"/>
      <c r="G16" s="254" t="s">
        <v>1385</v>
      </c>
      <c r="H16" s="330"/>
      <c r="I16" s="318"/>
      <c r="J16" s="256"/>
      <c r="K16" s="318"/>
      <c r="L16" s="256"/>
      <c r="M16" s="255"/>
      <c r="N16" s="255"/>
      <c r="O16" s="13" t="s">
        <v>1341</v>
      </c>
      <c r="P16" s="255" t="s">
        <v>1379</v>
      </c>
      <c r="Q16" s="255" t="s">
        <v>1380</v>
      </c>
      <c r="R16" s="705">
        <v>3</v>
      </c>
      <c r="S16" s="320"/>
      <c r="T16" s="320"/>
      <c r="U16" s="320"/>
      <c r="V16" s="320"/>
      <c r="W16" s="320" t="s">
        <v>131</v>
      </c>
      <c r="X16" s="321"/>
      <c r="Y16" s="304"/>
      <c r="Z16" s="722" t="s">
        <v>1381</v>
      </c>
      <c r="AA16" s="703">
        <v>2</v>
      </c>
      <c r="AB16" s="473"/>
      <c r="AC16" s="713"/>
      <c r="AD16"/>
      <c r="AE16"/>
    </row>
    <row r="17" spans="1:32" ht="45" customHeight="1" x14ac:dyDescent="0.35">
      <c r="A17" s="22"/>
      <c r="B17" s="22"/>
      <c r="C17" s="22"/>
      <c r="D17" s="22"/>
      <c r="E17" s="266" t="s">
        <v>1386</v>
      </c>
      <c r="F17" s="362" t="s">
        <v>1387</v>
      </c>
      <c r="G17" s="708" t="s">
        <v>1388</v>
      </c>
      <c r="H17" s="882" t="s">
        <v>1389</v>
      </c>
      <c r="I17" s="464" t="s">
        <v>1372</v>
      </c>
      <c r="J17" s="161" t="s">
        <v>729</v>
      </c>
      <c r="K17" s="323" t="s">
        <v>131</v>
      </c>
      <c r="L17" s="260" t="s">
        <v>131</v>
      </c>
      <c r="M17" s="255" t="s">
        <v>1390</v>
      </c>
      <c r="N17" s="255" t="s">
        <v>1391</v>
      </c>
      <c r="O17" s="258"/>
      <c r="P17" s="258"/>
      <c r="Q17" s="258"/>
      <c r="R17" s="256"/>
      <c r="S17" s="320"/>
      <c r="T17" s="320"/>
      <c r="U17" s="320"/>
      <c r="V17" s="320"/>
      <c r="W17" s="320"/>
      <c r="X17" s="321"/>
      <c r="Y17" s="304"/>
      <c r="Z17" s="924" t="s">
        <v>1392</v>
      </c>
      <c r="AA17" s="703">
        <v>2</v>
      </c>
      <c r="AB17" s="473"/>
      <c r="AC17" s="713"/>
      <c r="AD17"/>
      <c r="AE17"/>
    </row>
    <row r="18" spans="1:32" s="1" customFormat="1" ht="13.4" customHeight="1" x14ac:dyDescent="0.3">
      <c r="D18" s="22"/>
      <c r="E18" s="178" t="s">
        <v>421</v>
      </c>
      <c r="F18" s="5"/>
      <c r="G18" s="175"/>
      <c r="H18" s="6"/>
      <c r="I18" s="171"/>
      <c r="J18" s="172"/>
      <c r="K18" s="172"/>
      <c r="L18" s="172"/>
      <c r="M18" s="172"/>
      <c r="N18" s="172"/>
      <c r="O18" s="217"/>
      <c r="P18" s="13"/>
      <c r="Q18" s="13"/>
      <c r="R18" s="227"/>
      <c r="S18" s="205"/>
      <c r="T18" s="205"/>
      <c r="U18" s="205"/>
      <c r="V18" s="205"/>
      <c r="W18" s="205"/>
      <c r="X18" s="214"/>
      <c r="Y18" s="214"/>
      <c r="Z18" s="8"/>
      <c r="AA18" s="228"/>
      <c r="AB18" s="23"/>
      <c r="AC18"/>
      <c r="AD18"/>
      <c r="AE18"/>
      <c r="AF18" s="97"/>
    </row>
    <row r="19" spans="1:32" s="1" customFormat="1" ht="13.4" customHeight="1" x14ac:dyDescent="0.3">
      <c r="D19" s="22"/>
      <c r="E19" s="89"/>
      <c r="F19" s="7"/>
      <c r="G19" s="90"/>
      <c r="H19" s="90"/>
      <c r="I19" s="97"/>
      <c r="J19" s="89"/>
      <c r="K19" s="89"/>
      <c r="L19" s="89"/>
      <c r="M19" s="89"/>
      <c r="N19" s="89"/>
      <c r="O19" s="23"/>
      <c r="P19" s="72"/>
      <c r="Q19" s="72"/>
      <c r="R19" s="22"/>
      <c r="S19" s="22"/>
      <c r="T19" s="22"/>
      <c r="U19" s="22"/>
      <c r="V19" s="22"/>
      <c r="W19" s="22"/>
      <c r="X19" s="137"/>
      <c r="Y19" s="137"/>
      <c r="Z19" s="129"/>
      <c r="AA19" s="23"/>
      <c r="AB19" s="23"/>
      <c r="AC19"/>
      <c r="AD19"/>
      <c r="AE19"/>
      <c r="AF19" s="97"/>
    </row>
    <row r="20" spans="1:32" s="1" customFormat="1" ht="13.4" customHeight="1" x14ac:dyDescent="0.3">
      <c r="D20" s="22"/>
      <c r="E20" s="89"/>
      <c r="F20" s="7"/>
      <c r="G20" s="90"/>
      <c r="H20" s="90"/>
      <c r="I20" s="97"/>
      <c r="J20" s="89"/>
      <c r="K20" s="89"/>
      <c r="L20" s="89"/>
      <c r="M20" s="89"/>
      <c r="N20" s="89"/>
      <c r="O20" s="23"/>
      <c r="P20" s="72"/>
      <c r="Q20" s="72"/>
      <c r="R20" s="22"/>
      <c r="S20" s="22"/>
      <c r="T20" s="22"/>
      <c r="U20" s="22"/>
      <c r="V20" s="22"/>
      <c r="W20" s="22"/>
      <c r="X20" s="137"/>
      <c r="Y20" s="137"/>
      <c r="Z20" s="129"/>
      <c r="AA20" s="23"/>
      <c r="AB20" s="23"/>
      <c r="AC20" s="89"/>
      <c r="AD20" s="89"/>
      <c r="AE20" s="14"/>
      <c r="AF20" s="97"/>
    </row>
    <row r="21" spans="1:32" ht="14" x14ac:dyDescent="0.3">
      <c r="A21" s="1"/>
      <c r="B21" s="1"/>
      <c r="C21" s="1"/>
      <c r="D21" s="22"/>
      <c r="E21" s="89"/>
      <c r="F21" s="7"/>
      <c r="G21" s="90"/>
      <c r="H21" s="90"/>
      <c r="I21" s="97"/>
      <c r="J21" s="89"/>
      <c r="K21" s="89"/>
      <c r="L21" s="89"/>
      <c r="M21" s="89"/>
      <c r="N21" s="89"/>
      <c r="O21" s="23"/>
      <c r="P21" s="72"/>
      <c r="Q21" s="11"/>
      <c r="R21" s="22"/>
      <c r="S21" s="22"/>
      <c r="T21" s="22"/>
      <c r="U21" s="22"/>
      <c r="V21" s="22"/>
      <c r="W21" s="22"/>
      <c r="X21" s="137"/>
      <c r="Y21" s="137"/>
      <c r="Z21" s="129"/>
      <c r="AA21" s="23"/>
      <c r="AB21" s="23"/>
    </row>
    <row r="22" spans="1:32" ht="14" x14ac:dyDescent="0.3">
      <c r="A22" s="1"/>
      <c r="B22" s="1"/>
      <c r="C22" s="1"/>
      <c r="D22" s="97"/>
      <c r="E22" s="171">
        <v>9</v>
      </c>
      <c r="F22" s="7"/>
      <c r="G22" s="90"/>
      <c r="H22" s="90"/>
      <c r="I22" s="97"/>
      <c r="J22" s="89"/>
      <c r="K22" s="89"/>
      <c r="L22" s="89"/>
      <c r="M22" s="89"/>
      <c r="N22" s="89"/>
      <c r="O22" s="23"/>
      <c r="P22" s="72"/>
      <c r="Q22" s="11"/>
      <c r="R22" s="22"/>
      <c r="S22" s="22"/>
      <c r="T22" s="22"/>
      <c r="U22" s="22"/>
      <c r="V22" s="22"/>
      <c r="W22" s="22"/>
      <c r="X22" s="137"/>
      <c r="Y22" s="137"/>
      <c r="Z22" s="129"/>
      <c r="AA22" s="23"/>
      <c r="AB22" s="23"/>
    </row>
    <row r="23" spans="1:32" ht="13.4" customHeight="1" x14ac:dyDescent="0.2">
      <c r="A23" s="15"/>
      <c r="B23" s="15"/>
      <c r="C23" s="15"/>
      <c r="D23" s="22"/>
      <c r="O23" s="23"/>
      <c r="P23" s="72"/>
      <c r="Q23" s="11"/>
      <c r="R23" s="22"/>
      <c r="S23" s="22"/>
      <c r="T23" s="22"/>
      <c r="U23" s="22"/>
      <c r="V23" s="22"/>
      <c r="W23" s="22"/>
      <c r="X23" s="2"/>
      <c r="Y23" s="2"/>
      <c r="Z23" s="2"/>
      <c r="AA23" s="2"/>
      <c r="AB23" s="2"/>
    </row>
    <row r="24" spans="1:32" ht="13.4" customHeight="1" x14ac:dyDescent="0.2">
      <c r="A24" s="15"/>
      <c r="B24" s="15"/>
      <c r="C24" s="15"/>
      <c r="D24" s="22"/>
      <c r="O24" s="23"/>
      <c r="P24" s="72"/>
      <c r="Q24" s="11"/>
      <c r="R24" s="2"/>
      <c r="S24" s="2"/>
      <c r="T24" s="2"/>
      <c r="U24" s="2"/>
      <c r="V24" s="2"/>
      <c r="W24" s="2"/>
    </row>
    <row r="25" spans="1:32" ht="13.4" customHeight="1" x14ac:dyDescent="0.2">
      <c r="A25" s="15"/>
      <c r="B25" s="15"/>
      <c r="C25" s="15"/>
      <c r="D25" s="22"/>
      <c r="O25" s="23"/>
      <c r="P25" s="23"/>
      <c r="Q25" s="11"/>
      <c r="R25" s="2"/>
      <c r="S25" s="2"/>
      <c r="T25" s="2"/>
      <c r="U25" s="2"/>
      <c r="V25" s="2"/>
      <c r="W25" s="2"/>
    </row>
    <row r="26" spans="1:32" ht="13.4" customHeight="1" x14ac:dyDescent="0.2">
      <c r="A26" s="15"/>
      <c r="B26" s="15"/>
      <c r="C26" s="15"/>
      <c r="D26" s="22"/>
      <c r="O26" s="23"/>
      <c r="P26" s="23"/>
    </row>
    <row r="27" spans="1:32" ht="13.4" customHeight="1" x14ac:dyDescent="0.2">
      <c r="A27" s="15"/>
      <c r="B27" s="15"/>
      <c r="C27" s="15"/>
      <c r="D27" s="22"/>
      <c r="O27" s="23"/>
      <c r="P27" s="23"/>
    </row>
    <row r="28" spans="1:32" ht="13.4" customHeight="1" x14ac:dyDescent="0.2">
      <c r="A28" s="15"/>
      <c r="B28" s="15"/>
      <c r="C28" s="15"/>
      <c r="D28" s="22"/>
    </row>
    <row r="29" spans="1:32" ht="13.4" customHeight="1" x14ac:dyDescent="0.2">
      <c r="A29" s="22"/>
      <c r="B29" s="22"/>
      <c r="C29" s="22"/>
      <c r="D29" s="22"/>
    </row>
    <row r="30" spans="1:32" ht="13.4" customHeight="1" x14ac:dyDescent="0.2">
      <c r="A30" s="22"/>
      <c r="B30" s="22"/>
      <c r="C30" s="22"/>
      <c r="D30" s="22"/>
    </row>
    <row r="31" spans="1:32" ht="13.4" customHeight="1" x14ac:dyDescent="0.2">
      <c r="A31" s="22"/>
      <c r="B31" s="22"/>
      <c r="C31" s="22"/>
      <c r="D31" s="22"/>
    </row>
    <row r="32" spans="1:32" ht="13.4" customHeight="1" x14ac:dyDescent="0.2">
      <c r="A32" s="22"/>
      <c r="B32" s="22"/>
      <c r="C32" s="22"/>
      <c r="D32" s="22"/>
    </row>
    <row r="33" spans="1:4" ht="13.4" customHeight="1" x14ac:dyDescent="0.2">
      <c r="A33" s="22"/>
      <c r="B33" s="22"/>
      <c r="C33" s="22"/>
      <c r="D33" s="22"/>
    </row>
    <row r="34" spans="1:4" ht="13.4" customHeight="1" x14ac:dyDescent="0.2">
      <c r="A34" s="22"/>
      <c r="B34" s="22"/>
      <c r="C34" s="22"/>
      <c r="D34" s="22"/>
    </row>
    <row r="35" spans="1:4" ht="13.4" customHeight="1" x14ac:dyDescent="0.2">
      <c r="A35" s="22"/>
      <c r="B35" s="22"/>
      <c r="C35" s="22"/>
      <c r="D35" s="22"/>
    </row>
    <row r="36" spans="1:4" ht="13.4" customHeight="1" x14ac:dyDescent="0.2">
      <c r="A36" s="22"/>
      <c r="B36" s="22"/>
      <c r="C36" s="22"/>
      <c r="D36" s="22"/>
    </row>
    <row r="37" spans="1:4" ht="13.4" customHeight="1" x14ac:dyDescent="0.2">
      <c r="A37" s="22"/>
      <c r="B37" s="22"/>
      <c r="C37" s="22"/>
      <c r="D37" s="22"/>
    </row>
    <row r="38" spans="1:4" ht="13.4" customHeight="1" x14ac:dyDescent="0.2">
      <c r="A38" s="22"/>
      <c r="B38" s="22"/>
      <c r="C38" s="22"/>
      <c r="D38" s="22"/>
    </row>
    <row r="39" spans="1:4" ht="13.4" customHeight="1" x14ac:dyDescent="0.2">
      <c r="A39" s="22"/>
      <c r="B39" s="22"/>
      <c r="C39" s="22"/>
      <c r="D39" s="22"/>
    </row>
    <row r="40" spans="1:4" ht="13.4" customHeight="1" x14ac:dyDescent="0.2">
      <c r="A40" s="22"/>
      <c r="B40" s="22"/>
      <c r="C40" s="22"/>
      <c r="D40" s="22"/>
    </row>
    <row r="41" spans="1:4" ht="13.4" customHeight="1" x14ac:dyDescent="0.2">
      <c r="A41" s="22"/>
      <c r="B41" s="22"/>
      <c r="C41" s="22"/>
      <c r="D41" s="22"/>
    </row>
    <row r="42" spans="1:4" ht="13.4" customHeight="1" x14ac:dyDescent="0.2">
      <c r="A42" s="22"/>
      <c r="B42" s="22"/>
      <c r="C42" s="22"/>
      <c r="D42" s="22"/>
    </row>
    <row r="43" spans="1:4" ht="13.4" customHeight="1" x14ac:dyDescent="0.2">
      <c r="A43" s="22"/>
      <c r="B43" s="22"/>
      <c r="C43" s="22"/>
      <c r="D43" s="22"/>
    </row>
    <row r="44" spans="1:4" ht="13.4" customHeight="1" x14ac:dyDescent="0.2">
      <c r="A44" s="22"/>
      <c r="B44" s="22"/>
      <c r="C44" s="22"/>
      <c r="D44" s="22"/>
    </row>
    <row r="45" spans="1:4" ht="13.4" customHeight="1" x14ac:dyDescent="0.2">
      <c r="A45" s="22"/>
      <c r="B45" s="22"/>
      <c r="C45" s="22"/>
      <c r="D45" s="22"/>
    </row>
    <row r="46" spans="1:4" ht="13.4" customHeight="1" x14ac:dyDescent="0.2">
      <c r="A46" s="22"/>
      <c r="B46" s="22"/>
      <c r="C46" s="22"/>
      <c r="D46" s="22"/>
    </row>
    <row r="47" spans="1:4" ht="13.4" customHeight="1" x14ac:dyDescent="0.2">
      <c r="A47" s="22"/>
      <c r="B47" s="22"/>
      <c r="C47" s="22"/>
      <c r="D47" s="22"/>
    </row>
    <row r="48" spans="1:4" ht="13.4" customHeight="1" x14ac:dyDescent="0.2">
      <c r="A48" s="22"/>
      <c r="B48" s="22"/>
      <c r="C48" s="22"/>
      <c r="D48" s="22"/>
    </row>
    <row r="49" spans="1:4" ht="13.4" customHeight="1" x14ac:dyDescent="0.2">
      <c r="A49" s="22"/>
      <c r="B49" s="22"/>
      <c r="C49" s="22" t="s">
        <v>15</v>
      </c>
      <c r="D49" s="22"/>
    </row>
    <row r="50" spans="1:4" ht="13.4" customHeight="1" x14ac:dyDescent="0.2">
      <c r="A50" s="22"/>
      <c r="B50" s="22"/>
      <c r="C50" s="22"/>
      <c r="D50" s="22"/>
    </row>
    <row r="51" spans="1:4" ht="13.4" customHeight="1" x14ac:dyDescent="0.2">
      <c r="A51" s="22"/>
      <c r="B51" s="22"/>
      <c r="C51" s="22"/>
      <c r="D51" s="22"/>
    </row>
    <row r="52" spans="1:4" ht="13.4" customHeight="1" x14ac:dyDescent="0.2">
      <c r="A52" s="22"/>
      <c r="B52" s="22"/>
      <c r="C52" s="22"/>
      <c r="D52" s="22"/>
    </row>
    <row r="53" spans="1:4" ht="13.4" customHeight="1" x14ac:dyDescent="0.2">
      <c r="A53" s="22"/>
      <c r="B53" s="22"/>
      <c r="C53" s="22"/>
      <c r="D53" s="22"/>
    </row>
    <row r="54" spans="1:4" ht="13.4" customHeight="1" x14ac:dyDescent="0.2">
      <c r="A54" s="22"/>
      <c r="B54" s="22"/>
      <c r="C54" s="22"/>
      <c r="D54" s="22"/>
    </row>
    <row r="55" spans="1:4" ht="13.4" customHeight="1" x14ac:dyDescent="0.2">
      <c r="A55" s="22"/>
      <c r="B55" s="22"/>
      <c r="C55" s="22"/>
      <c r="D55" s="22"/>
    </row>
    <row r="56" spans="1:4" ht="13.4" customHeight="1" x14ac:dyDescent="0.2">
      <c r="A56" s="22"/>
      <c r="B56" s="22"/>
      <c r="C56" s="22"/>
      <c r="D56" s="22"/>
    </row>
    <row r="57" spans="1:4" ht="13.4" customHeight="1" x14ac:dyDescent="0.2">
      <c r="A57" s="22"/>
      <c r="B57" s="22"/>
      <c r="C57" s="22"/>
      <c r="D57" s="22"/>
    </row>
    <row r="58" spans="1:4" ht="13.4" customHeight="1" x14ac:dyDescent="0.2">
      <c r="A58" s="22"/>
      <c r="B58" s="22"/>
      <c r="C58" s="22"/>
      <c r="D58" s="22"/>
    </row>
    <row r="59" spans="1:4" ht="13.4" customHeight="1" x14ac:dyDescent="0.2">
      <c r="A59" s="22"/>
      <c r="B59" s="22"/>
      <c r="C59" s="22"/>
      <c r="D59" s="22"/>
    </row>
    <row r="60" spans="1:4" ht="13.4" customHeight="1" x14ac:dyDescent="0.2">
      <c r="A60" s="22"/>
      <c r="B60" s="22"/>
      <c r="C60" s="22"/>
      <c r="D60" s="22"/>
    </row>
    <row r="61" spans="1:4" ht="13.4" customHeight="1" x14ac:dyDescent="0.2">
      <c r="A61" s="22"/>
      <c r="B61" s="22"/>
      <c r="C61" s="22"/>
      <c r="D61" s="22"/>
    </row>
    <row r="62" spans="1:4" ht="13.4" customHeight="1" x14ac:dyDescent="0.2">
      <c r="A62" s="22"/>
      <c r="B62" s="22"/>
      <c r="C62" s="22"/>
      <c r="D62" s="22"/>
    </row>
    <row r="63" spans="1:4" ht="13.4" customHeight="1" x14ac:dyDescent="0.2">
      <c r="A63" s="2"/>
      <c r="B63" s="2"/>
      <c r="C63" s="2"/>
      <c r="D63" s="2"/>
    </row>
    <row r="64" spans="1:4" ht="13.4" customHeight="1" x14ac:dyDescent="0.3">
      <c r="A64" s="1"/>
      <c r="B64" s="1"/>
      <c r="C64" s="1"/>
      <c r="D64" s="1"/>
    </row>
    <row r="65" spans="1:4" ht="13.4" customHeight="1" x14ac:dyDescent="0.2">
      <c r="A65" s="2"/>
      <c r="B65" s="2"/>
      <c r="C65" s="2"/>
      <c r="D65" s="2"/>
    </row>
    <row r="66" spans="1:4" ht="13.4" customHeight="1" x14ac:dyDescent="0.2">
      <c r="A66" s="2"/>
      <c r="B66" s="2"/>
      <c r="C66" s="2"/>
      <c r="D66" s="2"/>
    </row>
    <row r="67" spans="1:4" ht="13.4" customHeight="1" x14ac:dyDescent="0.2">
      <c r="A67" s="2"/>
      <c r="B67" s="2"/>
      <c r="C67" s="2"/>
      <c r="D67" s="2"/>
    </row>
    <row r="68" spans="1:4" ht="13.4" customHeight="1" x14ac:dyDescent="0.2">
      <c r="A68" s="2"/>
      <c r="B68" s="2"/>
      <c r="C68" s="2"/>
      <c r="D68" s="2"/>
    </row>
    <row r="69" spans="1:4" ht="13.4" customHeight="1" x14ac:dyDescent="0.2">
      <c r="A69" s="2"/>
      <c r="B69" s="2"/>
      <c r="C69" s="2"/>
      <c r="D69" s="2"/>
    </row>
    <row r="70" spans="1:4" ht="13.4" customHeight="1" x14ac:dyDescent="0.2">
      <c r="A70" s="2"/>
      <c r="B70" s="2"/>
      <c r="C70" s="2"/>
      <c r="D70" s="2"/>
    </row>
    <row r="71" spans="1:4" ht="13.4" customHeight="1" x14ac:dyDescent="0.2">
      <c r="A71" s="2"/>
      <c r="B71" s="2"/>
      <c r="C71" s="2"/>
      <c r="D71" s="2"/>
    </row>
    <row r="72" spans="1:4" ht="13.4" customHeight="1" x14ac:dyDescent="0.2">
      <c r="A72" s="2"/>
      <c r="B72" s="2"/>
      <c r="C72" s="2"/>
      <c r="D72" s="2"/>
    </row>
    <row r="73" spans="1:4" ht="13.4" customHeight="1" x14ac:dyDescent="0.2">
      <c r="A73" s="2"/>
      <c r="B73" s="2"/>
      <c r="C73" s="2"/>
      <c r="D73" s="2"/>
    </row>
    <row r="74" spans="1:4" ht="13.4" customHeight="1" x14ac:dyDescent="0.2">
      <c r="A74" s="2"/>
      <c r="B74" s="2"/>
      <c r="C74" s="2"/>
      <c r="D74" s="2"/>
    </row>
    <row r="75" spans="1:4" ht="13.4" customHeight="1" x14ac:dyDescent="0.2">
      <c r="A75" s="2"/>
      <c r="B75" s="2"/>
      <c r="C75" s="2"/>
      <c r="D75" s="2"/>
    </row>
    <row r="76" spans="1:4" ht="13.4" customHeight="1" x14ac:dyDescent="0.2">
      <c r="A76" s="2"/>
      <c r="B76" s="2"/>
      <c r="C76" s="2"/>
      <c r="D76" s="2"/>
    </row>
    <row r="77" spans="1:4" ht="13.4" customHeight="1" x14ac:dyDescent="0.2">
      <c r="A77" s="2"/>
      <c r="B77" s="2"/>
      <c r="C77" s="2"/>
      <c r="D77" s="2"/>
    </row>
    <row r="78" spans="1:4" ht="13.4" customHeight="1" x14ac:dyDescent="0.2">
      <c r="A78" s="2"/>
      <c r="B78" s="2"/>
      <c r="C78" s="2"/>
      <c r="D78" s="2"/>
    </row>
    <row r="79" spans="1:4" ht="13.4" customHeight="1" x14ac:dyDescent="0.2">
      <c r="A79" s="2"/>
      <c r="B79" s="2"/>
      <c r="C79" s="2"/>
      <c r="D79" s="2"/>
    </row>
    <row r="80" spans="1:4" ht="13.4" customHeight="1" x14ac:dyDescent="0.2">
      <c r="A80" s="2"/>
      <c r="B80" s="2"/>
      <c r="C80" s="2"/>
      <c r="D80" s="2"/>
    </row>
    <row r="81" spans="1:4" ht="13.4" customHeight="1" x14ac:dyDescent="0.2">
      <c r="A81" s="2"/>
      <c r="B81" s="2"/>
      <c r="C81" s="2"/>
      <c r="D81" s="2"/>
    </row>
    <row r="82" spans="1:4" ht="13.4" customHeight="1" x14ac:dyDescent="0.2">
      <c r="A82" s="2"/>
      <c r="B82" s="2"/>
      <c r="C82" s="2"/>
      <c r="D82" s="2"/>
    </row>
    <row r="83" spans="1:4" ht="13.4" customHeight="1" x14ac:dyDescent="0.2">
      <c r="A83" s="2"/>
      <c r="B83" s="2"/>
      <c r="C83" s="2"/>
      <c r="D83" s="2"/>
    </row>
    <row r="84" spans="1:4" ht="13.4" customHeight="1" x14ac:dyDescent="0.2">
      <c r="A84" s="2"/>
      <c r="B84" s="2"/>
      <c r="C84" s="2"/>
      <c r="D84" s="2"/>
    </row>
    <row r="85" spans="1:4" ht="13.4" customHeight="1" x14ac:dyDescent="0.2">
      <c r="A85" s="2"/>
      <c r="B85" s="2"/>
      <c r="C85" s="2"/>
      <c r="D85" s="2"/>
    </row>
    <row r="86" spans="1:4" ht="13.4" customHeight="1" x14ac:dyDescent="0.2">
      <c r="A86" s="2"/>
      <c r="B86" s="2"/>
      <c r="C86" s="2"/>
      <c r="D86" s="2"/>
    </row>
    <row r="87" spans="1:4" ht="13.4" customHeight="1" x14ac:dyDescent="0.2">
      <c r="A87" s="2"/>
      <c r="B87" s="2"/>
      <c r="C87" s="2"/>
      <c r="D87" s="2"/>
    </row>
    <row r="88" spans="1:4" ht="13.4" customHeight="1" x14ac:dyDescent="0.2">
      <c r="A88" s="2"/>
      <c r="B88" s="2"/>
      <c r="C88" s="2"/>
      <c r="D88" s="2"/>
    </row>
    <row r="89" spans="1:4" ht="13.4" customHeight="1" x14ac:dyDescent="0.2">
      <c r="A89" s="2"/>
      <c r="B89" s="2"/>
      <c r="C89" s="2"/>
      <c r="D89" s="2"/>
    </row>
    <row r="90" spans="1:4" ht="13.4" customHeight="1" x14ac:dyDescent="0.2">
      <c r="A90" s="2"/>
      <c r="B90" s="2"/>
      <c r="C90" s="2"/>
      <c r="D90" s="2"/>
    </row>
    <row r="91" spans="1:4" ht="14" x14ac:dyDescent="0.2">
      <c r="A91" s="2"/>
      <c r="B91" s="2"/>
      <c r="C91" s="2"/>
      <c r="D91" s="2"/>
    </row>
    <row r="92" spans="1:4" ht="13.4" customHeight="1" x14ac:dyDescent="0.2">
      <c r="A92" s="2"/>
      <c r="B92" s="2"/>
      <c r="C92" s="2"/>
      <c r="D92" s="2"/>
    </row>
    <row r="93" spans="1:4" ht="13.4" customHeight="1" x14ac:dyDescent="0.2">
      <c r="A93" s="2"/>
      <c r="B93" s="2"/>
      <c r="C93" s="2"/>
      <c r="D93" s="2"/>
    </row>
    <row r="94" spans="1:4" ht="13.4" customHeight="1" x14ac:dyDescent="0.2">
      <c r="A94" s="2"/>
      <c r="B94" s="2"/>
      <c r="C94" s="2"/>
      <c r="D94" s="2"/>
    </row>
    <row r="95" spans="1:4" ht="13.4" customHeight="1" x14ac:dyDescent="0.2">
      <c r="A95" s="2"/>
      <c r="B95" s="2"/>
      <c r="C95" s="2"/>
      <c r="D95" s="2"/>
    </row>
    <row r="96" spans="1:4" ht="13.4" customHeight="1" x14ac:dyDescent="0.2">
      <c r="A96" s="2"/>
      <c r="B96" s="2"/>
      <c r="C96" s="2"/>
      <c r="D96" s="2"/>
    </row>
    <row r="97" spans="1:4" ht="13.4" customHeight="1" x14ac:dyDescent="0.2">
      <c r="A97" s="2"/>
      <c r="B97" s="2"/>
      <c r="C97" s="2"/>
      <c r="D97" s="2"/>
    </row>
    <row r="98" spans="1:4" ht="13.4" customHeight="1" x14ac:dyDescent="0.2">
      <c r="A98" s="2"/>
      <c r="B98" s="2"/>
      <c r="C98" s="2"/>
      <c r="D98" s="2"/>
    </row>
    <row r="99" spans="1:4" ht="13.4" customHeight="1" x14ac:dyDescent="0.2">
      <c r="A99" s="2"/>
      <c r="B99" s="2"/>
      <c r="C99" s="2"/>
      <c r="D99" s="2"/>
    </row>
    <row r="100" spans="1:4" ht="13.4" customHeight="1" x14ac:dyDescent="0.2">
      <c r="A100" s="2"/>
      <c r="B100" s="2"/>
      <c r="C100" s="2"/>
      <c r="D100" s="2"/>
    </row>
    <row r="101" spans="1:4" ht="13.4" customHeight="1" x14ac:dyDescent="0.2">
      <c r="A101" s="2"/>
      <c r="B101" s="2"/>
      <c r="C101" s="2"/>
      <c r="D101" s="2"/>
    </row>
    <row r="102" spans="1:4" ht="13.4" customHeight="1" x14ac:dyDescent="0.2">
      <c r="A102" s="2"/>
      <c r="B102" s="2"/>
      <c r="C102" s="2"/>
      <c r="D102" s="2"/>
    </row>
    <row r="103" spans="1:4" ht="13.4" customHeight="1" x14ac:dyDescent="0.2">
      <c r="A103" s="2"/>
      <c r="B103" s="2"/>
      <c r="C103" s="2"/>
      <c r="D103" s="2"/>
    </row>
    <row r="104" spans="1:4" ht="13.4" customHeight="1" x14ac:dyDescent="0.2">
      <c r="A104" s="2"/>
      <c r="B104" s="2"/>
      <c r="C104" s="2"/>
      <c r="D104" s="2"/>
    </row>
    <row r="105" spans="1:4" ht="13.4" customHeight="1" x14ac:dyDescent="0.2">
      <c r="A105" s="2"/>
      <c r="B105" s="2"/>
      <c r="C105" s="2"/>
      <c r="D105" s="2"/>
    </row>
    <row r="113" ht="14" x14ac:dyDescent="0.2"/>
  </sheetData>
  <autoFilter ref="E6:X22" xr:uid="{00000000-0009-0000-0000-000006000000}"/>
  <dataConsolidate/>
  <mergeCells count="3">
    <mergeCell ref="K5:M5"/>
    <mergeCell ref="O5:Y5"/>
    <mergeCell ref="E4:AA4"/>
  </mergeCells>
  <phoneticPr fontId="0" type="noConversion"/>
  <conditionalFormatting sqref="E7:E16">
    <cfRule type="duplicateValues" dxfId="39" priority="3722"/>
  </conditionalFormatting>
  <conditionalFormatting sqref="E7:E17">
    <cfRule type="expression" dxfId="38" priority="2">
      <formula>LEN(E7)&gt;16</formula>
    </cfRule>
  </conditionalFormatting>
  <conditionalFormatting sqref="E17">
    <cfRule type="duplicateValues" dxfId="37" priority="3698"/>
  </conditionalFormatting>
  <conditionalFormatting sqref="H7:H17">
    <cfRule type="expression" dxfId="36" priority="300">
      <formula>LEN(H7)&gt;24</formula>
    </cfRule>
  </conditionalFormatting>
  <conditionalFormatting sqref="Q7:Q17">
    <cfRule type="expression" dxfId="35" priority="1">
      <formula>LEN(Q7)&gt;32</formula>
    </cfRule>
  </conditionalFormatting>
  <printOptions horizontalCentered="1"/>
  <pageMargins left="0.39370078740157483" right="0.39370078740157483" top="0.59055118110236227" bottom="0.59055118110236227" header="0.59055118110236227" footer="0.39370078740157483"/>
  <pageSetup paperSize="8" scale="27" fitToHeight="0" orientation="landscape" r:id="rId1"/>
  <headerFooter scaleWithDoc="0" alignWithMargins="0"/>
  <colBreaks count="1" manualBreakCount="1">
    <brk id="15" max="18"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BA82A-2DBF-42CF-B75F-0162AF900402}">
  <sheetPr codeName="Sheet16">
    <tabColor indexed="39"/>
    <pageSetUpPr fitToPage="1"/>
  </sheetPr>
  <dimension ref="A1:AH115"/>
  <sheetViews>
    <sheetView view="pageBreakPreview" topLeftCell="O1" zoomScale="60" zoomScaleNormal="55" workbookViewId="0">
      <selection activeCell="E4" sqref="E4:AA4"/>
    </sheetView>
  </sheetViews>
  <sheetFormatPr defaultColWidth="18.6640625" defaultRowHeight="13.4" customHeight="1" outlineLevelCol="1" x14ac:dyDescent="0.2"/>
  <cols>
    <col min="1" max="4" width="11.44140625" style="3" hidden="1" customWidth="1"/>
    <col min="5" max="5" width="26.109375" style="15" customWidth="1"/>
    <col min="6" max="6" width="36.6640625" style="15" customWidth="1"/>
    <col min="7" max="7" width="96.33203125" style="15" hidden="1" customWidth="1" outlineLevel="1"/>
    <col min="8" max="8" width="96.33203125" style="15" customWidth="1" collapsed="1"/>
    <col min="9" max="9" width="23.6640625" style="15" bestFit="1" customWidth="1"/>
    <col min="10" max="10" width="14.33203125" style="15" customWidth="1"/>
    <col min="11" max="12" width="6.6640625" style="70" customWidth="1"/>
    <col min="13" max="13" width="36.6640625" style="70" bestFit="1" customWidth="1"/>
    <col min="14" max="14" width="36.6640625" style="70" customWidth="1"/>
    <col min="15" max="15" width="6.6640625" style="70" customWidth="1"/>
    <col min="16" max="16" width="40" style="70" bestFit="1" customWidth="1"/>
    <col min="17" max="17" width="43" style="21" bestFit="1" customWidth="1"/>
    <col min="18" max="24" width="9.33203125" style="22" customWidth="1"/>
    <col min="25" max="25" width="8.33203125" style="71" customWidth="1"/>
    <col min="26" max="26" width="85.6640625" style="22" customWidth="1"/>
    <col min="27" max="30" width="9.33203125" style="15" customWidth="1"/>
    <col min="31" max="31" width="14.109375" style="15" bestFit="1" customWidth="1"/>
    <col min="32" max="32" width="9.33203125" style="15" customWidth="1"/>
    <col min="33" max="16384" width="18.6640625" style="15"/>
  </cols>
  <sheetData>
    <row r="1" spans="1:34" s="80" customFormat="1" ht="21" customHeight="1" x14ac:dyDescent="0.2">
      <c r="A1" s="94"/>
      <c r="B1" s="94"/>
      <c r="C1" s="94"/>
      <c r="D1" s="94"/>
      <c r="E1" s="19" t="s">
        <v>1</v>
      </c>
      <c r="G1" s="108"/>
      <c r="H1" s="108"/>
      <c r="I1" s="108"/>
      <c r="J1" s="108"/>
      <c r="K1" s="24"/>
      <c r="L1" s="24"/>
      <c r="M1" s="94"/>
      <c r="N1" s="94"/>
      <c r="O1" s="94"/>
      <c r="P1" s="94"/>
      <c r="Q1" s="81"/>
      <c r="R1" s="94"/>
      <c r="S1" s="94"/>
      <c r="T1" s="94"/>
      <c r="U1" s="94"/>
      <c r="V1" s="94"/>
      <c r="W1" s="94"/>
      <c r="X1" s="94"/>
      <c r="Y1" s="109"/>
      <c r="Z1" s="94"/>
    </row>
    <row r="2" spans="1:34" s="80" customFormat="1" ht="21" customHeight="1" x14ac:dyDescent="0.2">
      <c r="A2" s="94"/>
      <c r="B2" s="94"/>
      <c r="C2" s="94"/>
      <c r="D2" s="94"/>
      <c r="E2" s="19" t="s">
        <v>37</v>
      </c>
      <c r="G2" s="94"/>
      <c r="H2" s="94"/>
      <c r="I2" s="94"/>
      <c r="J2" s="94"/>
      <c r="K2" s="24"/>
      <c r="L2" s="24"/>
      <c r="M2" s="165"/>
      <c r="N2" s="165"/>
      <c r="O2" s="94"/>
      <c r="P2" s="94"/>
      <c r="Q2" s="81"/>
      <c r="R2" s="94"/>
      <c r="S2" s="94"/>
      <c r="T2" s="94"/>
      <c r="U2" s="94"/>
      <c r="V2" s="94"/>
      <c r="W2" s="94"/>
      <c r="X2" s="94"/>
      <c r="Y2" s="109" t="s">
        <v>1393</v>
      </c>
      <c r="Z2" s="94"/>
    </row>
    <row r="3" spans="1:34" s="80" customFormat="1" ht="21" customHeight="1" thickBot="1" x14ac:dyDescent="0.25">
      <c r="A3" s="94"/>
      <c r="B3" s="94"/>
      <c r="C3" s="94"/>
      <c r="D3" s="94"/>
      <c r="E3" s="80" t="s">
        <v>2</v>
      </c>
      <c r="K3" s="34"/>
      <c r="L3" s="34"/>
      <c r="M3" s="223"/>
      <c r="Q3" s="81"/>
      <c r="R3" s="94"/>
      <c r="S3" s="94"/>
      <c r="T3" s="94"/>
      <c r="U3" s="94"/>
      <c r="V3" s="94"/>
      <c r="W3" s="94"/>
      <c r="X3" s="94"/>
      <c r="Y3" s="109"/>
      <c r="AC3"/>
      <c r="AD3"/>
    </row>
    <row r="4" spans="1:34" s="51" customFormat="1" ht="25.5" customHeight="1" thickBot="1" x14ac:dyDescent="0.25">
      <c r="A4" s="47"/>
      <c r="B4" s="47"/>
      <c r="C4" s="47"/>
      <c r="D4" s="47"/>
      <c r="E4" s="1067" t="s">
        <v>1394</v>
      </c>
      <c r="F4" s="1068"/>
      <c r="G4" s="1068"/>
      <c r="H4" s="1068"/>
      <c r="I4" s="1068"/>
      <c r="J4" s="1068"/>
      <c r="K4" s="1068"/>
      <c r="L4" s="1068"/>
      <c r="M4" s="1068"/>
      <c r="N4" s="1068"/>
      <c r="O4" s="1068"/>
      <c r="P4" s="1068"/>
      <c r="Q4" s="1068"/>
      <c r="R4" s="1068"/>
      <c r="S4" s="1068"/>
      <c r="T4" s="1068"/>
      <c r="U4" s="1068"/>
      <c r="V4" s="1068"/>
      <c r="W4" s="1068"/>
      <c r="X4" s="1068"/>
      <c r="Y4" s="1068"/>
      <c r="Z4" s="1068"/>
      <c r="AA4" s="1069"/>
      <c r="AC4"/>
      <c r="AD4"/>
      <c r="AE4" s="110"/>
    </row>
    <row r="5" spans="1:34" s="51" customFormat="1" ht="18" customHeight="1" x14ac:dyDescent="0.2">
      <c r="A5" s="47"/>
      <c r="B5" s="47"/>
      <c r="C5" s="47"/>
      <c r="D5" s="47"/>
      <c r="E5" s="188"/>
      <c r="K5" s="1070"/>
      <c r="L5" s="1071"/>
      <c r="M5" s="1072"/>
      <c r="N5" s="190"/>
      <c r="O5" s="1073" t="s">
        <v>1395</v>
      </c>
      <c r="P5" s="1074"/>
      <c r="Q5" s="1074"/>
      <c r="R5" s="1074"/>
      <c r="S5" s="1074"/>
      <c r="T5" s="1074"/>
      <c r="U5" s="1074"/>
      <c r="V5" s="1074"/>
      <c r="W5" s="1074"/>
      <c r="X5" s="1074"/>
      <c r="Y5" s="1075"/>
      <c r="Z5" s="191"/>
      <c r="AA5" s="185"/>
      <c r="AC5"/>
      <c r="AD5"/>
      <c r="AE5" s="110"/>
    </row>
    <row r="6" spans="1:34" s="51" customFormat="1" ht="111" customHeight="1" x14ac:dyDescent="0.3">
      <c r="A6" s="180" t="s">
        <v>108</v>
      </c>
      <c r="B6" s="180" t="s">
        <v>109</v>
      </c>
      <c r="C6" s="180" t="s">
        <v>110</v>
      </c>
      <c r="D6" s="180" t="s">
        <v>111</v>
      </c>
      <c r="E6" s="936" t="s">
        <v>103</v>
      </c>
      <c r="F6" s="1000" t="s">
        <v>104</v>
      </c>
      <c r="G6" s="1000" t="s">
        <v>1317</v>
      </c>
      <c r="H6" s="1000" t="s">
        <v>106</v>
      </c>
      <c r="I6" s="184" t="s">
        <v>1318</v>
      </c>
      <c r="J6" s="184" t="s">
        <v>1319</v>
      </c>
      <c r="K6" s="999" t="s">
        <v>1320</v>
      </c>
      <c r="L6" s="999" t="s">
        <v>1321</v>
      </c>
      <c r="M6" s="1000" t="s">
        <v>1322</v>
      </c>
      <c r="N6" s="184" t="s">
        <v>1323</v>
      </c>
      <c r="O6" s="186" t="s">
        <v>1324</v>
      </c>
      <c r="P6" s="186" t="s">
        <v>1325</v>
      </c>
      <c r="Q6" s="472" t="s">
        <v>1326</v>
      </c>
      <c r="R6" s="937" t="s">
        <v>1327</v>
      </c>
      <c r="S6" s="937" t="s">
        <v>1328</v>
      </c>
      <c r="T6" s="938" t="s">
        <v>1329</v>
      </c>
      <c r="U6" s="938" t="s">
        <v>1330</v>
      </c>
      <c r="V6" s="939" t="s">
        <v>1037</v>
      </c>
      <c r="W6" s="939" t="s">
        <v>1396</v>
      </c>
      <c r="X6" s="939" t="s">
        <v>1333</v>
      </c>
      <c r="Y6" s="999" t="s">
        <v>1334</v>
      </c>
      <c r="Z6" s="1000" t="s">
        <v>129</v>
      </c>
      <c r="AA6" s="1000" t="s">
        <v>130</v>
      </c>
      <c r="AC6"/>
      <c r="AD6"/>
    </row>
    <row r="7" spans="1:34" s="2" customFormat="1" ht="64.5" customHeight="1" x14ac:dyDescent="0.2">
      <c r="A7" s="205"/>
      <c r="B7" s="227"/>
      <c r="C7" s="227"/>
      <c r="D7" s="227"/>
      <c r="E7" s="5" t="s">
        <v>1397</v>
      </c>
      <c r="F7" s="5" t="s">
        <v>134</v>
      </c>
      <c r="G7" s="943" t="s">
        <v>1398</v>
      </c>
      <c r="H7" s="316" t="s">
        <v>1399</v>
      </c>
      <c r="I7" s="12" t="s">
        <v>1400</v>
      </c>
      <c r="J7" s="12" t="s">
        <v>52</v>
      </c>
      <c r="K7" s="13" t="s">
        <v>131</v>
      </c>
      <c r="L7" s="73" t="s">
        <v>131</v>
      </c>
      <c r="M7" s="13"/>
      <c r="N7" s="13"/>
      <c r="O7" s="73"/>
      <c r="P7" s="73"/>
      <c r="Q7" s="13"/>
      <c r="R7" s="13"/>
      <c r="S7" s="13"/>
      <c r="T7" s="12"/>
      <c r="U7" s="13"/>
      <c r="V7" s="13"/>
      <c r="W7" s="12"/>
      <c r="X7" s="944"/>
      <c r="Y7" s="8"/>
      <c r="Z7" s="8"/>
      <c r="AA7" s="12">
        <v>0</v>
      </c>
      <c r="AC7"/>
      <c r="AD7"/>
      <c r="AE7" s="201"/>
      <c r="AF7" s="201"/>
      <c r="AG7" s="201"/>
      <c r="AH7" s="201"/>
    </row>
    <row r="8" spans="1:34" s="2" customFormat="1" ht="50.25" customHeight="1" x14ac:dyDescent="0.3">
      <c r="B8" s="22"/>
      <c r="C8" s="22"/>
      <c r="D8" s="22"/>
      <c r="E8" s="231" t="s">
        <v>421</v>
      </c>
      <c r="F8" s="17"/>
      <c r="G8" s="940"/>
      <c r="H8" s="940"/>
      <c r="I8" s="940"/>
      <c r="J8" s="940"/>
      <c r="K8" s="68"/>
      <c r="L8" s="68"/>
      <c r="M8" s="68"/>
      <c r="N8" s="68"/>
      <c r="O8" s="780"/>
      <c r="P8" s="941"/>
      <c r="Q8" s="161"/>
      <c r="R8" s="68"/>
      <c r="S8" s="161"/>
      <c r="T8" s="161"/>
      <c r="U8" s="161"/>
      <c r="V8" s="68"/>
      <c r="W8" s="161"/>
      <c r="X8" s="161"/>
      <c r="Y8" s="61"/>
      <c r="Z8" s="940"/>
      <c r="AA8" s="942"/>
      <c r="AC8"/>
      <c r="AD8"/>
      <c r="AE8" s="201"/>
      <c r="AF8" s="201"/>
      <c r="AG8" s="201"/>
      <c r="AH8" s="201"/>
    </row>
    <row r="9" spans="1:34" s="2" customFormat="1" ht="46.5" customHeight="1" x14ac:dyDescent="0.3">
      <c r="B9" s="22"/>
      <c r="C9" s="22"/>
      <c r="D9" s="22"/>
      <c r="E9" s="171">
        <v>1</v>
      </c>
      <c r="F9" s="5"/>
      <c r="G9" s="155"/>
      <c r="H9" s="155"/>
      <c r="I9" s="155"/>
      <c r="J9" s="155"/>
      <c r="K9" s="13"/>
      <c r="L9" s="73"/>
      <c r="M9" s="13"/>
      <c r="N9" s="13"/>
      <c r="O9" s="73"/>
      <c r="P9" s="12"/>
      <c r="Q9" s="12"/>
      <c r="R9" s="13"/>
      <c r="S9" s="12"/>
      <c r="T9" s="12"/>
      <c r="U9" s="12"/>
      <c r="V9" s="13"/>
      <c r="W9" s="12"/>
      <c r="X9" s="12"/>
      <c r="Y9" s="8"/>
      <c r="Z9" s="155"/>
      <c r="AA9" s="322"/>
      <c r="AC9"/>
      <c r="AD9"/>
    </row>
    <row r="10" spans="1:34" ht="13.4" customHeight="1" x14ac:dyDescent="0.2">
      <c r="A10" s="15"/>
      <c r="B10" s="2"/>
      <c r="C10" s="2"/>
      <c r="D10" s="2"/>
      <c r="Z10" s="229"/>
    </row>
    <row r="11" spans="1:34" ht="13.4" customHeight="1" x14ac:dyDescent="0.2">
      <c r="A11" s="2"/>
      <c r="B11" s="2"/>
      <c r="C11" s="2"/>
      <c r="D11" s="2"/>
    </row>
    <row r="12" spans="1:34" ht="13.4" customHeight="1" x14ac:dyDescent="0.2">
      <c r="A12" s="2"/>
      <c r="B12" s="2"/>
      <c r="C12" s="2"/>
      <c r="D12" s="2"/>
    </row>
    <row r="13" spans="1:34" ht="13.4" customHeight="1" x14ac:dyDescent="0.2">
      <c r="A13" s="2"/>
      <c r="B13" s="2"/>
      <c r="C13" s="2"/>
      <c r="D13" s="2"/>
    </row>
    <row r="14" spans="1:34" ht="13.4" customHeight="1" x14ac:dyDescent="0.2">
      <c r="A14" s="2"/>
      <c r="B14" s="2"/>
      <c r="C14" s="2"/>
      <c r="D14" s="2"/>
    </row>
    <row r="15" spans="1:34" ht="13.4" customHeight="1" x14ac:dyDescent="0.2">
      <c r="A15" s="2"/>
      <c r="B15" s="2"/>
      <c r="C15" s="2"/>
      <c r="D15" s="2"/>
    </row>
    <row r="16" spans="1:34" ht="13.4" customHeight="1" x14ac:dyDescent="0.2">
      <c r="A16" s="2"/>
      <c r="B16" s="2"/>
      <c r="C16" s="2"/>
      <c r="D16" s="2"/>
    </row>
    <row r="17" spans="1:4" ht="13.4" customHeight="1" x14ac:dyDescent="0.2">
      <c r="A17" s="2"/>
      <c r="B17" s="2"/>
      <c r="C17" s="2"/>
      <c r="D17" s="2"/>
    </row>
    <row r="18" spans="1:4" ht="13.4" customHeight="1" x14ac:dyDescent="0.2">
      <c r="A18" s="2"/>
      <c r="B18" s="2"/>
      <c r="C18" s="2"/>
      <c r="D18" s="2"/>
    </row>
    <row r="19" spans="1:4" ht="13.4" customHeight="1" x14ac:dyDescent="0.2">
      <c r="A19" s="2"/>
      <c r="B19" s="2"/>
      <c r="C19" s="2"/>
      <c r="D19" s="2"/>
    </row>
    <row r="20" spans="1:4" ht="13.4" customHeight="1" x14ac:dyDescent="0.2">
      <c r="A20" s="2"/>
      <c r="B20" s="2"/>
      <c r="C20" s="2"/>
      <c r="D20" s="2"/>
    </row>
    <row r="21" spans="1:4" ht="13.4" customHeight="1" x14ac:dyDescent="0.2">
      <c r="A21" s="2"/>
      <c r="B21" s="2"/>
      <c r="C21" s="2"/>
      <c r="D21" s="2"/>
    </row>
    <row r="22" spans="1:4" ht="14" x14ac:dyDescent="0.2">
      <c r="A22" s="2"/>
      <c r="B22" s="2"/>
      <c r="C22" s="2"/>
      <c r="D22" s="2"/>
    </row>
    <row r="23" spans="1:4" ht="14" x14ac:dyDescent="0.2">
      <c r="A23" s="2"/>
      <c r="B23" s="2"/>
      <c r="C23" s="2"/>
      <c r="D23" s="2"/>
    </row>
    <row r="24" spans="1:4" ht="13.4" customHeight="1" x14ac:dyDescent="0.2">
      <c r="A24" s="2"/>
      <c r="B24" s="2"/>
      <c r="C24" s="2"/>
      <c r="D24" s="2"/>
    </row>
    <row r="25" spans="1:4" ht="13.4" customHeight="1" x14ac:dyDescent="0.2">
      <c r="A25" s="2"/>
      <c r="B25" s="2"/>
      <c r="C25" s="2"/>
      <c r="D25" s="2"/>
    </row>
    <row r="26" spans="1:4" ht="13.4" customHeight="1" x14ac:dyDescent="0.2">
      <c r="A26" s="2"/>
      <c r="B26" s="2"/>
      <c r="C26" s="2"/>
      <c r="D26" s="2"/>
    </row>
    <row r="27" spans="1:4" ht="13.4" customHeight="1" x14ac:dyDescent="0.2">
      <c r="A27" s="2"/>
      <c r="B27" s="2"/>
      <c r="C27" s="2"/>
      <c r="D27" s="2"/>
    </row>
    <row r="28" spans="1:4" ht="13.4" customHeight="1" x14ac:dyDescent="0.2">
      <c r="A28" s="2"/>
      <c r="B28" s="2"/>
      <c r="C28" s="2"/>
      <c r="D28" s="2"/>
    </row>
    <row r="29" spans="1:4" ht="13.4" customHeight="1" x14ac:dyDescent="0.2">
      <c r="A29" s="2"/>
      <c r="B29" s="2"/>
      <c r="C29" s="2"/>
      <c r="D29" s="2"/>
    </row>
    <row r="30" spans="1:4" ht="13.4" customHeight="1" x14ac:dyDescent="0.2">
      <c r="A30" s="2"/>
      <c r="B30" s="2"/>
      <c r="C30" s="2"/>
      <c r="D30" s="2"/>
    </row>
    <row r="31" spans="1:4" ht="13.4" customHeight="1" x14ac:dyDescent="0.2">
      <c r="A31" s="2"/>
      <c r="B31" s="2"/>
      <c r="C31" s="2"/>
      <c r="D31" s="2"/>
    </row>
    <row r="32" spans="1:4" ht="13.4" customHeight="1" x14ac:dyDescent="0.2">
      <c r="A32" s="2"/>
      <c r="B32" s="2"/>
      <c r="C32" s="2"/>
      <c r="D32" s="2"/>
    </row>
    <row r="33" spans="1:4" ht="13.4" customHeight="1" x14ac:dyDescent="0.2">
      <c r="A33" s="2"/>
      <c r="B33" s="2"/>
      <c r="C33" s="2"/>
      <c r="D33" s="2"/>
    </row>
    <row r="34" spans="1:4" ht="13.4" customHeight="1" x14ac:dyDescent="0.2">
      <c r="A34" s="2"/>
      <c r="B34" s="2"/>
      <c r="C34" s="2"/>
      <c r="D34" s="2"/>
    </row>
    <row r="50" spans="3:3" ht="13.4" customHeight="1" x14ac:dyDescent="0.2">
      <c r="C50" s="3" t="s">
        <v>15</v>
      </c>
    </row>
    <row r="93" ht="14" x14ac:dyDescent="0.2"/>
    <row r="115" ht="14" x14ac:dyDescent="0.2"/>
  </sheetData>
  <autoFilter ref="E6:Z9" xr:uid="{00000000-0009-0000-0000-000006000000}"/>
  <dataConsolidate/>
  <mergeCells count="3">
    <mergeCell ref="K5:M5"/>
    <mergeCell ref="O5:Y5"/>
    <mergeCell ref="E4:AA4"/>
  </mergeCells>
  <conditionalFormatting sqref="E7">
    <cfRule type="expression" dxfId="34" priority="3903">
      <formula>LEN(E7)&gt;16</formula>
    </cfRule>
    <cfRule type="duplicateValues" dxfId="33" priority="3904"/>
  </conditionalFormatting>
  <conditionalFormatting sqref="H7:H9">
    <cfRule type="expression" dxfId="32" priority="1">
      <formula>LEN(H7)&gt;24</formula>
    </cfRule>
  </conditionalFormatting>
  <printOptions horizontalCentered="1"/>
  <pageMargins left="0.39370078740157483" right="0.39370078740157483" top="0.59055118110236227" bottom="0.59055118110236227" header="0.59055118110236227" footer="0.39370078740157483"/>
  <pageSetup paperSize="8" scale="32" fitToHeight="0" orientation="landscape" r:id="rId1"/>
  <headerFooter scaleWithDoc="0"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8">
    <tabColor indexed="12"/>
    <pageSetUpPr fitToPage="1"/>
  </sheetPr>
  <dimension ref="A1:BL115"/>
  <sheetViews>
    <sheetView view="pageBreakPreview" topLeftCell="V1" zoomScale="70" zoomScaleNormal="25" zoomScaleSheetLayoutView="70" workbookViewId="0">
      <selection activeCell="F8" sqref="F8:F9"/>
    </sheetView>
  </sheetViews>
  <sheetFormatPr defaultColWidth="18.6640625" defaultRowHeight="13.4" customHeight="1" outlineLevelCol="1" x14ac:dyDescent="0.3"/>
  <cols>
    <col min="1" max="1" width="19.109375" style="2" hidden="1" customWidth="1"/>
    <col min="2" max="2" width="14.44140625" style="2" hidden="1" customWidth="1"/>
    <col min="3" max="3" width="19.109375" style="2" hidden="1" customWidth="1"/>
    <col min="4" max="4" width="15.44140625" style="2" hidden="1" customWidth="1"/>
    <col min="5" max="5" width="27" style="2" customWidth="1"/>
    <col min="6" max="6" width="27" style="2" bestFit="1" customWidth="1"/>
    <col min="7" max="7" width="32.6640625" style="3" customWidth="1"/>
    <col min="8" max="8" width="90.44140625" style="2" customWidth="1" outlineLevel="1"/>
    <col min="9" max="9" width="66.33203125" style="2" bestFit="1" customWidth="1"/>
    <col min="10" max="10" width="26.6640625" style="2" bestFit="1" customWidth="1"/>
    <col min="11" max="11" width="23" style="2" bestFit="1" customWidth="1"/>
    <col min="12" max="12" width="19.109375" style="2" bestFit="1" customWidth="1"/>
    <col min="13" max="13" width="24.44140625" style="2" bestFit="1" customWidth="1"/>
    <col min="14" max="14" width="27.109375" style="2" bestFit="1" customWidth="1"/>
    <col min="15" max="15" width="23.33203125" style="10" customWidth="1" outlineLevel="1"/>
    <col min="16" max="16" width="15.6640625" style="10" customWidth="1" outlineLevel="1"/>
    <col min="17" max="17" width="10.6640625" style="10" customWidth="1" outlineLevel="1"/>
    <col min="18" max="18" width="15.6640625" style="89" customWidth="1" outlineLevel="1"/>
    <col min="19" max="19" width="17.33203125" style="98" customWidth="1" outlineLevel="1"/>
    <col min="20" max="20" width="15.6640625" style="97" customWidth="1" outlineLevel="1"/>
    <col min="21" max="23" width="10.6640625" style="89" customWidth="1" outlineLevel="1"/>
    <col min="24" max="24" width="13.33203125" style="89" customWidth="1" outlineLevel="1"/>
    <col min="25" max="26" width="10.6640625" style="89" customWidth="1" outlineLevel="1"/>
    <col min="27" max="27" width="13.44140625" style="89" customWidth="1" outlineLevel="1"/>
    <col min="28" max="32" width="10.6640625" style="89" customWidth="1" outlineLevel="1"/>
    <col min="33" max="33" width="15.109375" style="89" customWidth="1" outlineLevel="1"/>
    <col min="34" max="40" width="10.6640625" style="89" customWidth="1" outlineLevel="1"/>
    <col min="41" max="41" width="50.44140625" style="89" customWidth="1" outlineLevel="1"/>
    <col min="42" max="42" width="21.6640625" style="3" bestFit="1" customWidth="1"/>
    <col min="43" max="43" width="21.6640625" style="18" bestFit="1" customWidth="1"/>
    <col min="44" max="44" width="26" style="18" customWidth="1"/>
    <col min="45" max="45" width="24.6640625" style="18" customWidth="1"/>
    <col min="46" max="46" width="18.44140625" style="3" bestFit="1" customWidth="1"/>
    <col min="47" max="47" width="45.6640625" style="3" bestFit="1" customWidth="1"/>
    <col min="48" max="48" width="31.109375" style="3" bestFit="1" customWidth="1"/>
    <col min="49" max="49" width="23.6640625" style="3" bestFit="1" customWidth="1"/>
    <col min="50" max="50" width="15" style="3" bestFit="1" customWidth="1"/>
    <col min="51" max="51" width="13.6640625" style="3" bestFit="1" customWidth="1"/>
    <col min="52" max="52" width="15" style="3" bestFit="1" customWidth="1"/>
    <col min="53" max="53" width="155.6640625" style="11" customWidth="1"/>
    <col min="54" max="54" width="11.109375" style="3" customWidth="1"/>
    <col min="55" max="55" width="14.44140625" style="62" customWidth="1"/>
    <col min="56" max="56" width="16.44140625" style="62" bestFit="1" customWidth="1"/>
    <col min="57" max="57" width="6.109375" style="2" bestFit="1" customWidth="1"/>
    <col min="58" max="58" width="33.6640625" style="2" bestFit="1" customWidth="1"/>
    <col min="59" max="16384" width="18.6640625" style="2"/>
  </cols>
  <sheetData>
    <row r="1" spans="1:64" s="30" customFormat="1" ht="21.75" customHeight="1" x14ac:dyDescent="0.4">
      <c r="E1" s="19" t="s">
        <v>1</v>
      </c>
      <c r="F1" s="19"/>
      <c r="H1" s="19"/>
      <c r="I1" s="19"/>
      <c r="J1" s="132"/>
      <c r="K1" s="19"/>
      <c r="L1" s="19"/>
      <c r="M1" s="19"/>
      <c r="N1" s="19"/>
      <c r="R1" s="28"/>
      <c r="S1" s="28"/>
      <c r="T1" s="28"/>
      <c r="U1" s="92"/>
      <c r="V1" s="92"/>
      <c r="W1" s="92"/>
      <c r="X1" s="92"/>
      <c r="Y1" s="92"/>
      <c r="Z1" s="92"/>
      <c r="AA1" s="92"/>
      <c r="AB1" s="92"/>
      <c r="AC1" s="92"/>
      <c r="AD1" s="92"/>
      <c r="AE1" s="92"/>
      <c r="AF1" s="92"/>
      <c r="AG1" s="92"/>
      <c r="AH1" s="93"/>
      <c r="AI1" s="92"/>
      <c r="AJ1" s="93"/>
      <c r="AK1" s="92"/>
      <c r="AL1" s="93"/>
      <c r="AM1" s="93"/>
      <c r="AN1" s="93"/>
      <c r="AO1" s="93"/>
      <c r="AQ1" s="39"/>
      <c r="AR1" s="39"/>
      <c r="AS1" s="39"/>
      <c r="AT1" s="31"/>
      <c r="AU1" s="32"/>
      <c r="AV1" s="32"/>
      <c r="AW1" s="32"/>
      <c r="AX1" s="26"/>
      <c r="AY1" s="26"/>
      <c r="AZ1" s="26"/>
      <c r="BA1" s="31"/>
      <c r="BB1" s="26"/>
      <c r="BC1" s="828"/>
      <c r="BD1" s="828"/>
      <c r="BE1" s="69"/>
    </row>
    <row r="2" spans="1:64" s="30" customFormat="1" ht="21.75" customHeight="1" x14ac:dyDescent="0.4">
      <c r="E2" s="19" t="s">
        <v>37</v>
      </c>
      <c r="F2" s="19"/>
      <c r="H2" s="19"/>
      <c r="I2" s="19"/>
      <c r="J2" s="42"/>
      <c r="K2" s="19"/>
      <c r="L2" s="19"/>
      <c r="M2" s="19"/>
      <c r="N2" s="19"/>
      <c r="R2" s="79"/>
      <c r="S2" s="79"/>
      <c r="T2" s="79"/>
      <c r="U2" s="174"/>
      <c r="V2" s="79"/>
      <c r="W2" s="79"/>
      <c r="X2" s="79"/>
      <c r="Y2" s="79"/>
      <c r="Z2" s="79"/>
      <c r="AA2" s="79"/>
      <c r="AB2" s="79"/>
      <c r="AC2" s="79"/>
      <c r="AD2" s="79"/>
      <c r="AE2" s="79"/>
      <c r="AF2" s="79"/>
      <c r="AG2" s="79"/>
      <c r="AH2" s="79"/>
      <c r="AI2" s="79"/>
      <c r="AJ2" s="79"/>
      <c r="AK2" s="79"/>
      <c r="AL2" s="79"/>
      <c r="AM2" s="79"/>
      <c r="AN2" s="79"/>
      <c r="AO2" s="79"/>
      <c r="AQ2" s="39"/>
      <c r="AR2" s="39"/>
      <c r="AS2" s="39"/>
      <c r="AT2" s="31"/>
      <c r="AU2" s="32"/>
      <c r="AV2" s="32"/>
      <c r="AW2" s="32"/>
      <c r="AX2" s="26"/>
      <c r="AY2" s="26"/>
      <c r="AZ2" s="26"/>
      <c r="BA2" s="31"/>
      <c r="BB2" s="26"/>
      <c r="BC2" s="829"/>
      <c r="BD2" s="829"/>
      <c r="BE2"/>
      <c r="BF2"/>
      <c r="BG2"/>
    </row>
    <row r="3" spans="1:64" s="30" customFormat="1" ht="21.75" customHeight="1" thickBot="1" x14ac:dyDescent="0.45">
      <c r="E3" s="80" t="s">
        <v>2</v>
      </c>
      <c r="F3" s="80"/>
      <c r="H3" s="25"/>
      <c r="I3" s="25"/>
      <c r="J3" s="25"/>
      <c r="K3" s="25"/>
      <c r="L3" s="25"/>
      <c r="M3" s="25"/>
      <c r="N3" s="25"/>
      <c r="R3" s="101"/>
      <c r="S3" s="101"/>
      <c r="T3" s="79"/>
      <c r="U3" s="101"/>
      <c r="V3" s="101"/>
      <c r="W3" s="101"/>
      <c r="X3" s="101"/>
      <c r="Y3" s="101"/>
      <c r="Z3" s="101"/>
      <c r="AA3" s="101"/>
      <c r="AB3" s="101"/>
      <c r="AC3" s="101"/>
      <c r="AD3" s="101"/>
      <c r="AE3" s="101"/>
      <c r="AF3" s="101"/>
      <c r="AG3" s="101"/>
      <c r="AH3" s="79"/>
      <c r="AI3" s="101"/>
      <c r="AJ3" s="79"/>
      <c r="AK3" s="101"/>
      <c r="AL3" s="79"/>
      <c r="AM3" s="101"/>
      <c r="AN3" s="101"/>
      <c r="AO3" s="79"/>
      <c r="AP3" s="33"/>
      <c r="AQ3" s="40"/>
      <c r="AR3" s="40"/>
      <c r="AS3" s="40"/>
      <c r="AT3" s="38"/>
      <c r="AU3" s="37"/>
      <c r="AV3" s="37"/>
      <c r="AW3" s="37"/>
      <c r="AX3" s="27"/>
      <c r="AY3" s="27"/>
      <c r="AZ3" s="27"/>
      <c r="BA3" s="38"/>
      <c r="BB3" s="26"/>
      <c r="BC3" s="829"/>
      <c r="BD3" s="829"/>
      <c r="BE3"/>
      <c r="BF3"/>
      <c r="BG3"/>
    </row>
    <row r="4" spans="1:64" s="42" customFormat="1" ht="20.5" thickBot="1" x14ac:dyDescent="0.25">
      <c r="E4" s="1079" t="s">
        <v>72</v>
      </c>
      <c r="F4" s="1068"/>
      <c r="G4" s="1068"/>
      <c r="H4" s="1068"/>
      <c r="I4" s="1068"/>
      <c r="J4" s="1068"/>
      <c r="K4" s="1068"/>
      <c r="L4" s="1068"/>
      <c r="M4" s="1068"/>
      <c r="N4" s="1068"/>
      <c r="O4" s="1068"/>
      <c r="P4" s="1068"/>
      <c r="Q4" s="1068"/>
      <c r="R4" s="1068"/>
      <c r="S4" s="1068"/>
      <c r="T4" s="1068"/>
      <c r="U4" s="1068"/>
      <c r="V4" s="1068"/>
      <c r="W4" s="1068"/>
      <c r="X4" s="1068"/>
      <c r="Y4" s="1068"/>
      <c r="Z4" s="1068"/>
      <c r="AA4" s="1068"/>
      <c r="AB4" s="1068"/>
      <c r="AC4" s="1068"/>
      <c r="AD4" s="1068"/>
      <c r="AE4" s="1068"/>
      <c r="AF4" s="1068"/>
      <c r="AG4" s="1068"/>
      <c r="AH4" s="1068"/>
      <c r="AI4" s="1068"/>
      <c r="AJ4" s="1068"/>
      <c r="AK4" s="1068"/>
      <c r="AL4" s="1068"/>
      <c r="AM4" s="1068"/>
      <c r="AN4" s="1068"/>
      <c r="AO4" s="1068"/>
      <c r="AP4" s="1068"/>
      <c r="AQ4" s="1068"/>
      <c r="AR4" s="1068"/>
      <c r="AS4" s="1068"/>
      <c r="AT4" s="1068"/>
      <c r="AU4" s="1068"/>
      <c r="AV4" s="1068"/>
      <c r="AW4" s="1068"/>
      <c r="AX4" s="1068"/>
      <c r="AY4" s="1068"/>
      <c r="AZ4" s="1068"/>
      <c r="BA4" s="1068"/>
      <c r="BB4" s="1080"/>
      <c r="BC4"/>
      <c r="BD4"/>
      <c r="BE4"/>
      <c r="BF4"/>
      <c r="BG4"/>
    </row>
    <row r="5" spans="1:64" s="51" customFormat="1" ht="15" customHeight="1" x14ac:dyDescent="0.2">
      <c r="E5" s="159"/>
      <c r="F5" s="133"/>
      <c r="G5" s="182"/>
      <c r="H5" s="86"/>
      <c r="I5" s="86"/>
      <c r="J5" s="86"/>
      <c r="K5" s="1085" t="s">
        <v>1401</v>
      </c>
      <c r="L5" s="1086"/>
      <c r="M5" s="1087"/>
      <c r="N5" s="979"/>
      <c r="O5" s="1076" t="s">
        <v>1402</v>
      </c>
      <c r="P5" s="1077"/>
      <c r="Q5" s="1078"/>
      <c r="R5" s="1088" t="s">
        <v>90</v>
      </c>
      <c r="S5" s="1082"/>
      <c r="T5" s="1083"/>
      <c r="U5" s="1081" t="s">
        <v>107</v>
      </c>
      <c r="V5" s="1082"/>
      <c r="W5" s="1082"/>
      <c r="X5" s="1082"/>
      <c r="Y5" s="1082"/>
      <c r="Z5" s="1082"/>
      <c r="AA5" s="1082"/>
      <c r="AB5" s="1082"/>
      <c r="AC5" s="1082"/>
      <c r="AD5" s="1082"/>
      <c r="AE5" s="1082"/>
      <c r="AF5" s="1083"/>
      <c r="AG5" s="1081" t="s">
        <v>41</v>
      </c>
      <c r="AH5" s="1082"/>
      <c r="AI5" s="1082"/>
      <c r="AJ5" s="1082"/>
      <c r="AK5" s="1082"/>
      <c r="AL5" s="1082"/>
      <c r="AM5" s="1082"/>
      <c r="AN5" s="1083"/>
      <c r="AO5" s="976"/>
      <c r="AP5" s="1084" t="s">
        <v>1403</v>
      </c>
      <c r="AQ5" s="1071"/>
      <c r="AR5" s="1071"/>
      <c r="AS5" s="1071"/>
      <c r="AT5" s="1071"/>
      <c r="AU5" s="1071"/>
      <c r="AV5" s="1071"/>
      <c r="AW5" s="1071"/>
      <c r="AX5" s="1071"/>
      <c r="AY5" s="1071"/>
      <c r="AZ5" s="1072"/>
      <c r="BA5" s="1056" t="s">
        <v>1404</v>
      </c>
      <c r="BB5" s="1056" t="s">
        <v>130</v>
      </c>
      <c r="BC5"/>
      <c r="BD5"/>
      <c r="BE5"/>
      <c r="BF5"/>
      <c r="BG5"/>
    </row>
    <row r="6" spans="1:64" s="51" customFormat="1" ht="68.25" customHeight="1" x14ac:dyDescent="0.3">
      <c r="A6" s="180" t="s">
        <v>108</v>
      </c>
      <c r="B6" s="180" t="s">
        <v>109</v>
      </c>
      <c r="C6" s="180" t="s">
        <v>110</v>
      </c>
      <c r="D6" s="180" t="s">
        <v>111</v>
      </c>
      <c r="E6" s="969" t="s">
        <v>102</v>
      </c>
      <c r="F6" s="60" t="s">
        <v>103</v>
      </c>
      <c r="G6" s="974" t="s">
        <v>104</v>
      </c>
      <c r="H6" s="177" t="s">
        <v>1405</v>
      </c>
      <c r="I6" s="966" t="s">
        <v>106</v>
      </c>
      <c r="J6" s="969" t="s">
        <v>1406</v>
      </c>
      <c r="K6" s="971" t="s">
        <v>1320</v>
      </c>
      <c r="L6" s="971" t="s">
        <v>1321</v>
      </c>
      <c r="M6" s="971" t="s">
        <v>1407</v>
      </c>
      <c r="N6" s="969" t="s">
        <v>1408</v>
      </c>
      <c r="O6" s="980" t="s">
        <v>113</v>
      </c>
      <c r="P6" s="312" t="s">
        <v>114</v>
      </c>
      <c r="Q6" s="313" t="s">
        <v>115</v>
      </c>
      <c r="R6" s="194" t="s">
        <v>113</v>
      </c>
      <c r="S6" s="225" t="s">
        <v>114</v>
      </c>
      <c r="T6" s="194" t="s">
        <v>115</v>
      </c>
      <c r="U6" s="308" t="s">
        <v>84</v>
      </c>
      <c r="V6" s="194" t="s">
        <v>116</v>
      </c>
      <c r="W6" s="309" t="s">
        <v>117</v>
      </c>
      <c r="X6" s="194" t="s">
        <v>79</v>
      </c>
      <c r="Y6" s="194" t="s">
        <v>118</v>
      </c>
      <c r="Z6" s="309" t="s">
        <v>119</v>
      </c>
      <c r="AA6" s="194" t="s">
        <v>82</v>
      </c>
      <c r="AB6" s="194" t="s">
        <v>120</v>
      </c>
      <c r="AC6" s="309" t="s">
        <v>121</v>
      </c>
      <c r="AD6" s="194" t="s">
        <v>86</v>
      </c>
      <c r="AE6" s="194" t="s">
        <v>122</v>
      </c>
      <c r="AF6" s="614" t="s">
        <v>123</v>
      </c>
      <c r="AG6" s="310" t="s">
        <v>73</v>
      </c>
      <c r="AH6" s="192" t="s">
        <v>124</v>
      </c>
      <c r="AI6" s="311" t="s">
        <v>67</v>
      </c>
      <c r="AJ6" s="192" t="s">
        <v>125</v>
      </c>
      <c r="AK6" s="311" t="s">
        <v>70</v>
      </c>
      <c r="AL6" s="192" t="s">
        <v>126</v>
      </c>
      <c r="AM6" s="311" t="s">
        <v>76</v>
      </c>
      <c r="AN6" s="192" t="s">
        <v>127</v>
      </c>
      <c r="AO6" s="615" t="s">
        <v>128</v>
      </c>
      <c r="AP6" s="565" t="s">
        <v>1409</v>
      </c>
      <c r="AQ6" s="566" t="s">
        <v>1410</v>
      </c>
      <c r="AR6" s="566" t="s">
        <v>1411</v>
      </c>
      <c r="AS6" s="566" t="s">
        <v>1412</v>
      </c>
      <c r="AT6" s="565" t="s">
        <v>115</v>
      </c>
      <c r="AU6" s="565" t="s">
        <v>1413</v>
      </c>
      <c r="AV6" s="565" t="s">
        <v>1414</v>
      </c>
      <c r="AW6" s="968" t="s">
        <v>1415</v>
      </c>
      <c r="AX6" s="565" t="s">
        <v>1416</v>
      </c>
      <c r="AY6" s="565" t="s">
        <v>1417</v>
      </c>
      <c r="AZ6" s="565" t="s">
        <v>1418</v>
      </c>
      <c r="BA6" s="1057"/>
      <c r="BB6" s="1057"/>
      <c r="BC6"/>
      <c r="BD6"/>
      <c r="BE6"/>
      <c r="BF6"/>
      <c r="BG6"/>
    </row>
    <row r="7" spans="1:64" s="51" customFormat="1" ht="174.75" customHeight="1" x14ac:dyDescent="0.3">
      <c r="A7" s="262"/>
      <c r="B7" s="262"/>
      <c r="C7" s="262"/>
      <c r="D7" s="275"/>
      <c r="E7" s="271" t="s">
        <v>1419</v>
      </c>
      <c r="F7" s="264" t="s">
        <v>1420</v>
      </c>
      <c r="G7" s="271" t="s">
        <v>134</v>
      </c>
      <c r="H7" s="271" t="s">
        <v>1421</v>
      </c>
      <c r="I7" s="427" t="s">
        <v>1422</v>
      </c>
      <c r="J7" s="981" t="s">
        <v>1423</v>
      </c>
      <c r="K7" s="981" t="s">
        <v>131</v>
      </c>
      <c r="L7" s="981" t="s">
        <v>131</v>
      </c>
      <c r="M7" s="981"/>
      <c r="N7" s="559" t="s">
        <v>1419</v>
      </c>
      <c r="O7" s="560">
        <v>30</v>
      </c>
      <c r="P7" s="561">
        <v>42</v>
      </c>
      <c r="Q7" s="561" t="s">
        <v>213</v>
      </c>
      <c r="R7" s="560">
        <v>0</v>
      </c>
      <c r="S7" s="561">
        <v>100</v>
      </c>
      <c r="T7" s="561" t="s">
        <v>213</v>
      </c>
      <c r="U7" s="559"/>
      <c r="V7" s="559"/>
      <c r="W7" s="559"/>
      <c r="X7" s="196">
        <v>35</v>
      </c>
      <c r="Y7" s="264">
        <v>5</v>
      </c>
      <c r="Z7" s="264"/>
      <c r="AA7" s="264">
        <v>41</v>
      </c>
      <c r="AB7" s="264">
        <v>5</v>
      </c>
      <c r="AC7" s="264"/>
      <c r="AD7" s="264"/>
      <c r="AE7" s="264"/>
      <c r="AF7" s="564"/>
      <c r="AG7" s="617"/>
      <c r="AH7" s="196"/>
      <c r="AI7" s="196"/>
      <c r="AJ7" s="196"/>
      <c r="AK7" s="196">
        <v>43</v>
      </c>
      <c r="AL7" s="196">
        <v>5</v>
      </c>
      <c r="AM7" s="196">
        <v>46</v>
      </c>
      <c r="AN7" s="618">
        <v>5</v>
      </c>
      <c r="AO7" s="616"/>
      <c r="AP7" s="73">
        <v>0</v>
      </c>
      <c r="AQ7" s="73">
        <v>100</v>
      </c>
      <c r="AR7" s="13">
        <v>0</v>
      </c>
      <c r="AS7" s="13">
        <v>100</v>
      </c>
      <c r="AT7" s="567" t="s">
        <v>1424</v>
      </c>
      <c r="AU7" s="13" t="s">
        <v>1425</v>
      </c>
      <c r="AV7" s="13" t="s">
        <v>1397</v>
      </c>
      <c r="AW7" s="13" t="s">
        <v>1426</v>
      </c>
      <c r="AX7" s="13"/>
      <c r="AY7" s="13"/>
      <c r="AZ7" s="568"/>
      <c r="BA7" s="8" t="s">
        <v>1427</v>
      </c>
      <c r="BB7" s="319">
        <v>0</v>
      </c>
      <c r="BC7"/>
      <c r="BD7"/>
      <c r="BE7"/>
      <c r="BF7"/>
      <c r="BG7"/>
    </row>
    <row r="8" spans="1:64" s="51" customFormat="1" ht="174.75" customHeight="1" x14ac:dyDescent="0.3">
      <c r="A8" s="262"/>
      <c r="B8" s="262"/>
      <c r="C8" s="262"/>
      <c r="D8" s="275"/>
      <c r="E8" s="704" t="s">
        <v>1428</v>
      </c>
      <c r="F8" s="256" t="s">
        <v>1429</v>
      </c>
      <c r="G8" s="254" t="s">
        <v>290</v>
      </c>
      <c r="H8" s="254" t="s">
        <v>1430</v>
      </c>
      <c r="I8" s="562" t="s">
        <v>1431</v>
      </c>
      <c r="J8" s="563" t="s">
        <v>1423</v>
      </c>
      <c r="K8" s="563" t="s">
        <v>131</v>
      </c>
      <c r="L8" s="563" t="s">
        <v>131</v>
      </c>
      <c r="M8" s="563"/>
      <c r="N8" s="705" t="s">
        <v>1428</v>
      </c>
      <c r="O8" s="255">
        <v>0</v>
      </c>
      <c r="P8" s="13">
        <v>2650</v>
      </c>
      <c r="Q8" s="13" t="s">
        <v>1432</v>
      </c>
      <c r="R8" s="255">
        <v>0</v>
      </c>
      <c r="S8" s="13">
        <v>3500</v>
      </c>
      <c r="T8" s="13" t="s">
        <v>1432</v>
      </c>
      <c r="U8" s="256"/>
      <c r="V8" s="256"/>
      <c r="W8" s="256"/>
      <c r="X8" s="256">
        <v>270</v>
      </c>
      <c r="Y8" s="256">
        <v>5</v>
      </c>
      <c r="Z8" s="256"/>
      <c r="AA8" s="256"/>
      <c r="AB8" s="256"/>
      <c r="AC8" s="256"/>
      <c r="AD8" s="256"/>
      <c r="AE8" s="256"/>
      <c r="AF8" s="318"/>
      <c r="AG8" s="501">
        <v>1500</v>
      </c>
      <c r="AH8" s="12">
        <v>5</v>
      </c>
      <c r="AI8" s="12">
        <v>1800</v>
      </c>
      <c r="AJ8" s="12">
        <v>5</v>
      </c>
      <c r="AK8" s="12">
        <v>3200</v>
      </c>
      <c r="AL8" s="12">
        <v>5</v>
      </c>
      <c r="AM8" s="12"/>
      <c r="AN8" s="619"/>
      <c r="AO8" s="319" t="s">
        <v>1433</v>
      </c>
      <c r="AP8" s="258">
        <v>0</v>
      </c>
      <c r="AQ8" s="276">
        <v>100</v>
      </c>
      <c r="AR8" s="276">
        <v>40</v>
      </c>
      <c r="AS8" s="276">
        <v>100</v>
      </c>
      <c r="AT8" s="426" t="s">
        <v>44</v>
      </c>
      <c r="AU8" s="258" t="s">
        <v>1434</v>
      </c>
      <c r="AV8" s="258" t="s">
        <v>1435</v>
      </c>
      <c r="AW8" s="68" t="s">
        <v>1436</v>
      </c>
      <c r="AX8" s="258"/>
      <c r="AY8" s="258"/>
      <c r="AZ8" s="258"/>
      <c r="BA8" s="269" t="s">
        <v>1437</v>
      </c>
      <c r="BB8" s="703">
        <v>2</v>
      </c>
      <c r="BC8"/>
      <c r="BD8"/>
      <c r="BE8"/>
      <c r="BF8"/>
      <c r="BG8"/>
    </row>
    <row r="9" spans="1:64" s="51" customFormat="1" ht="174.75" customHeight="1" x14ac:dyDescent="0.3">
      <c r="A9" s="262"/>
      <c r="B9" s="262"/>
      <c r="C9" s="262"/>
      <c r="D9" s="275"/>
      <c r="E9" s="277" t="s">
        <v>965</v>
      </c>
      <c r="F9" s="256" t="s">
        <v>1438</v>
      </c>
      <c r="G9" s="277" t="s">
        <v>290</v>
      </c>
      <c r="H9" s="254" t="s">
        <v>1439</v>
      </c>
      <c r="I9" s="410" t="s">
        <v>1440</v>
      </c>
      <c r="J9" s="982" t="s">
        <v>1423</v>
      </c>
      <c r="K9" s="982"/>
      <c r="L9" s="982" t="s">
        <v>131</v>
      </c>
      <c r="M9" s="982"/>
      <c r="N9" s="260" t="s">
        <v>964</v>
      </c>
      <c r="O9" s="258">
        <v>50</v>
      </c>
      <c r="P9" s="68">
        <v>180</v>
      </c>
      <c r="Q9" s="68" t="s">
        <v>180</v>
      </c>
      <c r="R9" s="68">
        <v>0</v>
      </c>
      <c r="S9" s="68">
        <v>200</v>
      </c>
      <c r="T9" s="68" t="s">
        <v>180</v>
      </c>
      <c r="U9" s="256"/>
      <c r="V9" s="256"/>
      <c r="W9" s="256"/>
      <c r="X9" s="256"/>
      <c r="Y9" s="256"/>
      <c r="Z9" s="256"/>
      <c r="AA9" s="256"/>
      <c r="AB9" s="256"/>
      <c r="AC9" s="256"/>
      <c r="AD9" s="256"/>
      <c r="AE9" s="256"/>
      <c r="AF9" s="318"/>
      <c r="AG9" s="501"/>
      <c r="AH9" s="12"/>
      <c r="AI9" s="12"/>
      <c r="AJ9" s="12"/>
      <c r="AK9" s="12">
        <v>180</v>
      </c>
      <c r="AL9" s="12">
        <v>5</v>
      </c>
      <c r="AM9" s="12"/>
      <c r="AN9" s="619"/>
      <c r="AO9" s="320" t="s">
        <v>1441</v>
      </c>
      <c r="AP9" s="258" t="s">
        <v>1442</v>
      </c>
      <c r="AQ9" s="68" t="s">
        <v>1443</v>
      </c>
      <c r="AR9" s="397">
        <v>50</v>
      </c>
      <c r="AS9" s="68">
        <v>250</v>
      </c>
      <c r="AT9" s="426" t="s">
        <v>180</v>
      </c>
      <c r="AU9" s="68" t="s">
        <v>1444</v>
      </c>
      <c r="AV9" s="256" t="s">
        <v>1445</v>
      </c>
      <c r="AW9" s="68" t="s">
        <v>1436</v>
      </c>
      <c r="AX9" s="68"/>
      <c r="AY9" s="558"/>
      <c r="AZ9" s="258"/>
      <c r="BA9" s="735" t="s">
        <v>1446</v>
      </c>
      <c r="BB9" s="703">
        <v>2</v>
      </c>
      <c r="BC9"/>
      <c r="BD9"/>
      <c r="BE9"/>
      <c r="BF9"/>
      <c r="BG9"/>
    </row>
    <row r="10" spans="1:64" s="51" customFormat="1" ht="409.5" customHeight="1" x14ac:dyDescent="0.3">
      <c r="A10" s="262"/>
      <c r="B10" s="262"/>
      <c r="C10" s="262"/>
      <c r="D10" s="275"/>
      <c r="E10" s="785" t="s">
        <v>1447</v>
      </c>
      <c r="F10" s="256" t="s">
        <v>1445</v>
      </c>
      <c r="G10" s="277" t="s">
        <v>134</v>
      </c>
      <c r="H10" s="254" t="s">
        <v>1448</v>
      </c>
      <c r="I10" s="410" t="s">
        <v>1449</v>
      </c>
      <c r="J10" s="982" t="s">
        <v>1407</v>
      </c>
      <c r="K10" s="982" t="s">
        <v>131</v>
      </c>
      <c r="L10" s="982" t="s">
        <v>131</v>
      </c>
      <c r="M10" s="982" t="s">
        <v>131</v>
      </c>
      <c r="N10" s="260" t="s">
        <v>1447</v>
      </c>
      <c r="O10" s="68">
        <v>50</v>
      </c>
      <c r="P10" s="68">
        <v>250</v>
      </c>
      <c r="Q10" s="68" t="s">
        <v>180</v>
      </c>
      <c r="R10" s="258" t="s">
        <v>1442</v>
      </c>
      <c r="S10" s="68" t="s">
        <v>1443</v>
      </c>
      <c r="T10" s="68" t="s">
        <v>180</v>
      </c>
      <c r="U10" s="256"/>
      <c r="V10" s="256"/>
      <c r="W10" s="256"/>
      <c r="X10" s="255" t="s">
        <v>1450</v>
      </c>
      <c r="Y10" s="256">
        <v>0</v>
      </c>
      <c r="Z10" s="256"/>
      <c r="AA10" s="255" t="s">
        <v>1451</v>
      </c>
      <c r="AB10" s="256">
        <v>0</v>
      </c>
      <c r="AC10" s="256"/>
      <c r="AD10" s="256"/>
      <c r="AE10" s="256"/>
      <c r="AF10" s="318"/>
      <c r="AG10" s="500" t="s">
        <v>1452</v>
      </c>
      <c r="AH10" s="260">
        <v>5</v>
      </c>
      <c r="AI10" s="255" t="s">
        <v>1453</v>
      </c>
      <c r="AJ10" s="260">
        <v>5</v>
      </c>
      <c r="AK10" s="255" t="s">
        <v>1454</v>
      </c>
      <c r="AL10" s="323">
        <v>5</v>
      </c>
      <c r="AM10" s="255" t="s">
        <v>1455</v>
      </c>
      <c r="AN10" s="496">
        <v>5</v>
      </c>
      <c r="AO10" s="320"/>
      <c r="AP10" s="258" t="s">
        <v>1456</v>
      </c>
      <c r="AQ10" s="276" t="s">
        <v>1457</v>
      </c>
      <c r="AR10" s="276" t="s">
        <v>1458</v>
      </c>
      <c r="AS10" s="276" t="s">
        <v>1457</v>
      </c>
      <c r="AT10" s="426" t="s">
        <v>1459</v>
      </c>
      <c r="AU10" s="68" t="s">
        <v>1460</v>
      </c>
      <c r="AV10" s="68" t="s">
        <v>1461</v>
      </c>
      <c r="AW10" s="68" t="s">
        <v>1462</v>
      </c>
      <c r="AX10" s="68"/>
      <c r="AY10" s="258"/>
      <c r="AZ10" s="258"/>
      <c r="BA10" s="697" t="s">
        <v>1463</v>
      </c>
      <c r="BB10" s="703">
        <v>2</v>
      </c>
      <c r="BC10"/>
      <c r="BD10"/>
      <c r="BE10"/>
      <c r="BF10"/>
      <c r="BG10"/>
    </row>
    <row r="11" spans="1:64" s="1" customFormat="1" ht="30" customHeight="1" x14ac:dyDescent="0.3">
      <c r="A11" s="181"/>
      <c r="B11" s="181"/>
      <c r="C11" s="181"/>
      <c r="D11" s="181"/>
      <c r="E11" s="178" t="s">
        <v>421</v>
      </c>
      <c r="F11" s="5"/>
      <c r="G11" s="5"/>
      <c r="H11" s="175"/>
      <c r="I11" s="6"/>
      <c r="J11" s="171"/>
      <c r="K11" s="172"/>
      <c r="L11" s="172"/>
      <c r="M11" s="172"/>
      <c r="N11" s="173"/>
      <c r="O11" s="172"/>
      <c r="P11" s="172"/>
      <c r="Q11" s="172"/>
      <c r="R11" s="172"/>
      <c r="S11" s="173"/>
      <c r="T11" s="171"/>
      <c r="U11" s="12"/>
      <c r="V11" s="12"/>
      <c r="W11" s="12"/>
      <c r="X11" s="12"/>
      <c r="Y11" s="12"/>
      <c r="Z11" s="12"/>
      <c r="AA11" s="12"/>
      <c r="AB11" s="12"/>
      <c r="AC11" s="12"/>
      <c r="AD11" s="12"/>
      <c r="AE11" s="12"/>
      <c r="AF11" s="12"/>
      <c r="AG11" s="12"/>
      <c r="AH11" s="12"/>
      <c r="AI11" s="12"/>
      <c r="AJ11" s="12"/>
      <c r="AK11" s="12"/>
      <c r="AL11" s="12"/>
      <c r="AM11" s="12"/>
      <c r="AN11" s="12"/>
      <c r="AO11" s="12"/>
      <c r="AP11" s="172"/>
      <c r="AQ11" s="172"/>
      <c r="AR11" s="172"/>
      <c r="AS11" s="172"/>
      <c r="AT11" s="172"/>
      <c r="AU11" s="172"/>
      <c r="AV11" s="172"/>
      <c r="AW11" s="172"/>
      <c r="AX11" s="172"/>
      <c r="AY11" s="172"/>
      <c r="AZ11" s="172"/>
      <c r="BA11" s="172"/>
      <c r="BB11" s="172"/>
      <c r="BC11" s="89"/>
      <c r="BD11" s="89"/>
      <c r="BE11" s="89"/>
      <c r="BF11" s="89"/>
      <c r="BG11" s="89"/>
      <c r="BH11" s="89"/>
      <c r="BI11" s="89"/>
      <c r="BJ11" s="97"/>
      <c r="BK11" s="14"/>
      <c r="BL11" s="97"/>
    </row>
    <row r="12" spans="1:64" s="88" customFormat="1" ht="30" x14ac:dyDescent="0.3">
      <c r="E12" s="167"/>
      <c r="F12" s="167"/>
      <c r="G12" s="3"/>
      <c r="H12" s="4"/>
      <c r="I12" s="4"/>
      <c r="J12" s="4"/>
      <c r="K12" s="4"/>
      <c r="L12" s="4"/>
      <c r="M12" s="4"/>
      <c r="N12" s="4"/>
      <c r="O12" s="72"/>
      <c r="P12" s="72"/>
      <c r="Q12" s="72"/>
      <c r="R12" s="89"/>
      <c r="S12" s="98"/>
      <c r="T12" s="97"/>
      <c r="U12" s="89"/>
      <c r="V12" s="89"/>
      <c r="W12" s="89"/>
      <c r="X12" s="89"/>
      <c r="Y12" s="89"/>
      <c r="Z12" s="89"/>
      <c r="AA12" s="89"/>
      <c r="AB12" s="89"/>
      <c r="AC12" s="89"/>
      <c r="AD12" s="89"/>
      <c r="AE12" s="89"/>
      <c r="AF12" s="89"/>
      <c r="AG12" s="22"/>
      <c r="AH12" s="89"/>
      <c r="AI12" s="22"/>
      <c r="AJ12" s="89"/>
      <c r="AK12" s="22"/>
      <c r="AL12" s="89"/>
      <c r="AM12" s="89"/>
      <c r="AN12" s="89"/>
      <c r="AO12" s="89"/>
      <c r="AP12" s="72"/>
      <c r="AQ12" s="130"/>
      <c r="AR12" s="130"/>
      <c r="AS12" s="130"/>
      <c r="AT12" s="72"/>
      <c r="AU12" s="72"/>
      <c r="AV12" s="72"/>
      <c r="AW12" s="72"/>
      <c r="AX12" s="72"/>
      <c r="AY12" s="72"/>
      <c r="AZ12" s="72"/>
      <c r="BA12" s="129"/>
      <c r="BB12" s="23"/>
      <c r="BC12" s="112"/>
      <c r="BD12" s="112"/>
    </row>
    <row r="13" spans="1:64" ht="14.5" x14ac:dyDescent="0.35">
      <c r="Q13" s="131"/>
      <c r="AI13" s="22"/>
      <c r="AK13" s="22"/>
      <c r="BC13" s="2"/>
      <c r="BD13" s="2"/>
    </row>
    <row r="14" spans="1:64" ht="14" x14ac:dyDescent="0.3">
      <c r="E14" s="5">
        <v>4</v>
      </c>
      <c r="F14" s="5">
        <v>4</v>
      </c>
      <c r="H14" s="3"/>
      <c r="I14" s="3"/>
      <c r="J14" s="3"/>
      <c r="K14" s="3"/>
      <c r="L14" s="3"/>
      <c r="M14" s="3"/>
      <c r="N14" s="3"/>
      <c r="U14" s="22"/>
      <c r="V14" s="22"/>
      <c r="W14" s="22"/>
      <c r="X14" s="22"/>
      <c r="Y14" s="22"/>
      <c r="Z14" s="22"/>
      <c r="AA14" s="22"/>
      <c r="AB14" s="22"/>
      <c r="AC14" s="22"/>
      <c r="AD14" s="22"/>
      <c r="AE14" s="22"/>
      <c r="AF14" s="22"/>
      <c r="AG14" s="22"/>
      <c r="AH14" s="22"/>
      <c r="AI14" s="22"/>
      <c r="AJ14" s="22"/>
      <c r="AK14" s="22"/>
      <c r="AL14" s="22"/>
      <c r="AM14" s="22"/>
      <c r="AN14" s="22"/>
      <c r="AO14" s="22"/>
      <c r="BC14" s="2"/>
      <c r="BD14" s="2"/>
    </row>
    <row r="15" spans="1:64" ht="14" x14ac:dyDescent="0.3">
      <c r="BC15" s="2"/>
      <c r="BD15" s="2"/>
    </row>
    <row r="16" spans="1:64" ht="14" x14ac:dyDescent="0.3">
      <c r="BC16" s="2"/>
      <c r="BD16" s="2"/>
    </row>
    <row r="17" spans="15:42" ht="13.4" customHeight="1" x14ac:dyDescent="0.3">
      <c r="U17" s="22"/>
      <c r="V17" s="22"/>
      <c r="W17" s="22"/>
      <c r="X17" s="22"/>
      <c r="Y17" s="22"/>
      <c r="Z17" s="22"/>
      <c r="AA17" s="22"/>
      <c r="AB17" s="22"/>
      <c r="AC17" s="22"/>
      <c r="AD17" s="22"/>
      <c r="AE17" s="22"/>
      <c r="AF17" s="22"/>
      <c r="AG17" s="22"/>
      <c r="AH17" s="22"/>
      <c r="AI17" s="22"/>
      <c r="AJ17" s="22"/>
      <c r="AK17" s="22"/>
      <c r="AL17" s="22"/>
      <c r="AM17" s="22"/>
      <c r="AN17" s="22"/>
      <c r="AO17" s="22"/>
    </row>
    <row r="19" spans="15:42" ht="13.4" customHeight="1" x14ac:dyDescent="0.3">
      <c r="AG19" s="22"/>
      <c r="AI19" s="22"/>
      <c r="AK19" s="22"/>
      <c r="AM19" s="22"/>
    </row>
    <row r="20" spans="15:42" ht="13.4" customHeight="1" x14ac:dyDescent="0.3">
      <c r="U20" s="22"/>
      <c r="V20" s="22"/>
      <c r="W20" s="22"/>
      <c r="X20" s="22"/>
      <c r="Y20" s="22"/>
      <c r="Z20" s="22"/>
      <c r="AA20" s="22"/>
      <c r="AB20" s="22"/>
      <c r="AC20" s="22"/>
      <c r="AD20" s="22"/>
      <c r="AE20" s="22"/>
      <c r="AF20" s="22"/>
      <c r="AG20" s="22"/>
      <c r="AH20" s="22"/>
      <c r="AI20" s="22"/>
      <c r="AJ20" s="22"/>
      <c r="AK20" s="22"/>
      <c r="AL20" s="22"/>
      <c r="AM20" s="22"/>
      <c r="AN20" s="22"/>
      <c r="AO20" s="22"/>
    </row>
    <row r="22" spans="15:42" ht="29.5" x14ac:dyDescent="0.3">
      <c r="AK22" s="22"/>
      <c r="AM22" s="22"/>
    </row>
    <row r="23" spans="15:42" ht="29.5" x14ac:dyDescent="0.3">
      <c r="AK23" s="22"/>
      <c r="AM23" s="22"/>
    </row>
    <row r="24" spans="15:42" ht="13.4" customHeight="1" x14ac:dyDescent="0.3">
      <c r="AK24" s="22"/>
      <c r="AM24" s="22"/>
    </row>
    <row r="25" spans="15:42" ht="13.4" customHeight="1" x14ac:dyDescent="0.3">
      <c r="O25" s="84"/>
      <c r="P25" s="84"/>
      <c r="Q25" s="84"/>
      <c r="AK25" s="22"/>
      <c r="AM25" s="22"/>
      <c r="AP25" s="224"/>
    </row>
    <row r="26" spans="15:42" ht="13.4" customHeight="1" x14ac:dyDescent="0.3">
      <c r="AK26" s="22"/>
      <c r="AM26" s="22"/>
    </row>
    <row r="27" spans="15:42" ht="13.4" customHeight="1" x14ac:dyDescent="0.3">
      <c r="AK27" s="22"/>
      <c r="AM27" s="22"/>
    </row>
    <row r="28" spans="15:42" ht="13.4" customHeight="1" x14ac:dyDescent="0.3">
      <c r="U28" s="22"/>
      <c r="V28" s="22"/>
      <c r="W28" s="22"/>
      <c r="X28" s="22"/>
      <c r="Y28" s="22"/>
      <c r="Z28" s="22"/>
      <c r="AA28" s="22"/>
      <c r="AB28" s="22"/>
      <c r="AC28" s="22"/>
      <c r="AD28" s="22"/>
      <c r="AE28" s="22"/>
      <c r="AF28" s="22"/>
      <c r="AG28" s="22"/>
      <c r="AH28" s="22"/>
      <c r="AI28" s="22"/>
      <c r="AJ28" s="22"/>
      <c r="AK28" s="22"/>
      <c r="AL28" s="22"/>
      <c r="AM28" s="22"/>
      <c r="AN28" s="22"/>
      <c r="AO28" s="22"/>
    </row>
    <row r="29" spans="15:42" ht="13.4" customHeight="1" x14ac:dyDescent="0.3">
      <c r="AK29" s="22"/>
      <c r="AM29" s="22"/>
    </row>
    <row r="50" spans="3:3" ht="13.4" customHeight="1" x14ac:dyDescent="0.3">
      <c r="C50" s="2" t="s">
        <v>15</v>
      </c>
    </row>
    <row r="93" ht="29.5" x14ac:dyDescent="0.3"/>
    <row r="115" ht="29.5" x14ac:dyDescent="0.3"/>
  </sheetData>
  <autoFilter ref="A6:BB11" xr:uid="{00000000-0001-0000-0700-000000000000}"/>
  <mergeCells count="9">
    <mergeCell ref="O5:Q5"/>
    <mergeCell ref="E4:BB4"/>
    <mergeCell ref="U5:AF5"/>
    <mergeCell ref="AG5:AN5"/>
    <mergeCell ref="AP5:AZ5"/>
    <mergeCell ref="K5:M5"/>
    <mergeCell ref="R5:T5"/>
    <mergeCell ref="BA5:BA6"/>
    <mergeCell ref="BB5:BB6"/>
  </mergeCells>
  <phoneticPr fontId="0" type="noConversion"/>
  <conditionalFormatting sqref="E7:E9">
    <cfRule type="duplicateValues" dxfId="31" priority="3240"/>
  </conditionalFormatting>
  <conditionalFormatting sqref="E9">
    <cfRule type="duplicateValues" dxfId="30" priority="7"/>
  </conditionalFormatting>
  <conditionalFormatting sqref="E10">
    <cfRule type="duplicateValues" dxfId="29" priority="3906"/>
  </conditionalFormatting>
  <conditionalFormatting sqref="E7:F10">
    <cfRule type="expression" dxfId="28" priority="5">
      <formula>LEN(E7)&gt;16</formula>
    </cfRule>
  </conditionalFormatting>
  <conditionalFormatting sqref="F7:F10">
    <cfRule type="duplicateValues" dxfId="27" priority="3905"/>
  </conditionalFormatting>
  <conditionalFormatting sqref="I7:I10">
    <cfRule type="expression" dxfId="26" priority="11">
      <formula>LEN(I7)&gt;24</formula>
    </cfRule>
  </conditionalFormatting>
  <conditionalFormatting sqref="AV9">
    <cfRule type="expression" dxfId="25" priority="8">
      <formula>LEN(AV9)&gt;16</formula>
    </cfRule>
    <cfRule type="duplicateValues" dxfId="24" priority="9"/>
  </conditionalFormatting>
  <printOptions horizontalCentered="1"/>
  <pageMargins left="0.39370078740157483" right="0.39370078740157483" top="0.59055118110236227" bottom="0.59055118110236227" header="0.59055118110236227" footer="0.39370078740157483"/>
  <pageSetup paperSize="8" scale="15" fitToHeight="0" orientation="landscape" r:id="rId1"/>
  <headerFooter scaleWithDoc="0"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7">
    <tabColor indexed="12"/>
    <pageSetUpPr fitToPage="1"/>
  </sheetPr>
  <dimension ref="A1:Z545"/>
  <sheetViews>
    <sheetView view="pageBreakPreview" zoomScaleNormal="10" zoomScaleSheetLayoutView="100" workbookViewId="0">
      <pane ySplit="1" topLeftCell="A2" activePane="bottomLeft" state="frozen"/>
      <selection pane="bottomLeft" activeCell="H9" sqref="H9"/>
    </sheetView>
  </sheetViews>
  <sheetFormatPr defaultColWidth="18.6640625" defaultRowHeight="13.4" customHeight="1" x14ac:dyDescent="0.2"/>
  <cols>
    <col min="1" max="1" width="32.6640625" style="138" customWidth="1"/>
    <col min="2" max="2" width="32.44140625" style="220" customWidth="1"/>
    <col min="3" max="3" width="57.77734375" style="134" customWidth="1"/>
    <col min="4" max="4" width="18" style="220" customWidth="1"/>
    <col min="5" max="10" width="10.6640625" style="137" customWidth="1"/>
    <col min="11" max="12" width="5" style="135" bestFit="1" customWidth="1"/>
    <col min="13" max="13" width="47.33203125" style="135" customWidth="1"/>
    <col min="14" max="14" width="41.6640625" style="135" customWidth="1"/>
    <col min="15" max="15" width="5.6640625" style="135" customWidth="1"/>
    <col min="16" max="16" width="64.109375" style="134" customWidth="1"/>
    <col min="17" max="17" width="22" style="134" customWidth="1"/>
    <col min="18" max="18" width="8.109375" style="134" customWidth="1"/>
    <col min="19" max="19" width="8.33203125" style="134" customWidth="1"/>
    <col min="20" max="20" width="8.33203125" style="135" customWidth="1"/>
    <col min="21" max="21" width="13.109375" style="135" customWidth="1"/>
    <col min="22" max="22" width="16.77734375" style="135" customWidth="1"/>
    <col min="23" max="24" width="8.33203125" style="137" customWidth="1"/>
    <col min="25" max="25" width="89.33203125" style="136" customWidth="1"/>
    <col min="26" max="26" width="8.33203125" style="135" customWidth="1"/>
    <col min="27" max="16384" width="18.6640625" style="134"/>
  </cols>
  <sheetData>
    <row r="1" spans="1:26" s="147" customFormat="1" ht="70.400000000000006" customHeight="1" x14ac:dyDescent="0.2">
      <c r="A1" s="521" t="s">
        <v>103</v>
      </c>
      <c r="B1" s="639" t="s">
        <v>104</v>
      </c>
      <c r="C1" s="640" t="s">
        <v>1464</v>
      </c>
      <c r="D1" s="222" t="s">
        <v>1465</v>
      </c>
      <c r="E1" s="641" t="s">
        <v>1466</v>
      </c>
      <c r="F1" s="641" t="s">
        <v>1467</v>
      </c>
      <c r="G1" s="641" t="s">
        <v>1468</v>
      </c>
      <c r="H1" s="641" t="s">
        <v>1469</v>
      </c>
      <c r="I1" s="641" t="s">
        <v>1470</v>
      </c>
      <c r="J1" s="641" t="s">
        <v>1471</v>
      </c>
      <c r="K1" s="148" t="s">
        <v>1320</v>
      </c>
      <c r="L1" s="148" t="s">
        <v>1321</v>
      </c>
      <c r="M1" s="149" t="s">
        <v>1472</v>
      </c>
      <c r="N1" s="149" t="s">
        <v>1473</v>
      </c>
      <c r="O1" s="642" t="s">
        <v>1324</v>
      </c>
      <c r="P1" s="642"/>
      <c r="Q1" s="189" t="s">
        <v>1327</v>
      </c>
      <c r="R1" s="189" t="s">
        <v>1328</v>
      </c>
      <c r="S1" s="148" t="s">
        <v>1474</v>
      </c>
      <c r="T1" s="148" t="s">
        <v>1475</v>
      </c>
      <c r="U1" s="148" t="s">
        <v>1476</v>
      </c>
      <c r="V1" s="641" t="s">
        <v>1477</v>
      </c>
      <c r="W1" s="148" t="s">
        <v>1333</v>
      </c>
      <c r="X1" s="148" t="s">
        <v>1334</v>
      </c>
      <c r="Y1" s="643" t="s">
        <v>129</v>
      </c>
      <c r="Z1" s="644" t="s">
        <v>130</v>
      </c>
    </row>
    <row r="2" spans="1:26" s="147" customFormat="1" ht="90" customHeight="1" x14ac:dyDescent="0.2">
      <c r="A2" s="556" t="s">
        <v>1478</v>
      </c>
      <c r="B2" s="336" t="s">
        <v>134</v>
      </c>
      <c r="C2" s="272" t="s">
        <v>1479</v>
      </c>
      <c r="D2" s="336" t="s">
        <v>1480</v>
      </c>
      <c r="E2" s="298">
        <v>0</v>
      </c>
      <c r="F2" s="298">
        <v>100</v>
      </c>
      <c r="G2" s="298" t="s">
        <v>44</v>
      </c>
      <c r="H2" s="461"/>
      <c r="I2" s="461"/>
      <c r="J2" s="694">
        <v>374.27499999999998</v>
      </c>
      <c r="K2" s="299" t="s">
        <v>131</v>
      </c>
      <c r="L2" s="299" t="s">
        <v>131</v>
      </c>
      <c r="M2" s="299" t="s">
        <v>1481</v>
      </c>
      <c r="N2" s="795" t="s">
        <v>1482</v>
      </c>
      <c r="O2" s="299"/>
      <c r="P2" s="574"/>
      <c r="Q2" s="574"/>
      <c r="R2" s="574"/>
      <c r="S2" s="298"/>
      <c r="T2" s="298"/>
      <c r="U2" s="298"/>
      <c r="V2" s="273"/>
      <c r="W2" s="273"/>
      <c r="X2" s="273"/>
      <c r="Y2" s="791" t="s">
        <v>1483</v>
      </c>
      <c r="Z2" s="741">
        <v>2</v>
      </c>
    </row>
    <row r="3" spans="1:26" s="147" customFormat="1" ht="24.65" customHeight="1" x14ac:dyDescent="0.2">
      <c r="A3" s="334"/>
      <c r="B3" s="335"/>
      <c r="C3" s="272"/>
      <c r="D3" s="336"/>
      <c r="E3" s="288"/>
      <c r="F3" s="298"/>
      <c r="G3" s="298"/>
      <c r="H3" s="298"/>
      <c r="I3" s="298"/>
      <c r="J3" s="298"/>
      <c r="K3" s="298"/>
      <c r="L3" s="298"/>
      <c r="M3" s="273" t="s">
        <v>1484</v>
      </c>
      <c r="N3" s="299" t="s">
        <v>1485</v>
      </c>
      <c r="O3" s="298">
        <v>1</v>
      </c>
      <c r="P3" s="286" t="s">
        <v>1486</v>
      </c>
      <c r="Q3" s="376">
        <v>0</v>
      </c>
      <c r="R3" s="338"/>
      <c r="S3" s="338"/>
      <c r="T3" s="338"/>
      <c r="U3" s="338" t="s">
        <v>131</v>
      </c>
      <c r="V3" s="338"/>
      <c r="W3" s="338"/>
      <c r="X3" s="338"/>
      <c r="Y3" s="681"/>
      <c r="Z3" s="368">
        <v>0</v>
      </c>
    </row>
    <row r="4" spans="1:26" s="147" customFormat="1" ht="24.65" customHeight="1" x14ac:dyDescent="0.2">
      <c r="A4" s="334"/>
      <c r="B4" s="335"/>
      <c r="C4" s="272"/>
      <c r="D4" s="336"/>
      <c r="E4" s="288"/>
      <c r="F4" s="298"/>
      <c r="G4" s="298"/>
      <c r="H4" s="298"/>
      <c r="I4" s="298"/>
      <c r="J4" s="298"/>
      <c r="K4" s="298"/>
      <c r="L4" s="298"/>
      <c r="M4" s="273"/>
      <c r="N4" s="298"/>
      <c r="O4" s="298">
        <v>2</v>
      </c>
      <c r="P4" s="292" t="s">
        <v>1487</v>
      </c>
      <c r="Q4" s="338">
        <v>0</v>
      </c>
      <c r="R4" s="338"/>
      <c r="S4" s="338"/>
      <c r="T4" s="338"/>
      <c r="U4" s="338" t="s">
        <v>131</v>
      </c>
      <c r="V4" s="338"/>
      <c r="W4" s="338"/>
      <c r="X4" s="753"/>
      <c r="Y4" s="578"/>
      <c r="Z4" s="747">
        <v>2</v>
      </c>
    </row>
    <row r="5" spans="1:26" s="147" customFormat="1" ht="24.65" customHeight="1" x14ac:dyDescent="0.2">
      <c r="A5" s="334"/>
      <c r="B5" s="335"/>
      <c r="C5" s="272"/>
      <c r="D5" s="336"/>
      <c r="E5" s="288"/>
      <c r="F5" s="298"/>
      <c r="G5" s="298"/>
      <c r="H5" s="298"/>
      <c r="I5" s="298"/>
      <c r="J5" s="298"/>
      <c r="K5" s="298"/>
      <c r="L5" s="298"/>
      <c r="M5" s="273"/>
      <c r="N5" s="298"/>
      <c r="O5" s="298">
        <v>3</v>
      </c>
      <c r="P5" s="292" t="s">
        <v>1488</v>
      </c>
      <c r="Q5" s="338">
        <v>0</v>
      </c>
      <c r="R5" s="338"/>
      <c r="S5" s="338"/>
      <c r="T5" s="338"/>
      <c r="U5" s="338" t="s">
        <v>131</v>
      </c>
      <c r="V5" s="338"/>
      <c r="W5" s="338"/>
      <c r="X5" s="753"/>
      <c r="Y5" s="578"/>
      <c r="Z5" s="747">
        <v>2</v>
      </c>
    </row>
    <row r="6" spans="1:26" s="147" customFormat="1" ht="24.65" customHeight="1" x14ac:dyDescent="0.2">
      <c r="A6" s="334"/>
      <c r="B6" s="335"/>
      <c r="C6" s="272"/>
      <c r="D6" s="336"/>
      <c r="E6" s="288"/>
      <c r="F6" s="298"/>
      <c r="G6" s="298"/>
      <c r="H6" s="298"/>
      <c r="I6" s="298"/>
      <c r="J6" s="298"/>
      <c r="K6" s="298"/>
      <c r="L6" s="298"/>
      <c r="M6" s="273"/>
      <c r="N6" s="298"/>
      <c r="O6" s="298">
        <v>4</v>
      </c>
      <c r="P6" s="292" t="s">
        <v>1489</v>
      </c>
      <c r="Q6" s="338">
        <v>0</v>
      </c>
      <c r="R6" s="338"/>
      <c r="S6" s="338"/>
      <c r="T6" s="338"/>
      <c r="U6" s="338" t="s">
        <v>131</v>
      </c>
      <c r="V6" s="338" t="s">
        <v>131</v>
      </c>
      <c r="W6" s="338"/>
      <c r="X6" s="753"/>
      <c r="Y6" s="578"/>
      <c r="Z6" s="747">
        <v>2</v>
      </c>
    </row>
    <row r="7" spans="1:26" s="147" customFormat="1" ht="24.65" customHeight="1" x14ac:dyDescent="0.2">
      <c r="A7" s="334"/>
      <c r="B7" s="335"/>
      <c r="C7" s="272"/>
      <c r="D7" s="336"/>
      <c r="E7" s="288"/>
      <c r="F7" s="298"/>
      <c r="G7" s="298"/>
      <c r="H7" s="298"/>
      <c r="I7" s="298"/>
      <c r="J7" s="298"/>
      <c r="K7" s="298"/>
      <c r="L7" s="298"/>
      <c r="M7" s="273"/>
      <c r="N7" s="298"/>
      <c r="O7" s="298">
        <v>5</v>
      </c>
      <c r="P7" s="292" t="s">
        <v>1490</v>
      </c>
      <c r="Q7" s="338">
        <v>0</v>
      </c>
      <c r="R7" s="338"/>
      <c r="S7" s="338"/>
      <c r="T7" s="338"/>
      <c r="U7" s="338" t="s">
        <v>131</v>
      </c>
      <c r="V7" s="338"/>
      <c r="W7" s="338"/>
      <c r="X7" s="338"/>
      <c r="Y7" s="578"/>
      <c r="Z7" s="368" t="s">
        <v>204</v>
      </c>
    </row>
    <row r="8" spans="1:26" s="147" customFormat="1" ht="24.65" customHeight="1" x14ac:dyDescent="0.2">
      <c r="A8" s="334"/>
      <c r="B8" s="335"/>
      <c r="C8" s="272"/>
      <c r="D8" s="336"/>
      <c r="E8" s="288"/>
      <c r="F8" s="298"/>
      <c r="G8" s="298"/>
      <c r="H8" s="298"/>
      <c r="I8" s="298"/>
      <c r="J8" s="298"/>
      <c r="K8" s="298"/>
      <c r="L8" s="298"/>
      <c r="M8" s="273"/>
      <c r="N8" s="298"/>
      <c r="O8" s="298">
        <v>6</v>
      </c>
      <c r="P8" s="292" t="s">
        <v>1491</v>
      </c>
      <c r="Q8" s="338">
        <v>0</v>
      </c>
      <c r="R8" s="338"/>
      <c r="S8" s="338"/>
      <c r="T8" s="338"/>
      <c r="U8" s="338" t="s">
        <v>131</v>
      </c>
      <c r="V8" s="338"/>
      <c r="W8" s="338"/>
      <c r="X8" s="338"/>
      <c r="Y8" s="578"/>
      <c r="Z8" s="368" t="s">
        <v>204</v>
      </c>
    </row>
    <row r="9" spans="1:26" s="147" customFormat="1" ht="24.65" customHeight="1" x14ac:dyDescent="0.2">
      <c r="A9" s="334"/>
      <c r="B9" s="335"/>
      <c r="C9" s="272"/>
      <c r="D9" s="336"/>
      <c r="E9" s="288"/>
      <c r="F9" s="298"/>
      <c r="G9" s="298"/>
      <c r="H9" s="298"/>
      <c r="I9" s="298"/>
      <c r="J9" s="298"/>
      <c r="K9" s="298"/>
      <c r="L9" s="298"/>
      <c r="M9" s="273"/>
      <c r="N9" s="298"/>
      <c r="O9" s="298">
        <v>7</v>
      </c>
      <c r="P9" s="292" t="s">
        <v>1492</v>
      </c>
      <c r="Q9" s="338">
        <v>0</v>
      </c>
      <c r="R9" s="577"/>
      <c r="S9" s="753"/>
      <c r="T9" s="576"/>
      <c r="U9" s="338" t="s">
        <v>131</v>
      </c>
      <c r="V9" s="575"/>
      <c r="W9" s="576"/>
      <c r="X9" s="338"/>
      <c r="Y9" s="578"/>
      <c r="Z9" s="747">
        <v>2</v>
      </c>
    </row>
    <row r="10" spans="1:26" s="402" customFormat="1" ht="24.65" customHeight="1" x14ac:dyDescent="0.2">
      <c r="A10" s="476"/>
      <c r="B10" s="476"/>
      <c r="C10" s="477"/>
      <c r="D10" s="478"/>
      <c r="E10" s="478"/>
      <c r="F10" s="478"/>
      <c r="G10" s="478"/>
      <c r="H10" s="478"/>
      <c r="I10" s="478"/>
      <c r="J10" s="478"/>
      <c r="K10" s="479"/>
      <c r="L10" s="479"/>
      <c r="M10" s="480"/>
      <c r="N10" s="481"/>
      <c r="O10" s="298">
        <v>8</v>
      </c>
      <c r="P10" s="292" t="s">
        <v>1493</v>
      </c>
      <c r="Q10" s="288">
        <v>0</v>
      </c>
      <c r="R10" s="292"/>
      <c r="S10" s="338" t="s">
        <v>131</v>
      </c>
      <c r="T10" s="338"/>
      <c r="U10" s="338"/>
      <c r="V10" s="338"/>
      <c r="W10" s="338" t="s">
        <v>131</v>
      </c>
      <c r="X10" s="293"/>
      <c r="Y10" s="340" t="s">
        <v>1494</v>
      </c>
      <c r="Z10" s="293">
        <v>0</v>
      </c>
    </row>
    <row r="11" spans="1:26" s="147" customFormat="1" ht="56.5" customHeight="1" x14ac:dyDescent="0.2">
      <c r="A11" s="334"/>
      <c r="B11" s="335"/>
      <c r="C11" s="272"/>
      <c r="D11" s="336"/>
      <c r="E11" s="288"/>
      <c r="F11" s="298"/>
      <c r="G11" s="298"/>
      <c r="H11" s="298"/>
      <c r="I11" s="298"/>
      <c r="J11" s="298"/>
      <c r="K11" s="299"/>
      <c r="L11" s="299"/>
      <c r="M11" s="337"/>
      <c r="N11" s="273"/>
      <c r="O11" s="298">
        <v>9</v>
      </c>
      <c r="P11" s="375" t="s">
        <v>1495</v>
      </c>
      <c r="Q11" s="338">
        <v>5</v>
      </c>
      <c r="R11" s="338"/>
      <c r="S11" s="338" t="s">
        <v>131</v>
      </c>
      <c r="T11" s="338"/>
      <c r="U11" s="338"/>
      <c r="V11" s="338"/>
      <c r="W11" s="338" t="s">
        <v>131</v>
      </c>
      <c r="X11" s="338"/>
      <c r="Y11" s="339" t="s">
        <v>1496</v>
      </c>
      <c r="Z11" s="273">
        <v>0</v>
      </c>
    </row>
    <row r="12" spans="1:26" s="147" customFormat="1" ht="56.5" customHeight="1" x14ac:dyDescent="0.2">
      <c r="A12" s="334"/>
      <c r="B12" s="335"/>
      <c r="C12" s="272"/>
      <c r="D12" s="336"/>
      <c r="E12" s="288"/>
      <c r="F12" s="298"/>
      <c r="G12" s="298"/>
      <c r="H12" s="298"/>
      <c r="I12" s="298"/>
      <c r="J12" s="298"/>
      <c r="K12" s="299"/>
      <c r="L12" s="299"/>
      <c r="M12" s="337"/>
      <c r="N12" s="337"/>
      <c r="O12" s="298">
        <v>10</v>
      </c>
      <c r="P12" s="375" t="s">
        <v>1497</v>
      </c>
      <c r="Q12" s="338">
        <v>5</v>
      </c>
      <c r="R12" s="338"/>
      <c r="S12" s="338" t="s">
        <v>131</v>
      </c>
      <c r="T12" s="338"/>
      <c r="U12" s="338"/>
      <c r="V12" s="338"/>
      <c r="W12" s="338" t="s">
        <v>131</v>
      </c>
      <c r="X12" s="338"/>
      <c r="Y12" s="339" t="s">
        <v>1498</v>
      </c>
      <c r="Z12" s="273">
        <v>0</v>
      </c>
    </row>
    <row r="13" spans="1:26" s="147" customFormat="1" ht="57.65" customHeight="1" x14ac:dyDescent="0.2">
      <c r="A13" s="294"/>
      <c r="B13" s="295"/>
      <c r="C13" s="292"/>
      <c r="D13" s="287"/>
      <c r="E13" s="288"/>
      <c r="F13" s="288"/>
      <c r="G13" s="288"/>
      <c r="H13" s="288"/>
      <c r="I13" s="298"/>
      <c r="J13" s="298"/>
      <c r="K13" s="299"/>
      <c r="L13" s="299"/>
      <c r="M13" s="337"/>
      <c r="N13" s="299"/>
      <c r="O13" s="298">
        <v>11</v>
      </c>
      <c r="P13" s="375" t="s">
        <v>1499</v>
      </c>
      <c r="Q13" s="338">
        <v>5</v>
      </c>
      <c r="R13" s="338"/>
      <c r="S13" s="338" t="s">
        <v>131</v>
      </c>
      <c r="T13" s="338"/>
      <c r="U13" s="338"/>
      <c r="V13" s="338"/>
      <c r="W13" s="338" t="s">
        <v>131</v>
      </c>
      <c r="X13" s="338"/>
      <c r="Y13" s="339" t="s">
        <v>1500</v>
      </c>
      <c r="Z13" s="273">
        <v>0</v>
      </c>
    </row>
    <row r="14" spans="1:26" s="147" customFormat="1" ht="102.65" customHeight="1" x14ac:dyDescent="0.2">
      <c r="A14" s="294"/>
      <c r="B14" s="295"/>
      <c r="C14" s="292"/>
      <c r="D14" s="287"/>
      <c r="E14" s="288"/>
      <c r="F14" s="288"/>
      <c r="G14" s="288"/>
      <c r="H14" s="288"/>
      <c r="I14" s="298"/>
      <c r="J14" s="298"/>
      <c r="K14" s="299"/>
      <c r="L14" s="299"/>
      <c r="M14" s="337"/>
      <c r="N14" s="299"/>
      <c r="O14" s="298">
        <v>12</v>
      </c>
      <c r="P14" s="375" t="s">
        <v>1501</v>
      </c>
      <c r="Q14" s="338">
        <v>5</v>
      </c>
      <c r="R14" s="338"/>
      <c r="S14" s="338" t="s">
        <v>131</v>
      </c>
      <c r="T14" s="338"/>
      <c r="U14" s="338"/>
      <c r="V14" s="338"/>
      <c r="W14" s="338" t="s">
        <v>131</v>
      </c>
      <c r="X14" s="338"/>
      <c r="Y14" s="339" t="s">
        <v>1502</v>
      </c>
      <c r="Z14" s="273">
        <v>0</v>
      </c>
    </row>
    <row r="15" spans="1:26" s="147" customFormat="1" ht="97" customHeight="1" x14ac:dyDescent="0.2">
      <c r="A15" s="294"/>
      <c r="B15" s="295"/>
      <c r="C15" s="292"/>
      <c r="D15" s="287"/>
      <c r="E15" s="288"/>
      <c r="F15" s="288"/>
      <c r="G15" s="288"/>
      <c r="H15" s="288"/>
      <c r="I15" s="298"/>
      <c r="J15" s="298"/>
      <c r="K15" s="299"/>
      <c r="L15" s="299"/>
      <c r="M15" s="337"/>
      <c r="N15" s="299"/>
      <c r="O15" s="298">
        <v>13</v>
      </c>
      <c r="P15" s="367" t="s">
        <v>1503</v>
      </c>
      <c r="Q15" s="338">
        <v>5</v>
      </c>
      <c r="R15" s="338"/>
      <c r="S15" s="338" t="s">
        <v>131</v>
      </c>
      <c r="T15" s="338"/>
      <c r="U15" s="338"/>
      <c r="V15" s="338"/>
      <c r="W15" s="338" t="s">
        <v>131</v>
      </c>
      <c r="X15" s="338"/>
      <c r="Y15" s="339" t="s">
        <v>1504</v>
      </c>
      <c r="Z15" s="273">
        <v>0</v>
      </c>
    </row>
    <row r="16" spans="1:26" s="147" customFormat="1" ht="87" customHeight="1" x14ac:dyDescent="0.2">
      <c r="A16" s="294"/>
      <c r="B16" s="295"/>
      <c r="C16" s="292"/>
      <c r="D16" s="287"/>
      <c r="E16" s="288"/>
      <c r="F16" s="288"/>
      <c r="G16" s="288"/>
      <c r="H16" s="288"/>
      <c r="I16" s="298"/>
      <c r="J16" s="298"/>
      <c r="K16" s="299"/>
      <c r="L16" s="299"/>
      <c r="M16" s="337"/>
      <c r="N16" s="299"/>
      <c r="O16" s="298">
        <v>14</v>
      </c>
      <c r="P16" s="367" t="s">
        <v>1505</v>
      </c>
      <c r="Q16" s="338">
        <v>5</v>
      </c>
      <c r="R16" s="338"/>
      <c r="S16" s="338" t="s">
        <v>131</v>
      </c>
      <c r="T16" s="338"/>
      <c r="U16" s="338"/>
      <c r="V16" s="338"/>
      <c r="W16" s="338" t="s">
        <v>131</v>
      </c>
      <c r="X16" s="338"/>
      <c r="Y16" s="339" t="s">
        <v>1506</v>
      </c>
      <c r="Z16" s="273">
        <v>0</v>
      </c>
    </row>
    <row r="17" spans="1:26" s="147" customFormat="1" ht="96" customHeight="1" x14ac:dyDescent="0.2">
      <c r="A17" s="294"/>
      <c r="B17" s="295"/>
      <c r="C17" s="292"/>
      <c r="D17" s="287"/>
      <c r="E17" s="288"/>
      <c r="F17" s="288"/>
      <c r="G17" s="288"/>
      <c r="H17" s="288"/>
      <c r="I17" s="298"/>
      <c r="J17" s="298"/>
      <c r="K17" s="299"/>
      <c r="L17" s="299"/>
      <c r="M17" s="337"/>
      <c r="N17" s="299"/>
      <c r="O17" s="298">
        <v>15</v>
      </c>
      <c r="P17" s="367" t="s">
        <v>1507</v>
      </c>
      <c r="Q17" s="338">
        <v>5</v>
      </c>
      <c r="R17" s="338"/>
      <c r="S17" s="338" t="s">
        <v>131</v>
      </c>
      <c r="T17" s="338"/>
      <c r="U17" s="338"/>
      <c r="V17" s="338"/>
      <c r="W17" s="338" t="s">
        <v>131</v>
      </c>
      <c r="X17" s="338"/>
      <c r="Y17" s="339" t="s">
        <v>1508</v>
      </c>
      <c r="Z17" s="273">
        <v>0</v>
      </c>
    </row>
    <row r="18" spans="1:26" s="147" customFormat="1" ht="99" customHeight="1" x14ac:dyDescent="0.2">
      <c r="A18" s="294"/>
      <c r="B18" s="295"/>
      <c r="C18" s="292"/>
      <c r="D18" s="287"/>
      <c r="E18" s="288"/>
      <c r="F18" s="288"/>
      <c r="G18" s="288"/>
      <c r="H18" s="288"/>
      <c r="I18" s="298"/>
      <c r="J18" s="298"/>
      <c r="K18" s="299"/>
      <c r="L18" s="299"/>
      <c r="M18" s="337"/>
      <c r="N18" s="299"/>
      <c r="O18" s="298">
        <v>16</v>
      </c>
      <c r="P18" s="367" t="s">
        <v>1509</v>
      </c>
      <c r="Q18" s="338">
        <v>5</v>
      </c>
      <c r="R18" s="338"/>
      <c r="S18" s="338" t="s">
        <v>131</v>
      </c>
      <c r="T18" s="338"/>
      <c r="U18" s="338"/>
      <c r="V18" s="338"/>
      <c r="W18" s="338" t="s">
        <v>131</v>
      </c>
      <c r="X18" s="338"/>
      <c r="Y18" s="339" t="s">
        <v>1510</v>
      </c>
      <c r="Z18" s="273">
        <v>0</v>
      </c>
    </row>
    <row r="19" spans="1:26" s="147" customFormat="1" ht="56.15" customHeight="1" x14ac:dyDescent="0.2">
      <c r="A19" s="284"/>
      <c r="B19" s="285"/>
      <c r="C19" s="286"/>
      <c r="D19" s="457"/>
      <c r="E19" s="288"/>
      <c r="F19" s="298"/>
      <c r="G19" s="298"/>
      <c r="H19" s="298"/>
      <c r="I19" s="298"/>
      <c r="J19" s="298"/>
      <c r="K19" s="299"/>
      <c r="L19" s="299"/>
      <c r="M19" s="337"/>
      <c r="N19" s="299"/>
      <c r="O19" s="298">
        <v>17</v>
      </c>
      <c r="P19" s="375" t="s">
        <v>1511</v>
      </c>
      <c r="Q19" s="338">
        <v>5</v>
      </c>
      <c r="R19" s="338"/>
      <c r="S19" s="338" t="s">
        <v>131</v>
      </c>
      <c r="T19" s="338"/>
      <c r="U19" s="338"/>
      <c r="V19" s="338"/>
      <c r="W19" s="338" t="s">
        <v>131</v>
      </c>
      <c r="X19" s="338"/>
      <c r="Y19" s="339" t="s">
        <v>1512</v>
      </c>
      <c r="Z19" s="273">
        <v>0</v>
      </c>
    </row>
    <row r="20" spans="1:26" s="147" customFormat="1" ht="57.65" customHeight="1" x14ac:dyDescent="0.2">
      <c r="A20" s="334"/>
      <c r="B20" s="335"/>
      <c r="C20" s="272"/>
      <c r="D20" s="336"/>
      <c r="E20" s="288"/>
      <c r="F20" s="298"/>
      <c r="G20" s="298"/>
      <c r="H20" s="298"/>
      <c r="I20" s="298"/>
      <c r="J20" s="298"/>
      <c r="K20" s="298"/>
      <c r="L20" s="298"/>
      <c r="M20" s="273"/>
      <c r="N20" s="273"/>
      <c r="O20" s="298">
        <v>18</v>
      </c>
      <c r="P20" s="375" t="s">
        <v>1513</v>
      </c>
      <c r="Q20" s="338">
        <v>5</v>
      </c>
      <c r="R20" s="338"/>
      <c r="S20" s="338" t="s">
        <v>131</v>
      </c>
      <c r="T20" s="338"/>
      <c r="U20" s="338"/>
      <c r="V20" s="338"/>
      <c r="W20" s="766" t="s">
        <v>131</v>
      </c>
      <c r="X20" s="338"/>
      <c r="Y20" s="624" t="s">
        <v>1514</v>
      </c>
      <c r="Z20" s="741">
        <v>2</v>
      </c>
    </row>
    <row r="21" spans="1:26" s="147" customFormat="1" ht="57.65" customHeight="1" x14ac:dyDescent="0.2">
      <c r="A21" s="294"/>
      <c r="B21" s="295"/>
      <c r="C21" s="292"/>
      <c r="D21" s="287"/>
      <c r="E21" s="288"/>
      <c r="F21" s="288"/>
      <c r="G21" s="288"/>
      <c r="H21" s="288"/>
      <c r="I21" s="298"/>
      <c r="J21" s="298"/>
      <c r="K21" s="299"/>
      <c r="L21" s="299"/>
      <c r="M21" s="337"/>
      <c r="N21" s="299"/>
      <c r="O21" s="298">
        <v>19</v>
      </c>
      <c r="P21" s="375" t="s">
        <v>1515</v>
      </c>
      <c r="Q21" s="338">
        <v>5</v>
      </c>
      <c r="R21" s="338"/>
      <c r="S21" s="338" t="s">
        <v>131</v>
      </c>
      <c r="T21" s="338"/>
      <c r="U21" s="338"/>
      <c r="V21" s="338"/>
      <c r="W21" s="766" t="s">
        <v>131</v>
      </c>
      <c r="X21" s="338"/>
      <c r="Y21" s="401" t="s">
        <v>1516</v>
      </c>
      <c r="Z21" s="741">
        <v>2</v>
      </c>
    </row>
    <row r="22" spans="1:26" s="147" customFormat="1" ht="56.5" customHeight="1" x14ac:dyDescent="0.2">
      <c r="A22" s="294"/>
      <c r="B22" s="295"/>
      <c r="C22" s="292"/>
      <c r="D22" s="287"/>
      <c r="E22" s="288"/>
      <c r="F22" s="288"/>
      <c r="G22" s="288"/>
      <c r="H22" s="288"/>
      <c r="I22" s="298"/>
      <c r="J22" s="298"/>
      <c r="K22" s="299"/>
      <c r="L22" s="299"/>
      <c r="M22" s="337"/>
      <c r="N22" s="299"/>
      <c r="O22" s="298">
        <v>20</v>
      </c>
      <c r="P22" s="375" t="s">
        <v>1517</v>
      </c>
      <c r="Q22" s="338">
        <v>5</v>
      </c>
      <c r="R22" s="338"/>
      <c r="S22" s="338" t="s">
        <v>131</v>
      </c>
      <c r="T22" s="338"/>
      <c r="U22" s="338"/>
      <c r="V22" s="338"/>
      <c r="W22" s="338" t="s">
        <v>131</v>
      </c>
      <c r="X22" s="338"/>
      <c r="Y22" s="401" t="s">
        <v>1518</v>
      </c>
      <c r="Z22" s="273">
        <v>0</v>
      </c>
    </row>
    <row r="23" spans="1:26" s="147" customFormat="1" ht="56.15" customHeight="1" x14ac:dyDescent="0.2">
      <c r="A23" s="294"/>
      <c r="B23" s="295"/>
      <c r="C23" s="292"/>
      <c r="D23" s="287"/>
      <c r="E23" s="288"/>
      <c r="F23" s="288"/>
      <c r="G23" s="288"/>
      <c r="H23" s="288"/>
      <c r="I23" s="298"/>
      <c r="J23" s="298"/>
      <c r="K23" s="299"/>
      <c r="L23" s="299"/>
      <c r="M23" s="337"/>
      <c r="N23" s="299"/>
      <c r="O23" s="298">
        <v>21</v>
      </c>
      <c r="P23" s="375" t="s">
        <v>1519</v>
      </c>
      <c r="Q23" s="338">
        <v>5</v>
      </c>
      <c r="R23" s="338"/>
      <c r="S23" s="338" t="s">
        <v>131</v>
      </c>
      <c r="T23" s="338"/>
      <c r="U23" s="338"/>
      <c r="V23" s="338"/>
      <c r="W23" s="338" t="s">
        <v>131</v>
      </c>
      <c r="X23" s="338"/>
      <c r="Y23" s="401" t="s">
        <v>1520</v>
      </c>
      <c r="Z23" s="273">
        <v>0</v>
      </c>
    </row>
    <row r="24" spans="1:26" s="147" customFormat="1" ht="56.5" customHeight="1" x14ac:dyDescent="0.2">
      <c r="A24" s="294"/>
      <c r="B24" s="295"/>
      <c r="C24" s="292"/>
      <c r="D24" s="287"/>
      <c r="E24" s="288"/>
      <c r="F24" s="288"/>
      <c r="G24" s="288"/>
      <c r="H24" s="288"/>
      <c r="I24" s="298"/>
      <c r="J24" s="298"/>
      <c r="K24" s="299"/>
      <c r="L24" s="299"/>
      <c r="M24" s="337"/>
      <c r="N24" s="299"/>
      <c r="O24" s="298">
        <v>22</v>
      </c>
      <c r="P24" s="375" t="s">
        <v>1521</v>
      </c>
      <c r="Q24" s="338">
        <v>5</v>
      </c>
      <c r="R24" s="338"/>
      <c r="S24" s="338" t="s">
        <v>131</v>
      </c>
      <c r="T24" s="338"/>
      <c r="U24" s="338"/>
      <c r="V24" s="338"/>
      <c r="W24" s="338" t="s">
        <v>131</v>
      </c>
      <c r="X24" s="338"/>
      <c r="Y24" s="401" t="s">
        <v>1522</v>
      </c>
      <c r="Z24" s="273">
        <v>0</v>
      </c>
    </row>
    <row r="25" spans="1:26" s="147" customFormat="1" ht="56.5" customHeight="1" x14ac:dyDescent="0.2">
      <c r="A25" s="294"/>
      <c r="B25" s="295"/>
      <c r="C25" s="292"/>
      <c r="D25" s="287"/>
      <c r="E25" s="288"/>
      <c r="F25" s="288"/>
      <c r="G25" s="288"/>
      <c r="H25" s="288"/>
      <c r="I25" s="298"/>
      <c r="J25" s="298"/>
      <c r="K25" s="299"/>
      <c r="L25" s="299"/>
      <c r="M25" s="337"/>
      <c r="N25" s="299"/>
      <c r="O25" s="298">
        <v>23</v>
      </c>
      <c r="P25" s="375" t="s">
        <v>1523</v>
      </c>
      <c r="Q25" s="338">
        <v>5</v>
      </c>
      <c r="R25" s="338"/>
      <c r="S25" s="338" t="s">
        <v>131</v>
      </c>
      <c r="T25" s="338"/>
      <c r="U25" s="338"/>
      <c r="V25" s="338"/>
      <c r="W25" s="338" t="s">
        <v>131</v>
      </c>
      <c r="X25" s="338"/>
      <c r="Y25" s="339" t="s">
        <v>1524</v>
      </c>
      <c r="Z25" s="273">
        <v>0</v>
      </c>
    </row>
    <row r="26" spans="1:26" s="147" customFormat="1" ht="56.5" customHeight="1" x14ac:dyDescent="0.2">
      <c r="A26" s="294"/>
      <c r="B26" s="295"/>
      <c r="C26" s="292"/>
      <c r="D26" s="287"/>
      <c r="E26" s="288"/>
      <c r="F26" s="288"/>
      <c r="G26" s="288"/>
      <c r="H26" s="288"/>
      <c r="I26" s="298"/>
      <c r="J26" s="298"/>
      <c r="K26" s="299"/>
      <c r="L26" s="299"/>
      <c r="M26" s="337"/>
      <c r="N26" s="299"/>
      <c r="O26" s="298">
        <v>24</v>
      </c>
      <c r="P26" s="375" t="s">
        <v>1525</v>
      </c>
      <c r="Q26" s="338">
        <v>5</v>
      </c>
      <c r="R26" s="338"/>
      <c r="S26" s="338" t="s">
        <v>131</v>
      </c>
      <c r="T26" s="338"/>
      <c r="U26" s="338"/>
      <c r="V26" s="338"/>
      <c r="W26" s="338" t="s">
        <v>131</v>
      </c>
      <c r="X26" s="338"/>
      <c r="Y26" s="339" t="s">
        <v>1526</v>
      </c>
      <c r="Z26" s="273">
        <v>0</v>
      </c>
    </row>
    <row r="27" spans="1:26" s="147" customFormat="1" ht="57" customHeight="1" x14ac:dyDescent="0.2">
      <c r="A27" s="294"/>
      <c r="B27" s="295"/>
      <c r="C27" s="292"/>
      <c r="D27" s="287"/>
      <c r="E27" s="288"/>
      <c r="F27" s="288"/>
      <c r="G27" s="288"/>
      <c r="H27" s="288"/>
      <c r="I27" s="288"/>
      <c r="J27" s="288"/>
      <c r="K27" s="289"/>
      <c r="L27" s="289"/>
      <c r="M27" s="455"/>
      <c r="N27" s="289"/>
      <c r="O27" s="288">
        <v>25</v>
      </c>
      <c r="P27" s="367" t="s">
        <v>1527</v>
      </c>
      <c r="Q27" s="338">
        <v>5</v>
      </c>
      <c r="R27" s="338"/>
      <c r="S27" s="338" t="s">
        <v>131</v>
      </c>
      <c r="T27" s="338"/>
      <c r="U27" s="338"/>
      <c r="V27" s="338"/>
      <c r="W27" s="766" t="s">
        <v>131</v>
      </c>
      <c r="X27" s="338"/>
      <c r="Y27" s="340" t="s">
        <v>1528</v>
      </c>
      <c r="Z27" s="747">
        <v>2</v>
      </c>
    </row>
    <row r="28" spans="1:26" s="147" customFormat="1" ht="69" customHeight="1" x14ac:dyDescent="0.2">
      <c r="A28" s="294"/>
      <c r="B28" s="295"/>
      <c r="C28" s="292"/>
      <c r="D28" s="287"/>
      <c r="E28" s="288"/>
      <c r="F28" s="288"/>
      <c r="G28" s="288"/>
      <c r="H28" s="288"/>
      <c r="I28" s="288"/>
      <c r="J28" s="288"/>
      <c r="K28" s="289"/>
      <c r="L28" s="289"/>
      <c r="M28" s="455"/>
      <c r="N28" s="289"/>
      <c r="O28" s="288">
        <v>26</v>
      </c>
      <c r="P28" s="367" t="s">
        <v>1529</v>
      </c>
      <c r="Q28" s="338">
        <v>0</v>
      </c>
      <c r="R28" s="338"/>
      <c r="S28" s="338" t="s">
        <v>131</v>
      </c>
      <c r="T28" s="338"/>
      <c r="U28" s="338"/>
      <c r="V28" s="338"/>
      <c r="W28" s="338" t="s">
        <v>131</v>
      </c>
      <c r="X28" s="338"/>
      <c r="Y28" s="800" t="s">
        <v>1530</v>
      </c>
      <c r="Z28" s="747">
        <v>2</v>
      </c>
    </row>
    <row r="29" spans="1:26" s="147" customFormat="1" ht="81.650000000000006" customHeight="1" x14ac:dyDescent="0.2">
      <c r="A29" s="294"/>
      <c r="B29" s="295"/>
      <c r="C29" s="292"/>
      <c r="D29" s="287"/>
      <c r="E29" s="288"/>
      <c r="F29" s="288"/>
      <c r="G29" s="288"/>
      <c r="H29" s="288"/>
      <c r="I29" s="298"/>
      <c r="J29" s="298"/>
      <c r="K29" s="299"/>
      <c r="L29" s="299"/>
      <c r="M29" s="337"/>
      <c r="N29" s="299"/>
      <c r="O29" s="298">
        <v>27</v>
      </c>
      <c r="P29" s="375" t="s">
        <v>1531</v>
      </c>
      <c r="Q29" s="794" t="s">
        <v>1532</v>
      </c>
      <c r="R29" s="338"/>
      <c r="S29" s="338"/>
      <c r="T29" s="338" t="s">
        <v>131</v>
      </c>
      <c r="U29" s="338"/>
      <c r="V29" s="338"/>
      <c r="W29" s="338" t="s">
        <v>131</v>
      </c>
      <c r="X29" s="338"/>
      <c r="Y29" s="339" t="s">
        <v>1533</v>
      </c>
      <c r="Z29" s="741">
        <v>2</v>
      </c>
    </row>
    <row r="30" spans="1:26" s="147" customFormat="1" ht="82.5" customHeight="1" x14ac:dyDescent="0.2">
      <c r="A30" s="294"/>
      <c r="B30" s="295"/>
      <c r="C30" s="292"/>
      <c r="D30" s="287"/>
      <c r="E30" s="288"/>
      <c r="F30" s="288"/>
      <c r="G30" s="288"/>
      <c r="H30" s="288"/>
      <c r="I30" s="298"/>
      <c r="J30" s="298"/>
      <c r="K30" s="299"/>
      <c r="L30" s="299"/>
      <c r="M30" s="337"/>
      <c r="N30" s="299"/>
      <c r="O30" s="298">
        <v>28</v>
      </c>
      <c r="P30" s="375" t="s">
        <v>1534</v>
      </c>
      <c r="Q30" s="794" t="s">
        <v>1532</v>
      </c>
      <c r="R30" s="338"/>
      <c r="S30" s="338"/>
      <c r="T30" s="338" t="s">
        <v>131</v>
      </c>
      <c r="U30" s="338"/>
      <c r="V30" s="338"/>
      <c r="W30" s="338" t="s">
        <v>131</v>
      </c>
      <c r="X30" s="338"/>
      <c r="Y30" s="339" t="s">
        <v>1535</v>
      </c>
      <c r="Z30" s="741">
        <v>2</v>
      </c>
    </row>
    <row r="31" spans="1:26" s="147" customFormat="1" ht="69.650000000000006" customHeight="1" x14ac:dyDescent="0.2">
      <c r="A31" s="334"/>
      <c r="B31" s="335"/>
      <c r="C31" s="272"/>
      <c r="D31" s="336"/>
      <c r="E31" s="288"/>
      <c r="F31" s="298"/>
      <c r="G31" s="298"/>
      <c r="H31" s="298"/>
      <c r="I31" s="298"/>
      <c r="J31" s="298"/>
      <c r="K31" s="299"/>
      <c r="L31" s="299"/>
      <c r="M31" s="337"/>
      <c r="N31" s="337"/>
      <c r="O31" s="298">
        <v>29</v>
      </c>
      <c r="P31" s="367" t="s">
        <v>1536</v>
      </c>
      <c r="Q31" s="794" t="s">
        <v>1532</v>
      </c>
      <c r="R31" s="338"/>
      <c r="S31" s="338"/>
      <c r="T31" s="753"/>
      <c r="U31" s="766" t="s">
        <v>131</v>
      </c>
      <c r="V31" s="338"/>
      <c r="W31" s="338"/>
      <c r="X31" s="338" t="s">
        <v>131</v>
      </c>
      <c r="Y31" s="401" t="s">
        <v>1537</v>
      </c>
      <c r="Z31" s="741">
        <v>2</v>
      </c>
    </row>
    <row r="32" spans="1:26" s="147" customFormat="1" ht="69" customHeight="1" x14ac:dyDescent="0.2">
      <c r="A32" s="334"/>
      <c r="B32" s="335"/>
      <c r="C32" s="272"/>
      <c r="D32" s="336"/>
      <c r="E32" s="288"/>
      <c r="F32" s="298"/>
      <c r="G32" s="298"/>
      <c r="H32" s="298"/>
      <c r="I32" s="298"/>
      <c r="J32" s="298"/>
      <c r="K32" s="299"/>
      <c r="L32" s="299"/>
      <c r="M32" s="337"/>
      <c r="N32" s="337"/>
      <c r="O32" s="298">
        <v>30</v>
      </c>
      <c r="P32" s="367" t="s">
        <v>1538</v>
      </c>
      <c r="Q32" s="794" t="s">
        <v>1532</v>
      </c>
      <c r="R32" s="338"/>
      <c r="S32" s="338"/>
      <c r="T32" s="753"/>
      <c r="U32" s="766" t="s">
        <v>131</v>
      </c>
      <c r="V32" s="338"/>
      <c r="W32" s="338"/>
      <c r="X32" s="338" t="s">
        <v>131</v>
      </c>
      <c r="Y32" s="401" t="s">
        <v>1539</v>
      </c>
      <c r="Z32" s="741">
        <v>2</v>
      </c>
    </row>
    <row r="33" spans="1:26" s="147" customFormat="1" ht="69" customHeight="1" x14ac:dyDescent="0.2">
      <c r="A33" s="334"/>
      <c r="B33" s="335"/>
      <c r="C33" s="272"/>
      <c r="D33" s="336"/>
      <c r="E33" s="288"/>
      <c r="F33" s="298"/>
      <c r="G33" s="298"/>
      <c r="H33" s="298"/>
      <c r="I33" s="298"/>
      <c r="J33" s="298"/>
      <c r="K33" s="299"/>
      <c r="L33" s="299"/>
      <c r="M33" s="337"/>
      <c r="N33" s="337"/>
      <c r="O33" s="298">
        <v>31</v>
      </c>
      <c r="P33" s="367" t="s">
        <v>1540</v>
      </c>
      <c r="Q33" s="794" t="s">
        <v>1532</v>
      </c>
      <c r="R33" s="338"/>
      <c r="S33" s="338"/>
      <c r="T33" s="753"/>
      <c r="U33" s="766" t="s">
        <v>131</v>
      </c>
      <c r="V33" s="338"/>
      <c r="W33" s="338"/>
      <c r="X33" s="338" t="s">
        <v>131</v>
      </c>
      <c r="Y33" s="401" t="s">
        <v>1541</v>
      </c>
      <c r="Z33" s="741">
        <v>2</v>
      </c>
    </row>
    <row r="34" spans="1:26" s="147" customFormat="1" ht="69" customHeight="1" x14ac:dyDescent="0.2">
      <c r="A34" s="334"/>
      <c r="B34" s="335"/>
      <c r="C34" s="272"/>
      <c r="D34" s="336"/>
      <c r="E34" s="288"/>
      <c r="F34" s="298"/>
      <c r="G34" s="298"/>
      <c r="H34" s="298"/>
      <c r="I34" s="298"/>
      <c r="J34" s="298"/>
      <c r="K34" s="299"/>
      <c r="L34" s="299"/>
      <c r="M34" s="337"/>
      <c r="N34" s="337"/>
      <c r="O34" s="298">
        <v>32</v>
      </c>
      <c r="P34" s="367" t="s">
        <v>1542</v>
      </c>
      <c r="Q34" s="794" t="s">
        <v>1532</v>
      </c>
      <c r="R34" s="338"/>
      <c r="S34" s="338"/>
      <c r="T34" s="753"/>
      <c r="U34" s="766" t="s">
        <v>131</v>
      </c>
      <c r="V34" s="338"/>
      <c r="W34" s="338"/>
      <c r="X34" s="338" t="s">
        <v>131</v>
      </c>
      <c r="Y34" s="401" t="s">
        <v>1543</v>
      </c>
      <c r="Z34" s="741">
        <v>2</v>
      </c>
    </row>
    <row r="35" spans="1:26" s="147" customFormat="1" ht="69.650000000000006" customHeight="1" x14ac:dyDescent="0.2">
      <c r="A35" s="334"/>
      <c r="B35" s="335"/>
      <c r="C35" s="272"/>
      <c r="D35" s="336"/>
      <c r="E35" s="288"/>
      <c r="F35" s="298"/>
      <c r="G35" s="298"/>
      <c r="H35" s="298"/>
      <c r="I35" s="298"/>
      <c r="J35" s="298"/>
      <c r="K35" s="299"/>
      <c r="L35" s="299"/>
      <c r="M35" s="337"/>
      <c r="N35" s="337"/>
      <c r="O35" s="298">
        <v>33</v>
      </c>
      <c r="P35" s="367" t="s">
        <v>1544</v>
      </c>
      <c r="Q35" s="794" t="s">
        <v>1532</v>
      </c>
      <c r="R35" s="338"/>
      <c r="S35" s="338"/>
      <c r="T35" s="753"/>
      <c r="U35" s="766" t="s">
        <v>131</v>
      </c>
      <c r="V35" s="338"/>
      <c r="W35" s="338"/>
      <c r="X35" s="338" t="s">
        <v>131</v>
      </c>
      <c r="Y35" s="401" t="s">
        <v>1545</v>
      </c>
      <c r="Z35" s="741">
        <v>2</v>
      </c>
    </row>
    <row r="36" spans="1:26" s="147" customFormat="1" ht="56.5" customHeight="1" x14ac:dyDescent="0.2">
      <c r="A36" s="334"/>
      <c r="B36" s="335"/>
      <c r="C36" s="272"/>
      <c r="D36" s="336"/>
      <c r="E36" s="288"/>
      <c r="F36" s="298"/>
      <c r="G36" s="298"/>
      <c r="H36" s="298"/>
      <c r="I36" s="298"/>
      <c r="J36" s="298"/>
      <c r="K36" s="299"/>
      <c r="L36" s="299"/>
      <c r="M36" s="337"/>
      <c r="N36" s="337"/>
      <c r="O36" s="298">
        <v>34</v>
      </c>
      <c r="P36" s="367" t="s">
        <v>1546</v>
      </c>
      <c r="Q36" s="794" t="s">
        <v>1532</v>
      </c>
      <c r="R36" s="338"/>
      <c r="S36" s="338"/>
      <c r="T36" s="753"/>
      <c r="U36" s="766" t="s">
        <v>131</v>
      </c>
      <c r="V36" s="338"/>
      <c r="W36" s="338"/>
      <c r="X36" s="338" t="s">
        <v>131</v>
      </c>
      <c r="Y36" s="401" t="s">
        <v>1547</v>
      </c>
      <c r="Z36" s="741">
        <v>2</v>
      </c>
    </row>
    <row r="37" spans="1:26" s="147" customFormat="1" ht="69" customHeight="1" x14ac:dyDescent="0.2">
      <c r="A37" s="294"/>
      <c r="B37" s="295"/>
      <c r="C37" s="292"/>
      <c r="D37" s="287"/>
      <c r="E37" s="288"/>
      <c r="F37" s="288"/>
      <c r="G37" s="288"/>
      <c r="H37" s="288"/>
      <c r="I37" s="298"/>
      <c r="J37" s="298"/>
      <c r="K37" s="299"/>
      <c r="L37" s="299"/>
      <c r="M37" s="337"/>
      <c r="N37" s="299"/>
      <c r="O37" s="298">
        <v>35</v>
      </c>
      <c r="P37" s="375" t="s">
        <v>1548</v>
      </c>
      <c r="Q37" s="794" t="s">
        <v>1532</v>
      </c>
      <c r="R37" s="338"/>
      <c r="S37" s="338"/>
      <c r="T37" s="338" t="s">
        <v>131</v>
      </c>
      <c r="U37" s="338"/>
      <c r="V37" s="338"/>
      <c r="W37" s="338" t="s">
        <v>131</v>
      </c>
      <c r="X37" s="338"/>
      <c r="Y37" s="339" t="s">
        <v>1549</v>
      </c>
      <c r="Z37" s="741">
        <v>2</v>
      </c>
    </row>
    <row r="38" spans="1:26" s="147" customFormat="1" ht="69" customHeight="1" x14ac:dyDescent="0.2">
      <c r="A38" s="294"/>
      <c r="B38" s="295"/>
      <c r="C38" s="292"/>
      <c r="D38" s="287"/>
      <c r="E38" s="288"/>
      <c r="F38" s="288"/>
      <c r="G38" s="288"/>
      <c r="H38" s="288"/>
      <c r="I38" s="298"/>
      <c r="J38" s="298"/>
      <c r="K38" s="299"/>
      <c r="L38" s="299"/>
      <c r="M38" s="337"/>
      <c r="N38" s="299"/>
      <c r="O38" s="298">
        <v>36</v>
      </c>
      <c r="P38" s="375" t="s">
        <v>1550</v>
      </c>
      <c r="Q38" s="794" t="s">
        <v>1532</v>
      </c>
      <c r="R38" s="338"/>
      <c r="S38" s="338"/>
      <c r="T38" s="338" t="s">
        <v>131</v>
      </c>
      <c r="U38" s="338"/>
      <c r="V38" s="338"/>
      <c r="W38" s="338" t="s">
        <v>131</v>
      </c>
      <c r="X38" s="338"/>
      <c r="Y38" s="339" t="s">
        <v>1551</v>
      </c>
      <c r="Z38" s="741">
        <v>2</v>
      </c>
    </row>
    <row r="39" spans="1:26" s="147" customFormat="1" ht="69" customHeight="1" x14ac:dyDescent="0.2">
      <c r="A39" s="398"/>
      <c r="B39" s="399"/>
      <c r="C39" s="332"/>
      <c r="D39" s="400"/>
      <c r="E39" s="288"/>
      <c r="F39" s="288"/>
      <c r="G39" s="288"/>
      <c r="H39" s="288"/>
      <c r="I39" s="298"/>
      <c r="J39" s="298"/>
      <c r="K39" s="299"/>
      <c r="L39" s="299"/>
      <c r="M39" s="337"/>
      <c r="N39" s="337"/>
      <c r="O39" s="298">
        <v>37</v>
      </c>
      <c r="P39" s="367" t="s">
        <v>1552</v>
      </c>
      <c r="Q39" s="338">
        <v>5</v>
      </c>
      <c r="R39" s="338"/>
      <c r="S39" s="338"/>
      <c r="T39" s="753"/>
      <c r="U39" s="766" t="s">
        <v>131</v>
      </c>
      <c r="V39" s="338"/>
      <c r="W39" s="338"/>
      <c r="X39" s="338" t="s">
        <v>131</v>
      </c>
      <c r="Y39" s="401" t="s">
        <v>1553</v>
      </c>
      <c r="Z39" s="741">
        <v>2</v>
      </c>
    </row>
    <row r="40" spans="1:26" s="147" customFormat="1" ht="69" customHeight="1" x14ac:dyDescent="0.2">
      <c r="A40" s="398"/>
      <c r="B40" s="399"/>
      <c r="C40" s="332"/>
      <c r="D40" s="400"/>
      <c r="E40" s="288"/>
      <c r="F40" s="288"/>
      <c r="G40" s="288"/>
      <c r="H40" s="288"/>
      <c r="I40" s="298"/>
      <c r="J40" s="298"/>
      <c r="K40" s="299"/>
      <c r="L40" s="299"/>
      <c r="M40" s="337"/>
      <c r="N40" s="337"/>
      <c r="O40" s="298">
        <v>38</v>
      </c>
      <c r="P40" s="367" t="s">
        <v>1554</v>
      </c>
      <c r="Q40" s="338">
        <v>5</v>
      </c>
      <c r="R40" s="338"/>
      <c r="S40" s="338"/>
      <c r="T40" s="753"/>
      <c r="U40" s="766" t="s">
        <v>131</v>
      </c>
      <c r="V40" s="338"/>
      <c r="W40" s="338"/>
      <c r="X40" s="338" t="s">
        <v>131</v>
      </c>
      <c r="Y40" s="401" t="s">
        <v>1555</v>
      </c>
      <c r="Z40" s="741">
        <v>2</v>
      </c>
    </row>
    <row r="41" spans="1:26" s="147" customFormat="1" ht="69" customHeight="1" x14ac:dyDescent="0.2">
      <c r="A41" s="334"/>
      <c r="B41" s="335"/>
      <c r="C41" s="272"/>
      <c r="D41" s="336"/>
      <c r="E41" s="288"/>
      <c r="F41" s="298"/>
      <c r="G41" s="298"/>
      <c r="H41" s="298"/>
      <c r="I41" s="298"/>
      <c r="J41" s="298"/>
      <c r="K41" s="299"/>
      <c r="L41" s="299"/>
      <c r="M41" s="337"/>
      <c r="N41" s="337"/>
      <c r="O41" s="298">
        <v>39</v>
      </c>
      <c r="P41" s="367" t="s">
        <v>1556</v>
      </c>
      <c r="Q41" s="338">
        <v>5</v>
      </c>
      <c r="R41" s="338"/>
      <c r="S41" s="338"/>
      <c r="T41" s="753"/>
      <c r="U41" s="766" t="s">
        <v>131</v>
      </c>
      <c r="V41" s="338"/>
      <c r="W41" s="338"/>
      <c r="X41" s="338" t="s">
        <v>131</v>
      </c>
      <c r="Y41" s="401" t="s">
        <v>1557</v>
      </c>
      <c r="Z41" s="741">
        <v>2</v>
      </c>
    </row>
    <row r="42" spans="1:26" s="147" customFormat="1" ht="68.5" customHeight="1" x14ac:dyDescent="0.2">
      <c r="A42" s="294"/>
      <c r="B42" s="295"/>
      <c r="C42" s="292"/>
      <c r="D42" s="287"/>
      <c r="E42" s="288"/>
      <c r="F42" s="288"/>
      <c r="G42" s="288"/>
      <c r="H42" s="288"/>
      <c r="I42" s="288"/>
      <c r="J42" s="288"/>
      <c r="K42" s="289"/>
      <c r="L42" s="289"/>
      <c r="M42" s="455"/>
      <c r="N42" s="289"/>
      <c r="O42" s="298">
        <v>40</v>
      </c>
      <c r="P42" s="367" t="s">
        <v>1558</v>
      </c>
      <c r="Q42" s="794" t="s">
        <v>1532</v>
      </c>
      <c r="R42" s="338"/>
      <c r="S42" s="338"/>
      <c r="T42" s="338" t="s">
        <v>131</v>
      </c>
      <c r="U42" s="338"/>
      <c r="V42" s="338"/>
      <c r="W42" s="338" t="s">
        <v>131</v>
      </c>
      <c r="X42" s="338"/>
      <c r="Y42" s="340" t="s">
        <v>1559</v>
      </c>
      <c r="Z42" s="741">
        <v>2</v>
      </c>
    </row>
    <row r="43" spans="1:26" s="147" customFormat="1" ht="56.5" customHeight="1" x14ac:dyDescent="0.2">
      <c r="A43" s="294"/>
      <c r="B43" s="295"/>
      <c r="C43" s="292"/>
      <c r="D43" s="287"/>
      <c r="E43" s="288"/>
      <c r="F43" s="288"/>
      <c r="G43" s="288"/>
      <c r="H43" s="288"/>
      <c r="I43" s="298"/>
      <c r="J43" s="298"/>
      <c r="K43" s="299"/>
      <c r="L43" s="299"/>
      <c r="M43" s="337"/>
      <c r="N43" s="299"/>
      <c r="O43" s="298">
        <v>41</v>
      </c>
      <c r="P43" s="375" t="s">
        <v>1560</v>
      </c>
      <c r="Q43" s="794" t="s">
        <v>1532</v>
      </c>
      <c r="R43" s="338"/>
      <c r="S43" s="338"/>
      <c r="T43" s="338" t="s">
        <v>131</v>
      </c>
      <c r="U43" s="338"/>
      <c r="V43" s="338"/>
      <c r="W43" s="338" t="s">
        <v>131</v>
      </c>
      <c r="X43" s="338"/>
      <c r="Y43" s="796" t="s">
        <v>1561</v>
      </c>
      <c r="Z43" s="741">
        <v>2</v>
      </c>
    </row>
    <row r="44" spans="1:26" s="147" customFormat="1" ht="31.5" customHeight="1" x14ac:dyDescent="0.2">
      <c r="A44" s="334"/>
      <c r="B44" s="335"/>
      <c r="C44" s="272"/>
      <c r="D44" s="336"/>
      <c r="E44" s="288"/>
      <c r="F44" s="298"/>
      <c r="G44" s="298"/>
      <c r="H44" s="298"/>
      <c r="I44" s="298"/>
      <c r="J44" s="298"/>
      <c r="K44" s="299"/>
      <c r="L44" s="299"/>
      <c r="M44" s="337"/>
      <c r="N44" s="337"/>
      <c r="O44" s="298">
        <v>42</v>
      </c>
      <c r="P44" s="367" t="s">
        <v>1562</v>
      </c>
      <c r="Q44" s="338">
        <v>5</v>
      </c>
      <c r="R44" s="338"/>
      <c r="S44" s="338"/>
      <c r="T44" s="338"/>
      <c r="U44" s="338" t="s">
        <v>131</v>
      </c>
      <c r="V44" s="338"/>
      <c r="W44" s="338"/>
      <c r="X44" s="338" t="s">
        <v>131</v>
      </c>
      <c r="Y44" s="339" t="s">
        <v>1563</v>
      </c>
      <c r="Z44" s="293">
        <v>0</v>
      </c>
    </row>
    <row r="45" spans="1:26" s="147" customFormat="1" ht="56.5" customHeight="1" x14ac:dyDescent="0.2">
      <c r="A45" s="294"/>
      <c r="B45" s="295"/>
      <c r="C45" s="292"/>
      <c r="D45" s="287"/>
      <c r="E45" s="288"/>
      <c r="F45" s="288"/>
      <c r="G45" s="288"/>
      <c r="H45" s="288"/>
      <c r="I45" s="298"/>
      <c r="J45" s="298"/>
      <c r="K45" s="299"/>
      <c r="L45" s="299"/>
      <c r="M45" s="337"/>
      <c r="N45" s="299"/>
      <c r="O45" s="298">
        <v>43</v>
      </c>
      <c r="P45" s="375" t="s">
        <v>1564</v>
      </c>
      <c r="Q45" s="338">
        <v>5</v>
      </c>
      <c r="R45" s="338"/>
      <c r="S45" s="338"/>
      <c r="T45" s="338" t="s">
        <v>131</v>
      </c>
      <c r="U45" s="338"/>
      <c r="V45" s="338"/>
      <c r="W45" s="338" t="s">
        <v>131</v>
      </c>
      <c r="X45" s="338"/>
      <c r="Y45" s="340" t="s">
        <v>1565</v>
      </c>
      <c r="Z45" s="273">
        <v>0</v>
      </c>
    </row>
    <row r="46" spans="1:26" s="147" customFormat="1" ht="56.5" customHeight="1" x14ac:dyDescent="0.2">
      <c r="A46" s="294"/>
      <c r="B46" s="295"/>
      <c r="C46" s="292"/>
      <c r="D46" s="287"/>
      <c r="E46" s="288"/>
      <c r="F46" s="288"/>
      <c r="G46" s="288"/>
      <c r="H46" s="288"/>
      <c r="I46" s="298"/>
      <c r="J46" s="298"/>
      <c r="K46" s="299"/>
      <c r="L46" s="299"/>
      <c r="M46" s="337"/>
      <c r="N46" s="299"/>
      <c r="O46" s="298">
        <v>44</v>
      </c>
      <c r="P46" s="375" t="s">
        <v>1566</v>
      </c>
      <c r="Q46" s="338">
        <v>5</v>
      </c>
      <c r="R46" s="338"/>
      <c r="S46" s="338"/>
      <c r="T46" s="338" t="s">
        <v>131</v>
      </c>
      <c r="U46" s="338"/>
      <c r="V46" s="338"/>
      <c r="W46" s="338" t="s">
        <v>131</v>
      </c>
      <c r="X46" s="338"/>
      <c r="Y46" s="340" t="s">
        <v>1567</v>
      </c>
      <c r="Z46" s="273">
        <v>0</v>
      </c>
    </row>
    <row r="47" spans="1:26" s="147" customFormat="1" ht="31.5" customHeight="1" x14ac:dyDescent="0.2">
      <c r="A47" s="294"/>
      <c r="B47" s="295"/>
      <c r="C47" s="292"/>
      <c r="D47" s="287"/>
      <c r="E47" s="288"/>
      <c r="F47" s="288"/>
      <c r="G47" s="288"/>
      <c r="H47" s="288"/>
      <c r="I47" s="298"/>
      <c r="J47" s="298"/>
      <c r="K47" s="299"/>
      <c r="L47" s="299"/>
      <c r="M47" s="337"/>
      <c r="N47" s="299"/>
      <c r="O47" s="298">
        <v>45</v>
      </c>
      <c r="P47" s="286" t="s">
        <v>1568</v>
      </c>
      <c r="Q47" s="338">
        <v>10</v>
      </c>
      <c r="R47" s="338"/>
      <c r="S47" s="338"/>
      <c r="T47" s="338"/>
      <c r="U47" s="338" t="s">
        <v>131</v>
      </c>
      <c r="V47" s="338"/>
      <c r="W47" s="338"/>
      <c r="X47" s="338"/>
      <c r="Y47" s="340" t="s">
        <v>1569</v>
      </c>
      <c r="Z47" s="273">
        <v>0</v>
      </c>
    </row>
    <row r="48" spans="1:26" s="147" customFormat="1" ht="31.5" customHeight="1" x14ac:dyDescent="0.2">
      <c r="A48" s="294"/>
      <c r="B48" s="295"/>
      <c r="C48" s="292"/>
      <c r="D48" s="287"/>
      <c r="E48" s="288"/>
      <c r="F48" s="288"/>
      <c r="G48" s="288"/>
      <c r="H48" s="288"/>
      <c r="I48" s="298"/>
      <c r="J48" s="298"/>
      <c r="K48" s="299"/>
      <c r="L48" s="299"/>
      <c r="M48" s="337"/>
      <c r="N48" s="299"/>
      <c r="O48" s="298">
        <v>46</v>
      </c>
      <c r="P48" s="286" t="s">
        <v>1570</v>
      </c>
      <c r="Q48" s="338">
        <v>10</v>
      </c>
      <c r="R48" s="338"/>
      <c r="S48" s="338"/>
      <c r="T48" s="338"/>
      <c r="U48" s="338" t="s">
        <v>131</v>
      </c>
      <c r="V48" s="338"/>
      <c r="W48" s="338"/>
      <c r="X48" s="338"/>
      <c r="Y48" s="340" t="s">
        <v>1571</v>
      </c>
      <c r="Z48" s="273">
        <v>0</v>
      </c>
    </row>
    <row r="49" spans="1:26" s="147" customFormat="1" ht="20.149999999999999" customHeight="1" x14ac:dyDescent="0.2">
      <c r="A49" s="294"/>
      <c r="B49" s="295"/>
      <c r="C49" s="292"/>
      <c r="D49" s="287"/>
      <c r="E49" s="288"/>
      <c r="F49" s="288"/>
      <c r="G49" s="288"/>
      <c r="H49" s="288"/>
      <c r="I49" s="298"/>
      <c r="J49" s="298"/>
      <c r="K49" s="299"/>
      <c r="L49" s="299"/>
      <c r="M49" s="337"/>
      <c r="N49" s="299"/>
      <c r="O49" s="298">
        <v>47</v>
      </c>
      <c r="P49" s="292" t="s">
        <v>1572</v>
      </c>
      <c r="Q49" s="794">
        <v>3</v>
      </c>
      <c r="R49" s="338"/>
      <c r="S49" s="338"/>
      <c r="T49" s="338"/>
      <c r="U49" s="338" t="s">
        <v>131</v>
      </c>
      <c r="V49" s="338"/>
      <c r="W49" s="338"/>
      <c r="X49" s="338"/>
      <c r="Y49" s="340" t="s">
        <v>1573</v>
      </c>
      <c r="Z49" s="741">
        <v>2</v>
      </c>
    </row>
    <row r="50" spans="1:26" s="402" customFormat="1" ht="39" customHeight="1" x14ac:dyDescent="0.2">
      <c r="A50" s="294"/>
      <c r="B50" s="295"/>
      <c r="C50" s="292"/>
      <c r="D50" s="287"/>
      <c r="E50" s="288"/>
      <c r="F50" s="288"/>
      <c r="G50" s="288"/>
      <c r="H50" s="288"/>
      <c r="I50" s="288"/>
      <c r="J50" s="288"/>
      <c r="K50" s="289"/>
      <c r="L50" s="289"/>
      <c r="M50" s="455"/>
      <c r="N50" s="289"/>
      <c r="O50" s="288">
        <v>48</v>
      </c>
      <c r="P50" s="292" t="s">
        <v>1574</v>
      </c>
      <c r="Q50" s="288">
        <v>5</v>
      </c>
      <c r="R50" s="292"/>
      <c r="S50" s="338"/>
      <c r="T50" s="338" t="s">
        <v>131</v>
      </c>
      <c r="U50" s="338"/>
      <c r="V50" s="338"/>
      <c r="W50" s="338" t="s">
        <v>131</v>
      </c>
      <c r="X50" s="293"/>
      <c r="Y50" s="340" t="s">
        <v>1575</v>
      </c>
      <c r="Z50" s="293" t="s">
        <v>204</v>
      </c>
    </row>
    <row r="51" spans="1:26" s="402" customFormat="1" ht="31" customHeight="1" x14ac:dyDescent="0.2">
      <c r="A51" s="294"/>
      <c r="B51" s="295"/>
      <c r="C51" s="292"/>
      <c r="D51" s="287"/>
      <c r="E51" s="288"/>
      <c r="F51" s="288"/>
      <c r="G51" s="288"/>
      <c r="H51" s="288"/>
      <c r="I51" s="288"/>
      <c r="J51" s="288"/>
      <c r="K51" s="289"/>
      <c r="L51" s="289"/>
      <c r="M51" s="455"/>
      <c r="N51" s="289"/>
      <c r="O51" s="753">
        <v>49</v>
      </c>
      <c r="P51" s="752" t="s">
        <v>1576</v>
      </c>
      <c r="Q51" s="753">
        <v>3</v>
      </c>
      <c r="R51" s="752"/>
      <c r="S51" s="753"/>
      <c r="T51" s="753" t="s">
        <v>131</v>
      </c>
      <c r="U51" s="753"/>
      <c r="V51" s="753"/>
      <c r="W51" s="753" t="s">
        <v>131</v>
      </c>
      <c r="X51" s="754"/>
      <c r="Y51" s="755" t="s">
        <v>1577</v>
      </c>
      <c r="Z51" s="754">
        <v>2</v>
      </c>
    </row>
    <row r="52" spans="1:26" s="147" customFormat="1" ht="31" customHeight="1" x14ac:dyDescent="0.2">
      <c r="A52" s="294"/>
      <c r="B52" s="295"/>
      <c r="C52" s="292"/>
      <c r="D52" s="287"/>
      <c r="E52" s="288"/>
      <c r="F52" s="288"/>
      <c r="G52" s="288"/>
      <c r="H52" s="288"/>
      <c r="I52" s="288"/>
      <c r="J52" s="288"/>
      <c r="K52" s="289"/>
      <c r="L52" s="289"/>
      <c r="M52" s="290"/>
      <c r="N52" s="291"/>
      <c r="O52" s="851">
        <v>50</v>
      </c>
      <c r="P52" s="752" t="s">
        <v>1578</v>
      </c>
      <c r="Q52" s="753">
        <v>3</v>
      </c>
      <c r="R52" s="752"/>
      <c r="S52" s="753"/>
      <c r="T52" s="753" t="s">
        <v>131</v>
      </c>
      <c r="U52" s="753"/>
      <c r="V52" s="753"/>
      <c r="W52" s="753" t="s">
        <v>131</v>
      </c>
      <c r="X52" s="754"/>
      <c r="Y52" s="755" t="s">
        <v>1579</v>
      </c>
      <c r="Z52" s="749">
        <v>2</v>
      </c>
    </row>
    <row r="53" spans="1:26" s="147" customFormat="1" ht="33" customHeight="1" x14ac:dyDescent="0.2">
      <c r="A53" s="296"/>
      <c r="B53" s="404"/>
      <c r="C53" s="405"/>
      <c r="D53" s="297"/>
      <c r="E53" s="406"/>
      <c r="F53" s="406"/>
      <c r="G53" s="406"/>
      <c r="H53" s="406"/>
      <c r="I53" s="406"/>
      <c r="J53" s="406"/>
      <c r="K53" s="407"/>
      <c r="L53" s="407"/>
      <c r="M53" s="663"/>
      <c r="N53" s="664"/>
      <c r="O53" s="298">
        <v>51</v>
      </c>
      <c r="P53" s="653" t="s">
        <v>1580</v>
      </c>
      <c r="Q53" s="406">
        <v>5</v>
      </c>
      <c r="R53" s="405"/>
      <c r="S53" s="153"/>
      <c r="T53" s="153" t="s">
        <v>131</v>
      </c>
      <c r="U53" s="153"/>
      <c r="V53" s="153"/>
      <c r="W53" s="153" t="s">
        <v>131</v>
      </c>
      <c r="X53" s="408"/>
      <c r="Y53" s="347" t="s">
        <v>1581</v>
      </c>
      <c r="Z53" s="408">
        <v>0</v>
      </c>
    </row>
    <row r="54" spans="1:26" s="147" customFormat="1" ht="36.75" customHeight="1" x14ac:dyDescent="0.2">
      <c r="A54" s="354"/>
      <c r="B54" s="355"/>
      <c r="C54" s="356"/>
      <c r="D54" s="302"/>
      <c r="E54" s="357"/>
      <c r="F54" s="357"/>
      <c r="G54" s="357"/>
      <c r="H54" s="357"/>
      <c r="I54" s="357"/>
      <c r="J54" s="357"/>
      <c r="K54" s="358"/>
      <c r="L54" s="358"/>
      <c r="M54" s="359"/>
      <c r="N54" s="360"/>
      <c r="O54" s="358"/>
      <c r="P54" s="394"/>
      <c r="Q54" s="357"/>
      <c r="R54" s="356"/>
      <c r="S54" s="581"/>
      <c r="T54" s="581"/>
      <c r="U54" s="581"/>
      <c r="V54" s="581"/>
      <c r="W54" s="581"/>
      <c r="X54" s="268"/>
      <c r="Y54" s="361"/>
      <c r="Z54" s="268"/>
    </row>
    <row r="55" spans="1:26" s="147" customFormat="1" ht="48" customHeight="1" x14ac:dyDescent="0.2">
      <c r="A55" s="278" t="s">
        <v>1582</v>
      </c>
      <c r="B55" s="348" t="s">
        <v>1387</v>
      </c>
      <c r="C55" s="283" t="s">
        <v>1583</v>
      </c>
      <c r="D55" s="349" t="s">
        <v>1584</v>
      </c>
      <c r="E55" s="454"/>
      <c r="F55" s="454"/>
      <c r="G55" s="454"/>
      <c r="H55" s="454"/>
      <c r="I55" s="454"/>
      <c r="J55" s="954">
        <f>5500/415</f>
        <v>13.253012048192771</v>
      </c>
      <c r="K55" s="280" t="s">
        <v>131</v>
      </c>
      <c r="L55" s="280" t="s">
        <v>131</v>
      </c>
      <c r="M55" s="280" t="s">
        <v>1585</v>
      </c>
      <c r="N55" s="280" t="s">
        <v>1586</v>
      </c>
      <c r="O55" s="280"/>
      <c r="P55" s="283"/>
      <c r="Q55" s="279"/>
      <c r="R55" s="283"/>
      <c r="S55" s="279"/>
      <c r="T55" s="279"/>
      <c r="U55" s="279"/>
      <c r="V55" s="282"/>
      <c r="W55" s="282"/>
      <c r="X55" s="282"/>
      <c r="Y55" s="409"/>
      <c r="Z55" s="462"/>
    </row>
    <row r="56" spans="1:26" s="147" customFormat="1" ht="72.650000000000006" customHeight="1" x14ac:dyDescent="0.2">
      <c r="A56" s="296"/>
      <c r="B56" s="285"/>
      <c r="C56" s="286"/>
      <c r="D56" s="297"/>
      <c r="E56" s="298"/>
      <c r="F56" s="298"/>
      <c r="G56" s="298"/>
      <c r="H56" s="298"/>
      <c r="I56" s="298"/>
      <c r="J56" s="376"/>
      <c r="K56" s="299"/>
      <c r="L56" s="299"/>
      <c r="M56" s="298" t="s">
        <v>1587</v>
      </c>
      <c r="N56" s="299" t="s">
        <v>1588</v>
      </c>
      <c r="O56" s="299">
        <v>1</v>
      </c>
      <c r="P56" s="286" t="s">
        <v>1589</v>
      </c>
      <c r="Q56" s="376">
        <v>0</v>
      </c>
      <c r="R56" s="338"/>
      <c r="S56" s="338"/>
      <c r="T56" s="338"/>
      <c r="U56" s="338" t="s">
        <v>131</v>
      </c>
      <c r="V56" s="338"/>
      <c r="W56" s="338"/>
      <c r="X56" s="338"/>
      <c r="Y56" s="681"/>
      <c r="Z56" s="368">
        <v>0</v>
      </c>
    </row>
    <row r="57" spans="1:26" s="147" customFormat="1" ht="20.149999999999999" customHeight="1" x14ac:dyDescent="0.2">
      <c r="A57" s="296"/>
      <c r="B57" s="285"/>
      <c r="C57" s="286"/>
      <c r="D57" s="297"/>
      <c r="E57" s="298"/>
      <c r="F57" s="298"/>
      <c r="G57" s="298"/>
      <c r="H57" s="298"/>
      <c r="I57" s="298"/>
      <c r="J57" s="376"/>
      <c r="K57" s="299"/>
      <c r="L57" s="299"/>
      <c r="M57" s="337"/>
      <c r="N57" s="299"/>
      <c r="O57" s="298">
        <v>2</v>
      </c>
      <c r="P57" s="292" t="s">
        <v>1590</v>
      </c>
      <c r="Q57" s="338">
        <v>0</v>
      </c>
      <c r="R57" s="338"/>
      <c r="S57" s="338"/>
      <c r="T57" s="338"/>
      <c r="U57" s="338" t="s">
        <v>131</v>
      </c>
      <c r="V57" s="338"/>
      <c r="W57" s="338"/>
      <c r="X57" s="753"/>
      <c r="Y57" s="578"/>
      <c r="Z57" s="747">
        <v>2</v>
      </c>
    </row>
    <row r="58" spans="1:26" s="147" customFormat="1" ht="20.149999999999999" customHeight="1" x14ac:dyDescent="0.2">
      <c r="A58" s="296"/>
      <c r="B58" s="285"/>
      <c r="C58" s="286"/>
      <c r="D58" s="297"/>
      <c r="E58" s="298"/>
      <c r="F58" s="298"/>
      <c r="G58" s="298"/>
      <c r="H58" s="298"/>
      <c r="I58" s="298"/>
      <c r="J58" s="376"/>
      <c r="K58" s="299"/>
      <c r="L58" s="299"/>
      <c r="M58" s="337"/>
      <c r="N58" s="299"/>
      <c r="O58" s="298">
        <v>3</v>
      </c>
      <c r="P58" s="292" t="s">
        <v>1591</v>
      </c>
      <c r="Q58" s="338">
        <v>0</v>
      </c>
      <c r="R58" s="338"/>
      <c r="S58" s="338"/>
      <c r="T58" s="338"/>
      <c r="U58" s="338" t="s">
        <v>131</v>
      </c>
      <c r="V58" s="338"/>
      <c r="W58" s="338"/>
      <c r="X58" s="753"/>
      <c r="Y58" s="578"/>
      <c r="Z58" s="747">
        <v>2</v>
      </c>
    </row>
    <row r="59" spans="1:26" s="147" customFormat="1" ht="20.149999999999999" customHeight="1" x14ac:dyDescent="0.2">
      <c r="A59" s="296"/>
      <c r="B59" s="285"/>
      <c r="C59" s="286"/>
      <c r="D59" s="297"/>
      <c r="E59" s="298"/>
      <c r="F59" s="298"/>
      <c r="G59" s="298"/>
      <c r="H59" s="298"/>
      <c r="I59" s="298"/>
      <c r="J59" s="376"/>
      <c r="K59" s="299"/>
      <c r="L59" s="299"/>
      <c r="M59" s="337"/>
      <c r="N59" s="299"/>
      <c r="O59" s="298">
        <v>4</v>
      </c>
      <c r="P59" s="292" t="s">
        <v>1592</v>
      </c>
      <c r="Q59" s="338">
        <v>0</v>
      </c>
      <c r="R59" s="338"/>
      <c r="S59" s="338"/>
      <c r="T59" s="338"/>
      <c r="U59" s="338" t="s">
        <v>131</v>
      </c>
      <c r="V59" s="338" t="s">
        <v>131</v>
      </c>
      <c r="W59" s="338"/>
      <c r="X59" s="753"/>
      <c r="Y59" s="578"/>
      <c r="Z59" s="747">
        <v>2</v>
      </c>
    </row>
    <row r="60" spans="1:26" s="147" customFormat="1" ht="20.149999999999999" customHeight="1" x14ac:dyDescent="0.2">
      <c r="A60" s="296"/>
      <c r="B60" s="285"/>
      <c r="C60" s="286"/>
      <c r="D60" s="297"/>
      <c r="E60" s="298"/>
      <c r="F60" s="298"/>
      <c r="G60" s="298"/>
      <c r="H60" s="298"/>
      <c r="I60" s="298"/>
      <c r="J60" s="376"/>
      <c r="K60" s="299"/>
      <c r="L60" s="299"/>
      <c r="M60" s="337"/>
      <c r="N60" s="299"/>
      <c r="O60" s="298">
        <v>5</v>
      </c>
      <c r="P60" s="292" t="s">
        <v>1593</v>
      </c>
      <c r="Q60" s="338">
        <v>0</v>
      </c>
      <c r="R60" s="338"/>
      <c r="S60" s="338"/>
      <c r="T60" s="338"/>
      <c r="U60" s="338" t="s">
        <v>131</v>
      </c>
      <c r="V60" s="338"/>
      <c r="W60" s="338"/>
      <c r="X60" s="338"/>
      <c r="Y60" s="578"/>
      <c r="Z60" s="368" t="s">
        <v>204</v>
      </c>
    </row>
    <row r="61" spans="1:26" s="147" customFormat="1" ht="20.149999999999999" customHeight="1" x14ac:dyDescent="0.2">
      <c r="A61" s="296"/>
      <c r="B61" s="285"/>
      <c r="C61" s="286"/>
      <c r="D61" s="297"/>
      <c r="E61" s="298"/>
      <c r="F61" s="298"/>
      <c r="G61" s="298"/>
      <c r="H61" s="298"/>
      <c r="I61" s="298"/>
      <c r="J61" s="376"/>
      <c r="K61" s="299"/>
      <c r="L61" s="299"/>
      <c r="M61" s="337"/>
      <c r="N61" s="299"/>
      <c r="O61" s="298">
        <v>6</v>
      </c>
      <c r="P61" s="292" t="s">
        <v>1594</v>
      </c>
      <c r="Q61" s="338">
        <v>0</v>
      </c>
      <c r="R61" s="338"/>
      <c r="S61" s="338"/>
      <c r="T61" s="338"/>
      <c r="U61" s="338" t="s">
        <v>131</v>
      </c>
      <c r="V61" s="338"/>
      <c r="W61" s="338"/>
      <c r="X61" s="338"/>
      <c r="Y61" s="578"/>
      <c r="Z61" s="368" t="s">
        <v>204</v>
      </c>
    </row>
    <row r="62" spans="1:26" s="147" customFormat="1" ht="20.149999999999999" customHeight="1" x14ac:dyDescent="0.2">
      <c r="A62" s="296"/>
      <c r="B62" s="285"/>
      <c r="C62" s="286"/>
      <c r="D62" s="297"/>
      <c r="E62" s="298"/>
      <c r="F62" s="298"/>
      <c r="G62" s="298"/>
      <c r="H62" s="298"/>
      <c r="I62" s="298"/>
      <c r="J62" s="376"/>
      <c r="K62" s="299"/>
      <c r="L62" s="299"/>
      <c r="M62" s="337"/>
      <c r="N62" s="299"/>
      <c r="O62" s="298">
        <v>7</v>
      </c>
      <c r="P62" s="292" t="s">
        <v>1595</v>
      </c>
      <c r="Q62" s="338">
        <v>0</v>
      </c>
      <c r="R62" s="577"/>
      <c r="S62" s="753"/>
      <c r="T62" s="576"/>
      <c r="U62" s="338" t="s">
        <v>131</v>
      </c>
      <c r="V62" s="575"/>
      <c r="W62" s="576"/>
      <c r="X62" s="338"/>
      <c r="Y62" s="578"/>
      <c r="Z62" s="747">
        <v>2</v>
      </c>
    </row>
    <row r="63" spans="1:26" s="147" customFormat="1" ht="21.75" customHeight="1" x14ac:dyDescent="0.2">
      <c r="A63" s="296"/>
      <c r="B63" s="294"/>
      <c r="C63" s="579"/>
      <c r="D63" s="297"/>
      <c r="E63" s="288"/>
      <c r="F63" s="288"/>
      <c r="G63" s="288"/>
      <c r="H63" s="288"/>
      <c r="I63" s="288"/>
      <c r="J63" s="338"/>
      <c r="K63" s="289"/>
      <c r="L63" s="289"/>
      <c r="M63" s="455"/>
      <c r="N63" s="289"/>
      <c r="O63" s="298">
        <v>8</v>
      </c>
      <c r="P63" s="746" t="s">
        <v>1596</v>
      </c>
      <c r="Q63" s="794">
        <v>3</v>
      </c>
      <c r="R63" s="292"/>
      <c r="S63" s="288"/>
      <c r="T63" s="753"/>
      <c r="U63" s="766" t="s">
        <v>131</v>
      </c>
      <c r="V63" s="293"/>
      <c r="W63" s="293"/>
      <c r="X63" s="293"/>
      <c r="Y63" s="340" t="s">
        <v>1597</v>
      </c>
      <c r="Z63" s="741">
        <v>2</v>
      </c>
    </row>
    <row r="64" spans="1:26" s="147" customFormat="1" ht="43.5" customHeight="1" x14ac:dyDescent="0.2">
      <c r="A64" s="296"/>
      <c r="B64" s="295"/>
      <c r="C64" s="292"/>
      <c r="D64" s="297"/>
      <c r="E64" s="298"/>
      <c r="F64" s="298"/>
      <c r="G64" s="298"/>
      <c r="H64" s="298"/>
      <c r="I64" s="298"/>
      <c r="J64" s="376"/>
      <c r="K64" s="299"/>
      <c r="L64" s="299"/>
      <c r="M64" s="337"/>
      <c r="N64" s="299"/>
      <c r="O64" s="298">
        <v>9</v>
      </c>
      <c r="P64" s="286" t="s">
        <v>1598</v>
      </c>
      <c r="Q64" s="794">
        <v>3</v>
      </c>
      <c r="R64" s="286"/>
      <c r="S64" s="298" t="s">
        <v>131</v>
      </c>
      <c r="T64" s="298"/>
      <c r="U64" s="298"/>
      <c r="V64" s="273"/>
      <c r="W64" s="766" t="s">
        <v>131</v>
      </c>
      <c r="X64" s="273"/>
      <c r="Y64" s="339" t="s">
        <v>1599</v>
      </c>
      <c r="Z64" s="741">
        <v>2</v>
      </c>
    </row>
    <row r="65" spans="1:26" s="147" customFormat="1" ht="43.5" customHeight="1" x14ac:dyDescent="0.2">
      <c r="A65" s="296"/>
      <c r="B65" s="285"/>
      <c r="C65" s="286"/>
      <c r="D65" s="297"/>
      <c r="E65" s="298"/>
      <c r="F65" s="298"/>
      <c r="G65" s="298"/>
      <c r="H65" s="298"/>
      <c r="I65" s="298"/>
      <c r="J65" s="376"/>
      <c r="K65" s="299"/>
      <c r="L65" s="299"/>
      <c r="M65" s="337"/>
      <c r="N65" s="299"/>
      <c r="O65" s="298">
        <v>10</v>
      </c>
      <c r="P65" s="286" t="s">
        <v>1600</v>
      </c>
      <c r="Q65" s="298">
        <v>5</v>
      </c>
      <c r="R65" s="286"/>
      <c r="S65" s="298" t="s">
        <v>131</v>
      </c>
      <c r="T65" s="298"/>
      <c r="U65" s="298"/>
      <c r="V65" s="273"/>
      <c r="W65" s="766" t="s">
        <v>131</v>
      </c>
      <c r="X65" s="273"/>
      <c r="Y65" s="339" t="s">
        <v>1601</v>
      </c>
      <c r="Z65" s="741">
        <v>2</v>
      </c>
    </row>
    <row r="66" spans="1:26" s="147" customFormat="1" ht="21.75" customHeight="1" x14ac:dyDescent="0.2">
      <c r="A66" s="296"/>
      <c r="B66" s="296"/>
      <c r="C66" s="296"/>
      <c r="D66" s="297"/>
      <c r="E66" s="288"/>
      <c r="F66" s="288"/>
      <c r="G66" s="288"/>
      <c r="H66" s="288"/>
      <c r="I66" s="288"/>
      <c r="J66" s="338"/>
      <c r="K66" s="289"/>
      <c r="L66" s="289"/>
      <c r="M66" s="455"/>
      <c r="N66" s="289"/>
      <c r="O66" s="298">
        <v>11</v>
      </c>
      <c r="P66" s="292" t="s">
        <v>1602</v>
      </c>
      <c r="Q66" s="794">
        <v>3</v>
      </c>
      <c r="R66" s="292"/>
      <c r="S66" s="288"/>
      <c r="T66" s="753"/>
      <c r="U66" s="766" t="s">
        <v>131</v>
      </c>
      <c r="V66" s="293"/>
      <c r="W66" s="293"/>
      <c r="X66" s="293"/>
      <c r="Y66" s="340" t="s">
        <v>1603</v>
      </c>
      <c r="Z66" s="741">
        <v>2</v>
      </c>
    </row>
    <row r="67" spans="1:26" s="147" customFormat="1" ht="21.75" customHeight="1" x14ac:dyDescent="0.2">
      <c r="A67" s="296"/>
      <c r="B67" s="296"/>
      <c r="C67" s="296"/>
      <c r="D67" s="297"/>
      <c r="E67" s="288"/>
      <c r="F67" s="288"/>
      <c r="G67" s="288"/>
      <c r="H67" s="288"/>
      <c r="I67" s="288"/>
      <c r="J67" s="338"/>
      <c r="K67" s="289"/>
      <c r="L67" s="289"/>
      <c r="M67" s="455"/>
      <c r="N67" s="289"/>
      <c r="O67" s="298">
        <v>12</v>
      </c>
      <c r="P67" s="292" t="s">
        <v>1604</v>
      </c>
      <c r="Q67" s="288">
        <v>5</v>
      </c>
      <c r="R67" s="292"/>
      <c r="S67" s="288"/>
      <c r="T67" s="753"/>
      <c r="U67" s="766" t="s">
        <v>131</v>
      </c>
      <c r="V67" s="293"/>
      <c r="W67" s="293"/>
      <c r="X67" s="293"/>
      <c r="Y67" s="340" t="s">
        <v>1605</v>
      </c>
      <c r="Z67" s="741">
        <v>2</v>
      </c>
    </row>
    <row r="68" spans="1:26" s="147" customFormat="1" ht="21.75" customHeight="1" x14ac:dyDescent="0.2">
      <c r="A68" s="296"/>
      <c r="B68" s="296"/>
      <c r="C68" s="296"/>
      <c r="D68" s="297"/>
      <c r="E68" s="406"/>
      <c r="F68" s="406"/>
      <c r="G68" s="406"/>
      <c r="H68" s="406"/>
      <c r="I68" s="406"/>
      <c r="J68" s="153"/>
      <c r="K68" s="407"/>
      <c r="L68" s="407"/>
      <c r="M68" s="459"/>
      <c r="N68" s="407"/>
      <c r="O68" s="298">
        <v>13</v>
      </c>
      <c r="P68" s="292" t="s">
        <v>1606</v>
      </c>
      <c r="Q68" s="288">
        <v>5</v>
      </c>
      <c r="R68" s="292"/>
      <c r="S68" s="288"/>
      <c r="T68" s="753"/>
      <c r="U68" s="766" t="s">
        <v>131</v>
      </c>
      <c r="V68" s="408"/>
      <c r="W68" s="408"/>
      <c r="X68" s="408"/>
      <c r="Y68" s="347" t="s">
        <v>1607</v>
      </c>
      <c r="Z68" s="741">
        <v>2</v>
      </c>
    </row>
    <row r="69" spans="1:26" s="147" customFormat="1" ht="31" customHeight="1" x14ac:dyDescent="0.2">
      <c r="A69" s="296"/>
      <c r="B69" s="296"/>
      <c r="C69" s="296"/>
      <c r="D69" s="297"/>
      <c r="E69" s="406"/>
      <c r="F69" s="406"/>
      <c r="G69" s="406"/>
      <c r="H69" s="406"/>
      <c r="I69" s="406"/>
      <c r="J69" s="153"/>
      <c r="K69" s="407"/>
      <c r="L69" s="407"/>
      <c r="M69" s="459"/>
      <c r="N69" s="407"/>
      <c r="O69" s="298">
        <v>14</v>
      </c>
      <c r="P69" s="405" t="s">
        <v>1608</v>
      </c>
      <c r="Q69" s="288">
        <v>5</v>
      </c>
      <c r="R69" s="292"/>
      <c r="S69" s="288"/>
      <c r="T69" s="753"/>
      <c r="U69" s="766" t="s">
        <v>131</v>
      </c>
      <c r="V69" s="408"/>
      <c r="W69" s="408"/>
      <c r="X69" s="408"/>
      <c r="Y69" s="347" t="s">
        <v>1609</v>
      </c>
      <c r="Z69" s="741">
        <v>2</v>
      </c>
    </row>
    <row r="70" spans="1:26" s="147" customFormat="1" ht="21.75" customHeight="1" x14ac:dyDescent="0.2">
      <c r="A70" s="354"/>
      <c r="B70" s="355"/>
      <c r="C70" s="356"/>
      <c r="D70" s="302"/>
      <c r="E70" s="357"/>
      <c r="F70" s="357"/>
      <c r="G70" s="357"/>
      <c r="H70" s="357"/>
      <c r="I70" s="357"/>
      <c r="J70" s="581"/>
      <c r="K70" s="358"/>
      <c r="L70" s="358"/>
      <c r="M70" s="456"/>
      <c r="N70" s="358"/>
      <c r="O70" s="358"/>
      <c r="P70" s="356"/>
      <c r="Q70" s="357"/>
      <c r="R70" s="356"/>
      <c r="S70" s="357"/>
      <c r="T70" s="357"/>
      <c r="U70" s="357"/>
      <c r="V70" s="268"/>
      <c r="W70" s="268"/>
      <c r="X70" s="268"/>
      <c r="Y70" s="361"/>
      <c r="Z70" s="268"/>
    </row>
    <row r="71" spans="1:26" s="147" customFormat="1" ht="48" customHeight="1" x14ac:dyDescent="0.2">
      <c r="A71" s="278" t="s">
        <v>1610</v>
      </c>
      <c r="B71" s="348" t="s">
        <v>1387</v>
      </c>
      <c r="C71" s="283" t="s">
        <v>1611</v>
      </c>
      <c r="D71" s="349" t="s">
        <v>1584</v>
      </c>
      <c r="E71" s="454"/>
      <c r="F71" s="454"/>
      <c r="G71" s="454"/>
      <c r="H71" s="454"/>
      <c r="I71" s="454"/>
      <c r="J71" s="954">
        <f>5500/415</f>
        <v>13.253012048192771</v>
      </c>
      <c r="K71" s="280" t="s">
        <v>131</v>
      </c>
      <c r="L71" s="280" t="s">
        <v>131</v>
      </c>
      <c r="M71" s="280" t="s">
        <v>1585</v>
      </c>
      <c r="N71" s="280" t="s">
        <v>1586</v>
      </c>
      <c r="O71" s="280"/>
      <c r="P71" s="283"/>
      <c r="Q71" s="279"/>
      <c r="R71" s="283"/>
      <c r="S71" s="279"/>
      <c r="T71" s="279"/>
      <c r="U71" s="279"/>
      <c r="V71" s="282"/>
      <c r="W71" s="282"/>
      <c r="X71" s="282"/>
      <c r="Y71" s="409"/>
      <c r="Z71" s="282"/>
    </row>
    <row r="72" spans="1:26" s="147" customFormat="1" ht="48" customHeight="1" x14ac:dyDescent="0.2">
      <c r="A72" s="296"/>
      <c r="B72" s="285"/>
      <c r="C72" s="286"/>
      <c r="D72" s="297"/>
      <c r="E72" s="298"/>
      <c r="F72" s="298"/>
      <c r="G72" s="298"/>
      <c r="H72" s="298"/>
      <c r="I72" s="298"/>
      <c r="J72" s="298"/>
      <c r="K72" s="299"/>
      <c r="L72" s="299"/>
      <c r="M72" s="298" t="s">
        <v>1587</v>
      </c>
      <c r="N72" s="299" t="s">
        <v>1588</v>
      </c>
      <c r="O72" s="299">
        <v>1</v>
      </c>
      <c r="P72" s="286" t="s">
        <v>1612</v>
      </c>
      <c r="Q72" s="376">
        <v>0</v>
      </c>
      <c r="R72" s="338"/>
      <c r="S72" s="338"/>
      <c r="T72" s="338"/>
      <c r="U72" s="338" t="s">
        <v>131</v>
      </c>
      <c r="V72" s="338"/>
      <c r="W72" s="338"/>
      <c r="X72" s="338"/>
      <c r="Y72" s="681"/>
      <c r="Z72" s="368">
        <v>0</v>
      </c>
    </row>
    <row r="73" spans="1:26" s="147" customFormat="1" ht="20.149999999999999" customHeight="1" x14ac:dyDescent="0.2">
      <c r="A73" s="296"/>
      <c r="B73" s="285"/>
      <c r="C73" s="286"/>
      <c r="D73" s="297"/>
      <c r="E73" s="298"/>
      <c r="F73" s="298"/>
      <c r="G73" s="298"/>
      <c r="H73" s="298"/>
      <c r="I73" s="298"/>
      <c r="J73" s="298"/>
      <c r="K73" s="299"/>
      <c r="L73" s="299"/>
      <c r="M73" s="337"/>
      <c r="N73" s="299"/>
      <c r="O73" s="298">
        <v>2</v>
      </c>
      <c r="P73" s="292" t="s">
        <v>1613</v>
      </c>
      <c r="Q73" s="338">
        <v>0</v>
      </c>
      <c r="R73" s="338"/>
      <c r="S73" s="338"/>
      <c r="T73" s="338"/>
      <c r="U73" s="338" t="s">
        <v>131</v>
      </c>
      <c r="V73" s="338"/>
      <c r="W73" s="338"/>
      <c r="X73" s="753"/>
      <c r="Y73" s="578"/>
      <c r="Z73" s="747">
        <v>2</v>
      </c>
    </row>
    <row r="74" spans="1:26" s="147" customFormat="1" ht="20.149999999999999" customHeight="1" x14ac:dyDescent="0.2">
      <c r="A74" s="296"/>
      <c r="B74" s="285"/>
      <c r="C74" s="286"/>
      <c r="D74" s="297"/>
      <c r="E74" s="298"/>
      <c r="F74" s="298"/>
      <c r="G74" s="298"/>
      <c r="H74" s="298"/>
      <c r="I74" s="298"/>
      <c r="J74" s="298"/>
      <c r="K74" s="299"/>
      <c r="L74" s="299"/>
      <c r="M74" s="337"/>
      <c r="N74" s="299"/>
      <c r="O74" s="298">
        <v>3</v>
      </c>
      <c r="P74" s="292" t="s">
        <v>1614</v>
      </c>
      <c r="Q74" s="338">
        <v>0</v>
      </c>
      <c r="R74" s="338"/>
      <c r="S74" s="338"/>
      <c r="T74" s="338"/>
      <c r="U74" s="338" t="s">
        <v>131</v>
      </c>
      <c r="V74" s="338"/>
      <c r="W74" s="338"/>
      <c r="X74" s="753"/>
      <c r="Y74" s="578"/>
      <c r="Z74" s="747">
        <v>2</v>
      </c>
    </row>
    <row r="75" spans="1:26" s="147" customFormat="1" ht="20.149999999999999" customHeight="1" x14ac:dyDescent="0.2">
      <c r="A75" s="296"/>
      <c r="B75" s="285"/>
      <c r="C75" s="286"/>
      <c r="D75" s="297"/>
      <c r="E75" s="298"/>
      <c r="F75" s="298"/>
      <c r="G75" s="298"/>
      <c r="H75" s="298"/>
      <c r="I75" s="298"/>
      <c r="J75" s="298"/>
      <c r="K75" s="299"/>
      <c r="L75" s="299"/>
      <c r="M75" s="337"/>
      <c r="N75" s="299"/>
      <c r="O75" s="298">
        <v>4</v>
      </c>
      <c r="P75" s="292" t="s">
        <v>1615</v>
      </c>
      <c r="Q75" s="338">
        <v>0</v>
      </c>
      <c r="R75" s="338"/>
      <c r="S75" s="338"/>
      <c r="T75" s="338"/>
      <c r="U75" s="338" t="s">
        <v>131</v>
      </c>
      <c r="V75" s="338" t="s">
        <v>131</v>
      </c>
      <c r="W75" s="338"/>
      <c r="X75" s="753"/>
      <c r="Y75" s="578"/>
      <c r="Z75" s="747">
        <v>2</v>
      </c>
    </row>
    <row r="76" spans="1:26" s="147" customFormat="1" ht="20.149999999999999" customHeight="1" x14ac:dyDescent="0.2">
      <c r="A76" s="296"/>
      <c r="B76" s="285"/>
      <c r="C76" s="286"/>
      <c r="D76" s="297"/>
      <c r="E76" s="298"/>
      <c r="F76" s="298"/>
      <c r="G76" s="298"/>
      <c r="H76" s="298"/>
      <c r="I76" s="298"/>
      <c r="J76" s="298"/>
      <c r="K76" s="299"/>
      <c r="L76" s="299"/>
      <c r="M76" s="337"/>
      <c r="N76" s="299"/>
      <c r="O76" s="298">
        <v>5</v>
      </c>
      <c r="P76" s="292" t="s">
        <v>1616</v>
      </c>
      <c r="Q76" s="338">
        <v>0</v>
      </c>
      <c r="R76" s="338"/>
      <c r="S76" s="338"/>
      <c r="T76" s="338"/>
      <c r="U76" s="338" t="s">
        <v>131</v>
      </c>
      <c r="V76" s="338"/>
      <c r="W76" s="338"/>
      <c r="X76" s="338"/>
      <c r="Y76" s="578"/>
      <c r="Z76" s="368" t="s">
        <v>204</v>
      </c>
    </row>
    <row r="77" spans="1:26" s="147" customFormat="1" ht="20.149999999999999" customHeight="1" x14ac:dyDescent="0.2">
      <c r="A77" s="296"/>
      <c r="B77" s="285"/>
      <c r="C77" s="286"/>
      <c r="D77" s="297"/>
      <c r="E77" s="298"/>
      <c r="F77" s="298"/>
      <c r="G77" s="298"/>
      <c r="H77" s="298"/>
      <c r="I77" s="298"/>
      <c r="J77" s="298"/>
      <c r="K77" s="299"/>
      <c r="L77" s="299"/>
      <c r="M77" s="337"/>
      <c r="N77" s="299"/>
      <c r="O77" s="298">
        <v>6</v>
      </c>
      <c r="P77" s="292" t="s">
        <v>1617</v>
      </c>
      <c r="Q77" s="338">
        <v>0</v>
      </c>
      <c r="R77" s="338"/>
      <c r="S77" s="338"/>
      <c r="T77" s="338"/>
      <c r="U77" s="338" t="s">
        <v>131</v>
      </c>
      <c r="V77" s="338"/>
      <c r="W77" s="338"/>
      <c r="X77" s="338"/>
      <c r="Y77" s="578"/>
      <c r="Z77" s="368" t="s">
        <v>204</v>
      </c>
    </row>
    <row r="78" spans="1:26" s="147" customFormat="1" ht="21.75" customHeight="1" x14ac:dyDescent="0.2">
      <c r="A78" s="294"/>
      <c r="B78" s="295"/>
      <c r="C78" s="292"/>
      <c r="D78" s="287"/>
      <c r="E78" s="288"/>
      <c r="F78" s="288"/>
      <c r="G78" s="288"/>
      <c r="H78" s="288"/>
      <c r="I78" s="288"/>
      <c r="J78" s="288"/>
      <c r="K78" s="289"/>
      <c r="L78" s="289"/>
      <c r="M78" s="455"/>
      <c r="N78" s="289"/>
      <c r="O78" s="298">
        <v>7</v>
      </c>
      <c r="P78" s="292" t="s">
        <v>1618</v>
      </c>
      <c r="Q78" s="338">
        <v>0</v>
      </c>
      <c r="R78" s="577"/>
      <c r="S78" s="753"/>
      <c r="T78" s="576"/>
      <c r="U78" s="338" t="s">
        <v>131</v>
      </c>
      <c r="V78" s="575"/>
      <c r="W78" s="576"/>
      <c r="X78" s="338"/>
      <c r="Y78" s="578"/>
      <c r="Z78" s="747">
        <v>2</v>
      </c>
    </row>
    <row r="79" spans="1:26" s="147" customFormat="1" ht="21.75" customHeight="1" x14ac:dyDescent="0.2">
      <c r="A79" s="294"/>
      <c r="B79" s="295"/>
      <c r="C79" s="292"/>
      <c r="D79" s="287"/>
      <c r="E79" s="288"/>
      <c r="F79" s="288"/>
      <c r="G79" s="288"/>
      <c r="H79" s="288"/>
      <c r="I79" s="288"/>
      <c r="J79" s="288"/>
      <c r="K79" s="289"/>
      <c r="L79" s="289"/>
      <c r="M79" s="455"/>
      <c r="N79" s="289"/>
      <c r="O79" s="298">
        <v>8</v>
      </c>
      <c r="P79" s="746" t="s">
        <v>1619</v>
      </c>
      <c r="Q79" s="794">
        <v>3</v>
      </c>
      <c r="R79" s="292"/>
      <c r="S79" s="288"/>
      <c r="T79" s="753"/>
      <c r="U79" s="766" t="s">
        <v>131</v>
      </c>
      <c r="V79" s="293"/>
      <c r="W79" s="293"/>
      <c r="X79" s="293"/>
      <c r="Y79" s="340" t="s">
        <v>1620</v>
      </c>
      <c r="Z79" s="741">
        <v>2</v>
      </c>
    </row>
    <row r="80" spans="1:26" s="147" customFormat="1" ht="43.5" customHeight="1" x14ac:dyDescent="0.2">
      <c r="A80" s="294"/>
      <c r="B80" s="295"/>
      <c r="C80" s="292"/>
      <c r="D80" s="287"/>
      <c r="E80" s="288"/>
      <c r="F80" s="288"/>
      <c r="G80" s="288"/>
      <c r="H80" s="288"/>
      <c r="I80" s="288"/>
      <c r="J80" s="288"/>
      <c r="K80" s="289"/>
      <c r="L80" s="289"/>
      <c r="M80" s="455"/>
      <c r="N80" s="289"/>
      <c r="O80" s="298">
        <v>9</v>
      </c>
      <c r="P80" s="286" t="s">
        <v>1598</v>
      </c>
      <c r="Q80" s="794">
        <v>3</v>
      </c>
      <c r="R80" s="286"/>
      <c r="S80" s="298" t="s">
        <v>131</v>
      </c>
      <c r="T80" s="298"/>
      <c r="U80" s="298"/>
      <c r="V80" s="273"/>
      <c r="W80" s="766" t="s">
        <v>131</v>
      </c>
      <c r="X80" s="273"/>
      <c r="Y80" s="339" t="s">
        <v>1621</v>
      </c>
      <c r="Z80" s="741">
        <v>2</v>
      </c>
    </row>
    <row r="81" spans="1:26" s="147" customFormat="1" ht="43.5" customHeight="1" x14ac:dyDescent="0.2">
      <c r="A81" s="294"/>
      <c r="B81" s="295"/>
      <c r="C81" s="292"/>
      <c r="D81" s="287"/>
      <c r="E81" s="288"/>
      <c r="F81" s="288"/>
      <c r="G81" s="288"/>
      <c r="H81" s="288"/>
      <c r="I81" s="288"/>
      <c r="J81" s="288"/>
      <c r="K81" s="289"/>
      <c r="L81" s="289"/>
      <c r="M81" s="455"/>
      <c r="N81" s="289"/>
      <c r="O81" s="298">
        <v>10</v>
      </c>
      <c r="P81" s="286" t="s">
        <v>1600</v>
      </c>
      <c r="Q81" s="298">
        <v>5</v>
      </c>
      <c r="R81" s="286"/>
      <c r="S81" s="298" t="s">
        <v>131</v>
      </c>
      <c r="T81" s="298"/>
      <c r="U81" s="298"/>
      <c r="V81" s="273"/>
      <c r="W81" s="766" t="s">
        <v>131</v>
      </c>
      <c r="X81" s="273"/>
      <c r="Y81" s="339" t="s">
        <v>1622</v>
      </c>
      <c r="Z81" s="741">
        <v>2</v>
      </c>
    </row>
    <row r="82" spans="1:26" s="147" customFormat="1" ht="32.25" customHeight="1" x14ac:dyDescent="0.2">
      <c r="A82" s="294"/>
      <c r="B82" s="295"/>
      <c r="C82" s="292"/>
      <c r="D82" s="287"/>
      <c r="E82" s="288"/>
      <c r="F82" s="288"/>
      <c r="G82" s="288"/>
      <c r="H82" s="288"/>
      <c r="I82" s="288"/>
      <c r="J82" s="288"/>
      <c r="K82" s="289"/>
      <c r="L82" s="289"/>
      <c r="M82" s="455"/>
      <c r="N82" s="289"/>
      <c r="O82" s="298">
        <v>11</v>
      </c>
      <c r="P82" s="292" t="s">
        <v>1602</v>
      </c>
      <c r="Q82" s="794">
        <v>3</v>
      </c>
      <c r="R82" s="292"/>
      <c r="S82" s="288"/>
      <c r="T82" s="753"/>
      <c r="U82" s="766" t="s">
        <v>131</v>
      </c>
      <c r="V82" s="293"/>
      <c r="W82" s="293"/>
      <c r="X82" s="293"/>
      <c r="Y82" s="340" t="s">
        <v>1603</v>
      </c>
      <c r="Z82" s="741">
        <v>2</v>
      </c>
    </row>
    <row r="83" spans="1:26" s="147" customFormat="1" ht="21.75" customHeight="1" x14ac:dyDescent="0.2">
      <c r="A83" s="294"/>
      <c r="B83" s="295"/>
      <c r="C83" s="292"/>
      <c r="D83" s="287"/>
      <c r="E83" s="288"/>
      <c r="F83" s="288"/>
      <c r="G83" s="288"/>
      <c r="H83" s="288"/>
      <c r="I83" s="288"/>
      <c r="J83" s="288"/>
      <c r="K83" s="289"/>
      <c r="L83" s="289"/>
      <c r="M83" s="455"/>
      <c r="N83" s="289"/>
      <c r="O83" s="298">
        <v>12</v>
      </c>
      <c r="P83" s="292" t="s">
        <v>1604</v>
      </c>
      <c r="Q83" s="288">
        <v>5</v>
      </c>
      <c r="R83" s="292"/>
      <c r="S83" s="288"/>
      <c r="T83" s="753"/>
      <c r="U83" s="766" t="s">
        <v>131</v>
      </c>
      <c r="V83" s="293"/>
      <c r="W83" s="293"/>
      <c r="X83" s="293"/>
      <c r="Y83" s="340" t="s">
        <v>1623</v>
      </c>
      <c r="Z83" s="741">
        <v>2</v>
      </c>
    </row>
    <row r="84" spans="1:26" s="147" customFormat="1" ht="21.75" customHeight="1" x14ac:dyDescent="0.2">
      <c r="A84" s="296"/>
      <c r="B84" s="296"/>
      <c r="C84" s="296"/>
      <c r="D84" s="297"/>
      <c r="E84" s="406"/>
      <c r="F84" s="406"/>
      <c r="G84" s="406"/>
      <c r="H84" s="406"/>
      <c r="I84" s="406"/>
      <c r="J84" s="406"/>
      <c r="K84" s="407"/>
      <c r="L84" s="407"/>
      <c r="M84" s="459"/>
      <c r="N84" s="407"/>
      <c r="O84" s="298">
        <v>13</v>
      </c>
      <c r="P84" s="292" t="s">
        <v>1606</v>
      </c>
      <c r="Q84" s="288">
        <v>5</v>
      </c>
      <c r="R84" s="292"/>
      <c r="S84" s="288"/>
      <c r="T84" s="753"/>
      <c r="U84" s="766" t="s">
        <v>131</v>
      </c>
      <c r="V84" s="408"/>
      <c r="W84" s="408"/>
      <c r="X84" s="408"/>
      <c r="Y84" s="347" t="s">
        <v>1607</v>
      </c>
      <c r="Z84" s="741">
        <v>2</v>
      </c>
    </row>
    <row r="85" spans="1:26" s="147" customFormat="1" ht="31" customHeight="1" x14ac:dyDescent="0.2">
      <c r="A85" s="294"/>
      <c r="B85" s="295"/>
      <c r="C85" s="292"/>
      <c r="D85" s="287"/>
      <c r="E85" s="288"/>
      <c r="F85" s="288"/>
      <c r="G85" s="288"/>
      <c r="H85" s="288"/>
      <c r="I85" s="288"/>
      <c r="J85" s="288"/>
      <c r="K85" s="289"/>
      <c r="L85" s="289"/>
      <c r="M85" s="455"/>
      <c r="N85" s="289"/>
      <c r="O85" s="298">
        <v>14</v>
      </c>
      <c r="P85" s="405" t="s">
        <v>1608</v>
      </c>
      <c r="Q85" s="288">
        <v>5</v>
      </c>
      <c r="R85" s="292"/>
      <c r="S85" s="288"/>
      <c r="T85" s="753"/>
      <c r="U85" s="766" t="s">
        <v>131</v>
      </c>
      <c r="V85" s="293"/>
      <c r="W85" s="293"/>
      <c r="X85" s="293"/>
      <c r="Y85" s="347" t="s">
        <v>1609</v>
      </c>
      <c r="Z85" s="741">
        <v>2</v>
      </c>
    </row>
    <row r="86" spans="1:26" s="147" customFormat="1" ht="21.75" customHeight="1" x14ac:dyDescent="0.2">
      <c r="A86" s="354"/>
      <c r="B86" s="355"/>
      <c r="C86" s="356"/>
      <c r="D86" s="302"/>
      <c r="E86" s="357"/>
      <c r="F86" s="357"/>
      <c r="G86" s="357"/>
      <c r="H86" s="357"/>
      <c r="I86" s="357"/>
      <c r="J86" s="357"/>
      <c r="K86" s="358"/>
      <c r="L86" s="358"/>
      <c r="M86" s="456"/>
      <c r="N86" s="358"/>
      <c r="O86" s="358"/>
      <c r="P86" s="356"/>
      <c r="Q86" s="357"/>
      <c r="R86" s="356"/>
      <c r="S86" s="357"/>
      <c r="T86" s="357"/>
      <c r="U86" s="357"/>
      <c r="V86" s="268"/>
      <c r="W86" s="268"/>
      <c r="X86" s="268"/>
      <c r="Y86" s="361"/>
      <c r="Z86" s="268"/>
    </row>
    <row r="87" spans="1:26" s="147" customFormat="1" ht="39.75" customHeight="1" x14ac:dyDescent="0.2">
      <c r="A87" s="278" t="s">
        <v>1624</v>
      </c>
      <c r="B87" s="348" t="s">
        <v>1387</v>
      </c>
      <c r="C87" s="283" t="s">
        <v>1625</v>
      </c>
      <c r="D87" s="352" t="s">
        <v>1584</v>
      </c>
      <c r="E87" s="454"/>
      <c r="F87" s="454"/>
      <c r="G87" s="454"/>
      <c r="H87" s="454"/>
      <c r="I87" s="454"/>
      <c r="J87" s="955">
        <f>370/240</f>
        <v>1.5416666666666667</v>
      </c>
      <c r="K87" s="280" t="s">
        <v>131</v>
      </c>
      <c r="L87" s="280" t="s">
        <v>131</v>
      </c>
      <c r="M87" s="801" t="s">
        <v>1626</v>
      </c>
      <c r="N87" s="801" t="s">
        <v>1627</v>
      </c>
      <c r="O87" s="280"/>
      <c r="P87" s="283"/>
      <c r="Q87" s="279"/>
      <c r="R87" s="283"/>
      <c r="S87" s="279"/>
      <c r="T87" s="279"/>
      <c r="U87" s="279"/>
      <c r="V87" s="282"/>
      <c r="W87" s="282"/>
      <c r="X87" s="282"/>
      <c r="Y87" s="350"/>
      <c r="Z87" s="741">
        <v>2</v>
      </c>
    </row>
    <row r="88" spans="1:26" s="147" customFormat="1" ht="81.75" customHeight="1" x14ac:dyDescent="0.2">
      <c r="A88" s="287"/>
      <c r="B88" s="285"/>
      <c r="C88" s="286"/>
      <c r="D88" s="287"/>
      <c r="E88" s="298"/>
      <c r="F88" s="298"/>
      <c r="G88" s="298"/>
      <c r="H88" s="298"/>
      <c r="I88" s="298"/>
      <c r="J88" s="298"/>
      <c r="K88" s="299"/>
      <c r="L88" s="299"/>
      <c r="M88" s="376" t="s">
        <v>1628</v>
      </c>
      <c r="N88" s="417" t="s">
        <v>1629</v>
      </c>
      <c r="O88" s="299">
        <v>1</v>
      </c>
      <c r="P88" s="286" t="s">
        <v>1630</v>
      </c>
      <c r="Q88" s="376">
        <v>0</v>
      </c>
      <c r="R88" s="338"/>
      <c r="S88" s="338"/>
      <c r="T88" s="338"/>
      <c r="U88" s="338" t="s">
        <v>131</v>
      </c>
      <c r="V88" s="338"/>
      <c r="W88" s="338"/>
      <c r="X88" s="338"/>
      <c r="Y88" s="681"/>
      <c r="Z88" s="368">
        <v>0</v>
      </c>
    </row>
    <row r="89" spans="1:26" s="147" customFormat="1" ht="24.75" customHeight="1" x14ac:dyDescent="0.2">
      <c r="A89" s="287"/>
      <c r="B89" s="285"/>
      <c r="C89" s="286"/>
      <c r="D89" s="287"/>
      <c r="E89" s="298"/>
      <c r="F89" s="298"/>
      <c r="G89" s="298"/>
      <c r="H89" s="298"/>
      <c r="I89" s="298"/>
      <c r="J89" s="298"/>
      <c r="K89" s="299"/>
      <c r="L89" s="299"/>
      <c r="M89" s="460" t="s">
        <v>1631</v>
      </c>
      <c r="N89" s="417"/>
      <c r="O89" s="298">
        <v>2</v>
      </c>
      <c r="P89" s="292" t="s">
        <v>1632</v>
      </c>
      <c r="Q89" s="338">
        <v>0</v>
      </c>
      <c r="R89" s="338"/>
      <c r="S89" s="338"/>
      <c r="T89" s="338"/>
      <c r="U89" s="338" t="s">
        <v>131</v>
      </c>
      <c r="V89" s="338"/>
      <c r="W89" s="338"/>
      <c r="X89" s="753"/>
      <c r="Y89" s="578"/>
      <c r="Z89" s="747">
        <v>2</v>
      </c>
    </row>
    <row r="90" spans="1:26" s="147" customFormat="1" ht="20.149999999999999" customHeight="1" x14ac:dyDescent="0.2">
      <c r="A90" s="287"/>
      <c r="B90" s="285"/>
      <c r="C90" s="286"/>
      <c r="D90" s="287"/>
      <c r="E90" s="298"/>
      <c r="F90" s="298"/>
      <c r="G90" s="298"/>
      <c r="H90" s="298"/>
      <c r="I90" s="298"/>
      <c r="J90" s="298"/>
      <c r="K90" s="299"/>
      <c r="L90" s="299"/>
      <c r="M90" s="337"/>
      <c r="N90" s="299"/>
      <c r="O90" s="298">
        <v>3</v>
      </c>
      <c r="P90" s="292" t="s">
        <v>1633</v>
      </c>
      <c r="Q90" s="338">
        <v>0</v>
      </c>
      <c r="R90" s="338"/>
      <c r="S90" s="338"/>
      <c r="T90" s="338"/>
      <c r="U90" s="338" t="s">
        <v>131</v>
      </c>
      <c r="V90" s="338"/>
      <c r="W90" s="338"/>
      <c r="X90" s="753"/>
      <c r="Y90" s="578"/>
      <c r="Z90" s="747">
        <v>2</v>
      </c>
    </row>
    <row r="91" spans="1:26" s="147" customFormat="1" ht="20.149999999999999" customHeight="1" x14ac:dyDescent="0.2">
      <c r="A91" s="287"/>
      <c r="B91" s="285"/>
      <c r="C91" s="286"/>
      <c r="D91" s="287"/>
      <c r="E91" s="298"/>
      <c r="F91" s="298"/>
      <c r="G91" s="298"/>
      <c r="H91" s="298"/>
      <c r="I91" s="298"/>
      <c r="J91" s="298"/>
      <c r="K91" s="299"/>
      <c r="L91" s="299"/>
      <c r="M91" s="337"/>
      <c r="N91" s="299"/>
      <c r="O91" s="298">
        <v>4</v>
      </c>
      <c r="P91" s="292" t="s">
        <v>1634</v>
      </c>
      <c r="Q91" s="338">
        <v>0</v>
      </c>
      <c r="R91" s="338"/>
      <c r="S91" s="338"/>
      <c r="T91" s="338"/>
      <c r="U91" s="338" t="s">
        <v>131</v>
      </c>
      <c r="V91" s="338" t="s">
        <v>131</v>
      </c>
      <c r="W91" s="338"/>
      <c r="X91" s="753"/>
      <c r="Y91" s="578"/>
      <c r="Z91" s="747">
        <v>2</v>
      </c>
    </row>
    <row r="92" spans="1:26" s="147" customFormat="1" ht="20.149999999999999" customHeight="1" x14ac:dyDescent="0.2">
      <c r="A92" s="287"/>
      <c r="B92" s="285"/>
      <c r="C92" s="286"/>
      <c r="D92" s="287"/>
      <c r="E92" s="298"/>
      <c r="F92" s="298"/>
      <c r="G92" s="298"/>
      <c r="H92" s="298"/>
      <c r="I92" s="298"/>
      <c r="J92" s="298"/>
      <c r="K92" s="299"/>
      <c r="L92" s="299"/>
      <c r="M92" s="337"/>
      <c r="N92" s="299"/>
      <c r="O92" s="298">
        <v>5</v>
      </c>
      <c r="P92" s="292" t="s">
        <v>1635</v>
      </c>
      <c r="Q92" s="338">
        <v>0</v>
      </c>
      <c r="R92" s="338"/>
      <c r="S92" s="338"/>
      <c r="T92" s="338"/>
      <c r="U92" s="338" t="s">
        <v>131</v>
      </c>
      <c r="V92" s="338"/>
      <c r="W92" s="338"/>
      <c r="X92" s="338"/>
      <c r="Y92" s="578"/>
      <c r="Z92" s="368" t="s">
        <v>204</v>
      </c>
    </row>
    <row r="93" spans="1:26" s="147" customFormat="1" ht="20.149999999999999" customHeight="1" x14ac:dyDescent="0.2">
      <c r="A93" s="287"/>
      <c r="B93" s="285"/>
      <c r="C93" s="286"/>
      <c r="D93" s="287"/>
      <c r="E93" s="298"/>
      <c r="F93" s="298"/>
      <c r="G93" s="298"/>
      <c r="H93" s="298"/>
      <c r="I93" s="298"/>
      <c r="J93" s="298"/>
      <c r="K93" s="299"/>
      <c r="L93" s="299"/>
      <c r="M93" s="337"/>
      <c r="N93" s="299"/>
      <c r="O93" s="298">
        <v>6</v>
      </c>
      <c r="P93" s="292" t="s">
        <v>1636</v>
      </c>
      <c r="Q93" s="338">
        <v>0</v>
      </c>
      <c r="R93" s="338"/>
      <c r="S93" s="338"/>
      <c r="T93" s="338"/>
      <c r="U93" s="338" t="s">
        <v>131</v>
      </c>
      <c r="V93" s="338"/>
      <c r="W93" s="338"/>
      <c r="X93" s="338"/>
      <c r="Y93" s="578"/>
      <c r="Z93" s="368" t="s">
        <v>204</v>
      </c>
    </row>
    <row r="94" spans="1:26" s="147" customFormat="1" ht="21.75" customHeight="1" x14ac:dyDescent="0.2">
      <c r="A94" s="287"/>
      <c r="B94" s="285"/>
      <c r="C94" s="286"/>
      <c r="D94" s="287"/>
      <c r="E94" s="298"/>
      <c r="F94" s="298"/>
      <c r="G94" s="298"/>
      <c r="H94" s="298"/>
      <c r="I94" s="298"/>
      <c r="J94" s="298"/>
      <c r="K94" s="299"/>
      <c r="L94" s="299"/>
      <c r="M94" s="337"/>
      <c r="N94" s="299"/>
      <c r="O94" s="298">
        <v>7</v>
      </c>
      <c r="P94" s="292" t="s">
        <v>1637</v>
      </c>
      <c r="Q94" s="338">
        <v>0</v>
      </c>
      <c r="R94" s="577"/>
      <c r="S94" s="753"/>
      <c r="T94" s="576"/>
      <c r="U94" s="338" t="s">
        <v>131</v>
      </c>
      <c r="V94" s="575"/>
      <c r="W94" s="576"/>
      <c r="X94" s="338"/>
      <c r="Y94" s="578"/>
      <c r="Z94" s="747">
        <v>2</v>
      </c>
    </row>
    <row r="95" spans="1:26" s="147" customFormat="1" ht="31.5" customHeight="1" x14ac:dyDescent="0.2">
      <c r="A95" s="287"/>
      <c r="B95" s="295"/>
      <c r="C95" s="292"/>
      <c r="D95" s="287"/>
      <c r="E95" s="288"/>
      <c r="F95" s="288"/>
      <c r="G95" s="288"/>
      <c r="H95" s="288"/>
      <c r="I95" s="288"/>
      <c r="J95" s="288"/>
      <c r="K95" s="289"/>
      <c r="L95" s="289"/>
      <c r="M95" s="455"/>
      <c r="N95" s="407"/>
      <c r="O95" s="298">
        <v>8</v>
      </c>
      <c r="P95" s="746" t="s">
        <v>1638</v>
      </c>
      <c r="Q95" s="794">
        <v>3</v>
      </c>
      <c r="R95" s="292"/>
      <c r="S95" s="288" t="s">
        <v>131</v>
      </c>
      <c r="T95" s="288"/>
      <c r="U95" s="288"/>
      <c r="V95" s="293"/>
      <c r="W95" s="766" t="s">
        <v>131</v>
      </c>
      <c r="X95" s="293"/>
      <c r="Y95" s="572" t="s">
        <v>1639</v>
      </c>
      <c r="Z95" s="747">
        <v>2</v>
      </c>
    </row>
    <row r="96" spans="1:26" s="147" customFormat="1" ht="20.149999999999999" customHeight="1" x14ac:dyDescent="0.2">
      <c r="A96" s="287"/>
      <c r="B96" s="295"/>
      <c r="C96" s="292"/>
      <c r="D96" s="287"/>
      <c r="E96" s="288"/>
      <c r="F96" s="288"/>
      <c r="G96" s="288"/>
      <c r="H96" s="288"/>
      <c r="I96" s="288"/>
      <c r="J96" s="288"/>
      <c r="K96" s="289"/>
      <c r="L96" s="289"/>
      <c r="M96" s="573"/>
      <c r="N96" s="289"/>
      <c r="O96" s="298">
        <v>9</v>
      </c>
      <c r="P96" s="752" t="s">
        <v>1640</v>
      </c>
      <c r="Q96" s="753">
        <v>5</v>
      </c>
      <c r="R96" s="752"/>
      <c r="S96" s="753"/>
      <c r="T96" s="753"/>
      <c r="U96" s="766"/>
      <c r="V96" s="754"/>
      <c r="W96" s="754"/>
      <c r="X96" s="754"/>
      <c r="Y96" s="755" t="s">
        <v>1641</v>
      </c>
      <c r="Z96" s="747">
        <v>2</v>
      </c>
    </row>
    <row r="97" spans="1:26" s="147" customFormat="1" ht="35.25" customHeight="1" x14ac:dyDescent="0.2">
      <c r="A97" s="302"/>
      <c r="B97" s="355"/>
      <c r="C97" s="356"/>
      <c r="D97" s="302"/>
      <c r="E97" s="357"/>
      <c r="F97" s="357"/>
      <c r="G97" s="357"/>
      <c r="H97" s="357"/>
      <c r="I97" s="357"/>
      <c r="J97" s="357"/>
      <c r="K97" s="358"/>
      <c r="L97" s="358"/>
      <c r="M97" s="595"/>
      <c r="N97" s="358"/>
      <c r="O97" s="358"/>
      <c r="P97" s="356"/>
      <c r="Q97" s="357"/>
      <c r="R97" s="356"/>
      <c r="S97" s="357"/>
      <c r="T97" s="357"/>
      <c r="U97" s="357"/>
      <c r="V97" s="268"/>
      <c r="W97" s="268"/>
      <c r="X97" s="268"/>
      <c r="Y97" s="361"/>
      <c r="Z97" s="268"/>
    </row>
    <row r="98" spans="1:26" s="147" customFormat="1" ht="107.25" customHeight="1" x14ac:dyDescent="0.2">
      <c r="A98" s="278" t="s">
        <v>1642</v>
      </c>
      <c r="B98" s="348" t="s">
        <v>1387</v>
      </c>
      <c r="C98" s="283" t="s">
        <v>1643</v>
      </c>
      <c r="D98" s="352" t="s">
        <v>1584</v>
      </c>
      <c r="E98" s="454"/>
      <c r="F98" s="454"/>
      <c r="G98" s="454"/>
      <c r="H98" s="454"/>
      <c r="I98" s="454"/>
      <c r="J98" s="956">
        <f>370/240</f>
        <v>1.5416666666666667</v>
      </c>
      <c r="K98" s="280" t="s">
        <v>131</v>
      </c>
      <c r="L98" s="280" t="s">
        <v>131</v>
      </c>
      <c r="M98" s="281" t="s">
        <v>1644</v>
      </c>
      <c r="N98" s="801" t="s">
        <v>1645</v>
      </c>
      <c r="O98" s="280"/>
      <c r="P98" s="283"/>
      <c r="Q98" s="279"/>
      <c r="R98" s="283"/>
      <c r="S98" s="279"/>
      <c r="T98" s="279"/>
      <c r="U98" s="279"/>
      <c r="V98" s="282"/>
      <c r="W98" s="282"/>
      <c r="X98" s="282"/>
      <c r="Y98" s="953" t="s">
        <v>1646</v>
      </c>
      <c r="Z98" s="751">
        <v>2</v>
      </c>
    </row>
    <row r="99" spans="1:26" s="147" customFormat="1" ht="62.15" customHeight="1" x14ac:dyDescent="0.2">
      <c r="A99" s="287"/>
      <c r="B99" s="285"/>
      <c r="C99" s="286"/>
      <c r="D99" s="287"/>
      <c r="E99" s="298"/>
      <c r="F99" s="298"/>
      <c r="G99" s="298"/>
      <c r="H99" s="298"/>
      <c r="I99" s="298"/>
      <c r="J99" s="298"/>
      <c r="K99" s="299"/>
      <c r="L99" s="299"/>
      <c r="M99" s="298" t="s">
        <v>1647</v>
      </c>
      <c r="N99" s="795" t="s">
        <v>1648</v>
      </c>
      <c r="O99" s="299">
        <v>1</v>
      </c>
      <c r="P99" s="286" t="s">
        <v>1649</v>
      </c>
      <c r="Q99" s="376">
        <v>0</v>
      </c>
      <c r="R99" s="338"/>
      <c r="S99" s="338"/>
      <c r="T99" s="338"/>
      <c r="U99" s="338" t="s">
        <v>131</v>
      </c>
      <c r="V99" s="338"/>
      <c r="W99" s="338"/>
      <c r="X99" s="338"/>
      <c r="Y99" s="681"/>
      <c r="Z99" s="747">
        <v>2</v>
      </c>
    </row>
    <row r="100" spans="1:26" s="147" customFormat="1" ht="20.149999999999999" customHeight="1" x14ac:dyDescent="0.2">
      <c r="A100" s="287"/>
      <c r="B100" s="285"/>
      <c r="C100" s="286"/>
      <c r="D100" s="287"/>
      <c r="E100" s="298"/>
      <c r="F100" s="298"/>
      <c r="G100" s="298"/>
      <c r="H100" s="298"/>
      <c r="I100" s="298"/>
      <c r="J100" s="298"/>
      <c r="K100" s="299"/>
      <c r="L100" s="299"/>
      <c r="M100" s="337"/>
      <c r="N100" s="299"/>
      <c r="O100" s="298">
        <v>2</v>
      </c>
      <c r="P100" s="292" t="s">
        <v>1650</v>
      </c>
      <c r="Q100" s="338">
        <v>0</v>
      </c>
      <c r="R100" s="338"/>
      <c r="S100" s="338"/>
      <c r="T100" s="338"/>
      <c r="U100" s="338" t="s">
        <v>131</v>
      </c>
      <c r="V100" s="338"/>
      <c r="W100" s="338"/>
      <c r="X100" s="753"/>
      <c r="Y100" s="578"/>
      <c r="Z100" s="747">
        <v>2</v>
      </c>
    </row>
    <row r="101" spans="1:26" s="147" customFormat="1" ht="20.149999999999999" customHeight="1" x14ac:dyDescent="0.2">
      <c r="A101" s="287"/>
      <c r="B101" s="285"/>
      <c r="C101" s="286"/>
      <c r="D101" s="287"/>
      <c r="E101" s="298"/>
      <c r="F101" s="298"/>
      <c r="G101" s="298"/>
      <c r="H101" s="298"/>
      <c r="I101" s="298"/>
      <c r="J101" s="298"/>
      <c r="K101" s="299"/>
      <c r="L101" s="299"/>
      <c r="M101" s="337"/>
      <c r="N101" s="299"/>
      <c r="O101" s="298">
        <v>3</v>
      </c>
      <c r="P101" s="292" t="s">
        <v>1651</v>
      </c>
      <c r="Q101" s="338">
        <v>0</v>
      </c>
      <c r="R101" s="338"/>
      <c r="S101" s="338"/>
      <c r="T101" s="338"/>
      <c r="U101" s="338" t="s">
        <v>131</v>
      </c>
      <c r="V101" s="338"/>
      <c r="W101" s="338"/>
      <c r="X101" s="753"/>
      <c r="Y101" s="578"/>
      <c r="Z101" s="747">
        <v>2</v>
      </c>
    </row>
    <row r="102" spans="1:26" s="147" customFormat="1" ht="20.149999999999999" customHeight="1" x14ac:dyDescent="0.2">
      <c r="A102" s="287"/>
      <c r="B102" s="285"/>
      <c r="C102" s="286"/>
      <c r="D102" s="287"/>
      <c r="E102" s="298"/>
      <c r="F102" s="298"/>
      <c r="G102" s="298"/>
      <c r="H102" s="298"/>
      <c r="I102" s="298"/>
      <c r="J102" s="298"/>
      <c r="K102" s="299"/>
      <c r="L102" s="299"/>
      <c r="M102" s="337"/>
      <c r="N102" s="299"/>
      <c r="O102" s="298">
        <v>4</v>
      </c>
      <c r="P102" s="292" t="s">
        <v>1652</v>
      </c>
      <c r="Q102" s="338">
        <v>0</v>
      </c>
      <c r="R102" s="338"/>
      <c r="S102" s="338"/>
      <c r="T102" s="338"/>
      <c r="U102" s="338" t="s">
        <v>131</v>
      </c>
      <c r="V102" s="338" t="s">
        <v>131</v>
      </c>
      <c r="W102" s="338"/>
      <c r="X102" s="753"/>
      <c r="Y102" s="578"/>
      <c r="Z102" s="747">
        <v>2</v>
      </c>
    </row>
    <row r="103" spans="1:26" s="147" customFormat="1" ht="20.149999999999999" customHeight="1" x14ac:dyDescent="0.2">
      <c r="A103" s="287"/>
      <c r="B103" s="285"/>
      <c r="C103" s="286"/>
      <c r="D103" s="287"/>
      <c r="E103" s="298"/>
      <c r="F103" s="298"/>
      <c r="G103" s="298"/>
      <c r="H103" s="298"/>
      <c r="I103" s="298"/>
      <c r="J103" s="298"/>
      <c r="K103" s="299"/>
      <c r="L103" s="299"/>
      <c r="M103" s="337"/>
      <c r="N103" s="299"/>
      <c r="O103" s="298">
        <v>5</v>
      </c>
      <c r="P103" s="292" t="s">
        <v>1653</v>
      </c>
      <c r="Q103" s="338">
        <v>0</v>
      </c>
      <c r="R103" s="338"/>
      <c r="S103" s="338"/>
      <c r="T103" s="338"/>
      <c r="U103" s="338" t="s">
        <v>131</v>
      </c>
      <c r="V103" s="338"/>
      <c r="W103" s="338"/>
      <c r="X103" s="338"/>
      <c r="Y103" s="578"/>
      <c r="Z103" s="368" t="s">
        <v>204</v>
      </c>
    </row>
    <row r="104" spans="1:26" s="147" customFormat="1" ht="20.149999999999999" customHeight="1" x14ac:dyDescent="0.2">
      <c r="A104" s="287"/>
      <c r="B104" s="285"/>
      <c r="C104" s="286"/>
      <c r="D104" s="287"/>
      <c r="E104" s="298"/>
      <c r="F104" s="298"/>
      <c r="G104" s="298"/>
      <c r="H104" s="298"/>
      <c r="I104" s="298"/>
      <c r="J104" s="298"/>
      <c r="K104" s="299"/>
      <c r="L104" s="299"/>
      <c r="M104" s="337"/>
      <c r="N104" s="299"/>
      <c r="O104" s="298">
        <v>6</v>
      </c>
      <c r="P104" s="292" t="s">
        <v>1654</v>
      </c>
      <c r="Q104" s="338">
        <v>0</v>
      </c>
      <c r="R104" s="338"/>
      <c r="S104" s="338"/>
      <c r="T104" s="338"/>
      <c r="U104" s="338" t="s">
        <v>131</v>
      </c>
      <c r="V104" s="338"/>
      <c r="W104" s="338"/>
      <c r="X104" s="338"/>
      <c r="Y104" s="578"/>
      <c r="Z104" s="368" t="s">
        <v>204</v>
      </c>
    </row>
    <row r="105" spans="1:26" s="147" customFormat="1" ht="20.149999999999999" customHeight="1" x14ac:dyDescent="0.2">
      <c r="A105" s="287"/>
      <c r="B105" s="285"/>
      <c r="C105" s="286"/>
      <c r="D105" s="287"/>
      <c r="E105" s="298"/>
      <c r="F105" s="298"/>
      <c r="G105" s="298"/>
      <c r="H105" s="298"/>
      <c r="I105" s="298"/>
      <c r="J105" s="298"/>
      <c r="K105" s="298"/>
      <c r="L105" s="298"/>
      <c r="M105" s="273"/>
      <c r="N105" s="298"/>
      <c r="O105" s="298">
        <v>7</v>
      </c>
      <c r="P105" s="292" t="s">
        <v>1655</v>
      </c>
      <c r="Q105" s="338">
        <v>0</v>
      </c>
      <c r="R105" s="577"/>
      <c r="S105" s="753"/>
      <c r="T105" s="576"/>
      <c r="U105" s="338" t="s">
        <v>131</v>
      </c>
      <c r="V105" s="575"/>
      <c r="W105" s="576"/>
      <c r="X105" s="338"/>
      <c r="Y105" s="578"/>
      <c r="Z105" s="747">
        <v>2</v>
      </c>
    </row>
    <row r="106" spans="1:26" s="147" customFormat="1" ht="31" customHeight="1" x14ac:dyDescent="0.2">
      <c r="A106" s="287"/>
      <c r="B106" s="285"/>
      <c r="C106" s="286"/>
      <c r="D106" s="287"/>
      <c r="E106" s="298"/>
      <c r="F106" s="298"/>
      <c r="G106" s="298"/>
      <c r="H106" s="298"/>
      <c r="I106" s="298"/>
      <c r="J106" s="298"/>
      <c r="K106" s="299"/>
      <c r="L106" s="299"/>
      <c r="M106" s="337"/>
      <c r="N106" s="299"/>
      <c r="O106" s="298">
        <v>8</v>
      </c>
      <c r="P106" s="286" t="s">
        <v>1656</v>
      </c>
      <c r="Q106" s="298">
        <v>30</v>
      </c>
      <c r="R106" s="286"/>
      <c r="S106" s="298"/>
      <c r="T106" s="851"/>
      <c r="U106" s="766" t="s">
        <v>131</v>
      </c>
      <c r="V106" s="273"/>
      <c r="W106" s="273"/>
      <c r="X106" s="273"/>
      <c r="Y106" s="339" t="s">
        <v>1657</v>
      </c>
      <c r="Z106" s="741">
        <v>2</v>
      </c>
    </row>
    <row r="107" spans="1:26" s="147" customFormat="1" ht="31" customHeight="1" x14ac:dyDescent="0.2">
      <c r="A107" s="287"/>
      <c r="B107" s="285"/>
      <c r="C107" s="286"/>
      <c r="D107" s="287"/>
      <c r="E107" s="298"/>
      <c r="F107" s="298"/>
      <c r="G107" s="298"/>
      <c r="H107" s="298"/>
      <c r="I107" s="298"/>
      <c r="J107" s="298"/>
      <c r="K107" s="299"/>
      <c r="L107" s="299"/>
      <c r="M107" s="337"/>
      <c r="N107" s="299"/>
      <c r="O107" s="298">
        <v>9</v>
      </c>
      <c r="P107" s="292" t="s">
        <v>1658</v>
      </c>
      <c r="Q107" s="298">
        <v>5</v>
      </c>
      <c r="R107" s="286"/>
      <c r="S107" s="298" t="s">
        <v>131</v>
      </c>
      <c r="T107" s="298"/>
      <c r="U107" s="298"/>
      <c r="V107" s="273"/>
      <c r="W107" s="766" t="s">
        <v>131</v>
      </c>
      <c r="X107" s="273"/>
      <c r="Y107" s="339" t="s">
        <v>1659</v>
      </c>
      <c r="Z107" s="741">
        <v>2</v>
      </c>
    </row>
    <row r="108" spans="1:26" s="147" customFormat="1" ht="31" customHeight="1" x14ac:dyDescent="0.2">
      <c r="A108" s="287"/>
      <c r="B108" s="285"/>
      <c r="C108" s="286"/>
      <c r="D108" s="287"/>
      <c r="E108" s="298"/>
      <c r="F108" s="298"/>
      <c r="G108" s="298"/>
      <c r="H108" s="298"/>
      <c r="I108" s="298"/>
      <c r="J108" s="298"/>
      <c r="K108" s="299"/>
      <c r="L108" s="299"/>
      <c r="M108" s="337"/>
      <c r="N108" s="299"/>
      <c r="O108" s="298">
        <v>10</v>
      </c>
      <c r="P108" s="797" t="s">
        <v>1660</v>
      </c>
      <c r="Q108" s="298">
        <v>5</v>
      </c>
      <c r="R108" s="286"/>
      <c r="S108" s="298" t="s">
        <v>131</v>
      </c>
      <c r="T108" s="298"/>
      <c r="U108" s="298"/>
      <c r="V108" s="273"/>
      <c r="W108" s="766" t="s">
        <v>131</v>
      </c>
      <c r="X108" s="273"/>
      <c r="Y108" s="761" t="s">
        <v>1661</v>
      </c>
      <c r="Z108" s="741">
        <v>2</v>
      </c>
    </row>
    <row r="109" spans="1:26" s="147" customFormat="1" ht="43.5" customHeight="1" x14ac:dyDescent="0.2">
      <c r="A109" s="287"/>
      <c r="B109" s="285"/>
      <c r="C109" s="286"/>
      <c r="D109" s="287"/>
      <c r="E109" s="298"/>
      <c r="F109" s="298"/>
      <c r="G109" s="298"/>
      <c r="H109" s="298"/>
      <c r="I109" s="298"/>
      <c r="J109" s="298"/>
      <c r="K109" s="299"/>
      <c r="L109" s="299"/>
      <c r="M109" s="337"/>
      <c r="N109" s="299"/>
      <c r="O109" s="298">
        <v>11</v>
      </c>
      <c r="P109" s="292" t="s">
        <v>1662</v>
      </c>
      <c r="Q109" s="298">
        <v>60</v>
      </c>
      <c r="R109" s="286"/>
      <c r="S109" s="298"/>
      <c r="T109" s="851"/>
      <c r="U109" s="766" t="s">
        <v>131</v>
      </c>
      <c r="V109" s="273"/>
      <c r="W109" s="273"/>
      <c r="X109" s="273"/>
      <c r="Y109" s="339" t="s">
        <v>1663</v>
      </c>
      <c r="Z109" s="741">
        <v>2</v>
      </c>
    </row>
    <row r="110" spans="1:26" s="147" customFormat="1" ht="20.149999999999999" customHeight="1" x14ac:dyDescent="0.2">
      <c r="A110" s="287"/>
      <c r="B110" s="285"/>
      <c r="C110" s="286"/>
      <c r="D110" s="287"/>
      <c r="E110" s="298"/>
      <c r="F110" s="298"/>
      <c r="G110" s="298"/>
      <c r="H110" s="298"/>
      <c r="I110" s="298"/>
      <c r="J110" s="298"/>
      <c r="K110" s="299"/>
      <c r="L110" s="299"/>
      <c r="M110" s="337"/>
      <c r="N110" s="299"/>
      <c r="O110" s="298">
        <v>12</v>
      </c>
      <c r="P110" s="375" t="s">
        <v>1664</v>
      </c>
      <c r="Q110" s="298">
        <v>300</v>
      </c>
      <c r="R110" s="286"/>
      <c r="S110" s="298"/>
      <c r="T110" s="851"/>
      <c r="U110" s="766" t="s">
        <v>131</v>
      </c>
      <c r="V110" s="273"/>
      <c r="W110" s="273"/>
      <c r="X110" s="273"/>
      <c r="Y110" s="339" t="s">
        <v>1665</v>
      </c>
      <c r="Z110" s="741">
        <v>2</v>
      </c>
    </row>
    <row r="111" spans="1:26" s="147" customFormat="1" ht="21.75" customHeight="1" x14ac:dyDescent="0.2">
      <c r="A111" s="287"/>
      <c r="B111" s="285"/>
      <c r="C111" s="286"/>
      <c r="D111" s="287"/>
      <c r="E111" s="298"/>
      <c r="F111" s="298"/>
      <c r="G111" s="298"/>
      <c r="H111" s="298"/>
      <c r="I111" s="298"/>
      <c r="J111" s="298"/>
      <c r="K111" s="299"/>
      <c r="L111" s="299"/>
      <c r="M111" s="337"/>
      <c r="N111" s="299"/>
      <c r="O111" s="298">
        <v>13</v>
      </c>
      <c r="P111" s="286" t="s">
        <v>1666</v>
      </c>
      <c r="Q111" s="830">
        <v>3</v>
      </c>
      <c r="R111" s="286"/>
      <c r="S111" s="298"/>
      <c r="T111" s="298"/>
      <c r="U111" s="298" t="s">
        <v>131</v>
      </c>
      <c r="V111" s="273"/>
      <c r="W111" s="273"/>
      <c r="X111" s="273"/>
      <c r="Y111" s="339" t="s">
        <v>1667</v>
      </c>
      <c r="Z111" s="741">
        <v>2</v>
      </c>
    </row>
    <row r="112" spans="1:26" s="147" customFormat="1" ht="93.65" customHeight="1" x14ac:dyDescent="0.2">
      <c r="A112" s="287"/>
      <c r="B112" s="295"/>
      <c r="C112" s="292"/>
      <c r="D112" s="287"/>
      <c r="E112" s="288"/>
      <c r="F112" s="288"/>
      <c r="G112" s="288"/>
      <c r="H112" s="288"/>
      <c r="I112" s="288"/>
      <c r="J112" s="288"/>
      <c r="K112" s="289"/>
      <c r="L112" s="289"/>
      <c r="M112" s="455"/>
      <c r="N112" s="289"/>
      <c r="O112" s="298">
        <v>14</v>
      </c>
      <c r="P112" s="292" t="s">
        <v>1668</v>
      </c>
      <c r="Q112" s="288">
        <v>5</v>
      </c>
      <c r="R112" s="292"/>
      <c r="S112" s="288"/>
      <c r="T112" s="753"/>
      <c r="U112" s="766" t="s">
        <v>131</v>
      </c>
      <c r="V112" s="293"/>
      <c r="W112" s="293"/>
      <c r="X112" s="293"/>
      <c r="Y112" s="800" t="s">
        <v>1669</v>
      </c>
      <c r="Z112" s="747">
        <v>2</v>
      </c>
    </row>
    <row r="113" spans="1:26" s="147" customFormat="1" ht="20.149999999999999" customHeight="1" x14ac:dyDescent="0.2">
      <c r="A113" s="302"/>
      <c r="B113" s="355"/>
      <c r="C113" s="356"/>
      <c r="D113" s="302"/>
      <c r="E113" s="357"/>
      <c r="F113" s="357"/>
      <c r="G113" s="357"/>
      <c r="H113" s="357"/>
      <c r="I113" s="357"/>
      <c r="J113" s="357"/>
      <c r="K113" s="358"/>
      <c r="L113" s="358"/>
      <c r="M113" s="456"/>
      <c r="N113" s="358"/>
      <c r="O113" s="357"/>
      <c r="P113" s="356"/>
      <c r="Q113" s="357"/>
      <c r="R113" s="356"/>
      <c r="S113" s="357"/>
      <c r="T113" s="357"/>
      <c r="U113" s="357"/>
      <c r="V113" s="268"/>
      <c r="W113" s="268"/>
      <c r="X113" s="268"/>
      <c r="Y113" s="361"/>
      <c r="Z113" s="268"/>
    </row>
    <row r="114" spans="1:26" s="147" customFormat="1" ht="99" customHeight="1" x14ac:dyDescent="0.2">
      <c r="A114" s="556" t="s">
        <v>1670</v>
      </c>
      <c r="B114" s="285" t="s">
        <v>1387</v>
      </c>
      <c r="C114" s="286" t="s">
        <v>1671</v>
      </c>
      <c r="D114" s="457" t="s">
        <v>1584</v>
      </c>
      <c r="E114" s="461"/>
      <c r="F114" s="461"/>
      <c r="G114" s="461"/>
      <c r="H114" s="461"/>
      <c r="I114" s="461"/>
      <c r="J114" s="955">
        <f>370/240</f>
        <v>1.5416666666666667</v>
      </c>
      <c r="K114" s="299" t="s">
        <v>131</v>
      </c>
      <c r="L114" s="299" t="s">
        <v>131</v>
      </c>
      <c r="M114" s="280" t="s">
        <v>1644</v>
      </c>
      <c r="N114" s="795" t="s">
        <v>1645</v>
      </c>
      <c r="O114" s="299"/>
      <c r="P114" s="286"/>
      <c r="Q114" s="298"/>
      <c r="R114" s="286"/>
      <c r="S114" s="298"/>
      <c r="T114" s="298"/>
      <c r="U114" s="298"/>
      <c r="V114" s="273"/>
      <c r="W114" s="273"/>
      <c r="X114" s="273"/>
      <c r="Y114" s="796" t="s">
        <v>1646</v>
      </c>
      <c r="Z114" s="741">
        <v>2</v>
      </c>
    </row>
    <row r="115" spans="1:26" s="147" customFormat="1" ht="62.15" customHeight="1" x14ac:dyDescent="0.2">
      <c r="A115" s="287"/>
      <c r="B115" s="285"/>
      <c r="C115" s="286"/>
      <c r="D115" s="287"/>
      <c r="E115" s="298"/>
      <c r="F115" s="298"/>
      <c r="G115" s="298"/>
      <c r="H115" s="298"/>
      <c r="I115" s="298"/>
      <c r="J115" s="298"/>
      <c r="K115" s="299"/>
      <c r="L115" s="299"/>
      <c r="M115" s="298" t="s">
        <v>1647</v>
      </c>
      <c r="N115" s="795" t="s">
        <v>1672</v>
      </c>
      <c r="O115" s="299">
        <v>1</v>
      </c>
      <c r="P115" s="286" t="s">
        <v>1673</v>
      </c>
      <c r="Q115" s="376">
        <v>0</v>
      </c>
      <c r="R115" s="338"/>
      <c r="S115" s="338"/>
      <c r="T115" s="338"/>
      <c r="U115" s="338" t="s">
        <v>131</v>
      </c>
      <c r="V115" s="338"/>
      <c r="W115" s="338"/>
      <c r="X115" s="338"/>
      <c r="Y115" s="681"/>
      <c r="Z115" s="747">
        <v>2</v>
      </c>
    </row>
    <row r="116" spans="1:26" s="147" customFormat="1" ht="20.149999999999999" customHeight="1" x14ac:dyDescent="0.2">
      <c r="A116" s="287"/>
      <c r="B116" s="285"/>
      <c r="C116" s="286"/>
      <c r="D116" s="287"/>
      <c r="E116" s="298"/>
      <c r="F116" s="298"/>
      <c r="G116" s="298"/>
      <c r="H116" s="298"/>
      <c r="I116" s="298"/>
      <c r="J116" s="298"/>
      <c r="K116" s="299"/>
      <c r="L116" s="299"/>
      <c r="M116" s="299"/>
      <c r="N116" s="299"/>
      <c r="O116" s="298">
        <v>2</v>
      </c>
      <c r="P116" s="292" t="s">
        <v>1674</v>
      </c>
      <c r="Q116" s="338">
        <v>0</v>
      </c>
      <c r="R116" s="338"/>
      <c r="S116" s="338"/>
      <c r="T116" s="338"/>
      <c r="U116" s="338" t="s">
        <v>131</v>
      </c>
      <c r="V116" s="338"/>
      <c r="W116" s="338"/>
      <c r="X116" s="753"/>
      <c r="Y116" s="578"/>
      <c r="Z116" s="747">
        <v>2</v>
      </c>
    </row>
    <row r="117" spans="1:26" s="147" customFormat="1" ht="20.149999999999999" customHeight="1" x14ac:dyDescent="0.2">
      <c r="A117" s="287"/>
      <c r="B117" s="285"/>
      <c r="C117" s="286"/>
      <c r="D117" s="287"/>
      <c r="E117" s="298"/>
      <c r="F117" s="298"/>
      <c r="G117" s="298"/>
      <c r="H117" s="298"/>
      <c r="I117" s="298"/>
      <c r="J117" s="298"/>
      <c r="K117" s="299"/>
      <c r="L117" s="299"/>
      <c r="M117" s="299"/>
      <c r="N117" s="299"/>
      <c r="O117" s="298">
        <v>3</v>
      </c>
      <c r="P117" s="292" t="s">
        <v>1675</v>
      </c>
      <c r="Q117" s="338">
        <v>0</v>
      </c>
      <c r="R117" s="338"/>
      <c r="S117" s="338"/>
      <c r="T117" s="338"/>
      <c r="U117" s="338" t="s">
        <v>131</v>
      </c>
      <c r="V117" s="338"/>
      <c r="W117" s="338"/>
      <c r="X117" s="753"/>
      <c r="Y117" s="578"/>
      <c r="Z117" s="747">
        <v>2</v>
      </c>
    </row>
    <row r="118" spans="1:26" s="147" customFormat="1" ht="20.149999999999999" customHeight="1" x14ac:dyDescent="0.2">
      <c r="A118" s="287"/>
      <c r="B118" s="285"/>
      <c r="C118" s="286"/>
      <c r="D118" s="287"/>
      <c r="E118" s="298"/>
      <c r="F118" s="298"/>
      <c r="G118" s="298"/>
      <c r="H118" s="298"/>
      <c r="I118" s="298"/>
      <c r="J118" s="298"/>
      <c r="K118" s="299"/>
      <c r="L118" s="299"/>
      <c r="M118" s="299"/>
      <c r="N118" s="299"/>
      <c r="O118" s="298">
        <v>4</v>
      </c>
      <c r="P118" s="292" t="s">
        <v>1676</v>
      </c>
      <c r="Q118" s="338">
        <v>0</v>
      </c>
      <c r="R118" s="338"/>
      <c r="S118" s="338"/>
      <c r="T118" s="338"/>
      <c r="U118" s="338" t="s">
        <v>131</v>
      </c>
      <c r="V118" s="338" t="s">
        <v>131</v>
      </c>
      <c r="W118" s="338"/>
      <c r="X118" s="753"/>
      <c r="Y118" s="578"/>
      <c r="Z118" s="747">
        <v>2</v>
      </c>
    </row>
    <row r="119" spans="1:26" s="147" customFormat="1" ht="20.149999999999999" customHeight="1" x14ac:dyDescent="0.2">
      <c r="A119" s="287"/>
      <c r="B119" s="285"/>
      <c r="C119" s="286"/>
      <c r="D119" s="287"/>
      <c r="E119" s="298"/>
      <c r="F119" s="298"/>
      <c r="G119" s="298"/>
      <c r="H119" s="298"/>
      <c r="I119" s="298"/>
      <c r="J119" s="298"/>
      <c r="K119" s="299"/>
      <c r="L119" s="299"/>
      <c r="M119" s="299"/>
      <c r="N119" s="299"/>
      <c r="O119" s="298">
        <v>5</v>
      </c>
      <c r="P119" s="292" t="s">
        <v>1677</v>
      </c>
      <c r="Q119" s="338">
        <v>0</v>
      </c>
      <c r="R119" s="338"/>
      <c r="S119" s="338"/>
      <c r="T119" s="338"/>
      <c r="U119" s="338" t="s">
        <v>131</v>
      </c>
      <c r="V119" s="338"/>
      <c r="W119" s="338"/>
      <c r="X119" s="338"/>
      <c r="Y119" s="578"/>
      <c r="Z119" s="368" t="s">
        <v>204</v>
      </c>
    </row>
    <row r="120" spans="1:26" s="147" customFormat="1" ht="20.149999999999999" customHeight="1" x14ac:dyDescent="0.2">
      <c r="A120" s="287"/>
      <c r="B120" s="285"/>
      <c r="C120" s="286"/>
      <c r="D120" s="287"/>
      <c r="E120" s="298"/>
      <c r="F120" s="298"/>
      <c r="G120" s="298"/>
      <c r="H120" s="298"/>
      <c r="I120" s="298"/>
      <c r="J120" s="298"/>
      <c r="K120" s="299"/>
      <c r="L120" s="299"/>
      <c r="M120" s="299"/>
      <c r="N120" s="299"/>
      <c r="O120" s="298">
        <v>6</v>
      </c>
      <c r="P120" s="292" t="s">
        <v>1678</v>
      </c>
      <c r="Q120" s="338">
        <v>0</v>
      </c>
      <c r="R120" s="338"/>
      <c r="S120" s="338"/>
      <c r="T120" s="338"/>
      <c r="U120" s="338" t="s">
        <v>131</v>
      </c>
      <c r="V120" s="338"/>
      <c r="W120" s="338"/>
      <c r="X120" s="338"/>
      <c r="Y120" s="578"/>
      <c r="Z120" s="368" t="s">
        <v>204</v>
      </c>
    </row>
    <row r="121" spans="1:26" s="147" customFormat="1" ht="20.149999999999999" customHeight="1" x14ac:dyDescent="0.2">
      <c r="A121" s="287"/>
      <c r="B121" s="285"/>
      <c r="C121" s="286"/>
      <c r="D121" s="287"/>
      <c r="E121" s="298"/>
      <c r="F121" s="298"/>
      <c r="G121" s="298"/>
      <c r="H121" s="298"/>
      <c r="I121" s="298"/>
      <c r="J121" s="298"/>
      <c r="K121" s="299"/>
      <c r="L121" s="299"/>
      <c r="M121" s="337"/>
      <c r="N121" s="570"/>
      <c r="O121" s="298">
        <v>7</v>
      </c>
      <c r="P121" s="292" t="s">
        <v>1679</v>
      </c>
      <c r="Q121" s="338">
        <v>0</v>
      </c>
      <c r="R121" s="577"/>
      <c r="S121" s="753"/>
      <c r="T121" s="576"/>
      <c r="U121" s="338" t="s">
        <v>131</v>
      </c>
      <c r="V121" s="575"/>
      <c r="W121" s="576"/>
      <c r="X121" s="338"/>
      <c r="Y121" s="578"/>
      <c r="Z121" s="747">
        <v>2</v>
      </c>
    </row>
    <row r="122" spans="1:26" s="147" customFormat="1" ht="31" customHeight="1" x14ac:dyDescent="0.2">
      <c r="A122" s="287"/>
      <c r="B122" s="285"/>
      <c r="C122" s="286"/>
      <c r="D122" s="287"/>
      <c r="E122" s="298"/>
      <c r="F122" s="298"/>
      <c r="G122" s="298"/>
      <c r="H122" s="298"/>
      <c r="I122" s="298"/>
      <c r="J122" s="298"/>
      <c r="K122" s="299"/>
      <c r="L122" s="299"/>
      <c r="M122" s="337"/>
      <c r="N122" s="299"/>
      <c r="O122" s="298">
        <v>8</v>
      </c>
      <c r="P122" s="342" t="s">
        <v>1680</v>
      </c>
      <c r="Q122" s="298">
        <v>30</v>
      </c>
      <c r="R122" s="286"/>
      <c r="S122" s="298"/>
      <c r="T122" s="851"/>
      <c r="U122" s="766" t="s">
        <v>131</v>
      </c>
      <c r="V122" s="273"/>
      <c r="W122" s="273"/>
      <c r="X122" s="273"/>
      <c r="Y122" s="339" t="s">
        <v>1657</v>
      </c>
      <c r="Z122" s="741">
        <v>2</v>
      </c>
    </row>
    <row r="123" spans="1:26" s="147" customFormat="1" ht="31" customHeight="1" x14ac:dyDescent="0.2">
      <c r="A123" s="287"/>
      <c r="B123" s="285"/>
      <c r="C123" s="286"/>
      <c r="D123" s="287"/>
      <c r="E123" s="298"/>
      <c r="F123" s="298"/>
      <c r="G123" s="298"/>
      <c r="H123" s="298"/>
      <c r="I123" s="298"/>
      <c r="J123" s="298"/>
      <c r="K123" s="299"/>
      <c r="L123" s="299"/>
      <c r="M123" s="337"/>
      <c r="N123" s="299"/>
      <c r="O123" s="798">
        <v>9</v>
      </c>
      <c r="P123" s="292" t="s">
        <v>1658</v>
      </c>
      <c r="Q123" s="799">
        <v>5</v>
      </c>
      <c r="R123" s="286"/>
      <c r="S123" s="298" t="s">
        <v>131</v>
      </c>
      <c r="T123" s="298"/>
      <c r="U123" s="298"/>
      <c r="V123" s="273"/>
      <c r="W123" s="766" t="s">
        <v>131</v>
      </c>
      <c r="X123" s="273"/>
      <c r="Y123" s="339" t="s">
        <v>1681</v>
      </c>
      <c r="Z123" s="741">
        <v>2</v>
      </c>
    </row>
    <row r="124" spans="1:26" s="147" customFormat="1" ht="31" customHeight="1" x14ac:dyDescent="0.2">
      <c r="A124" s="287"/>
      <c r="B124" s="285"/>
      <c r="C124" s="286"/>
      <c r="D124" s="287"/>
      <c r="E124" s="298"/>
      <c r="F124" s="298"/>
      <c r="G124" s="298"/>
      <c r="H124" s="298"/>
      <c r="I124" s="298"/>
      <c r="J124" s="298"/>
      <c r="K124" s="299"/>
      <c r="L124" s="299"/>
      <c r="M124" s="337"/>
      <c r="N124" s="299"/>
      <c r="O124" s="798">
        <v>10</v>
      </c>
      <c r="P124" s="797" t="s">
        <v>1660</v>
      </c>
      <c r="Q124" s="799">
        <v>5</v>
      </c>
      <c r="R124" s="286"/>
      <c r="S124" s="298" t="s">
        <v>131</v>
      </c>
      <c r="T124" s="298"/>
      <c r="U124" s="298"/>
      <c r="V124" s="273"/>
      <c r="W124" s="766" t="s">
        <v>131</v>
      </c>
      <c r="X124" s="273"/>
      <c r="Y124" s="761" t="s">
        <v>1682</v>
      </c>
      <c r="Z124" s="741">
        <v>2</v>
      </c>
    </row>
    <row r="125" spans="1:26" s="147" customFormat="1" ht="43.5" customHeight="1" x14ac:dyDescent="0.2">
      <c r="A125" s="287"/>
      <c r="B125" s="285"/>
      <c r="C125" s="286"/>
      <c r="D125" s="287"/>
      <c r="E125" s="298"/>
      <c r="F125" s="298"/>
      <c r="G125" s="298"/>
      <c r="H125" s="298"/>
      <c r="I125" s="298"/>
      <c r="J125" s="298"/>
      <c r="K125" s="299"/>
      <c r="L125" s="299"/>
      <c r="M125" s="337"/>
      <c r="N125" s="299"/>
      <c r="O125" s="798">
        <v>11</v>
      </c>
      <c r="P125" s="292" t="s">
        <v>1662</v>
      </c>
      <c r="Q125" s="799">
        <v>60</v>
      </c>
      <c r="R125" s="286"/>
      <c r="S125" s="298"/>
      <c r="T125" s="851"/>
      <c r="U125" s="766" t="s">
        <v>131</v>
      </c>
      <c r="V125" s="273"/>
      <c r="W125" s="273"/>
      <c r="X125" s="273"/>
      <c r="Y125" s="339" t="s">
        <v>1683</v>
      </c>
      <c r="Z125" s="741">
        <v>2</v>
      </c>
    </row>
    <row r="126" spans="1:26" s="147" customFormat="1" ht="20.149999999999999" customHeight="1" x14ac:dyDescent="0.2">
      <c r="A126" s="287"/>
      <c r="B126" s="285"/>
      <c r="C126" s="286"/>
      <c r="D126" s="287"/>
      <c r="E126" s="298"/>
      <c r="F126" s="298"/>
      <c r="G126" s="298"/>
      <c r="H126" s="298"/>
      <c r="I126" s="298"/>
      <c r="J126" s="298"/>
      <c r="K126" s="299"/>
      <c r="L126" s="299"/>
      <c r="M126" s="337"/>
      <c r="N126" s="299"/>
      <c r="O126" s="298">
        <v>12</v>
      </c>
      <c r="P126" s="375" t="s">
        <v>1664</v>
      </c>
      <c r="Q126" s="376">
        <v>300</v>
      </c>
      <c r="R126" s="286"/>
      <c r="S126" s="298"/>
      <c r="T126" s="851"/>
      <c r="U126" s="766" t="s">
        <v>131</v>
      </c>
      <c r="V126" s="273"/>
      <c r="W126" s="273"/>
      <c r="X126" s="273"/>
      <c r="Y126" s="339" t="s">
        <v>1665</v>
      </c>
      <c r="Z126" s="741">
        <v>2</v>
      </c>
    </row>
    <row r="127" spans="1:26" s="147" customFormat="1" ht="21" customHeight="1" x14ac:dyDescent="0.2">
      <c r="A127" s="287"/>
      <c r="B127" s="285"/>
      <c r="C127" s="286"/>
      <c r="D127" s="287"/>
      <c r="E127" s="298"/>
      <c r="F127" s="298"/>
      <c r="G127" s="298"/>
      <c r="H127" s="298"/>
      <c r="I127" s="298"/>
      <c r="J127" s="298"/>
      <c r="K127" s="299"/>
      <c r="L127" s="299"/>
      <c r="M127" s="337"/>
      <c r="N127" s="299"/>
      <c r="O127" s="298">
        <v>13</v>
      </c>
      <c r="P127" s="286" t="s">
        <v>1666</v>
      </c>
      <c r="Q127" s="830">
        <v>3</v>
      </c>
      <c r="R127" s="286"/>
      <c r="S127" s="298"/>
      <c r="T127" s="298"/>
      <c r="U127" s="298" t="s">
        <v>131</v>
      </c>
      <c r="V127" s="273"/>
      <c r="W127" s="273"/>
      <c r="X127" s="273"/>
      <c r="Y127" s="339" t="s">
        <v>1667</v>
      </c>
      <c r="Z127" s="741">
        <v>2</v>
      </c>
    </row>
    <row r="128" spans="1:26" s="147" customFormat="1" ht="93.65" customHeight="1" x14ac:dyDescent="0.2">
      <c r="A128" s="287"/>
      <c r="B128" s="285"/>
      <c r="C128" s="286"/>
      <c r="D128" s="287"/>
      <c r="E128" s="298"/>
      <c r="F128" s="298"/>
      <c r="G128" s="298"/>
      <c r="H128" s="298"/>
      <c r="I128" s="298"/>
      <c r="J128" s="298"/>
      <c r="K128" s="299"/>
      <c r="L128" s="299"/>
      <c r="M128" s="555"/>
      <c r="N128" s="289"/>
      <c r="O128" s="298">
        <v>14</v>
      </c>
      <c r="P128" s="292" t="s">
        <v>1668</v>
      </c>
      <c r="Q128" s="288">
        <v>5</v>
      </c>
      <c r="R128" s="292"/>
      <c r="S128" s="288"/>
      <c r="T128" s="753"/>
      <c r="U128" s="766" t="s">
        <v>131</v>
      </c>
      <c r="V128" s="293"/>
      <c r="W128" s="293"/>
      <c r="X128" s="293"/>
      <c r="Y128" s="800" t="s">
        <v>1669</v>
      </c>
      <c r="Z128" s="747">
        <v>2</v>
      </c>
    </row>
    <row r="129" spans="1:26" s="147" customFormat="1" ht="21.75" customHeight="1" x14ac:dyDescent="0.2">
      <c r="A129" s="457"/>
      <c r="B129" s="285"/>
      <c r="C129" s="286"/>
      <c r="D129" s="457"/>
      <c r="E129" s="298"/>
      <c r="F129" s="298"/>
      <c r="G129" s="298"/>
      <c r="H129" s="298"/>
      <c r="I129" s="298"/>
      <c r="J129" s="298"/>
      <c r="K129" s="299"/>
      <c r="L129" s="299"/>
      <c r="M129" s="555"/>
      <c r="N129" s="358"/>
      <c r="O129" s="357"/>
      <c r="P129" s="356"/>
      <c r="Q129" s="357"/>
      <c r="R129" s="356"/>
      <c r="S129" s="357"/>
      <c r="T129" s="357"/>
      <c r="U129" s="357"/>
      <c r="V129" s="268"/>
      <c r="W129" s="268"/>
      <c r="X129" s="268"/>
      <c r="Y129" s="361"/>
      <c r="Z129" s="268"/>
    </row>
    <row r="130" spans="1:26" s="147" customFormat="1" ht="35.25" customHeight="1" x14ac:dyDescent="0.2">
      <c r="A130" s="278" t="s">
        <v>1684</v>
      </c>
      <c r="B130" s="348" t="s">
        <v>1387</v>
      </c>
      <c r="C130" s="283" t="s">
        <v>1685</v>
      </c>
      <c r="D130" s="352" t="s">
        <v>1584</v>
      </c>
      <c r="E130" s="454"/>
      <c r="F130" s="454"/>
      <c r="G130" s="454"/>
      <c r="H130" s="454"/>
      <c r="I130" s="454"/>
      <c r="J130" s="956">
        <f>1500/415</f>
        <v>3.6144578313253013</v>
      </c>
      <c r="K130" s="280" t="s">
        <v>131</v>
      </c>
      <c r="L130" s="280" t="s">
        <v>131</v>
      </c>
      <c r="M130" s="281" t="s">
        <v>1686</v>
      </c>
      <c r="N130" s="299" t="s">
        <v>1687</v>
      </c>
      <c r="O130" s="299"/>
      <c r="P130" s="286"/>
      <c r="Q130" s="298"/>
      <c r="R130" s="286"/>
      <c r="S130" s="298"/>
      <c r="T130" s="298"/>
      <c r="U130" s="298"/>
      <c r="V130" s="273"/>
      <c r="W130" s="273"/>
      <c r="X130" s="273"/>
      <c r="Y130" s="339"/>
      <c r="Z130" s="273"/>
    </row>
    <row r="131" spans="1:26" s="147" customFormat="1" ht="20.149999999999999" customHeight="1" x14ac:dyDescent="0.2">
      <c r="A131" s="287"/>
      <c r="B131" s="285"/>
      <c r="C131" s="286"/>
      <c r="D131" s="287"/>
      <c r="E131" s="298"/>
      <c r="F131" s="298"/>
      <c r="G131" s="298"/>
      <c r="H131" s="298"/>
      <c r="I131" s="298"/>
      <c r="J131" s="298"/>
      <c r="K131" s="299"/>
      <c r="L131" s="299"/>
      <c r="M131" s="337" t="s">
        <v>1688</v>
      </c>
      <c r="N131" s="299" t="s">
        <v>1689</v>
      </c>
      <c r="O131" s="299">
        <v>1</v>
      </c>
      <c r="P131" s="286" t="s">
        <v>1690</v>
      </c>
      <c r="Q131" s="376">
        <v>0</v>
      </c>
      <c r="R131" s="338"/>
      <c r="S131" s="338"/>
      <c r="T131" s="338"/>
      <c r="U131" s="338" t="s">
        <v>131</v>
      </c>
      <c r="V131" s="338"/>
      <c r="W131" s="338"/>
      <c r="X131" s="338"/>
      <c r="Y131" s="681"/>
      <c r="Z131" s="368" t="s">
        <v>204</v>
      </c>
    </row>
    <row r="132" spans="1:26" s="147" customFormat="1" ht="20.149999999999999" customHeight="1" x14ac:dyDescent="0.2">
      <c r="A132" s="287"/>
      <c r="B132" s="285"/>
      <c r="C132" s="286"/>
      <c r="D132" s="287"/>
      <c r="E132" s="298"/>
      <c r="F132" s="298"/>
      <c r="G132" s="298"/>
      <c r="H132" s="298"/>
      <c r="I132" s="298"/>
      <c r="J132" s="298"/>
      <c r="K132" s="299"/>
      <c r="L132" s="299"/>
      <c r="M132" s="337"/>
      <c r="N132" s="299"/>
      <c r="O132" s="298">
        <v>2</v>
      </c>
      <c r="P132" s="292" t="s">
        <v>1691</v>
      </c>
      <c r="Q132" s="338">
        <v>0</v>
      </c>
      <c r="R132" s="338"/>
      <c r="S132" s="338"/>
      <c r="T132" s="338"/>
      <c r="U132" s="338" t="s">
        <v>131</v>
      </c>
      <c r="V132" s="338"/>
      <c r="W132" s="338"/>
      <c r="X132" s="753"/>
      <c r="Y132" s="578"/>
      <c r="Z132" s="747">
        <v>2</v>
      </c>
    </row>
    <row r="133" spans="1:26" s="147" customFormat="1" ht="20.149999999999999" customHeight="1" x14ac:dyDescent="0.2">
      <c r="A133" s="287"/>
      <c r="B133" s="285"/>
      <c r="C133" s="286"/>
      <c r="D133" s="287"/>
      <c r="E133" s="298"/>
      <c r="F133" s="298"/>
      <c r="G133" s="298"/>
      <c r="H133" s="298"/>
      <c r="I133" s="298"/>
      <c r="J133" s="298"/>
      <c r="K133" s="299"/>
      <c r="L133" s="299"/>
      <c r="M133" s="337"/>
      <c r="N133" s="299"/>
      <c r="O133" s="298">
        <v>3</v>
      </c>
      <c r="P133" s="292" t="s">
        <v>1692</v>
      </c>
      <c r="Q133" s="338">
        <v>0</v>
      </c>
      <c r="R133" s="338"/>
      <c r="S133" s="338"/>
      <c r="T133" s="338"/>
      <c r="U133" s="338" t="s">
        <v>131</v>
      </c>
      <c r="V133" s="338"/>
      <c r="W133" s="338"/>
      <c r="X133" s="753"/>
      <c r="Y133" s="578"/>
      <c r="Z133" s="747">
        <v>2</v>
      </c>
    </row>
    <row r="134" spans="1:26" s="147" customFormat="1" ht="20.149999999999999" customHeight="1" x14ac:dyDescent="0.2">
      <c r="A134" s="287"/>
      <c r="B134" s="285"/>
      <c r="C134" s="286"/>
      <c r="D134" s="287"/>
      <c r="E134" s="298"/>
      <c r="F134" s="298"/>
      <c r="G134" s="298"/>
      <c r="H134" s="298"/>
      <c r="I134" s="298"/>
      <c r="J134" s="298"/>
      <c r="K134" s="299"/>
      <c r="L134" s="299"/>
      <c r="M134" s="337"/>
      <c r="N134" s="299"/>
      <c r="O134" s="298">
        <v>4</v>
      </c>
      <c r="P134" s="292" t="s">
        <v>1693</v>
      </c>
      <c r="Q134" s="338">
        <v>0</v>
      </c>
      <c r="R134" s="338"/>
      <c r="S134" s="338"/>
      <c r="T134" s="338"/>
      <c r="U134" s="338" t="s">
        <v>131</v>
      </c>
      <c r="V134" s="338" t="s">
        <v>131</v>
      </c>
      <c r="W134" s="338"/>
      <c r="X134" s="753"/>
      <c r="Y134" s="578"/>
      <c r="Z134" s="747">
        <v>2</v>
      </c>
    </row>
    <row r="135" spans="1:26" s="147" customFormat="1" ht="20.149999999999999" customHeight="1" x14ac:dyDescent="0.2">
      <c r="A135" s="287"/>
      <c r="B135" s="285"/>
      <c r="C135" s="286"/>
      <c r="D135" s="287"/>
      <c r="E135" s="298"/>
      <c r="F135" s="298"/>
      <c r="G135" s="298"/>
      <c r="H135" s="298"/>
      <c r="I135" s="298"/>
      <c r="J135" s="298"/>
      <c r="K135" s="299"/>
      <c r="L135" s="299"/>
      <c r="M135" s="337"/>
      <c r="N135" s="299"/>
      <c r="O135" s="298">
        <v>5</v>
      </c>
      <c r="P135" s="292" t="s">
        <v>1694</v>
      </c>
      <c r="Q135" s="338">
        <v>0</v>
      </c>
      <c r="R135" s="338"/>
      <c r="S135" s="338"/>
      <c r="T135" s="338"/>
      <c r="U135" s="338" t="s">
        <v>131</v>
      </c>
      <c r="V135" s="338"/>
      <c r="W135" s="338"/>
      <c r="X135" s="338"/>
      <c r="Y135" s="578"/>
      <c r="Z135" s="368" t="s">
        <v>204</v>
      </c>
    </row>
    <row r="136" spans="1:26" s="147" customFormat="1" ht="20.149999999999999" customHeight="1" x14ac:dyDescent="0.2">
      <c r="A136" s="287"/>
      <c r="B136" s="285"/>
      <c r="C136" s="286"/>
      <c r="D136" s="287"/>
      <c r="E136" s="298"/>
      <c r="F136" s="298"/>
      <c r="G136" s="298"/>
      <c r="H136" s="298"/>
      <c r="I136" s="298"/>
      <c r="J136" s="298"/>
      <c r="K136" s="299"/>
      <c r="L136" s="299"/>
      <c r="M136" s="337"/>
      <c r="N136" s="299"/>
      <c r="O136" s="298">
        <v>6</v>
      </c>
      <c r="P136" s="292" t="s">
        <v>1695</v>
      </c>
      <c r="Q136" s="338">
        <v>0</v>
      </c>
      <c r="R136" s="338"/>
      <c r="S136" s="338"/>
      <c r="T136" s="338"/>
      <c r="U136" s="338" t="s">
        <v>131</v>
      </c>
      <c r="V136" s="338"/>
      <c r="W136" s="338"/>
      <c r="X136" s="338"/>
      <c r="Y136" s="578"/>
      <c r="Z136" s="368" t="s">
        <v>204</v>
      </c>
    </row>
    <row r="137" spans="1:26" s="147" customFormat="1" ht="20.149999999999999" customHeight="1" x14ac:dyDescent="0.2">
      <c r="A137" s="287"/>
      <c r="B137" s="285"/>
      <c r="C137" s="286"/>
      <c r="D137" s="287"/>
      <c r="E137" s="298"/>
      <c r="F137" s="298"/>
      <c r="G137" s="298"/>
      <c r="H137" s="298"/>
      <c r="I137" s="298"/>
      <c r="J137" s="298"/>
      <c r="K137" s="299"/>
      <c r="L137" s="299"/>
      <c r="M137" s="337"/>
      <c r="N137" s="299"/>
      <c r="O137" s="298">
        <v>7</v>
      </c>
      <c r="P137" s="292" t="s">
        <v>1696</v>
      </c>
      <c r="Q137" s="338">
        <v>0</v>
      </c>
      <c r="R137" s="577"/>
      <c r="S137" s="753"/>
      <c r="T137" s="576"/>
      <c r="U137" s="338" t="s">
        <v>131</v>
      </c>
      <c r="V137" s="575"/>
      <c r="W137" s="576"/>
      <c r="X137" s="338"/>
      <c r="Y137" s="578"/>
      <c r="Z137" s="747">
        <v>2</v>
      </c>
    </row>
    <row r="138" spans="1:26" s="147" customFormat="1" ht="20.149999999999999" customHeight="1" x14ac:dyDescent="0.2">
      <c r="A138" s="302"/>
      <c r="B138" s="355"/>
      <c r="C138" s="356"/>
      <c r="D138" s="302"/>
      <c r="E138" s="357"/>
      <c r="F138" s="357"/>
      <c r="G138" s="357"/>
      <c r="H138" s="357"/>
      <c r="I138" s="357"/>
      <c r="J138" s="357"/>
      <c r="K138" s="358"/>
      <c r="L138" s="358"/>
      <c r="M138" s="456"/>
      <c r="N138" s="358"/>
      <c r="O138" s="358"/>
      <c r="P138" s="356"/>
      <c r="Q138" s="357"/>
      <c r="R138" s="356"/>
      <c r="S138" s="357"/>
      <c r="T138" s="357"/>
      <c r="U138" s="357"/>
      <c r="V138" s="268"/>
      <c r="W138" s="268"/>
      <c r="X138" s="268"/>
      <c r="Y138" s="361"/>
      <c r="Z138" s="268"/>
    </row>
    <row r="139" spans="1:26" s="147" customFormat="1" ht="34" customHeight="1" x14ac:dyDescent="0.2">
      <c r="A139" s="278" t="s">
        <v>1697</v>
      </c>
      <c r="B139" s="348" t="s">
        <v>1387</v>
      </c>
      <c r="C139" s="395" t="s">
        <v>1698</v>
      </c>
      <c r="D139" s="413" t="s">
        <v>1584</v>
      </c>
      <c r="E139" s="454"/>
      <c r="F139" s="454"/>
      <c r="G139" s="454"/>
      <c r="H139" s="454"/>
      <c r="I139" s="454"/>
      <c r="J139" s="279">
        <f>300/240</f>
        <v>1.25</v>
      </c>
      <c r="K139" s="280"/>
      <c r="L139" s="280" t="s">
        <v>131</v>
      </c>
      <c r="M139" s="281" t="s">
        <v>1699</v>
      </c>
      <c r="N139" s="280" t="s">
        <v>1700</v>
      </c>
      <c r="O139" s="280"/>
      <c r="P139" s="283"/>
      <c r="Q139" s="279"/>
      <c r="R139" s="283"/>
      <c r="S139" s="279"/>
      <c r="T139" s="279"/>
      <c r="U139" s="279"/>
      <c r="V139" s="282"/>
      <c r="W139" s="282"/>
      <c r="X139" s="282"/>
      <c r="Y139" s="350"/>
      <c r="Z139" s="282"/>
    </row>
    <row r="140" spans="1:26" s="147" customFormat="1" ht="20.149999999999999" customHeight="1" x14ac:dyDescent="0.2">
      <c r="A140" s="556"/>
      <c r="B140" s="285"/>
      <c r="C140" s="375"/>
      <c r="D140" s="632"/>
      <c r="E140" s="298"/>
      <c r="F140" s="298"/>
      <c r="G140" s="298"/>
      <c r="H140" s="298"/>
      <c r="I140" s="298"/>
      <c r="J140" s="298"/>
      <c r="K140" s="299"/>
      <c r="L140" s="299"/>
      <c r="M140" s="337"/>
      <c r="N140" s="299"/>
      <c r="O140" s="298">
        <v>1</v>
      </c>
      <c r="P140" s="286" t="s">
        <v>1701</v>
      </c>
      <c r="Q140" s="376">
        <v>0</v>
      </c>
      <c r="R140" s="338"/>
      <c r="S140" s="338"/>
      <c r="T140" s="338"/>
      <c r="U140" s="338" t="s">
        <v>131</v>
      </c>
      <c r="V140" s="338"/>
      <c r="W140" s="338"/>
      <c r="X140" s="338"/>
      <c r="Y140" s="681"/>
      <c r="Z140" s="368" t="s">
        <v>204</v>
      </c>
    </row>
    <row r="141" spans="1:26" s="147" customFormat="1" ht="20.149999999999999" customHeight="1" x14ac:dyDescent="0.2">
      <c r="A141" s="556"/>
      <c r="B141" s="285"/>
      <c r="C141" s="375"/>
      <c r="D141" s="632"/>
      <c r="E141" s="298"/>
      <c r="F141" s="298"/>
      <c r="G141" s="298"/>
      <c r="H141" s="298"/>
      <c r="I141" s="298"/>
      <c r="J141" s="298"/>
      <c r="K141" s="299"/>
      <c r="L141" s="299"/>
      <c r="M141" s="337"/>
      <c r="N141" s="299"/>
      <c r="O141" s="298">
        <v>2</v>
      </c>
      <c r="P141" s="292" t="s">
        <v>1702</v>
      </c>
      <c r="Q141" s="338">
        <v>0</v>
      </c>
      <c r="R141" s="338"/>
      <c r="S141" s="338"/>
      <c r="T141" s="338"/>
      <c r="U141" s="338" t="s">
        <v>131</v>
      </c>
      <c r="V141" s="338"/>
      <c r="W141" s="338"/>
      <c r="X141" s="753"/>
      <c r="Y141" s="578"/>
      <c r="Z141" s="747">
        <v>2</v>
      </c>
    </row>
    <row r="142" spans="1:26" s="147" customFormat="1" ht="20.149999999999999" customHeight="1" x14ac:dyDescent="0.2">
      <c r="A142" s="556"/>
      <c r="B142" s="285"/>
      <c r="C142" s="375"/>
      <c r="D142" s="632"/>
      <c r="E142" s="298"/>
      <c r="F142" s="298"/>
      <c r="G142" s="298"/>
      <c r="H142" s="298"/>
      <c r="I142" s="298"/>
      <c r="J142" s="298"/>
      <c r="K142" s="299"/>
      <c r="L142" s="299"/>
      <c r="M142" s="337"/>
      <c r="N142" s="299"/>
      <c r="O142" s="298">
        <v>3</v>
      </c>
      <c r="P142" s="292" t="s">
        <v>1703</v>
      </c>
      <c r="Q142" s="338">
        <v>0</v>
      </c>
      <c r="R142" s="338"/>
      <c r="S142" s="338"/>
      <c r="T142" s="338"/>
      <c r="U142" s="338" t="s">
        <v>131</v>
      </c>
      <c r="V142" s="338"/>
      <c r="W142" s="338"/>
      <c r="X142" s="753"/>
      <c r="Y142" s="578"/>
      <c r="Z142" s="747">
        <v>2</v>
      </c>
    </row>
    <row r="143" spans="1:26" s="147" customFormat="1" ht="20.149999999999999" customHeight="1" x14ac:dyDescent="0.2">
      <c r="A143" s="556"/>
      <c r="B143" s="285"/>
      <c r="C143" s="375"/>
      <c r="D143" s="632"/>
      <c r="E143" s="298"/>
      <c r="F143" s="298"/>
      <c r="G143" s="298"/>
      <c r="H143" s="298"/>
      <c r="I143" s="298"/>
      <c r="J143" s="298"/>
      <c r="K143" s="299"/>
      <c r="L143" s="299"/>
      <c r="M143" s="337"/>
      <c r="N143" s="299"/>
      <c r="O143" s="298">
        <v>4</v>
      </c>
      <c r="P143" s="292" t="s">
        <v>1704</v>
      </c>
      <c r="Q143" s="338">
        <v>0</v>
      </c>
      <c r="R143" s="338"/>
      <c r="S143" s="338"/>
      <c r="T143" s="338"/>
      <c r="U143" s="338" t="s">
        <v>131</v>
      </c>
      <c r="V143" s="338" t="s">
        <v>131</v>
      </c>
      <c r="W143" s="338"/>
      <c r="X143" s="753"/>
      <c r="Y143" s="578"/>
      <c r="Z143" s="747">
        <v>2</v>
      </c>
    </row>
    <row r="144" spans="1:26" s="147" customFormat="1" ht="20.149999999999999" customHeight="1" x14ac:dyDescent="0.2">
      <c r="A144" s="556"/>
      <c r="B144" s="285"/>
      <c r="C144" s="375"/>
      <c r="D144" s="632"/>
      <c r="E144" s="298"/>
      <c r="F144" s="298"/>
      <c r="G144" s="298"/>
      <c r="H144" s="298"/>
      <c r="I144" s="298"/>
      <c r="J144" s="298"/>
      <c r="K144" s="299"/>
      <c r="L144" s="299"/>
      <c r="M144" s="337"/>
      <c r="N144" s="299"/>
      <c r="O144" s="298">
        <v>5</v>
      </c>
      <c r="P144" s="292" t="s">
        <v>1705</v>
      </c>
      <c r="Q144" s="338">
        <v>0</v>
      </c>
      <c r="R144" s="338"/>
      <c r="S144" s="338"/>
      <c r="T144" s="338"/>
      <c r="U144" s="338" t="s">
        <v>131</v>
      </c>
      <c r="V144" s="338"/>
      <c r="W144" s="338"/>
      <c r="X144" s="338"/>
      <c r="Y144" s="578"/>
      <c r="Z144" s="368" t="s">
        <v>204</v>
      </c>
    </row>
    <row r="145" spans="1:26" s="147" customFormat="1" ht="20.149999999999999" customHeight="1" x14ac:dyDescent="0.2">
      <c r="A145" s="556"/>
      <c r="B145" s="285"/>
      <c r="C145" s="375"/>
      <c r="D145" s="632"/>
      <c r="E145" s="298"/>
      <c r="F145" s="298"/>
      <c r="G145" s="298"/>
      <c r="H145" s="298"/>
      <c r="I145" s="298"/>
      <c r="J145" s="298"/>
      <c r="K145" s="299"/>
      <c r="L145" s="299"/>
      <c r="M145" s="337"/>
      <c r="N145" s="299"/>
      <c r="O145" s="298">
        <v>6</v>
      </c>
      <c r="P145" s="292" t="s">
        <v>1706</v>
      </c>
      <c r="Q145" s="338">
        <v>0</v>
      </c>
      <c r="R145" s="338"/>
      <c r="S145" s="338"/>
      <c r="T145" s="338"/>
      <c r="U145" s="338" t="s">
        <v>131</v>
      </c>
      <c r="V145" s="338"/>
      <c r="W145" s="338"/>
      <c r="X145" s="338"/>
      <c r="Y145" s="578"/>
      <c r="Z145" s="368" t="s">
        <v>204</v>
      </c>
    </row>
    <row r="146" spans="1:26" s="147" customFormat="1" ht="20.149999999999999" customHeight="1" x14ac:dyDescent="0.2">
      <c r="A146" s="287"/>
      <c r="B146" s="285"/>
      <c r="C146" s="286"/>
      <c r="D146" s="287"/>
      <c r="E146" s="298"/>
      <c r="F146" s="298"/>
      <c r="G146" s="298"/>
      <c r="H146" s="298"/>
      <c r="I146" s="298"/>
      <c r="J146" s="298"/>
      <c r="K146" s="299"/>
      <c r="L146" s="299"/>
      <c r="M146" s="337"/>
      <c r="N146" s="299"/>
      <c r="O146" s="298">
        <v>7</v>
      </c>
      <c r="P146" s="292" t="s">
        <v>1707</v>
      </c>
      <c r="Q146" s="338">
        <v>0</v>
      </c>
      <c r="R146" s="577"/>
      <c r="S146" s="753"/>
      <c r="T146" s="576"/>
      <c r="U146" s="338" t="s">
        <v>131</v>
      </c>
      <c r="V146" s="575"/>
      <c r="W146" s="576"/>
      <c r="X146" s="338"/>
      <c r="Y146" s="578"/>
      <c r="Z146" s="747">
        <v>2</v>
      </c>
    </row>
    <row r="147" spans="1:26" s="147" customFormat="1" ht="20.149999999999999" customHeight="1" x14ac:dyDescent="0.2">
      <c r="A147" s="297"/>
      <c r="B147" s="341"/>
      <c r="C147" s="342"/>
      <c r="D147" s="297"/>
      <c r="E147" s="343"/>
      <c r="F147" s="343"/>
      <c r="G147" s="343"/>
      <c r="H147" s="343"/>
      <c r="I147" s="343"/>
      <c r="J147" s="343"/>
      <c r="K147" s="344"/>
      <c r="L147" s="344"/>
      <c r="M147" s="458"/>
      <c r="N147" s="344"/>
      <c r="O147" s="344"/>
      <c r="P147" s="342"/>
      <c r="Q147" s="343"/>
      <c r="R147" s="342"/>
      <c r="S147" s="343"/>
      <c r="T147" s="343"/>
      <c r="U147" s="343"/>
      <c r="V147" s="274"/>
      <c r="W147" s="274"/>
      <c r="X147" s="274"/>
      <c r="Y147" s="351"/>
      <c r="Z147" s="274"/>
    </row>
    <row r="148" spans="1:26" s="147" customFormat="1" ht="28.5" customHeight="1" x14ac:dyDescent="0.2">
      <c r="A148" s="278" t="s">
        <v>1708</v>
      </c>
      <c r="B148" s="270" t="s">
        <v>134</v>
      </c>
      <c r="C148" s="283" t="s">
        <v>1709</v>
      </c>
      <c r="D148" s="352" t="s">
        <v>1584</v>
      </c>
      <c r="E148" s="454"/>
      <c r="F148" s="454"/>
      <c r="G148" s="454"/>
      <c r="H148" s="454"/>
      <c r="I148" s="454"/>
      <c r="J148" s="620" t="s">
        <v>1710</v>
      </c>
      <c r="K148" s="280" t="s">
        <v>131</v>
      </c>
      <c r="L148" s="280" t="s">
        <v>131</v>
      </c>
      <c r="M148" s="280" t="s">
        <v>1711</v>
      </c>
      <c r="N148" s="280" t="s">
        <v>1711</v>
      </c>
      <c r="O148" s="280"/>
      <c r="P148" s="283"/>
      <c r="Q148" s="279"/>
      <c r="R148" s="283"/>
      <c r="S148" s="279"/>
      <c r="T148" s="279"/>
      <c r="U148" s="279"/>
      <c r="V148" s="282"/>
      <c r="W148" s="282"/>
      <c r="X148" s="282"/>
      <c r="Y148" s="350"/>
      <c r="Z148" s="282"/>
    </row>
    <row r="149" spans="1:26" s="147" customFormat="1" ht="20.149999999999999" customHeight="1" x14ac:dyDescent="0.2">
      <c r="A149" s="287"/>
      <c r="B149" s="285"/>
      <c r="C149" s="286"/>
      <c r="D149" s="287"/>
      <c r="E149" s="298"/>
      <c r="F149" s="298"/>
      <c r="G149" s="298"/>
      <c r="H149" s="298"/>
      <c r="I149" s="298"/>
      <c r="J149" s="298"/>
      <c r="K149" s="299"/>
      <c r="L149" s="299"/>
      <c r="M149" s="337"/>
      <c r="N149" s="299"/>
      <c r="O149" s="299">
        <v>1</v>
      </c>
      <c r="P149" s="286" t="s">
        <v>1712</v>
      </c>
      <c r="Q149" s="376">
        <v>0</v>
      </c>
      <c r="R149" s="338"/>
      <c r="S149" s="338"/>
      <c r="T149" s="338"/>
      <c r="U149" s="338" t="s">
        <v>131</v>
      </c>
      <c r="V149" s="338"/>
      <c r="W149" s="338"/>
      <c r="X149" s="338"/>
      <c r="Y149" s="681"/>
      <c r="Z149" s="368" t="s">
        <v>204</v>
      </c>
    </row>
    <row r="150" spans="1:26" s="147" customFormat="1" ht="20.149999999999999" customHeight="1" x14ac:dyDescent="0.2">
      <c r="A150" s="287"/>
      <c r="B150" s="285"/>
      <c r="C150" s="286"/>
      <c r="D150" s="287"/>
      <c r="E150" s="298"/>
      <c r="F150" s="298"/>
      <c r="G150" s="298"/>
      <c r="H150" s="298"/>
      <c r="I150" s="298"/>
      <c r="J150" s="298"/>
      <c r="K150" s="299"/>
      <c r="L150" s="299"/>
      <c r="M150" s="337"/>
      <c r="N150" s="299"/>
      <c r="O150" s="298">
        <v>2</v>
      </c>
      <c r="P150" s="292" t="s">
        <v>1713</v>
      </c>
      <c r="Q150" s="338">
        <v>0</v>
      </c>
      <c r="R150" s="338"/>
      <c r="S150" s="338"/>
      <c r="T150" s="338"/>
      <c r="U150" s="338" t="s">
        <v>131</v>
      </c>
      <c r="V150" s="338"/>
      <c r="W150" s="338"/>
      <c r="X150" s="753"/>
      <c r="Y150" s="578"/>
      <c r="Z150" s="747">
        <v>2</v>
      </c>
    </row>
    <row r="151" spans="1:26" s="147" customFormat="1" ht="20.149999999999999" customHeight="1" x14ac:dyDescent="0.2">
      <c r="A151" s="287"/>
      <c r="B151" s="285"/>
      <c r="C151" s="286"/>
      <c r="D151" s="287"/>
      <c r="E151" s="298"/>
      <c r="F151" s="298"/>
      <c r="G151" s="298"/>
      <c r="H151" s="298"/>
      <c r="I151" s="298"/>
      <c r="J151" s="298"/>
      <c r="K151" s="299"/>
      <c r="L151" s="299"/>
      <c r="M151" s="337"/>
      <c r="N151" s="299"/>
      <c r="O151" s="298">
        <v>3</v>
      </c>
      <c r="P151" s="292" t="s">
        <v>1714</v>
      </c>
      <c r="Q151" s="338">
        <v>0</v>
      </c>
      <c r="R151" s="338"/>
      <c r="S151" s="338"/>
      <c r="T151" s="338"/>
      <c r="U151" s="338" t="s">
        <v>131</v>
      </c>
      <c r="V151" s="338"/>
      <c r="W151" s="338"/>
      <c r="X151" s="753"/>
      <c r="Y151" s="578"/>
      <c r="Z151" s="747">
        <v>2</v>
      </c>
    </row>
    <row r="152" spans="1:26" s="147" customFormat="1" ht="20.149999999999999" customHeight="1" x14ac:dyDescent="0.2">
      <c r="A152" s="287"/>
      <c r="B152" s="285"/>
      <c r="C152" s="286"/>
      <c r="D152" s="287"/>
      <c r="E152" s="298"/>
      <c r="F152" s="298"/>
      <c r="G152" s="298"/>
      <c r="H152" s="298"/>
      <c r="I152" s="298"/>
      <c r="J152" s="298"/>
      <c r="K152" s="299"/>
      <c r="L152" s="299"/>
      <c r="M152" s="337"/>
      <c r="N152" s="299"/>
      <c r="O152" s="298">
        <v>4</v>
      </c>
      <c r="P152" s="292" t="s">
        <v>1715</v>
      </c>
      <c r="Q152" s="338">
        <v>0</v>
      </c>
      <c r="R152" s="338"/>
      <c r="S152" s="338"/>
      <c r="T152" s="338"/>
      <c r="U152" s="338" t="s">
        <v>131</v>
      </c>
      <c r="V152" s="338" t="s">
        <v>131</v>
      </c>
      <c r="W152" s="338"/>
      <c r="X152" s="753"/>
      <c r="Y152" s="578"/>
      <c r="Z152" s="747">
        <v>2</v>
      </c>
    </row>
    <row r="153" spans="1:26" s="147" customFormat="1" ht="20.149999999999999" customHeight="1" x14ac:dyDescent="0.2">
      <c r="A153" s="287"/>
      <c r="B153" s="285"/>
      <c r="C153" s="286"/>
      <c r="D153" s="287"/>
      <c r="E153" s="298"/>
      <c r="F153" s="298"/>
      <c r="G153" s="298"/>
      <c r="H153" s="298"/>
      <c r="I153" s="298"/>
      <c r="J153" s="298"/>
      <c r="K153" s="299"/>
      <c r="L153" s="299"/>
      <c r="M153" s="337"/>
      <c r="N153" s="299"/>
      <c r="O153" s="298">
        <v>5</v>
      </c>
      <c r="P153" s="292" t="s">
        <v>1716</v>
      </c>
      <c r="Q153" s="338">
        <v>0</v>
      </c>
      <c r="R153" s="338"/>
      <c r="S153" s="338"/>
      <c r="T153" s="338"/>
      <c r="U153" s="338" t="s">
        <v>131</v>
      </c>
      <c r="V153" s="338"/>
      <c r="W153" s="338"/>
      <c r="X153" s="338"/>
      <c r="Y153" s="578"/>
      <c r="Z153" s="368" t="s">
        <v>204</v>
      </c>
    </row>
    <row r="154" spans="1:26" s="147" customFormat="1" ht="20.149999999999999" customHeight="1" x14ac:dyDescent="0.2">
      <c r="A154" s="287"/>
      <c r="B154" s="285"/>
      <c r="C154" s="286"/>
      <c r="D154" s="287"/>
      <c r="E154" s="298"/>
      <c r="F154" s="298"/>
      <c r="G154" s="298"/>
      <c r="H154" s="298"/>
      <c r="I154" s="298"/>
      <c r="J154" s="298"/>
      <c r="K154" s="299"/>
      <c r="L154" s="299"/>
      <c r="M154" s="337"/>
      <c r="N154" s="299"/>
      <c r="O154" s="298">
        <v>6</v>
      </c>
      <c r="P154" s="292" t="s">
        <v>1717</v>
      </c>
      <c r="Q154" s="338">
        <v>0</v>
      </c>
      <c r="R154" s="338"/>
      <c r="S154" s="338"/>
      <c r="T154" s="338"/>
      <c r="U154" s="338" t="s">
        <v>131</v>
      </c>
      <c r="V154" s="338"/>
      <c r="W154" s="338"/>
      <c r="X154" s="338"/>
      <c r="Y154" s="578"/>
      <c r="Z154" s="368" t="s">
        <v>204</v>
      </c>
    </row>
    <row r="155" spans="1:26" s="147" customFormat="1" ht="20.149999999999999" customHeight="1" x14ac:dyDescent="0.2">
      <c r="A155" s="287"/>
      <c r="B155" s="285"/>
      <c r="C155" s="286"/>
      <c r="D155" s="287"/>
      <c r="E155" s="298"/>
      <c r="F155" s="298"/>
      <c r="G155" s="298"/>
      <c r="H155" s="298"/>
      <c r="I155" s="298"/>
      <c r="J155" s="298"/>
      <c r="K155" s="299"/>
      <c r="L155" s="299"/>
      <c r="M155" s="337"/>
      <c r="N155" s="299"/>
      <c r="O155" s="298">
        <v>7</v>
      </c>
      <c r="P155" s="292" t="s">
        <v>1718</v>
      </c>
      <c r="Q155" s="338">
        <v>0</v>
      </c>
      <c r="R155" s="577"/>
      <c r="S155" s="753"/>
      <c r="T155" s="576"/>
      <c r="U155" s="338" t="s">
        <v>131</v>
      </c>
      <c r="V155" s="575"/>
      <c r="W155" s="576"/>
      <c r="X155" s="338"/>
      <c r="Y155" s="578"/>
      <c r="Z155" s="747">
        <v>2</v>
      </c>
    </row>
    <row r="156" spans="1:26" s="147" customFormat="1" ht="20.149999999999999" customHeight="1" x14ac:dyDescent="0.2">
      <c r="A156" s="297"/>
      <c r="B156" s="341"/>
      <c r="C156" s="342"/>
      <c r="D156" s="297"/>
      <c r="E156" s="343"/>
      <c r="F156" s="343"/>
      <c r="G156" s="343"/>
      <c r="H156" s="343"/>
      <c r="I156" s="343"/>
      <c r="J156" s="343"/>
      <c r="K156" s="344"/>
      <c r="L156" s="344"/>
      <c r="M156" s="458"/>
      <c r="N156" s="344"/>
      <c r="O156" s="421"/>
      <c r="P156" s="420"/>
      <c r="Q156" s="154"/>
      <c r="R156" s="420"/>
      <c r="S156" s="154"/>
      <c r="T156" s="154"/>
      <c r="U156" s="154"/>
      <c r="V156" s="422"/>
      <c r="W156" s="422"/>
      <c r="X156" s="422"/>
      <c r="Y156" s="423"/>
      <c r="Z156" s="422"/>
    </row>
    <row r="157" spans="1:26" s="147" customFormat="1" ht="48" customHeight="1" x14ac:dyDescent="0.2">
      <c r="A157" s="278" t="s">
        <v>1719</v>
      </c>
      <c r="B157" s="270" t="s">
        <v>134</v>
      </c>
      <c r="C157" s="283" t="s">
        <v>1720</v>
      </c>
      <c r="D157" s="352" t="s">
        <v>1584</v>
      </c>
      <c r="E157" s="454"/>
      <c r="F157" s="454"/>
      <c r="G157" s="454"/>
      <c r="H157" s="454"/>
      <c r="I157" s="454"/>
      <c r="J157" s="954">
        <f>75000/415</f>
        <v>180.72289156626505</v>
      </c>
      <c r="K157" s="280" t="s">
        <v>131</v>
      </c>
      <c r="L157" s="280" t="s">
        <v>131</v>
      </c>
      <c r="M157" s="374" t="s">
        <v>1721</v>
      </c>
      <c r="N157" s="280"/>
      <c r="O157" s="280"/>
      <c r="P157" s="283"/>
      <c r="Q157" s="279"/>
      <c r="R157" s="283"/>
      <c r="S157" s="279"/>
      <c r="T157" s="279"/>
      <c r="U157" s="279"/>
      <c r="V157" s="282"/>
      <c r="W157" s="282"/>
      <c r="X157" s="282"/>
      <c r="Y157" s="350"/>
      <c r="Z157" s="282"/>
    </row>
    <row r="158" spans="1:26" s="147" customFormat="1" ht="20.149999999999999" customHeight="1" x14ac:dyDescent="0.2">
      <c r="A158" s="287"/>
      <c r="B158" s="285"/>
      <c r="C158" s="286"/>
      <c r="D158" s="287"/>
      <c r="E158" s="298"/>
      <c r="F158" s="298"/>
      <c r="G158" s="298"/>
      <c r="H158" s="298"/>
      <c r="I158" s="298"/>
      <c r="J158" s="298"/>
      <c r="K158" s="299"/>
      <c r="L158" s="299"/>
      <c r="M158" s="337"/>
      <c r="N158" s="299"/>
      <c r="O158" s="299">
        <v>1</v>
      </c>
      <c r="P158" s="286" t="s">
        <v>1722</v>
      </c>
      <c r="Q158" s="376">
        <v>0</v>
      </c>
      <c r="R158" s="338"/>
      <c r="S158" s="338"/>
      <c r="T158" s="338"/>
      <c r="U158" s="338" t="s">
        <v>131</v>
      </c>
      <c r="V158" s="338"/>
      <c r="W158" s="338"/>
      <c r="X158" s="338"/>
      <c r="Y158" s="681"/>
      <c r="Z158" s="368" t="s">
        <v>204</v>
      </c>
    </row>
    <row r="159" spans="1:26" s="147" customFormat="1" ht="20.149999999999999" customHeight="1" x14ac:dyDescent="0.2">
      <c r="A159" s="287"/>
      <c r="B159" s="285"/>
      <c r="C159" s="286"/>
      <c r="D159" s="287"/>
      <c r="E159" s="298"/>
      <c r="F159" s="298"/>
      <c r="G159" s="298"/>
      <c r="H159" s="298"/>
      <c r="I159" s="298"/>
      <c r="J159" s="298"/>
      <c r="K159" s="299"/>
      <c r="L159" s="299"/>
      <c r="M159" s="337"/>
      <c r="N159" s="299"/>
      <c r="O159" s="298">
        <v>2</v>
      </c>
      <c r="P159" s="292" t="s">
        <v>1723</v>
      </c>
      <c r="Q159" s="338">
        <v>0</v>
      </c>
      <c r="R159" s="338"/>
      <c r="S159" s="338"/>
      <c r="T159" s="338"/>
      <c r="U159" s="338" t="s">
        <v>131</v>
      </c>
      <c r="V159" s="338"/>
      <c r="W159" s="338"/>
      <c r="X159" s="753"/>
      <c r="Y159" s="578"/>
      <c r="Z159" s="747">
        <v>2</v>
      </c>
    </row>
    <row r="160" spans="1:26" s="147" customFormat="1" ht="20.149999999999999" customHeight="1" x14ac:dyDescent="0.2">
      <c r="A160" s="287"/>
      <c r="B160" s="285"/>
      <c r="C160" s="286"/>
      <c r="D160" s="287"/>
      <c r="E160" s="298"/>
      <c r="F160" s="298"/>
      <c r="G160" s="298"/>
      <c r="H160" s="298"/>
      <c r="I160" s="298"/>
      <c r="J160" s="298"/>
      <c r="K160" s="299"/>
      <c r="L160" s="299"/>
      <c r="M160" s="337"/>
      <c r="N160" s="299"/>
      <c r="O160" s="298">
        <v>3</v>
      </c>
      <c r="P160" s="292" t="s">
        <v>1724</v>
      </c>
      <c r="Q160" s="338">
        <v>0</v>
      </c>
      <c r="R160" s="338"/>
      <c r="S160" s="338"/>
      <c r="T160" s="338"/>
      <c r="U160" s="338" t="s">
        <v>131</v>
      </c>
      <c r="V160" s="338"/>
      <c r="W160" s="338"/>
      <c r="X160" s="753"/>
      <c r="Y160" s="578"/>
      <c r="Z160" s="747">
        <v>2</v>
      </c>
    </row>
    <row r="161" spans="1:26" s="147" customFormat="1" ht="20.149999999999999" customHeight="1" x14ac:dyDescent="0.2">
      <c r="A161" s="287"/>
      <c r="B161" s="285"/>
      <c r="C161" s="286"/>
      <c r="D161" s="287"/>
      <c r="E161" s="298"/>
      <c r="F161" s="298"/>
      <c r="G161" s="298"/>
      <c r="H161" s="298"/>
      <c r="I161" s="298"/>
      <c r="J161" s="298"/>
      <c r="K161" s="299"/>
      <c r="L161" s="299"/>
      <c r="M161" s="337"/>
      <c r="N161" s="299"/>
      <c r="O161" s="298">
        <v>4</v>
      </c>
      <c r="P161" s="292" t="s">
        <v>1725</v>
      </c>
      <c r="Q161" s="338">
        <v>0</v>
      </c>
      <c r="R161" s="338"/>
      <c r="S161" s="338"/>
      <c r="T161" s="338"/>
      <c r="U161" s="338" t="s">
        <v>131</v>
      </c>
      <c r="V161" s="338" t="s">
        <v>131</v>
      </c>
      <c r="W161" s="338"/>
      <c r="X161" s="753"/>
      <c r="Y161" s="578"/>
      <c r="Z161" s="747">
        <v>2</v>
      </c>
    </row>
    <row r="162" spans="1:26" s="147" customFormat="1" ht="20.149999999999999" customHeight="1" x14ac:dyDescent="0.2">
      <c r="A162" s="287"/>
      <c r="B162" s="285"/>
      <c r="C162" s="286"/>
      <c r="D162" s="287"/>
      <c r="E162" s="298"/>
      <c r="F162" s="298"/>
      <c r="G162" s="298"/>
      <c r="H162" s="298"/>
      <c r="I162" s="298"/>
      <c r="J162" s="298"/>
      <c r="K162" s="299"/>
      <c r="L162" s="299"/>
      <c r="M162" s="337"/>
      <c r="N162" s="299"/>
      <c r="O162" s="298">
        <v>5</v>
      </c>
      <c r="P162" s="292" t="s">
        <v>1726</v>
      </c>
      <c r="Q162" s="338">
        <v>0</v>
      </c>
      <c r="R162" s="338"/>
      <c r="S162" s="338"/>
      <c r="T162" s="338"/>
      <c r="U162" s="338" t="s">
        <v>131</v>
      </c>
      <c r="V162" s="338"/>
      <c r="W162" s="338"/>
      <c r="X162" s="338"/>
      <c r="Y162" s="578"/>
      <c r="Z162" s="368" t="s">
        <v>204</v>
      </c>
    </row>
    <row r="163" spans="1:26" s="147" customFormat="1" ht="20.149999999999999" customHeight="1" x14ac:dyDescent="0.2">
      <c r="A163" s="287"/>
      <c r="B163" s="285"/>
      <c r="C163" s="286"/>
      <c r="D163" s="287"/>
      <c r="E163" s="298"/>
      <c r="F163" s="298"/>
      <c r="G163" s="298"/>
      <c r="H163" s="298"/>
      <c r="I163" s="298"/>
      <c r="J163" s="298"/>
      <c r="K163" s="299"/>
      <c r="L163" s="299"/>
      <c r="M163" s="337"/>
      <c r="N163" s="299"/>
      <c r="O163" s="298">
        <v>6</v>
      </c>
      <c r="P163" s="292" t="s">
        <v>1727</v>
      </c>
      <c r="Q163" s="338">
        <v>0</v>
      </c>
      <c r="R163" s="338"/>
      <c r="S163" s="338"/>
      <c r="T163" s="338"/>
      <c r="U163" s="338" t="s">
        <v>131</v>
      </c>
      <c r="V163" s="338"/>
      <c r="W163" s="338"/>
      <c r="X163" s="338"/>
      <c r="Y163" s="578"/>
      <c r="Z163" s="368" t="s">
        <v>204</v>
      </c>
    </row>
    <row r="164" spans="1:26" s="147" customFormat="1" ht="20.149999999999999" customHeight="1" x14ac:dyDescent="0.2">
      <c r="A164" s="287"/>
      <c r="B164" s="285"/>
      <c r="C164" s="286"/>
      <c r="D164" s="287"/>
      <c r="E164" s="298"/>
      <c r="F164" s="298"/>
      <c r="G164" s="298"/>
      <c r="H164" s="298"/>
      <c r="I164" s="298"/>
      <c r="J164" s="298"/>
      <c r="K164" s="299"/>
      <c r="L164" s="299"/>
      <c r="M164" s="337"/>
      <c r="N164" s="299"/>
      <c r="O164" s="298">
        <v>7</v>
      </c>
      <c r="P164" s="292" t="s">
        <v>1728</v>
      </c>
      <c r="Q164" s="338">
        <v>0</v>
      </c>
      <c r="R164" s="577"/>
      <c r="S164" s="753"/>
      <c r="T164" s="576"/>
      <c r="U164" s="338" t="s">
        <v>131</v>
      </c>
      <c r="V164" s="575"/>
      <c r="W164" s="576"/>
      <c r="X164" s="338"/>
      <c r="Y164" s="578"/>
      <c r="Z164" s="747">
        <v>2</v>
      </c>
    </row>
    <row r="165" spans="1:26" s="147" customFormat="1" ht="20.149999999999999" customHeight="1" x14ac:dyDescent="0.2">
      <c r="A165" s="297"/>
      <c r="B165" s="341"/>
      <c r="C165" s="342"/>
      <c r="D165" s="297"/>
      <c r="E165" s="343"/>
      <c r="F165" s="343"/>
      <c r="G165" s="343"/>
      <c r="H165" s="343"/>
      <c r="I165" s="343"/>
      <c r="J165" s="343"/>
      <c r="K165" s="344"/>
      <c r="L165" s="344"/>
      <c r="M165" s="458"/>
      <c r="N165" s="344"/>
      <c r="O165" s="421"/>
      <c r="P165" s="420"/>
      <c r="Q165" s="154"/>
      <c r="R165" s="420"/>
      <c r="S165" s="154"/>
      <c r="T165" s="154"/>
      <c r="U165" s="154"/>
      <c r="V165" s="422"/>
      <c r="W165" s="422"/>
      <c r="X165" s="422"/>
      <c r="Y165" s="423"/>
      <c r="Z165" s="422"/>
    </row>
    <row r="166" spans="1:26" s="147" customFormat="1" ht="34" customHeight="1" x14ac:dyDescent="0.2">
      <c r="A166" s="411" t="s">
        <v>1729</v>
      </c>
      <c r="B166" s="412" t="s">
        <v>383</v>
      </c>
      <c r="C166" s="395" t="s">
        <v>1730</v>
      </c>
      <c r="D166" s="413" t="s">
        <v>1584</v>
      </c>
      <c r="E166" s="454"/>
      <c r="F166" s="454"/>
      <c r="G166" s="454"/>
      <c r="H166" s="454"/>
      <c r="I166" s="454"/>
      <c r="J166" s="620" t="s">
        <v>1710</v>
      </c>
      <c r="K166" s="374" t="s">
        <v>131</v>
      </c>
      <c r="L166" s="374" t="s">
        <v>131</v>
      </c>
      <c r="M166" s="374" t="s">
        <v>1731</v>
      </c>
      <c r="N166" s="374" t="s">
        <v>1732</v>
      </c>
      <c r="O166" s="374"/>
      <c r="P166" s="395"/>
      <c r="Q166" s="373"/>
      <c r="R166" s="395"/>
      <c r="S166" s="373"/>
      <c r="T166" s="373"/>
      <c r="U166" s="373"/>
      <c r="V166" s="414"/>
      <c r="W166" s="414"/>
      <c r="X166" s="414"/>
      <c r="Y166" s="415" t="s">
        <v>1733</v>
      </c>
      <c r="Z166" s="414"/>
    </row>
    <row r="167" spans="1:26" s="147" customFormat="1" ht="20.149999999999999" customHeight="1" x14ac:dyDescent="0.2">
      <c r="A167" s="418"/>
      <c r="B167" s="418"/>
      <c r="C167" s="418"/>
      <c r="D167" s="418"/>
      <c r="E167" s="418"/>
      <c r="F167" s="418"/>
      <c r="G167" s="418"/>
      <c r="H167" s="418"/>
      <c r="I167" s="418"/>
      <c r="J167" s="418"/>
      <c r="K167" s="418"/>
      <c r="L167" s="418"/>
      <c r="M167" s="455" t="s">
        <v>1688</v>
      </c>
      <c r="N167" s="289" t="s">
        <v>1689</v>
      </c>
      <c r="O167" s="299">
        <v>1</v>
      </c>
      <c r="P167" s="286" t="s">
        <v>1734</v>
      </c>
      <c r="Q167" s="376">
        <v>0</v>
      </c>
      <c r="R167" s="338"/>
      <c r="S167" s="338"/>
      <c r="T167" s="338"/>
      <c r="U167" s="338" t="s">
        <v>131</v>
      </c>
      <c r="V167" s="338"/>
      <c r="W167" s="338"/>
      <c r="X167" s="338"/>
      <c r="Y167" s="681"/>
      <c r="Z167" s="368" t="s">
        <v>204</v>
      </c>
    </row>
    <row r="168" spans="1:26" s="147" customFormat="1" ht="20.149999999999999" customHeight="1" x14ac:dyDescent="0.2">
      <c r="A168" s="418"/>
      <c r="B168" s="418"/>
      <c r="C168" s="418"/>
      <c r="D168" s="418"/>
      <c r="E168" s="418"/>
      <c r="F168" s="418"/>
      <c r="G168" s="418"/>
      <c r="H168" s="418"/>
      <c r="I168" s="418"/>
      <c r="J168" s="418"/>
      <c r="K168" s="418"/>
      <c r="L168" s="418"/>
      <c r="M168" s="455"/>
      <c r="N168" s="289"/>
      <c r="O168" s="298">
        <v>2</v>
      </c>
      <c r="P168" s="292" t="s">
        <v>1735</v>
      </c>
      <c r="Q168" s="338">
        <v>0</v>
      </c>
      <c r="R168" s="338"/>
      <c r="S168" s="338"/>
      <c r="T168" s="338"/>
      <c r="U168" s="338" t="s">
        <v>131</v>
      </c>
      <c r="V168" s="338"/>
      <c r="W168" s="338"/>
      <c r="X168" s="753"/>
      <c r="Y168" s="578"/>
      <c r="Z168" s="747">
        <v>2</v>
      </c>
    </row>
    <row r="169" spans="1:26" s="147" customFormat="1" ht="20.149999999999999" customHeight="1" x14ac:dyDescent="0.2">
      <c r="A169" s="418"/>
      <c r="B169" s="418"/>
      <c r="C169" s="416"/>
      <c r="D169" s="416"/>
      <c r="E169" s="416"/>
      <c r="F169" s="416"/>
      <c r="G169" s="416"/>
      <c r="H169" s="416"/>
      <c r="I169" s="416"/>
      <c r="J169" s="416"/>
      <c r="K169" s="416"/>
      <c r="L169" s="418"/>
      <c r="M169" s="424"/>
      <c r="N169" s="424"/>
      <c r="O169" s="298">
        <v>3</v>
      </c>
      <c r="P169" s="292" t="s">
        <v>1736</v>
      </c>
      <c r="Q169" s="338">
        <v>0</v>
      </c>
      <c r="R169" s="338"/>
      <c r="S169" s="338"/>
      <c r="T169" s="338"/>
      <c r="U169" s="338" t="s">
        <v>131</v>
      </c>
      <c r="V169" s="338"/>
      <c r="W169" s="338"/>
      <c r="X169" s="753"/>
      <c r="Y169" s="578"/>
      <c r="Z169" s="747">
        <v>2</v>
      </c>
    </row>
    <row r="170" spans="1:26" s="147" customFormat="1" ht="20.149999999999999" customHeight="1" x14ac:dyDescent="0.2">
      <c r="A170" s="418"/>
      <c r="B170" s="418"/>
      <c r="C170" s="416"/>
      <c r="D170" s="416"/>
      <c r="E170" s="288"/>
      <c r="F170" s="288"/>
      <c r="G170" s="288"/>
      <c r="H170" s="288"/>
      <c r="I170" s="288"/>
      <c r="J170" s="288"/>
      <c r="K170" s="416"/>
      <c r="L170" s="418"/>
      <c r="M170" s="424"/>
      <c r="N170" s="424"/>
      <c r="O170" s="298">
        <v>4</v>
      </c>
      <c r="P170" s="292" t="s">
        <v>1737</v>
      </c>
      <c r="Q170" s="338">
        <v>0</v>
      </c>
      <c r="R170" s="338"/>
      <c r="S170" s="338"/>
      <c r="T170" s="338"/>
      <c r="U170" s="338" t="s">
        <v>131</v>
      </c>
      <c r="V170" s="338" t="s">
        <v>131</v>
      </c>
      <c r="W170" s="338"/>
      <c r="X170" s="753"/>
      <c r="Y170" s="578"/>
      <c r="Z170" s="747">
        <v>2</v>
      </c>
    </row>
    <row r="171" spans="1:26" s="147" customFormat="1" ht="20.149999999999999" customHeight="1" x14ac:dyDescent="0.2">
      <c r="A171" s="418"/>
      <c r="B171" s="418"/>
      <c r="C171" s="416"/>
      <c r="D171" s="416"/>
      <c r="E171" s="288"/>
      <c r="F171" s="288"/>
      <c r="G171" s="288"/>
      <c r="H171" s="288"/>
      <c r="I171" s="288"/>
      <c r="J171" s="288"/>
      <c r="K171" s="416"/>
      <c r="L171" s="416"/>
      <c r="M171" s="424"/>
      <c r="N171" s="424"/>
      <c r="O171" s="298">
        <v>5</v>
      </c>
      <c r="P171" s="292" t="s">
        <v>1738</v>
      </c>
      <c r="Q171" s="338">
        <v>0</v>
      </c>
      <c r="R171" s="338"/>
      <c r="S171" s="338"/>
      <c r="T171" s="338"/>
      <c r="U171" s="338" t="s">
        <v>131</v>
      </c>
      <c r="V171" s="338"/>
      <c r="W171" s="338"/>
      <c r="X171" s="338"/>
      <c r="Y171" s="578"/>
      <c r="Z171" s="368" t="s">
        <v>204</v>
      </c>
    </row>
    <row r="172" spans="1:26" s="147" customFormat="1" ht="20.149999999999999" customHeight="1" x14ac:dyDescent="0.2">
      <c r="A172" s="418"/>
      <c r="B172" s="419"/>
      <c r="C172" s="416"/>
      <c r="D172" s="586"/>
      <c r="E172" s="288"/>
      <c r="F172" s="288"/>
      <c r="G172" s="288"/>
      <c r="H172" s="288"/>
      <c r="I172" s="288"/>
      <c r="J172" s="288"/>
      <c r="K172" s="416"/>
      <c r="L172" s="586"/>
      <c r="M172" s="424"/>
      <c r="N172" s="424"/>
      <c r="O172" s="298">
        <v>6</v>
      </c>
      <c r="P172" s="292" t="s">
        <v>1739</v>
      </c>
      <c r="Q172" s="338">
        <v>0</v>
      </c>
      <c r="R172" s="338"/>
      <c r="S172" s="338"/>
      <c r="T172" s="338"/>
      <c r="U172" s="338" t="s">
        <v>131</v>
      </c>
      <c r="V172" s="338"/>
      <c r="W172" s="338"/>
      <c r="X172" s="338"/>
      <c r="Y172" s="578"/>
      <c r="Z172" s="368" t="s">
        <v>204</v>
      </c>
    </row>
    <row r="173" spans="1:26" s="147" customFormat="1" ht="20.149999999999999" customHeight="1" x14ac:dyDescent="0.2">
      <c r="A173" s="416"/>
      <c r="B173" s="586"/>
      <c r="C173" s="367"/>
      <c r="D173" s="416"/>
      <c r="E173" s="338"/>
      <c r="F173" s="338"/>
      <c r="G173" s="338"/>
      <c r="H173" s="338"/>
      <c r="I173" s="338"/>
      <c r="J173" s="338"/>
      <c r="K173" s="424"/>
      <c r="L173" s="424"/>
      <c r="M173" s="455"/>
      <c r="N173" s="289"/>
      <c r="O173" s="298">
        <v>7</v>
      </c>
      <c r="P173" s="292" t="s">
        <v>1740</v>
      </c>
      <c r="Q173" s="338">
        <v>0</v>
      </c>
      <c r="R173" s="577"/>
      <c r="S173" s="753"/>
      <c r="T173" s="576"/>
      <c r="U173" s="338" t="s">
        <v>131</v>
      </c>
      <c r="V173" s="575"/>
      <c r="W173" s="576"/>
      <c r="X173" s="338"/>
      <c r="Y173" s="578"/>
      <c r="Z173" s="747">
        <v>2</v>
      </c>
    </row>
    <row r="174" spans="1:26" s="147" customFormat="1" ht="20.149999999999999" customHeight="1" x14ac:dyDescent="0.2">
      <c r="A174" s="416"/>
      <c r="B174" s="586"/>
      <c r="C174" s="367"/>
      <c r="D174" s="416"/>
      <c r="E174" s="338"/>
      <c r="F174" s="338"/>
      <c r="G174" s="338"/>
      <c r="H174" s="338"/>
      <c r="I174" s="338"/>
      <c r="J174" s="338"/>
      <c r="K174" s="424"/>
      <c r="L174" s="424"/>
      <c r="M174" s="587"/>
      <c r="N174" s="424"/>
      <c r="O174" s="376">
        <v>8</v>
      </c>
      <c r="P174" s="367" t="s">
        <v>1741</v>
      </c>
      <c r="Q174" s="338">
        <v>5</v>
      </c>
      <c r="R174" s="367"/>
      <c r="S174" s="338"/>
      <c r="T174" s="753"/>
      <c r="U174" s="766" t="s">
        <v>131</v>
      </c>
      <c r="V174" s="368"/>
      <c r="W174" s="368"/>
      <c r="X174" s="368" t="s">
        <v>131</v>
      </c>
      <c r="Y174" s="353" t="s">
        <v>1742</v>
      </c>
      <c r="Z174" s="741">
        <v>2</v>
      </c>
    </row>
    <row r="175" spans="1:26" s="147" customFormat="1" ht="20.149999999999999" customHeight="1" x14ac:dyDescent="0.2">
      <c r="A175" s="416"/>
      <c r="B175" s="586"/>
      <c r="C175" s="367"/>
      <c r="D175" s="416"/>
      <c r="E175" s="338"/>
      <c r="F175" s="338"/>
      <c r="G175" s="338"/>
      <c r="H175" s="338"/>
      <c r="I175" s="338"/>
      <c r="J175" s="338"/>
      <c r="K175" s="424"/>
      <c r="L175" s="424"/>
      <c r="M175" s="587"/>
      <c r="N175" s="424"/>
      <c r="O175" s="298">
        <v>9</v>
      </c>
      <c r="P175" s="367" t="s">
        <v>1743</v>
      </c>
      <c r="Q175" s="338">
        <v>5</v>
      </c>
      <c r="R175" s="367"/>
      <c r="S175" s="338"/>
      <c r="T175" s="338" t="s">
        <v>131</v>
      </c>
      <c r="U175" s="338"/>
      <c r="V175" s="368"/>
      <c r="W175" s="368" t="s">
        <v>131</v>
      </c>
      <c r="X175" s="368"/>
      <c r="Y175" s="353"/>
      <c r="Z175" s="368" t="s">
        <v>175</v>
      </c>
    </row>
    <row r="176" spans="1:26" s="147" customFormat="1" ht="20.149999999999999" customHeight="1" x14ac:dyDescent="0.2">
      <c r="A176" s="418"/>
      <c r="B176" s="652"/>
      <c r="C176" s="653"/>
      <c r="D176" s="418"/>
      <c r="E176" s="153"/>
      <c r="F176" s="153"/>
      <c r="G176" s="153"/>
      <c r="H176" s="153"/>
      <c r="I176" s="153"/>
      <c r="J176" s="153"/>
      <c r="K176" s="654"/>
      <c r="L176" s="654"/>
      <c r="M176" s="655"/>
      <c r="N176" s="424"/>
      <c r="O176" s="288">
        <v>10</v>
      </c>
      <c r="P176" s="367" t="s">
        <v>1744</v>
      </c>
      <c r="Q176" s="794">
        <v>3</v>
      </c>
      <c r="R176" s="367"/>
      <c r="S176" s="338"/>
      <c r="T176" s="753"/>
      <c r="U176" s="766" t="s">
        <v>131</v>
      </c>
      <c r="V176" s="368"/>
      <c r="W176" s="368"/>
      <c r="X176" s="368"/>
      <c r="Y176" s="353" t="s">
        <v>1745</v>
      </c>
      <c r="Z176" s="741">
        <v>2</v>
      </c>
    </row>
    <row r="177" spans="1:26" s="147" customFormat="1" ht="20.149999999999999" customHeight="1" x14ac:dyDescent="0.2">
      <c r="A177" s="418"/>
      <c r="B177" s="652"/>
      <c r="C177" s="653"/>
      <c r="D177" s="418"/>
      <c r="E177" s="153"/>
      <c r="F177" s="153"/>
      <c r="G177" s="153"/>
      <c r="H177" s="153"/>
      <c r="I177" s="153"/>
      <c r="J177" s="153"/>
      <c r="K177" s="654"/>
      <c r="L177" s="654"/>
      <c r="M177" s="655"/>
      <c r="N177" s="424"/>
      <c r="O177" s="288">
        <v>11</v>
      </c>
      <c r="P177" s="367" t="s">
        <v>1746</v>
      </c>
      <c r="Q177" s="794">
        <v>3</v>
      </c>
      <c r="R177" s="367"/>
      <c r="S177" s="338"/>
      <c r="T177" s="753"/>
      <c r="U177" s="766" t="s">
        <v>131</v>
      </c>
      <c r="V177" s="368"/>
      <c r="W177" s="368"/>
      <c r="X177" s="368"/>
      <c r="Y177" s="353" t="s">
        <v>1747</v>
      </c>
      <c r="Z177" s="741">
        <v>2</v>
      </c>
    </row>
    <row r="178" spans="1:26" s="147" customFormat="1" ht="20.149999999999999" customHeight="1" x14ac:dyDescent="0.2">
      <c r="A178" s="418"/>
      <c r="B178" s="652"/>
      <c r="C178" s="653"/>
      <c r="D178" s="418"/>
      <c r="E178" s="153"/>
      <c r="F178" s="153"/>
      <c r="G178" s="153"/>
      <c r="H178" s="153"/>
      <c r="I178" s="153"/>
      <c r="J178" s="153"/>
      <c r="K178" s="654"/>
      <c r="L178" s="654"/>
      <c r="M178" s="655"/>
      <c r="N178" s="654"/>
      <c r="O178" s="406">
        <v>12</v>
      </c>
      <c r="P178" s="653" t="s">
        <v>1748</v>
      </c>
      <c r="Q178" s="831">
        <v>3</v>
      </c>
      <c r="R178" s="653"/>
      <c r="S178" s="153"/>
      <c r="T178" s="909"/>
      <c r="U178" s="766" t="s">
        <v>131</v>
      </c>
      <c r="V178" s="580"/>
      <c r="W178" s="580"/>
      <c r="X178" s="580"/>
      <c r="Y178" s="690" t="s">
        <v>1749</v>
      </c>
      <c r="Z178" s="741">
        <v>2</v>
      </c>
    </row>
    <row r="179" spans="1:26" s="147" customFormat="1" ht="20.149999999999999" customHeight="1" x14ac:dyDescent="0.2">
      <c r="A179" s="588"/>
      <c r="B179" s="589"/>
      <c r="C179" s="394"/>
      <c r="D179" s="588"/>
      <c r="E179" s="581"/>
      <c r="F179" s="581"/>
      <c r="G179" s="581"/>
      <c r="H179" s="581"/>
      <c r="I179" s="581"/>
      <c r="J179" s="581"/>
      <c r="K179" s="590"/>
      <c r="L179" s="590"/>
      <c r="M179" s="591"/>
      <c r="N179" s="590"/>
      <c r="O179" s="590"/>
      <c r="P179" s="394"/>
      <c r="Q179" s="581"/>
      <c r="R179" s="394"/>
      <c r="S179" s="581"/>
      <c r="T179" s="581"/>
      <c r="U179" s="581"/>
      <c r="V179" s="582"/>
      <c r="W179" s="582"/>
      <c r="X179" s="582"/>
      <c r="Y179" s="592"/>
      <c r="Z179" s="582"/>
    </row>
    <row r="180" spans="1:26" s="147" customFormat="1" ht="34" customHeight="1" x14ac:dyDescent="0.2">
      <c r="A180" s="593" t="s">
        <v>1750</v>
      </c>
      <c r="B180" s="594" t="s">
        <v>383</v>
      </c>
      <c r="C180" s="420" t="s">
        <v>1751</v>
      </c>
      <c r="D180" s="585" t="s">
        <v>1584</v>
      </c>
      <c r="E180" s="454"/>
      <c r="F180" s="454"/>
      <c r="G180" s="454"/>
      <c r="H180" s="454"/>
      <c r="I180" s="454"/>
      <c r="J180" s="620" t="s">
        <v>1710</v>
      </c>
      <c r="K180" s="421" t="s">
        <v>131</v>
      </c>
      <c r="L180" s="421" t="s">
        <v>131</v>
      </c>
      <c r="M180" s="374" t="s">
        <v>1731</v>
      </c>
      <c r="N180" s="374" t="s">
        <v>1732</v>
      </c>
      <c r="O180" s="374"/>
      <c r="P180" s="395"/>
      <c r="Q180" s="373"/>
      <c r="R180" s="420"/>
      <c r="S180" s="154"/>
      <c r="T180" s="154"/>
      <c r="U180" s="154"/>
      <c r="V180" s="422"/>
      <c r="W180" s="422"/>
      <c r="X180" s="422"/>
      <c r="Y180" s="415" t="s">
        <v>1733</v>
      </c>
      <c r="Z180" s="422"/>
    </row>
    <row r="181" spans="1:26" s="147" customFormat="1" ht="20.149999999999999" customHeight="1" x14ac:dyDescent="0.2">
      <c r="A181" s="416"/>
      <c r="B181" s="586"/>
      <c r="C181" s="367"/>
      <c r="D181" s="416"/>
      <c r="E181" s="338"/>
      <c r="F181" s="338"/>
      <c r="G181" s="338"/>
      <c r="H181" s="338"/>
      <c r="I181" s="338"/>
      <c r="J181" s="338"/>
      <c r="K181" s="424"/>
      <c r="L181" s="424"/>
      <c r="M181" s="455" t="s">
        <v>1688</v>
      </c>
      <c r="N181" s="289" t="s">
        <v>1689</v>
      </c>
      <c r="O181" s="299">
        <v>1</v>
      </c>
      <c r="P181" s="286" t="s">
        <v>1752</v>
      </c>
      <c r="Q181" s="376">
        <v>0</v>
      </c>
      <c r="R181" s="338"/>
      <c r="S181" s="338"/>
      <c r="T181" s="338"/>
      <c r="U181" s="338" t="s">
        <v>131</v>
      </c>
      <c r="V181" s="338"/>
      <c r="W181" s="338"/>
      <c r="X181" s="338"/>
      <c r="Y181" s="681"/>
      <c r="Z181" s="368" t="s">
        <v>204</v>
      </c>
    </row>
    <row r="182" spans="1:26" s="147" customFormat="1" ht="20.149999999999999" customHeight="1" x14ac:dyDescent="0.2">
      <c r="A182" s="416"/>
      <c r="B182" s="586"/>
      <c r="C182" s="367"/>
      <c r="D182" s="416"/>
      <c r="E182" s="338"/>
      <c r="F182" s="338"/>
      <c r="G182" s="338"/>
      <c r="H182" s="338"/>
      <c r="I182" s="338"/>
      <c r="J182" s="338"/>
      <c r="K182" s="424"/>
      <c r="L182" s="424"/>
      <c r="M182" s="293"/>
      <c r="N182" s="288"/>
      <c r="O182" s="298">
        <v>2</v>
      </c>
      <c r="P182" s="292" t="s">
        <v>1753</v>
      </c>
      <c r="Q182" s="338">
        <v>0</v>
      </c>
      <c r="R182" s="338"/>
      <c r="S182" s="338"/>
      <c r="T182" s="338"/>
      <c r="U182" s="338" t="s">
        <v>131</v>
      </c>
      <c r="V182" s="338"/>
      <c r="W182" s="338"/>
      <c r="X182" s="753"/>
      <c r="Y182" s="578"/>
      <c r="Z182" s="747">
        <v>2</v>
      </c>
    </row>
    <row r="183" spans="1:26" s="147" customFormat="1" ht="20.149999999999999" customHeight="1" x14ac:dyDescent="0.2">
      <c r="A183" s="416"/>
      <c r="B183" s="586"/>
      <c r="C183" s="367"/>
      <c r="D183" s="416"/>
      <c r="E183" s="338"/>
      <c r="F183" s="338"/>
      <c r="G183" s="338"/>
      <c r="H183" s="338"/>
      <c r="I183" s="338"/>
      <c r="J183" s="338"/>
      <c r="K183" s="424"/>
      <c r="L183" s="424"/>
      <c r="M183" s="460"/>
      <c r="N183" s="417"/>
      <c r="O183" s="298">
        <v>3</v>
      </c>
      <c r="P183" s="292" t="s">
        <v>1754</v>
      </c>
      <c r="Q183" s="338">
        <v>0</v>
      </c>
      <c r="R183" s="338"/>
      <c r="S183" s="338"/>
      <c r="T183" s="338"/>
      <c r="U183" s="338" t="s">
        <v>131</v>
      </c>
      <c r="V183" s="338"/>
      <c r="W183" s="338"/>
      <c r="X183" s="753"/>
      <c r="Y183" s="578"/>
      <c r="Z183" s="747">
        <v>2</v>
      </c>
    </row>
    <row r="184" spans="1:26" s="147" customFormat="1" ht="20.149999999999999" customHeight="1" x14ac:dyDescent="0.2">
      <c r="A184" s="416"/>
      <c r="B184" s="586"/>
      <c r="C184" s="367"/>
      <c r="D184" s="416"/>
      <c r="E184" s="338"/>
      <c r="F184" s="338"/>
      <c r="G184" s="338"/>
      <c r="H184" s="338"/>
      <c r="I184" s="338"/>
      <c r="J184" s="338"/>
      <c r="K184" s="424"/>
      <c r="L184" s="424"/>
      <c r="M184" s="460"/>
      <c r="N184" s="417"/>
      <c r="O184" s="298">
        <v>4</v>
      </c>
      <c r="P184" s="292" t="s">
        <v>1755</v>
      </c>
      <c r="Q184" s="338">
        <v>0</v>
      </c>
      <c r="R184" s="338"/>
      <c r="S184" s="338"/>
      <c r="T184" s="338"/>
      <c r="U184" s="338" t="s">
        <v>131</v>
      </c>
      <c r="V184" s="338" t="s">
        <v>131</v>
      </c>
      <c r="W184" s="338"/>
      <c r="X184" s="753"/>
      <c r="Y184" s="578"/>
      <c r="Z184" s="747">
        <v>2</v>
      </c>
    </row>
    <row r="185" spans="1:26" s="147" customFormat="1" ht="20.149999999999999" customHeight="1" x14ac:dyDescent="0.2">
      <c r="A185" s="416"/>
      <c r="B185" s="586"/>
      <c r="C185" s="367"/>
      <c r="D185" s="416"/>
      <c r="E185" s="338"/>
      <c r="F185" s="338"/>
      <c r="G185" s="338"/>
      <c r="H185" s="338"/>
      <c r="I185" s="338"/>
      <c r="J185" s="338"/>
      <c r="K185" s="424"/>
      <c r="L185" s="424"/>
      <c r="M185" s="460"/>
      <c r="N185" s="417"/>
      <c r="O185" s="298">
        <v>5</v>
      </c>
      <c r="P185" s="292" t="s">
        <v>1756</v>
      </c>
      <c r="Q185" s="338">
        <v>0</v>
      </c>
      <c r="R185" s="338"/>
      <c r="S185" s="338"/>
      <c r="T185" s="338"/>
      <c r="U185" s="338" t="s">
        <v>131</v>
      </c>
      <c r="V185" s="338"/>
      <c r="W185" s="338"/>
      <c r="X185" s="338"/>
      <c r="Y185" s="578"/>
      <c r="Z185" s="368" t="s">
        <v>204</v>
      </c>
    </row>
    <row r="186" spans="1:26" s="147" customFormat="1" ht="20.149999999999999" customHeight="1" x14ac:dyDescent="0.2">
      <c r="A186" s="416"/>
      <c r="B186" s="586"/>
      <c r="C186" s="367"/>
      <c r="D186" s="416"/>
      <c r="E186" s="338"/>
      <c r="F186" s="338"/>
      <c r="G186" s="338"/>
      <c r="H186" s="338"/>
      <c r="I186" s="338"/>
      <c r="J186" s="338"/>
      <c r="K186" s="424"/>
      <c r="L186" s="424"/>
      <c r="M186" s="460"/>
      <c r="N186" s="417"/>
      <c r="O186" s="298">
        <v>6</v>
      </c>
      <c r="P186" s="292" t="s">
        <v>1757</v>
      </c>
      <c r="Q186" s="338">
        <v>0</v>
      </c>
      <c r="R186" s="338"/>
      <c r="S186" s="338"/>
      <c r="T186" s="338"/>
      <c r="U186" s="338" t="s">
        <v>131</v>
      </c>
      <c r="V186" s="338"/>
      <c r="W186" s="338"/>
      <c r="X186" s="338"/>
      <c r="Y186" s="578"/>
      <c r="Z186" s="368" t="s">
        <v>204</v>
      </c>
    </row>
    <row r="187" spans="1:26" s="147" customFormat="1" ht="20.149999999999999" customHeight="1" x14ac:dyDescent="0.2">
      <c r="A187" s="416"/>
      <c r="B187" s="586"/>
      <c r="C187" s="367"/>
      <c r="D187" s="416"/>
      <c r="E187" s="338"/>
      <c r="F187" s="338"/>
      <c r="G187" s="338"/>
      <c r="H187" s="338"/>
      <c r="I187" s="338"/>
      <c r="J187" s="338"/>
      <c r="K187" s="424"/>
      <c r="L187" s="424"/>
      <c r="M187" s="337"/>
      <c r="N187" s="299"/>
      <c r="O187" s="298">
        <v>7</v>
      </c>
      <c r="P187" s="292" t="s">
        <v>1758</v>
      </c>
      <c r="Q187" s="338">
        <v>0</v>
      </c>
      <c r="R187" s="577"/>
      <c r="S187" s="753"/>
      <c r="T187" s="576"/>
      <c r="U187" s="338" t="s">
        <v>131</v>
      </c>
      <c r="V187" s="575"/>
      <c r="W187" s="576"/>
      <c r="X187" s="338"/>
      <c r="Y187" s="578"/>
      <c r="Z187" s="747">
        <v>2</v>
      </c>
    </row>
    <row r="188" spans="1:26" s="147" customFormat="1" ht="20.149999999999999" customHeight="1" x14ac:dyDescent="0.2">
      <c r="A188" s="416"/>
      <c r="B188" s="586"/>
      <c r="C188" s="367"/>
      <c r="D188" s="416"/>
      <c r="E188" s="338"/>
      <c r="F188" s="338"/>
      <c r="G188" s="338"/>
      <c r="H188" s="338"/>
      <c r="I188" s="338"/>
      <c r="J188" s="338"/>
      <c r="K188" s="424"/>
      <c r="L188" s="424"/>
      <c r="M188" s="587"/>
      <c r="N188" s="424"/>
      <c r="O188" s="376">
        <v>8</v>
      </c>
      <c r="P188" s="367" t="s">
        <v>1741</v>
      </c>
      <c r="Q188" s="338">
        <v>5</v>
      </c>
      <c r="R188" s="367"/>
      <c r="S188" s="338"/>
      <c r="T188" s="753"/>
      <c r="U188" s="766" t="s">
        <v>131</v>
      </c>
      <c r="V188" s="368"/>
      <c r="W188" s="368"/>
      <c r="X188" s="368" t="s">
        <v>131</v>
      </c>
      <c r="Y188" s="353" t="s">
        <v>1742</v>
      </c>
      <c r="Z188" s="741">
        <v>2</v>
      </c>
    </row>
    <row r="189" spans="1:26" s="147" customFormat="1" ht="20.149999999999999" customHeight="1" x14ac:dyDescent="0.2">
      <c r="A189" s="416"/>
      <c r="B189" s="586"/>
      <c r="C189" s="367"/>
      <c r="D189" s="416"/>
      <c r="E189" s="338"/>
      <c r="F189" s="338"/>
      <c r="G189" s="338"/>
      <c r="H189" s="338"/>
      <c r="I189" s="338"/>
      <c r="J189" s="338"/>
      <c r="K189" s="424"/>
      <c r="L189" s="424"/>
      <c r="M189" s="587"/>
      <c r="N189" s="424"/>
      <c r="O189" s="298">
        <v>9</v>
      </c>
      <c r="P189" s="367" t="s">
        <v>1743</v>
      </c>
      <c r="Q189" s="338">
        <v>5</v>
      </c>
      <c r="R189" s="367"/>
      <c r="S189" s="338"/>
      <c r="T189" s="338" t="s">
        <v>131</v>
      </c>
      <c r="U189" s="338"/>
      <c r="V189" s="368"/>
      <c r="W189" s="368" t="s">
        <v>131</v>
      </c>
      <c r="X189" s="368"/>
      <c r="Y189" s="353"/>
      <c r="Z189" s="368" t="s">
        <v>175</v>
      </c>
    </row>
    <row r="190" spans="1:26" s="147" customFormat="1" ht="20.149999999999999" customHeight="1" x14ac:dyDescent="0.2">
      <c r="A190" s="418"/>
      <c r="B190" s="652"/>
      <c r="C190" s="653"/>
      <c r="D190" s="418"/>
      <c r="E190" s="153"/>
      <c r="F190" s="153"/>
      <c r="G190" s="153"/>
      <c r="H190" s="153"/>
      <c r="I190" s="153"/>
      <c r="J190" s="153"/>
      <c r="K190" s="654"/>
      <c r="L190" s="654"/>
      <c r="M190" s="655"/>
      <c r="N190" s="424"/>
      <c r="O190" s="288">
        <v>10</v>
      </c>
      <c r="P190" s="367" t="s">
        <v>1759</v>
      </c>
      <c r="Q190" s="794">
        <v>3</v>
      </c>
      <c r="R190" s="367"/>
      <c r="S190" s="338"/>
      <c r="T190" s="753"/>
      <c r="U190" s="766" t="s">
        <v>131</v>
      </c>
      <c r="V190" s="368"/>
      <c r="W190" s="368"/>
      <c r="X190" s="368"/>
      <c r="Y190" s="353" t="s">
        <v>1745</v>
      </c>
      <c r="Z190" s="741">
        <v>2</v>
      </c>
    </row>
    <row r="191" spans="1:26" s="147" customFormat="1" ht="20.149999999999999" customHeight="1" x14ac:dyDescent="0.2">
      <c r="A191" s="418"/>
      <c r="B191" s="652"/>
      <c r="C191" s="653"/>
      <c r="D191" s="418"/>
      <c r="E191" s="153"/>
      <c r="F191" s="153"/>
      <c r="G191" s="153"/>
      <c r="H191" s="153"/>
      <c r="I191" s="153"/>
      <c r="J191" s="153"/>
      <c r="K191" s="654"/>
      <c r="L191" s="654"/>
      <c r="M191" s="655"/>
      <c r="N191" s="424"/>
      <c r="O191" s="288">
        <v>11</v>
      </c>
      <c r="P191" s="367" t="s">
        <v>1760</v>
      </c>
      <c r="Q191" s="794">
        <v>3</v>
      </c>
      <c r="R191" s="367"/>
      <c r="S191" s="338"/>
      <c r="T191" s="753"/>
      <c r="U191" s="766" t="s">
        <v>131</v>
      </c>
      <c r="V191" s="368"/>
      <c r="W191" s="368"/>
      <c r="X191" s="368"/>
      <c r="Y191" s="353" t="s">
        <v>1747</v>
      </c>
      <c r="Z191" s="741">
        <v>2</v>
      </c>
    </row>
    <row r="192" spans="1:26" s="147" customFormat="1" ht="20.149999999999999" customHeight="1" x14ac:dyDescent="0.2">
      <c r="A192" s="418"/>
      <c r="B192" s="652"/>
      <c r="C192" s="653"/>
      <c r="D192" s="418"/>
      <c r="E192" s="153"/>
      <c r="F192" s="153"/>
      <c r="G192" s="153"/>
      <c r="H192" s="153"/>
      <c r="I192" s="153"/>
      <c r="J192" s="153"/>
      <c r="K192" s="654"/>
      <c r="L192" s="654"/>
      <c r="M192" s="655"/>
      <c r="N192" s="654"/>
      <c r="O192" s="406">
        <v>12</v>
      </c>
      <c r="P192" s="653" t="s">
        <v>1748</v>
      </c>
      <c r="Q192" s="831">
        <v>3</v>
      </c>
      <c r="R192" s="653"/>
      <c r="S192" s="153"/>
      <c r="T192" s="909"/>
      <c r="U192" s="766" t="s">
        <v>131</v>
      </c>
      <c r="V192" s="580"/>
      <c r="W192" s="580"/>
      <c r="X192" s="580"/>
      <c r="Y192" s="690" t="s">
        <v>1749</v>
      </c>
      <c r="Z192" s="741">
        <v>2</v>
      </c>
    </row>
    <row r="193" spans="1:26" s="147" customFormat="1" ht="20.149999999999999" customHeight="1" x14ac:dyDescent="0.2">
      <c r="A193" s="588"/>
      <c r="B193" s="589"/>
      <c r="C193" s="394"/>
      <c r="D193" s="588"/>
      <c r="E193" s="581"/>
      <c r="F193" s="581"/>
      <c r="G193" s="581"/>
      <c r="H193" s="581"/>
      <c r="I193" s="581"/>
      <c r="J193" s="581"/>
      <c r="K193" s="590"/>
      <c r="L193" s="590"/>
      <c r="M193" s="591"/>
      <c r="N193" s="590"/>
      <c r="O193" s="590"/>
      <c r="P193" s="394"/>
      <c r="Q193" s="581"/>
      <c r="R193" s="394"/>
      <c r="S193" s="581"/>
      <c r="T193" s="581"/>
      <c r="U193" s="581"/>
      <c r="V193" s="582"/>
      <c r="W193" s="582"/>
      <c r="X193" s="582"/>
      <c r="Y193" s="592"/>
      <c r="Z193" s="582"/>
    </row>
    <row r="194" spans="1:26" s="147" customFormat="1" ht="62.15" customHeight="1" x14ac:dyDescent="0.2">
      <c r="A194" s="556" t="s">
        <v>1761</v>
      </c>
      <c r="B194" s="336" t="s">
        <v>383</v>
      </c>
      <c r="C194" s="286" t="s">
        <v>1762</v>
      </c>
      <c r="D194" s="457" t="s">
        <v>1763</v>
      </c>
      <c r="E194" s="454"/>
      <c r="F194" s="454"/>
      <c r="G194" s="454"/>
      <c r="H194" s="454"/>
      <c r="I194" s="454"/>
      <c r="J194" s="373">
        <v>96.2</v>
      </c>
      <c r="K194" s="299" t="s">
        <v>131</v>
      </c>
      <c r="L194" s="299" t="s">
        <v>131</v>
      </c>
      <c r="M194" s="750" t="s">
        <v>1764</v>
      </c>
      <c r="N194" s="750" t="s">
        <v>1765</v>
      </c>
      <c r="O194" s="299"/>
      <c r="P194" s="286"/>
      <c r="Q194" s="298"/>
      <c r="R194" s="286"/>
      <c r="S194" s="298"/>
      <c r="T194" s="298"/>
      <c r="U194" s="298"/>
      <c r="V194" s="273"/>
      <c r="W194" s="273"/>
      <c r="X194" s="273"/>
      <c r="Y194" s="339"/>
      <c r="Z194" s="273"/>
    </row>
    <row r="195" spans="1:26" s="147" customFormat="1" ht="20.149999999999999" customHeight="1" x14ac:dyDescent="0.2">
      <c r="A195" s="556"/>
      <c r="B195" s="335"/>
      <c r="C195" s="286"/>
      <c r="D195" s="457"/>
      <c r="E195" s="298"/>
      <c r="F195" s="298"/>
      <c r="G195" s="298"/>
      <c r="H195" s="298"/>
      <c r="I195" s="298"/>
      <c r="J195" s="298"/>
      <c r="K195" s="299"/>
      <c r="L195" s="299"/>
      <c r="M195" s="337"/>
      <c r="N195" s="299"/>
      <c r="O195" s="298">
        <v>1</v>
      </c>
      <c r="P195" s="286" t="s">
        <v>1766</v>
      </c>
      <c r="Q195" s="376">
        <v>0</v>
      </c>
      <c r="R195" s="338"/>
      <c r="S195" s="338"/>
      <c r="T195" s="338"/>
      <c r="U195" s="338" t="s">
        <v>131</v>
      </c>
      <c r="V195" s="338"/>
      <c r="W195" s="338"/>
      <c r="X195" s="338"/>
      <c r="Y195" s="681"/>
      <c r="Z195" s="368" t="s">
        <v>204</v>
      </c>
    </row>
    <row r="196" spans="1:26" s="147" customFormat="1" ht="20.149999999999999" customHeight="1" x14ac:dyDescent="0.2">
      <c r="A196" s="556"/>
      <c r="B196" s="335"/>
      <c r="C196" s="286"/>
      <c r="D196" s="457"/>
      <c r="E196" s="298"/>
      <c r="F196" s="298"/>
      <c r="G196" s="298"/>
      <c r="H196" s="298"/>
      <c r="I196" s="298"/>
      <c r="J196" s="298"/>
      <c r="K196" s="299"/>
      <c r="L196" s="299"/>
      <c r="M196" s="337"/>
      <c r="N196" s="299"/>
      <c r="O196" s="298">
        <v>2</v>
      </c>
      <c r="P196" s="292" t="s">
        <v>1767</v>
      </c>
      <c r="Q196" s="338">
        <v>0</v>
      </c>
      <c r="R196" s="338"/>
      <c r="S196" s="338"/>
      <c r="T196" s="338"/>
      <c r="U196" s="338" t="s">
        <v>131</v>
      </c>
      <c r="V196" s="338"/>
      <c r="W196" s="338"/>
      <c r="X196" s="753"/>
      <c r="Y196" s="578"/>
      <c r="Z196" s="747">
        <v>2</v>
      </c>
    </row>
    <row r="197" spans="1:26" s="147" customFormat="1" ht="20.149999999999999" customHeight="1" x14ac:dyDescent="0.2">
      <c r="A197" s="556"/>
      <c r="B197" s="335"/>
      <c r="C197" s="286"/>
      <c r="D197" s="457"/>
      <c r="E197" s="298"/>
      <c r="F197" s="298"/>
      <c r="G197" s="298"/>
      <c r="H197" s="298"/>
      <c r="I197" s="298"/>
      <c r="J197" s="298"/>
      <c r="K197" s="299"/>
      <c r="L197" s="299"/>
      <c r="M197" s="337"/>
      <c r="N197" s="299"/>
      <c r="O197" s="298">
        <v>3</v>
      </c>
      <c r="P197" s="292" t="s">
        <v>1768</v>
      </c>
      <c r="Q197" s="338">
        <v>0</v>
      </c>
      <c r="R197" s="338"/>
      <c r="S197" s="338"/>
      <c r="T197" s="338"/>
      <c r="U197" s="338" t="s">
        <v>131</v>
      </c>
      <c r="V197" s="338"/>
      <c r="W197" s="338"/>
      <c r="X197" s="753"/>
      <c r="Y197" s="578"/>
      <c r="Z197" s="747">
        <v>2</v>
      </c>
    </row>
    <row r="198" spans="1:26" s="147" customFormat="1" ht="20.149999999999999" customHeight="1" x14ac:dyDescent="0.2">
      <c r="A198" s="556"/>
      <c r="B198" s="335"/>
      <c r="C198" s="286"/>
      <c r="D198" s="457"/>
      <c r="E198" s="298"/>
      <c r="F198" s="298"/>
      <c r="G198" s="298"/>
      <c r="H198" s="298"/>
      <c r="I198" s="298"/>
      <c r="J198" s="298"/>
      <c r="K198" s="299"/>
      <c r="L198" s="299"/>
      <c r="M198" s="337"/>
      <c r="N198" s="299"/>
      <c r="O198" s="298">
        <v>4</v>
      </c>
      <c r="P198" s="292" t="s">
        <v>1769</v>
      </c>
      <c r="Q198" s="338">
        <v>0</v>
      </c>
      <c r="R198" s="338"/>
      <c r="S198" s="338"/>
      <c r="T198" s="338"/>
      <c r="U198" s="338" t="s">
        <v>131</v>
      </c>
      <c r="V198" s="338" t="s">
        <v>131</v>
      </c>
      <c r="W198" s="338"/>
      <c r="X198" s="753"/>
      <c r="Y198" s="578"/>
      <c r="Z198" s="747">
        <v>2</v>
      </c>
    </row>
    <row r="199" spans="1:26" s="147" customFormat="1" ht="20.149999999999999" customHeight="1" x14ac:dyDescent="0.2">
      <c r="A199" s="556"/>
      <c r="B199" s="335"/>
      <c r="C199" s="286"/>
      <c r="D199" s="457"/>
      <c r="E199" s="298"/>
      <c r="F199" s="298"/>
      <c r="G199" s="298"/>
      <c r="H199" s="298"/>
      <c r="I199" s="298"/>
      <c r="J199" s="298"/>
      <c r="K199" s="299"/>
      <c r="L199" s="299"/>
      <c r="M199" s="337"/>
      <c r="N199" s="299"/>
      <c r="O199" s="298">
        <v>5</v>
      </c>
      <c r="P199" s="292" t="s">
        <v>1770</v>
      </c>
      <c r="Q199" s="338">
        <v>0</v>
      </c>
      <c r="R199" s="338"/>
      <c r="S199" s="338"/>
      <c r="T199" s="338"/>
      <c r="U199" s="338" t="s">
        <v>131</v>
      </c>
      <c r="V199" s="338"/>
      <c r="W199" s="338"/>
      <c r="X199" s="338"/>
      <c r="Y199" s="578"/>
      <c r="Z199" s="368" t="s">
        <v>204</v>
      </c>
    </row>
    <row r="200" spans="1:26" s="147" customFormat="1" ht="20.149999999999999" customHeight="1" x14ac:dyDescent="0.2">
      <c r="A200" s="556"/>
      <c r="B200" s="335"/>
      <c r="C200" s="286"/>
      <c r="D200" s="457"/>
      <c r="E200" s="298"/>
      <c r="F200" s="298"/>
      <c r="G200" s="298"/>
      <c r="H200" s="298"/>
      <c r="I200" s="298"/>
      <c r="J200" s="298"/>
      <c r="K200" s="299"/>
      <c r="L200" s="299"/>
      <c r="M200" s="337"/>
      <c r="N200" s="299"/>
      <c r="O200" s="298">
        <v>6</v>
      </c>
      <c r="P200" s="292" t="s">
        <v>1771</v>
      </c>
      <c r="Q200" s="338">
        <v>0</v>
      </c>
      <c r="R200" s="338"/>
      <c r="S200" s="338"/>
      <c r="T200" s="338"/>
      <c r="U200" s="338" t="s">
        <v>131</v>
      </c>
      <c r="V200" s="338"/>
      <c r="W200" s="338"/>
      <c r="X200" s="338"/>
      <c r="Y200" s="578"/>
      <c r="Z200" s="368" t="s">
        <v>204</v>
      </c>
    </row>
    <row r="201" spans="1:26" s="147" customFormat="1" ht="21.75" customHeight="1" x14ac:dyDescent="0.2">
      <c r="A201" s="287"/>
      <c r="B201" s="285"/>
      <c r="C201" s="286"/>
      <c r="D201" s="287"/>
      <c r="E201" s="298"/>
      <c r="F201" s="298"/>
      <c r="G201" s="298"/>
      <c r="H201" s="298"/>
      <c r="I201" s="298"/>
      <c r="J201" s="298"/>
      <c r="K201" s="299"/>
      <c r="L201" s="299"/>
      <c r="M201" s="337"/>
      <c r="N201" s="299"/>
      <c r="O201" s="298">
        <v>7</v>
      </c>
      <c r="P201" s="292" t="s">
        <v>1772</v>
      </c>
      <c r="Q201" s="338">
        <v>0</v>
      </c>
      <c r="R201" s="577"/>
      <c r="S201" s="753"/>
      <c r="T201" s="576"/>
      <c r="U201" s="338" t="s">
        <v>131</v>
      </c>
      <c r="V201" s="575"/>
      <c r="W201" s="576"/>
      <c r="X201" s="338"/>
      <c r="Y201" s="578"/>
      <c r="Z201" s="747">
        <v>2</v>
      </c>
    </row>
    <row r="202" spans="1:26" s="147" customFormat="1" ht="20.149999999999999" customHeight="1" x14ac:dyDescent="0.2">
      <c r="A202" s="287"/>
      <c r="B202" s="285"/>
      <c r="C202" s="286"/>
      <c r="D202" s="298"/>
      <c r="E202" s="298"/>
      <c r="F202" s="298"/>
      <c r="G202" s="298"/>
      <c r="H202" s="298"/>
      <c r="I202" s="298"/>
      <c r="J202" s="298"/>
      <c r="K202" s="299"/>
      <c r="L202" s="299"/>
      <c r="M202" s="337"/>
      <c r="N202" s="299"/>
      <c r="O202" s="298">
        <v>8</v>
      </c>
      <c r="P202" s="286" t="s">
        <v>1773</v>
      </c>
      <c r="Q202" s="830">
        <v>3</v>
      </c>
      <c r="R202" s="286"/>
      <c r="S202" s="298"/>
      <c r="T202" s="851"/>
      <c r="U202" s="766" t="s">
        <v>131</v>
      </c>
      <c r="V202" s="273"/>
      <c r="W202" s="273"/>
      <c r="X202" s="273"/>
      <c r="Y202" s="339" t="s">
        <v>1774</v>
      </c>
      <c r="Z202" s="741">
        <v>2</v>
      </c>
    </row>
    <row r="203" spans="1:26" s="147" customFormat="1" ht="20.149999999999999" customHeight="1" x14ac:dyDescent="0.2">
      <c r="A203" s="287"/>
      <c r="B203" s="285"/>
      <c r="C203" s="286"/>
      <c r="D203" s="298"/>
      <c r="E203" s="298"/>
      <c r="F203" s="298"/>
      <c r="G203" s="298"/>
      <c r="H203" s="298"/>
      <c r="I203" s="298"/>
      <c r="J203" s="298"/>
      <c r="K203" s="299"/>
      <c r="L203" s="299"/>
      <c r="M203" s="337"/>
      <c r="N203" s="299"/>
      <c r="O203" s="298">
        <v>9</v>
      </c>
      <c r="P203" s="849" t="s">
        <v>1775</v>
      </c>
      <c r="Q203" s="851">
        <v>3</v>
      </c>
      <c r="R203" s="849"/>
      <c r="S203" s="851" t="s">
        <v>131</v>
      </c>
      <c r="T203" s="851"/>
      <c r="U203" s="851"/>
      <c r="V203" s="749"/>
      <c r="W203" s="749" t="s">
        <v>131</v>
      </c>
      <c r="X203" s="749"/>
      <c r="Y203" s="859" t="s">
        <v>1776</v>
      </c>
      <c r="Z203" s="741">
        <v>2</v>
      </c>
    </row>
    <row r="204" spans="1:26" s="147" customFormat="1" ht="23.25" customHeight="1" x14ac:dyDescent="0.2">
      <c r="A204" s="302"/>
      <c r="B204" s="355"/>
      <c r="C204" s="356"/>
      <c r="D204" s="357"/>
      <c r="E204" s="357"/>
      <c r="F204" s="357"/>
      <c r="G204" s="357"/>
      <c r="H204" s="357"/>
      <c r="I204" s="357"/>
      <c r="J204" s="357"/>
      <c r="K204" s="358"/>
      <c r="L204" s="358"/>
      <c r="M204" s="456"/>
      <c r="N204" s="358"/>
      <c r="O204" s="358"/>
      <c r="P204" s="356"/>
      <c r="Q204" s="357"/>
      <c r="R204" s="356"/>
      <c r="S204" s="357"/>
      <c r="T204" s="357"/>
      <c r="U204" s="357"/>
      <c r="V204" s="268"/>
      <c r="W204" s="268"/>
      <c r="X204" s="268"/>
      <c r="Y204" s="361"/>
      <c r="Z204" s="268"/>
    </row>
    <row r="205" spans="1:26" s="147" customFormat="1" ht="34" customHeight="1" x14ac:dyDescent="0.2">
      <c r="A205" s="278" t="s">
        <v>1777</v>
      </c>
      <c r="B205" s="270" t="s">
        <v>134</v>
      </c>
      <c r="C205" s="283" t="s">
        <v>1778</v>
      </c>
      <c r="D205" s="352" t="s">
        <v>1779</v>
      </c>
      <c r="E205" s="454"/>
      <c r="F205" s="454"/>
      <c r="G205" s="454"/>
      <c r="H205" s="454"/>
      <c r="I205" s="454"/>
      <c r="J205" s="373">
        <v>160</v>
      </c>
      <c r="K205" s="280" t="s">
        <v>131</v>
      </c>
      <c r="L205" s="280" t="s">
        <v>131</v>
      </c>
      <c r="M205" s="280" t="s">
        <v>1780</v>
      </c>
      <c r="N205" s="280" t="s">
        <v>1781</v>
      </c>
      <c r="O205" s="280"/>
      <c r="P205" s="283"/>
      <c r="Q205" s="279"/>
      <c r="R205" s="283"/>
      <c r="S205" s="279"/>
      <c r="T205" s="279"/>
      <c r="U205" s="279"/>
      <c r="V205" s="282"/>
      <c r="W205" s="282"/>
      <c r="X205" s="282"/>
      <c r="Y205" s="350"/>
      <c r="Z205" s="282"/>
    </row>
    <row r="206" spans="1:26" s="147" customFormat="1" ht="20.149999999999999" customHeight="1" x14ac:dyDescent="0.2">
      <c r="A206" s="416"/>
      <c r="B206" s="335"/>
      <c r="C206" s="286"/>
      <c r="D206" s="416"/>
      <c r="E206" s="338"/>
      <c r="F206" s="338"/>
      <c r="G206" s="338"/>
      <c r="H206" s="338"/>
      <c r="I206" s="338"/>
      <c r="J206" s="298"/>
      <c r="K206" s="299"/>
      <c r="L206" s="299"/>
      <c r="M206" s="337" t="s">
        <v>1688</v>
      </c>
      <c r="N206" s="299" t="s">
        <v>1689</v>
      </c>
      <c r="O206" s="298">
        <v>1</v>
      </c>
      <c r="P206" s="286" t="s">
        <v>1782</v>
      </c>
      <c r="Q206" s="376">
        <v>0</v>
      </c>
      <c r="R206" s="338"/>
      <c r="S206" s="338"/>
      <c r="T206" s="338"/>
      <c r="U206" s="338" t="s">
        <v>131</v>
      </c>
      <c r="V206" s="338"/>
      <c r="W206" s="338"/>
      <c r="X206" s="338"/>
      <c r="Y206" s="681"/>
      <c r="Z206" s="368" t="s">
        <v>204</v>
      </c>
    </row>
    <row r="207" spans="1:26" s="147" customFormat="1" ht="20.149999999999999" customHeight="1" x14ac:dyDescent="0.2">
      <c r="A207" s="416"/>
      <c r="B207" s="335"/>
      <c r="C207" s="286"/>
      <c r="D207" s="416"/>
      <c r="E207" s="338"/>
      <c r="F207" s="338"/>
      <c r="G207" s="338"/>
      <c r="H207" s="338"/>
      <c r="I207" s="338"/>
      <c r="J207" s="298"/>
      <c r="K207" s="299"/>
      <c r="L207" s="299"/>
      <c r="M207" s="337"/>
      <c r="N207" s="299"/>
      <c r="O207" s="298">
        <v>2</v>
      </c>
      <c r="P207" s="292" t="s">
        <v>1783</v>
      </c>
      <c r="Q207" s="338">
        <v>0</v>
      </c>
      <c r="R207" s="338"/>
      <c r="S207" s="338"/>
      <c r="T207" s="338"/>
      <c r="U207" s="338" t="s">
        <v>131</v>
      </c>
      <c r="V207" s="338"/>
      <c r="W207" s="338"/>
      <c r="X207" s="753"/>
      <c r="Y207" s="578"/>
      <c r="Z207" s="747">
        <v>2</v>
      </c>
    </row>
    <row r="208" spans="1:26" s="147" customFormat="1" ht="20.149999999999999" customHeight="1" x14ac:dyDescent="0.2">
      <c r="A208" s="416"/>
      <c r="B208" s="335"/>
      <c r="C208" s="286"/>
      <c r="D208" s="416"/>
      <c r="E208" s="338"/>
      <c r="F208" s="338"/>
      <c r="G208" s="338"/>
      <c r="H208" s="338"/>
      <c r="I208" s="338"/>
      <c r="J208" s="298"/>
      <c r="K208" s="299"/>
      <c r="L208" s="299"/>
      <c r="M208" s="337"/>
      <c r="N208" s="299"/>
      <c r="O208" s="298">
        <v>3</v>
      </c>
      <c r="P208" s="292" t="s">
        <v>1784</v>
      </c>
      <c r="Q208" s="338">
        <v>0</v>
      </c>
      <c r="R208" s="338"/>
      <c r="S208" s="338"/>
      <c r="T208" s="338"/>
      <c r="U208" s="338" t="s">
        <v>131</v>
      </c>
      <c r="V208" s="338"/>
      <c r="W208" s="338"/>
      <c r="X208" s="753"/>
      <c r="Y208" s="578"/>
      <c r="Z208" s="747">
        <v>2</v>
      </c>
    </row>
    <row r="209" spans="1:26" s="147" customFormat="1" ht="20.149999999999999" customHeight="1" x14ac:dyDescent="0.2">
      <c r="A209" s="416"/>
      <c r="B209" s="335"/>
      <c r="C209" s="286"/>
      <c r="D209" s="416"/>
      <c r="E209" s="338"/>
      <c r="F209" s="338"/>
      <c r="G209" s="338"/>
      <c r="H209" s="338"/>
      <c r="I209" s="338"/>
      <c r="J209" s="298"/>
      <c r="K209" s="299"/>
      <c r="L209" s="299"/>
      <c r="M209" s="337"/>
      <c r="N209" s="299"/>
      <c r="O209" s="298">
        <v>4</v>
      </c>
      <c r="P209" s="292" t="s">
        <v>1785</v>
      </c>
      <c r="Q209" s="338">
        <v>0</v>
      </c>
      <c r="R209" s="338"/>
      <c r="S209" s="338"/>
      <c r="T209" s="338"/>
      <c r="U209" s="338" t="s">
        <v>131</v>
      </c>
      <c r="V209" s="338" t="s">
        <v>131</v>
      </c>
      <c r="W209" s="338"/>
      <c r="X209" s="753"/>
      <c r="Y209" s="578"/>
      <c r="Z209" s="747">
        <v>2</v>
      </c>
    </row>
    <row r="210" spans="1:26" s="147" customFormat="1" ht="20.149999999999999" customHeight="1" x14ac:dyDescent="0.2">
      <c r="A210" s="416"/>
      <c r="B210" s="335"/>
      <c r="C210" s="286"/>
      <c r="D210" s="416"/>
      <c r="E210" s="338"/>
      <c r="F210" s="338"/>
      <c r="G210" s="338"/>
      <c r="H210" s="338"/>
      <c r="I210" s="338"/>
      <c r="J210" s="298"/>
      <c r="K210" s="299"/>
      <c r="L210" s="299"/>
      <c r="M210" s="337"/>
      <c r="N210" s="299"/>
      <c r="O210" s="298">
        <v>5</v>
      </c>
      <c r="P210" s="292" t="s">
        <v>1786</v>
      </c>
      <c r="Q210" s="338">
        <v>0</v>
      </c>
      <c r="R210" s="338"/>
      <c r="S210" s="338"/>
      <c r="T210" s="338"/>
      <c r="U210" s="338" t="s">
        <v>131</v>
      </c>
      <c r="V210" s="338"/>
      <c r="W210" s="338"/>
      <c r="X210" s="338"/>
      <c r="Y210" s="578"/>
      <c r="Z210" s="368" t="s">
        <v>204</v>
      </c>
    </row>
    <row r="211" spans="1:26" s="147" customFormat="1" ht="20.149999999999999" customHeight="1" x14ac:dyDescent="0.2">
      <c r="A211" s="416"/>
      <c r="B211" s="335"/>
      <c r="C211" s="286"/>
      <c r="D211" s="416"/>
      <c r="E211" s="338"/>
      <c r="F211" s="338"/>
      <c r="G211" s="338"/>
      <c r="H211" s="338"/>
      <c r="I211" s="338"/>
      <c r="J211" s="298"/>
      <c r="K211" s="299"/>
      <c r="L211" s="299"/>
      <c r="M211" s="337"/>
      <c r="N211" s="299"/>
      <c r="O211" s="298">
        <v>6</v>
      </c>
      <c r="P211" s="292" t="s">
        <v>1787</v>
      </c>
      <c r="Q211" s="338">
        <v>0</v>
      </c>
      <c r="R211" s="338"/>
      <c r="S211" s="338"/>
      <c r="T211" s="338"/>
      <c r="U211" s="338" t="s">
        <v>131</v>
      </c>
      <c r="V211" s="338"/>
      <c r="W211" s="338"/>
      <c r="X211" s="338"/>
      <c r="Y211" s="578"/>
      <c r="Z211" s="368" t="s">
        <v>204</v>
      </c>
    </row>
    <row r="212" spans="1:26" s="147" customFormat="1" ht="21.75" customHeight="1" x14ac:dyDescent="0.2">
      <c r="A212" s="366"/>
      <c r="B212" s="285"/>
      <c r="C212" s="286"/>
      <c r="D212" s="297"/>
      <c r="E212" s="298"/>
      <c r="F212" s="298"/>
      <c r="G212" s="298"/>
      <c r="H212" s="298"/>
      <c r="I212" s="298"/>
      <c r="J212" s="298"/>
      <c r="K212" s="299"/>
      <c r="L212" s="299"/>
      <c r="M212" s="337"/>
      <c r="N212" s="299"/>
      <c r="O212" s="298">
        <v>7</v>
      </c>
      <c r="P212" s="292" t="s">
        <v>1788</v>
      </c>
      <c r="Q212" s="338">
        <v>0</v>
      </c>
      <c r="R212" s="577"/>
      <c r="S212" s="753"/>
      <c r="T212" s="576"/>
      <c r="U212" s="338" t="s">
        <v>131</v>
      </c>
      <c r="V212" s="575"/>
      <c r="W212" s="576"/>
      <c r="X212" s="338"/>
      <c r="Y212" s="578"/>
      <c r="Z212" s="747">
        <v>2</v>
      </c>
    </row>
    <row r="213" spans="1:26" s="147" customFormat="1" ht="21.75" customHeight="1" x14ac:dyDescent="0.2">
      <c r="A213" s="392"/>
      <c r="B213" s="355"/>
      <c r="C213" s="356"/>
      <c r="D213" s="302"/>
      <c r="E213" s="357"/>
      <c r="F213" s="357"/>
      <c r="G213" s="357"/>
      <c r="H213" s="357"/>
      <c r="I213" s="357"/>
      <c r="J213" s="357"/>
      <c r="K213" s="358"/>
      <c r="L213" s="358"/>
      <c r="M213" s="456"/>
      <c r="N213" s="358"/>
      <c r="O213" s="358"/>
      <c r="P213" s="356"/>
      <c r="Q213" s="581"/>
      <c r="R213" s="581"/>
      <c r="S213" s="581"/>
      <c r="T213" s="581"/>
      <c r="U213" s="581"/>
      <c r="V213" s="581"/>
      <c r="W213" s="581"/>
      <c r="X213" s="581"/>
      <c r="Y213" s="361"/>
      <c r="Z213" s="268"/>
    </row>
    <row r="214" spans="1:26" s="147" customFormat="1" ht="34" customHeight="1" x14ac:dyDescent="0.2">
      <c r="A214" s="278" t="s">
        <v>1789</v>
      </c>
      <c r="B214" s="270" t="s">
        <v>134</v>
      </c>
      <c r="C214" s="283" t="s">
        <v>1790</v>
      </c>
      <c r="D214" s="352" t="s">
        <v>1584</v>
      </c>
      <c r="E214" s="454"/>
      <c r="F214" s="454"/>
      <c r="G214" s="454"/>
      <c r="H214" s="454"/>
      <c r="I214" s="454"/>
      <c r="J214" s="373">
        <v>51.4</v>
      </c>
      <c r="K214" s="280" t="s">
        <v>131</v>
      </c>
      <c r="L214" s="280" t="s">
        <v>131</v>
      </c>
      <c r="M214" s="281" t="s">
        <v>1644</v>
      </c>
      <c r="N214" s="280" t="s">
        <v>1791</v>
      </c>
      <c r="O214" s="280"/>
      <c r="P214" s="283"/>
      <c r="Q214" s="279"/>
      <c r="R214" s="283"/>
      <c r="S214" s="279"/>
      <c r="T214" s="279"/>
      <c r="U214" s="279"/>
      <c r="V214" s="282"/>
      <c r="W214" s="282"/>
      <c r="X214" s="282"/>
      <c r="Y214" s="350"/>
      <c r="Z214" s="282"/>
    </row>
    <row r="215" spans="1:26" s="147" customFormat="1" ht="20.149999999999999" customHeight="1" x14ac:dyDescent="0.2">
      <c r="A215" s="416"/>
      <c r="B215" s="335"/>
      <c r="C215" s="286"/>
      <c r="D215" s="416"/>
      <c r="E215" s="298"/>
      <c r="F215" s="298"/>
      <c r="G215" s="298"/>
      <c r="H215" s="298"/>
      <c r="I215" s="298"/>
      <c r="J215" s="298"/>
      <c r="K215" s="299"/>
      <c r="L215" s="299"/>
      <c r="M215" s="337" t="s">
        <v>1688</v>
      </c>
      <c r="N215" s="299" t="s">
        <v>1689</v>
      </c>
      <c r="O215" s="298">
        <v>1</v>
      </c>
      <c r="P215" s="286" t="s">
        <v>1792</v>
      </c>
      <c r="Q215" s="376">
        <v>0</v>
      </c>
      <c r="R215" s="338"/>
      <c r="S215" s="338"/>
      <c r="T215" s="338"/>
      <c r="U215" s="338" t="s">
        <v>131</v>
      </c>
      <c r="V215" s="338"/>
      <c r="W215" s="338"/>
      <c r="X215" s="338"/>
      <c r="Y215" s="681"/>
      <c r="Z215" s="368" t="s">
        <v>204</v>
      </c>
    </row>
    <row r="216" spans="1:26" s="147" customFormat="1" ht="20.149999999999999" customHeight="1" x14ac:dyDescent="0.2">
      <c r="A216" s="416"/>
      <c r="B216" s="335"/>
      <c r="C216" s="286"/>
      <c r="D216" s="416"/>
      <c r="E216" s="298"/>
      <c r="F216" s="298"/>
      <c r="G216" s="298"/>
      <c r="H216" s="298"/>
      <c r="I216" s="298"/>
      <c r="J216" s="298"/>
      <c r="K216" s="299"/>
      <c r="L216" s="299"/>
      <c r="M216" s="337"/>
      <c r="N216" s="299"/>
      <c r="O216" s="298">
        <v>2</v>
      </c>
      <c r="P216" s="292" t="s">
        <v>1793</v>
      </c>
      <c r="Q216" s="338">
        <v>0</v>
      </c>
      <c r="R216" s="338"/>
      <c r="S216" s="338"/>
      <c r="T216" s="338"/>
      <c r="U216" s="338" t="s">
        <v>131</v>
      </c>
      <c r="V216" s="338"/>
      <c r="W216" s="338"/>
      <c r="X216" s="753"/>
      <c r="Y216" s="578"/>
      <c r="Z216" s="747">
        <v>2</v>
      </c>
    </row>
    <row r="217" spans="1:26" s="147" customFormat="1" ht="20.149999999999999" customHeight="1" x14ac:dyDescent="0.2">
      <c r="A217" s="416"/>
      <c r="B217" s="335"/>
      <c r="C217" s="286"/>
      <c r="D217" s="416"/>
      <c r="E217" s="298"/>
      <c r="F217" s="298"/>
      <c r="G217" s="298"/>
      <c r="H217" s="298"/>
      <c r="I217" s="298"/>
      <c r="J217" s="298"/>
      <c r="K217" s="299"/>
      <c r="L217" s="299"/>
      <c r="M217" s="337"/>
      <c r="N217" s="299"/>
      <c r="O217" s="298">
        <v>3</v>
      </c>
      <c r="P217" s="292" t="s">
        <v>1794</v>
      </c>
      <c r="Q217" s="338">
        <v>0</v>
      </c>
      <c r="R217" s="338"/>
      <c r="S217" s="338"/>
      <c r="T217" s="338"/>
      <c r="U217" s="338" t="s">
        <v>131</v>
      </c>
      <c r="V217" s="338"/>
      <c r="W217" s="338"/>
      <c r="X217" s="753"/>
      <c r="Y217" s="578"/>
      <c r="Z217" s="747">
        <v>2</v>
      </c>
    </row>
    <row r="218" spans="1:26" s="147" customFormat="1" ht="20.149999999999999" customHeight="1" x14ac:dyDescent="0.2">
      <c r="A218" s="416"/>
      <c r="B218" s="335"/>
      <c r="C218" s="286"/>
      <c r="D218" s="416"/>
      <c r="E218" s="298"/>
      <c r="F218" s="298"/>
      <c r="G218" s="298"/>
      <c r="H218" s="298"/>
      <c r="I218" s="298"/>
      <c r="J218" s="298"/>
      <c r="K218" s="299"/>
      <c r="L218" s="299"/>
      <c r="M218" s="337"/>
      <c r="N218" s="299"/>
      <c r="O218" s="298">
        <v>4</v>
      </c>
      <c r="P218" s="292" t="s">
        <v>1795</v>
      </c>
      <c r="Q218" s="338">
        <v>0</v>
      </c>
      <c r="R218" s="338"/>
      <c r="S218" s="338"/>
      <c r="T218" s="338"/>
      <c r="U218" s="338" t="s">
        <v>131</v>
      </c>
      <c r="V218" s="338" t="s">
        <v>131</v>
      </c>
      <c r="W218" s="338"/>
      <c r="X218" s="753"/>
      <c r="Y218" s="578"/>
      <c r="Z218" s="747">
        <v>2</v>
      </c>
    </row>
    <row r="219" spans="1:26" s="147" customFormat="1" ht="20.149999999999999" customHeight="1" x14ac:dyDescent="0.2">
      <c r="A219" s="416"/>
      <c r="B219" s="335"/>
      <c r="C219" s="286"/>
      <c r="D219" s="416"/>
      <c r="E219" s="298"/>
      <c r="F219" s="298"/>
      <c r="G219" s="298"/>
      <c r="H219" s="298"/>
      <c r="I219" s="298"/>
      <c r="J219" s="298"/>
      <c r="K219" s="299"/>
      <c r="L219" s="299"/>
      <c r="M219" s="337"/>
      <c r="N219" s="299"/>
      <c r="O219" s="298">
        <v>5</v>
      </c>
      <c r="P219" s="292" t="s">
        <v>1796</v>
      </c>
      <c r="Q219" s="338">
        <v>0</v>
      </c>
      <c r="R219" s="338"/>
      <c r="S219" s="338"/>
      <c r="T219" s="338"/>
      <c r="U219" s="338" t="s">
        <v>131</v>
      </c>
      <c r="V219" s="338"/>
      <c r="W219" s="338"/>
      <c r="X219" s="338"/>
      <c r="Y219" s="578"/>
      <c r="Z219" s="368" t="s">
        <v>204</v>
      </c>
    </row>
    <row r="220" spans="1:26" s="147" customFormat="1" ht="20.149999999999999" customHeight="1" x14ac:dyDescent="0.2">
      <c r="A220" s="416"/>
      <c r="B220" s="335"/>
      <c r="C220" s="286"/>
      <c r="D220" s="475"/>
      <c r="E220" s="298"/>
      <c r="F220" s="298"/>
      <c r="G220" s="298"/>
      <c r="H220" s="298"/>
      <c r="I220" s="298"/>
      <c r="J220" s="298"/>
      <c r="K220" s="299"/>
      <c r="L220" s="299"/>
      <c r="M220" s="337"/>
      <c r="N220" s="299"/>
      <c r="O220" s="298">
        <v>6</v>
      </c>
      <c r="P220" s="292" t="s">
        <v>1797</v>
      </c>
      <c r="Q220" s="338">
        <v>0</v>
      </c>
      <c r="R220" s="338"/>
      <c r="S220" s="338"/>
      <c r="T220" s="338"/>
      <c r="U220" s="338" t="s">
        <v>131</v>
      </c>
      <c r="V220" s="338"/>
      <c r="W220" s="338"/>
      <c r="X220" s="338"/>
      <c r="Y220" s="578"/>
      <c r="Z220" s="368" t="s">
        <v>204</v>
      </c>
    </row>
    <row r="221" spans="1:26" s="147" customFormat="1" ht="21.75" customHeight="1" x14ac:dyDescent="0.2">
      <c r="A221" s="366"/>
      <c r="B221" s="285"/>
      <c r="C221" s="286"/>
      <c r="D221" s="297"/>
      <c r="E221" s="298"/>
      <c r="F221" s="298"/>
      <c r="G221" s="298"/>
      <c r="H221" s="298"/>
      <c r="I221" s="298"/>
      <c r="J221" s="298"/>
      <c r="K221" s="299"/>
      <c r="L221" s="299"/>
      <c r="M221" s="337"/>
      <c r="N221" s="299"/>
      <c r="O221" s="298">
        <v>7</v>
      </c>
      <c r="P221" s="292" t="s">
        <v>1798</v>
      </c>
      <c r="Q221" s="338">
        <v>0</v>
      </c>
      <c r="R221" s="577"/>
      <c r="S221" s="753"/>
      <c r="T221" s="576"/>
      <c r="U221" s="338" t="s">
        <v>131</v>
      </c>
      <c r="V221" s="575"/>
      <c r="W221" s="576"/>
      <c r="X221" s="338"/>
      <c r="Y221" s="578"/>
      <c r="Z221" s="747">
        <v>2</v>
      </c>
    </row>
    <row r="222" spans="1:26" s="147" customFormat="1" ht="21.75" customHeight="1" x14ac:dyDescent="0.2">
      <c r="A222" s="366"/>
      <c r="B222" s="341"/>
      <c r="C222" s="342"/>
      <c r="D222" s="297"/>
      <c r="E222" s="343"/>
      <c r="F222" s="343"/>
      <c r="G222" s="343"/>
      <c r="H222" s="343"/>
      <c r="I222" s="343"/>
      <c r="J222" s="343"/>
      <c r="K222" s="344"/>
      <c r="L222" s="344"/>
      <c r="M222" s="458"/>
      <c r="N222" s="344"/>
      <c r="O222" s="344"/>
      <c r="P222" s="342"/>
      <c r="Q222" s="343"/>
      <c r="R222" s="342"/>
      <c r="S222" s="343"/>
      <c r="T222" s="343"/>
      <c r="U222" s="343"/>
      <c r="V222" s="274"/>
      <c r="W222" s="274"/>
      <c r="X222" s="274"/>
      <c r="Y222" s="351"/>
      <c r="Z222" s="274"/>
    </row>
    <row r="223" spans="1:26" s="147" customFormat="1" ht="34" customHeight="1" x14ac:dyDescent="0.2">
      <c r="A223" s="876" t="s">
        <v>1799</v>
      </c>
      <c r="B223" s="348" t="s">
        <v>1387</v>
      </c>
      <c r="C223" s="878" t="s">
        <v>1800</v>
      </c>
      <c r="D223" s="352" t="s">
        <v>1584</v>
      </c>
      <c r="E223" s="454"/>
      <c r="F223" s="454"/>
      <c r="G223" s="454"/>
      <c r="H223" s="454"/>
      <c r="I223" s="454"/>
      <c r="J223" s="954">
        <f>2000/415</f>
        <v>4.8192771084337354</v>
      </c>
      <c r="K223" s="280" t="s">
        <v>131</v>
      </c>
      <c r="L223" s="280" t="s">
        <v>131</v>
      </c>
      <c r="M223" s="281" t="s">
        <v>1801</v>
      </c>
      <c r="N223" s="280" t="s">
        <v>1802</v>
      </c>
      <c r="O223" s="280"/>
      <c r="P223" s="283"/>
      <c r="Q223" s="279"/>
      <c r="R223" s="283"/>
      <c r="S223" s="279"/>
      <c r="T223" s="279"/>
      <c r="U223" s="279"/>
      <c r="V223" s="282"/>
      <c r="W223" s="282"/>
      <c r="X223" s="282"/>
      <c r="Y223" s="877" t="s">
        <v>1803</v>
      </c>
      <c r="Z223" s="751">
        <v>2</v>
      </c>
    </row>
    <row r="224" spans="1:26" s="147" customFormat="1" ht="21.75" customHeight="1" x14ac:dyDescent="0.2">
      <c r="A224" s="366"/>
      <c r="B224" s="285"/>
      <c r="C224" s="286"/>
      <c r="D224" s="297"/>
      <c r="E224" s="298"/>
      <c r="F224" s="298"/>
      <c r="G224" s="298"/>
      <c r="H224" s="298"/>
      <c r="I224" s="298"/>
      <c r="J224" s="298"/>
      <c r="K224" s="299"/>
      <c r="L224" s="299"/>
      <c r="M224" s="337"/>
      <c r="N224" s="299"/>
      <c r="O224" s="299">
        <v>1</v>
      </c>
      <c r="P224" s="286" t="s">
        <v>1804</v>
      </c>
      <c r="Q224" s="376">
        <v>0</v>
      </c>
      <c r="R224" s="338"/>
      <c r="S224" s="338"/>
      <c r="T224" s="338"/>
      <c r="U224" s="338" t="s">
        <v>131</v>
      </c>
      <c r="V224" s="338"/>
      <c r="W224" s="338"/>
      <c r="X224" s="338"/>
      <c r="Y224" s="681"/>
      <c r="Z224" s="368" t="s">
        <v>204</v>
      </c>
    </row>
    <row r="225" spans="1:26" s="147" customFormat="1" ht="21.75" customHeight="1" x14ac:dyDescent="0.2">
      <c r="A225" s="366"/>
      <c r="B225" s="285"/>
      <c r="C225" s="286"/>
      <c r="D225" s="297"/>
      <c r="E225" s="298"/>
      <c r="F225" s="298"/>
      <c r="G225" s="298"/>
      <c r="H225" s="298"/>
      <c r="I225" s="298"/>
      <c r="J225" s="298"/>
      <c r="K225" s="299"/>
      <c r="L225" s="299"/>
      <c r="M225" s="337"/>
      <c r="N225" s="299"/>
      <c r="O225" s="298">
        <v>2</v>
      </c>
      <c r="P225" s="292" t="s">
        <v>1805</v>
      </c>
      <c r="Q225" s="338">
        <v>0</v>
      </c>
      <c r="R225" s="338"/>
      <c r="S225" s="338"/>
      <c r="T225" s="338"/>
      <c r="U225" s="338" t="s">
        <v>131</v>
      </c>
      <c r="V225" s="338"/>
      <c r="W225" s="338"/>
      <c r="X225" s="753"/>
      <c r="Y225" s="578"/>
      <c r="Z225" s="747">
        <v>2</v>
      </c>
    </row>
    <row r="226" spans="1:26" s="147" customFormat="1" ht="21.75" customHeight="1" x14ac:dyDescent="0.2">
      <c r="A226" s="366"/>
      <c r="B226" s="285"/>
      <c r="C226" s="286"/>
      <c r="D226" s="297"/>
      <c r="E226" s="298"/>
      <c r="F226" s="298"/>
      <c r="G226" s="298"/>
      <c r="H226" s="298"/>
      <c r="I226" s="298"/>
      <c r="J226" s="298"/>
      <c r="K226" s="299"/>
      <c r="L226" s="299"/>
      <c r="M226" s="337"/>
      <c r="N226" s="299"/>
      <c r="O226" s="298">
        <v>3</v>
      </c>
      <c r="P226" s="292" t="s">
        <v>1806</v>
      </c>
      <c r="Q226" s="338">
        <v>0</v>
      </c>
      <c r="R226" s="338"/>
      <c r="S226" s="338"/>
      <c r="T226" s="338"/>
      <c r="U226" s="338" t="s">
        <v>131</v>
      </c>
      <c r="V226" s="338"/>
      <c r="W226" s="338"/>
      <c r="X226" s="753"/>
      <c r="Y226" s="578"/>
      <c r="Z226" s="747">
        <v>2</v>
      </c>
    </row>
    <row r="227" spans="1:26" s="147" customFormat="1" ht="21.75" customHeight="1" x14ac:dyDescent="0.2">
      <c r="A227" s="366"/>
      <c r="B227" s="285"/>
      <c r="C227" s="286"/>
      <c r="D227" s="297"/>
      <c r="E227" s="298"/>
      <c r="F227" s="298"/>
      <c r="G227" s="298"/>
      <c r="H227" s="298"/>
      <c r="I227" s="298"/>
      <c r="J227" s="298"/>
      <c r="K227" s="299"/>
      <c r="L227" s="299"/>
      <c r="M227" s="337"/>
      <c r="N227" s="299"/>
      <c r="O227" s="298">
        <v>4</v>
      </c>
      <c r="P227" s="292" t="s">
        <v>1807</v>
      </c>
      <c r="Q227" s="338">
        <v>0</v>
      </c>
      <c r="R227" s="338"/>
      <c r="S227" s="338"/>
      <c r="T227" s="338"/>
      <c r="U227" s="338" t="s">
        <v>131</v>
      </c>
      <c r="V227" s="338" t="s">
        <v>131</v>
      </c>
      <c r="W227" s="338"/>
      <c r="X227" s="753"/>
      <c r="Y227" s="578"/>
      <c r="Z227" s="747">
        <v>2</v>
      </c>
    </row>
    <row r="228" spans="1:26" s="147" customFormat="1" ht="21.75" customHeight="1" x14ac:dyDescent="0.2">
      <c r="A228" s="366"/>
      <c r="B228" s="285"/>
      <c r="C228" s="286"/>
      <c r="D228" s="297"/>
      <c r="E228" s="298"/>
      <c r="F228" s="298"/>
      <c r="G228" s="298"/>
      <c r="H228" s="298"/>
      <c r="I228" s="298"/>
      <c r="J228" s="298"/>
      <c r="K228" s="299"/>
      <c r="L228" s="299"/>
      <c r="M228" s="337"/>
      <c r="N228" s="299"/>
      <c r="O228" s="298">
        <v>5</v>
      </c>
      <c r="P228" s="292" t="s">
        <v>1808</v>
      </c>
      <c r="Q228" s="338">
        <v>0</v>
      </c>
      <c r="R228" s="338"/>
      <c r="S228" s="338"/>
      <c r="T228" s="338"/>
      <c r="U228" s="338" t="s">
        <v>131</v>
      </c>
      <c r="V228" s="338"/>
      <c r="W228" s="338"/>
      <c r="X228" s="338"/>
      <c r="Y228" s="578"/>
      <c r="Z228" s="368" t="s">
        <v>204</v>
      </c>
    </row>
    <row r="229" spans="1:26" s="147" customFormat="1" ht="21.75" customHeight="1" x14ac:dyDescent="0.2">
      <c r="A229" s="366"/>
      <c r="B229" s="285"/>
      <c r="C229" s="286"/>
      <c r="D229" s="297"/>
      <c r="E229" s="298"/>
      <c r="F229" s="298"/>
      <c r="G229" s="298"/>
      <c r="H229" s="298"/>
      <c r="I229" s="298"/>
      <c r="J229" s="298"/>
      <c r="K229" s="299"/>
      <c r="L229" s="299"/>
      <c r="M229" s="337"/>
      <c r="N229" s="299"/>
      <c r="O229" s="298">
        <v>6</v>
      </c>
      <c r="P229" s="292" t="s">
        <v>1809</v>
      </c>
      <c r="Q229" s="338">
        <v>0</v>
      </c>
      <c r="R229" s="338"/>
      <c r="S229" s="338"/>
      <c r="T229" s="338"/>
      <c r="U229" s="338" t="s">
        <v>131</v>
      </c>
      <c r="V229" s="338"/>
      <c r="W229" s="338"/>
      <c r="X229" s="338"/>
      <c r="Y229" s="578"/>
      <c r="Z229" s="368" t="s">
        <v>204</v>
      </c>
    </row>
    <row r="230" spans="1:26" s="147" customFormat="1" ht="21.75" customHeight="1" x14ac:dyDescent="0.2">
      <c r="A230" s="366"/>
      <c r="B230" s="285"/>
      <c r="C230" s="286"/>
      <c r="D230" s="297"/>
      <c r="E230" s="298"/>
      <c r="F230" s="298"/>
      <c r="G230" s="298"/>
      <c r="H230" s="298"/>
      <c r="I230" s="298"/>
      <c r="J230" s="298"/>
      <c r="K230" s="299"/>
      <c r="L230" s="299"/>
      <c r="M230" s="337"/>
      <c r="N230" s="299"/>
      <c r="O230" s="298">
        <v>7</v>
      </c>
      <c r="P230" s="292" t="s">
        <v>1810</v>
      </c>
      <c r="Q230" s="338">
        <v>0</v>
      </c>
      <c r="R230" s="577"/>
      <c r="S230" s="753"/>
      <c r="T230" s="576"/>
      <c r="U230" s="338" t="s">
        <v>131</v>
      </c>
      <c r="V230" s="575"/>
      <c r="W230" s="576"/>
      <c r="X230" s="338"/>
      <c r="Y230" s="578"/>
      <c r="Z230" s="747">
        <v>2</v>
      </c>
    </row>
    <row r="231" spans="1:26" s="147" customFormat="1" ht="43.5" customHeight="1" x14ac:dyDescent="0.2">
      <c r="A231" s="366"/>
      <c r="B231" s="285"/>
      <c r="C231" s="286"/>
      <c r="D231" s="297"/>
      <c r="E231" s="298"/>
      <c r="F231" s="298"/>
      <c r="G231" s="298"/>
      <c r="H231" s="298"/>
      <c r="I231" s="298"/>
      <c r="J231" s="298"/>
      <c r="K231" s="299"/>
      <c r="L231" s="299"/>
      <c r="M231" s="337"/>
      <c r="N231" s="299"/>
      <c r="O231" s="298">
        <v>8</v>
      </c>
      <c r="P231" s="286" t="s">
        <v>1811</v>
      </c>
      <c r="Q231" s="832">
        <v>3</v>
      </c>
      <c r="R231" s="369"/>
      <c r="S231" s="369" t="s">
        <v>131</v>
      </c>
      <c r="T231" s="369"/>
      <c r="U231" s="370"/>
      <c r="V231" s="370"/>
      <c r="W231" s="766" t="s">
        <v>131</v>
      </c>
      <c r="X231" s="370"/>
      <c r="Y231" s="339" t="s">
        <v>1812</v>
      </c>
      <c r="Z231" s="741">
        <v>2</v>
      </c>
    </row>
    <row r="232" spans="1:26" s="147" customFormat="1" ht="21.75" customHeight="1" x14ac:dyDescent="0.2">
      <c r="A232" s="366"/>
      <c r="B232" s="285"/>
      <c r="C232" s="286"/>
      <c r="D232" s="297"/>
      <c r="E232" s="298"/>
      <c r="F232" s="298"/>
      <c r="G232" s="298"/>
      <c r="H232" s="298"/>
      <c r="I232" s="298"/>
      <c r="J232" s="298"/>
      <c r="K232" s="299"/>
      <c r="L232" s="299"/>
      <c r="M232" s="337"/>
      <c r="N232" s="299"/>
      <c r="O232" s="298">
        <v>9</v>
      </c>
      <c r="P232" s="286" t="s">
        <v>1602</v>
      </c>
      <c r="Q232" s="369">
        <v>5</v>
      </c>
      <c r="R232" s="369"/>
      <c r="S232" s="369"/>
      <c r="T232" s="369"/>
      <c r="U232" s="369" t="s">
        <v>131</v>
      </c>
      <c r="V232" s="369"/>
      <c r="W232" s="370"/>
      <c r="X232" s="370"/>
      <c r="Y232" s="339" t="s">
        <v>1813</v>
      </c>
      <c r="Z232" s="273">
        <v>0</v>
      </c>
    </row>
    <row r="233" spans="1:26" s="147" customFormat="1" ht="21.75" customHeight="1" x14ac:dyDescent="0.2">
      <c r="A233" s="391"/>
      <c r="B233" s="295"/>
      <c r="C233" s="292"/>
      <c r="D233" s="287"/>
      <c r="E233" s="288"/>
      <c r="F233" s="288"/>
      <c r="G233" s="288"/>
      <c r="H233" s="288"/>
      <c r="I233" s="288"/>
      <c r="J233" s="288"/>
      <c r="K233" s="289"/>
      <c r="L233" s="289"/>
      <c r="M233" s="455"/>
      <c r="N233" s="289"/>
      <c r="O233" s="298">
        <v>10</v>
      </c>
      <c r="P233" s="292" t="s">
        <v>1606</v>
      </c>
      <c r="Q233" s="369">
        <v>5</v>
      </c>
      <c r="R233" s="369"/>
      <c r="S233" s="371"/>
      <c r="T233" s="371"/>
      <c r="U233" s="369" t="s">
        <v>131</v>
      </c>
      <c r="V233" s="369"/>
      <c r="W233" s="370"/>
      <c r="X233" s="370"/>
      <c r="Y233" s="340"/>
      <c r="Z233" s="293" t="s">
        <v>175</v>
      </c>
    </row>
    <row r="234" spans="1:26" s="147" customFormat="1" ht="21.75" customHeight="1" x14ac:dyDescent="0.2">
      <c r="A234" s="366"/>
      <c r="B234" s="341"/>
      <c r="C234" s="342"/>
      <c r="D234" s="297"/>
      <c r="E234" s="343"/>
      <c r="F234" s="343"/>
      <c r="G234" s="343"/>
      <c r="H234" s="343"/>
      <c r="I234" s="343"/>
      <c r="J234" s="343"/>
      <c r="K234" s="343"/>
      <c r="L234" s="343"/>
      <c r="M234" s="274"/>
      <c r="N234" s="343"/>
      <c r="O234" s="343"/>
      <c r="P234" s="394"/>
      <c r="Q234" s="371"/>
      <c r="R234" s="371"/>
      <c r="S234" s="371"/>
      <c r="T234" s="371"/>
      <c r="U234" s="371"/>
      <c r="V234" s="371"/>
      <c r="W234" s="372"/>
      <c r="X234" s="371"/>
      <c r="Y234" s="351"/>
      <c r="Z234" s="274"/>
    </row>
    <row r="235" spans="1:26" s="147" customFormat="1" ht="34" customHeight="1" x14ac:dyDescent="0.2">
      <c r="A235" s="837" t="s">
        <v>1814</v>
      </c>
      <c r="B235" s="838" t="s">
        <v>1387</v>
      </c>
      <c r="C235" s="839" t="s">
        <v>1815</v>
      </c>
      <c r="D235" s="840" t="s">
        <v>1584</v>
      </c>
      <c r="E235" s="841"/>
      <c r="F235" s="841"/>
      <c r="G235" s="841"/>
      <c r="H235" s="841"/>
      <c r="I235" s="841"/>
      <c r="J235" s="842">
        <f>2000/415</f>
        <v>4.8192771084337354</v>
      </c>
      <c r="K235" s="843" t="s">
        <v>131</v>
      </c>
      <c r="L235" s="843" t="s">
        <v>131</v>
      </c>
      <c r="M235" s="844" t="s">
        <v>1801</v>
      </c>
      <c r="N235" s="843" t="s">
        <v>1802</v>
      </c>
      <c r="O235" s="843"/>
      <c r="P235" s="839"/>
      <c r="Q235" s="841"/>
      <c r="R235" s="839"/>
      <c r="S235" s="841"/>
      <c r="T235" s="841"/>
      <c r="U235" s="841"/>
      <c r="V235" s="845"/>
      <c r="W235" s="845"/>
      <c r="X235" s="845"/>
      <c r="Y235" s="846"/>
      <c r="Z235" s="845"/>
    </row>
    <row r="236" spans="1:26" s="147" customFormat="1" ht="21.75" customHeight="1" x14ac:dyDescent="0.2">
      <c r="A236" s="847"/>
      <c r="B236" s="848"/>
      <c r="C236" s="849"/>
      <c r="D236" s="850"/>
      <c r="E236" s="851"/>
      <c r="F236" s="851"/>
      <c r="G236" s="851"/>
      <c r="H236" s="851"/>
      <c r="I236" s="851"/>
      <c r="J236" s="851"/>
      <c r="K236" s="852"/>
      <c r="L236" s="852"/>
      <c r="M236" s="853"/>
      <c r="N236" s="852"/>
      <c r="O236" s="852">
        <v>1</v>
      </c>
      <c r="P236" s="849" t="s">
        <v>1816</v>
      </c>
      <c r="Q236" s="851">
        <v>0</v>
      </c>
      <c r="R236" s="753"/>
      <c r="S236" s="753"/>
      <c r="T236" s="753"/>
      <c r="U236" s="753" t="s">
        <v>131</v>
      </c>
      <c r="V236" s="753"/>
      <c r="W236" s="753"/>
      <c r="X236" s="753"/>
      <c r="Y236" s="854"/>
      <c r="Z236" s="754" t="s">
        <v>204</v>
      </c>
    </row>
    <row r="237" spans="1:26" s="147" customFormat="1" ht="21.75" customHeight="1" x14ac:dyDescent="0.2">
      <c r="A237" s="847"/>
      <c r="B237" s="848"/>
      <c r="C237" s="849"/>
      <c r="D237" s="850"/>
      <c r="E237" s="851"/>
      <c r="F237" s="851"/>
      <c r="G237" s="851"/>
      <c r="H237" s="851"/>
      <c r="I237" s="851"/>
      <c r="J237" s="851"/>
      <c r="K237" s="852"/>
      <c r="L237" s="852"/>
      <c r="M237" s="853"/>
      <c r="N237" s="852"/>
      <c r="O237" s="851">
        <v>2</v>
      </c>
      <c r="P237" s="752" t="s">
        <v>1817</v>
      </c>
      <c r="Q237" s="753">
        <v>0</v>
      </c>
      <c r="R237" s="753"/>
      <c r="S237" s="753"/>
      <c r="T237" s="753"/>
      <c r="U237" s="753" t="s">
        <v>131</v>
      </c>
      <c r="V237" s="753"/>
      <c r="W237" s="753"/>
      <c r="X237" s="753" t="s">
        <v>131</v>
      </c>
      <c r="Y237" s="854"/>
      <c r="Z237" s="754" t="s">
        <v>204</v>
      </c>
    </row>
    <row r="238" spans="1:26" s="147" customFormat="1" ht="21.75" customHeight="1" x14ac:dyDescent="0.2">
      <c r="A238" s="847"/>
      <c r="B238" s="848"/>
      <c r="C238" s="849"/>
      <c r="D238" s="850"/>
      <c r="E238" s="851"/>
      <c r="F238" s="851"/>
      <c r="G238" s="851"/>
      <c r="H238" s="851"/>
      <c r="I238" s="851"/>
      <c r="J238" s="851"/>
      <c r="K238" s="852"/>
      <c r="L238" s="852"/>
      <c r="M238" s="853"/>
      <c r="N238" s="852"/>
      <c r="O238" s="851">
        <v>3</v>
      </c>
      <c r="P238" s="752" t="s">
        <v>1818</v>
      </c>
      <c r="Q238" s="753">
        <v>0</v>
      </c>
      <c r="R238" s="753"/>
      <c r="S238" s="753"/>
      <c r="T238" s="753"/>
      <c r="U238" s="753" t="s">
        <v>131</v>
      </c>
      <c r="V238" s="753"/>
      <c r="W238" s="753"/>
      <c r="X238" s="753" t="s">
        <v>131</v>
      </c>
      <c r="Y238" s="854"/>
      <c r="Z238" s="754" t="s">
        <v>204</v>
      </c>
    </row>
    <row r="239" spans="1:26" s="147" customFormat="1" ht="21.75" customHeight="1" x14ac:dyDescent="0.2">
      <c r="A239" s="847"/>
      <c r="B239" s="848"/>
      <c r="C239" s="849"/>
      <c r="D239" s="850"/>
      <c r="E239" s="851"/>
      <c r="F239" s="851"/>
      <c r="G239" s="851"/>
      <c r="H239" s="851"/>
      <c r="I239" s="851"/>
      <c r="J239" s="851"/>
      <c r="K239" s="852"/>
      <c r="L239" s="852"/>
      <c r="M239" s="853"/>
      <c r="N239" s="852"/>
      <c r="O239" s="851">
        <v>4</v>
      </c>
      <c r="P239" s="752" t="s">
        <v>1819</v>
      </c>
      <c r="Q239" s="753">
        <v>0</v>
      </c>
      <c r="R239" s="753"/>
      <c r="S239" s="753"/>
      <c r="T239" s="753"/>
      <c r="U239" s="753" t="s">
        <v>131</v>
      </c>
      <c r="V239" s="753" t="s">
        <v>131</v>
      </c>
      <c r="W239" s="753"/>
      <c r="X239" s="753" t="s">
        <v>131</v>
      </c>
      <c r="Y239" s="854"/>
      <c r="Z239" s="754" t="s">
        <v>204</v>
      </c>
    </row>
    <row r="240" spans="1:26" s="147" customFormat="1" ht="21.75" customHeight="1" x14ac:dyDescent="0.2">
      <c r="A240" s="847"/>
      <c r="B240" s="848"/>
      <c r="C240" s="849"/>
      <c r="D240" s="850"/>
      <c r="E240" s="851"/>
      <c r="F240" s="851"/>
      <c r="G240" s="851"/>
      <c r="H240" s="851"/>
      <c r="I240" s="851"/>
      <c r="J240" s="851"/>
      <c r="K240" s="852"/>
      <c r="L240" s="852"/>
      <c r="M240" s="853"/>
      <c r="N240" s="852"/>
      <c r="O240" s="851">
        <v>5</v>
      </c>
      <c r="P240" s="752" t="s">
        <v>1820</v>
      </c>
      <c r="Q240" s="753">
        <v>0</v>
      </c>
      <c r="R240" s="753"/>
      <c r="S240" s="753"/>
      <c r="T240" s="753"/>
      <c r="U240" s="753" t="s">
        <v>131</v>
      </c>
      <c r="V240" s="753"/>
      <c r="W240" s="753"/>
      <c r="X240" s="753"/>
      <c r="Y240" s="854"/>
      <c r="Z240" s="754" t="s">
        <v>204</v>
      </c>
    </row>
    <row r="241" spans="1:26" s="147" customFormat="1" ht="21.75" customHeight="1" x14ac:dyDescent="0.2">
      <c r="A241" s="847"/>
      <c r="B241" s="848"/>
      <c r="C241" s="849"/>
      <c r="D241" s="850"/>
      <c r="E241" s="851"/>
      <c r="F241" s="851"/>
      <c r="G241" s="851"/>
      <c r="H241" s="851"/>
      <c r="I241" s="851"/>
      <c r="J241" s="851"/>
      <c r="K241" s="852"/>
      <c r="L241" s="852"/>
      <c r="M241" s="853"/>
      <c r="N241" s="852"/>
      <c r="O241" s="851">
        <v>6</v>
      </c>
      <c r="P241" s="752" t="s">
        <v>1821</v>
      </c>
      <c r="Q241" s="753">
        <v>0</v>
      </c>
      <c r="R241" s="753"/>
      <c r="S241" s="753"/>
      <c r="T241" s="753"/>
      <c r="U241" s="753" t="s">
        <v>131</v>
      </c>
      <c r="V241" s="753"/>
      <c r="W241" s="753"/>
      <c r="X241" s="753"/>
      <c r="Y241" s="854"/>
      <c r="Z241" s="754" t="s">
        <v>204</v>
      </c>
    </row>
    <row r="242" spans="1:26" s="147" customFormat="1" ht="21.75" customHeight="1" x14ac:dyDescent="0.2">
      <c r="A242" s="847"/>
      <c r="B242" s="848"/>
      <c r="C242" s="849"/>
      <c r="D242" s="850"/>
      <c r="E242" s="851"/>
      <c r="F242" s="851"/>
      <c r="G242" s="851"/>
      <c r="H242" s="851"/>
      <c r="I242" s="851"/>
      <c r="J242" s="851"/>
      <c r="K242" s="852"/>
      <c r="L242" s="852"/>
      <c r="M242" s="853"/>
      <c r="N242" s="852"/>
      <c r="O242" s="851">
        <v>7</v>
      </c>
      <c r="P242" s="752" t="s">
        <v>1822</v>
      </c>
      <c r="Q242" s="753">
        <v>0</v>
      </c>
      <c r="R242" s="855"/>
      <c r="S242" s="753" t="s">
        <v>131</v>
      </c>
      <c r="T242" s="856"/>
      <c r="U242" s="753"/>
      <c r="V242" s="856"/>
      <c r="W242" s="856"/>
      <c r="X242" s="753"/>
      <c r="Y242" s="854"/>
      <c r="Z242" s="754" t="s">
        <v>204</v>
      </c>
    </row>
    <row r="243" spans="1:26" s="147" customFormat="1" ht="47.25" customHeight="1" x14ac:dyDescent="0.2">
      <c r="A243" s="847"/>
      <c r="B243" s="848"/>
      <c r="C243" s="849"/>
      <c r="D243" s="850"/>
      <c r="E243" s="851"/>
      <c r="F243" s="851"/>
      <c r="G243" s="851"/>
      <c r="H243" s="851"/>
      <c r="I243" s="851"/>
      <c r="J243" s="851"/>
      <c r="K243" s="852"/>
      <c r="L243" s="852"/>
      <c r="M243" s="853"/>
      <c r="N243" s="852"/>
      <c r="O243" s="851">
        <v>8</v>
      </c>
      <c r="P243" s="849" t="s">
        <v>1811</v>
      </c>
      <c r="Q243" s="857">
        <v>3</v>
      </c>
      <c r="R243" s="857"/>
      <c r="S243" s="857" t="s">
        <v>131</v>
      </c>
      <c r="T243" s="857"/>
      <c r="U243" s="858"/>
      <c r="V243" s="858"/>
      <c r="W243" s="858"/>
      <c r="X243" s="858"/>
      <c r="Y243" s="859" t="s">
        <v>1823</v>
      </c>
      <c r="Z243" s="749">
        <v>2</v>
      </c>
    </row>
    <row r="244" spans="1:26" s="147" customFormat="1" ht="21.75" customHeight="1" x14ac:dyDescent="0.2">
      <c r="A244" s="860"/>
      <c r="B244" s="861"/>
      <c r="C244" s="752"/>
      <c r="D244" s="862"/>
      <c r="E244" s="753"/>
      <c r="F244" s="753"/>
      <c r="G244" s="753"/>
      <c r="H244" s="753"/>
      <c r="I244" s="753"/>
      <c r="J244" s="753"/>
      <c r="K244" s="863"/>
      <c r="L244" s="863"/>
      <c r="M244" s="864"/>
      <c r="N244" s="863"/>
      <c r="O244" s="851">
        <v>9</v>
      </c>
      <c r="P244" s="849" t="s">
        <v>1602</v>
      </c>
      <c r="Q244" s="857">
        <v>5</v>
      </c>
      <c r="R244" s="857"/>
      <c r="S244" s="857"/>
      <c r="T244" s="857"/>
      <c r="U244" s="857" t="s">
        <v>131</v>
      </c>
      <c r="V244" s="857"/>
      <c r="W244" s="858"/>
      <c r="X244" s="858"/>
      <c r="Y244" s="859" t="s">
        <v>1813</v>
      </c>
      <c r="Z244" s="754">
        <v>0</v>
      </c>
    </row>
    <row r="245" spans="1:26" s="147" customFormat="1" ht="21.75" customHeight="1" x14ac:dyDescent="0.2">
      <c r="A245" s="860"/>
      <c r="B245" s="861"/>
      <c r="C245" s="752"/>
      <c r="D245" s="862"/>
      <c r="E245" s="753"/>
      <c r="F245" s="753"/>
      <c r="G245" s="753"/>
      <c r="H245" s="753"/>
      <c r="I245" s="753"/>
      <c r="J245" s="753"/>
      <c r="K245" s="863"/>
      <c r="L245" s="863"/>
      <c r="M245" s="864"/>
      <c r="N245" s="863"/>
      <c r="O245" s="851">
        <v>10</v>
      </c>
      <c r="P245" s="849" t="s">
        <v>1606</v>
      </c>
      <c r="Q245" s="857">
        <v>5</v>
      </c>
      <c r="R245" s="857"/>
      <c r="S245" s="857"/>
      <c r="T245" s="857"/>
      <c r="U245" s="857" t="s">
        <v>131</v>
      </c>
      <c r="V245" s="857"/>
      <c r="W245" s="858"/>
      <c r="X245" s="858"/>
      <c r="Y245" s="859"/>
      <c r="Z245" s="754" t="s">
        <v>175</v>
      </c>
    </row>
    <row r="246" spans="1:26" s="147" customFormat="1" ht="21.75" customHeight="1" x14ac:dyDescent="0.2">
      <c r="A246" s="865"/>
      <c r="B246" s="866"/>
      <c r="C246" s="867"/>
      <c r="D246" s="868"/>
      <c r="E246" s="869"/>
      <c r="F246" s="869"/>
      <c r="G246" s="869"/>
      <c r="H246" s="869"/>
      <c r="I246" s="869"/>
      <c r="J246" s="869"/>
      <c r="K246" s="870"/>
      <c r="L246" s="870"/>
      <c r="M246" s="871"/>
      <c r="N246" s="870"/>
      <c r="O246" s="852"/>
      <c r="P246" s="849"/>
      <c r="Q246" s="872"/>
      <c r="R246" s="872"/>
      <c r="S246" s="873"/>
      <c r="T246" s="873"/>
      <c r="U246" s="872"/>
      <c r="V246" s="872"/>
      <c r="W246" s="874"/>
      <c r="X246" s="874"/>
      <c r="Y246" s="859"/>
      <c r="Z246" s="875"/>
    </row>
    <row r="247" spans="1:26" s="147" customFormat="1" ht="48" customHeight="1" x14ac:dyDescent="0.2">
      <c r="A247" s="278" t="s">
        <v>1824</v>
      </c>
      <c r="B247" s="348" t="s">
        <v>1387</v>
      </c>
      <c r="C247" s="283" t="s">
        <v>1825</v>
      </c>
      <c r="D247" s="352" t="s">
        <v>1584</v>
      </c>
      <c r="E247" s="454"/>
      <c r="F247" s="454"/>
      <c r="G247" s="454"/>
      <c r="H247" s="454"/>
      <c r="I247" s="454"/>
      <c r="J247" s="373">
        <f>1200/240</f>
        <v>5</v>
      </c>
      <c r="K247" s="280" t="s">
        <v>131</v>
      </c>
      <c r="L247" s="280" t="s">
        <v>131</v>
      </c>
      <c r="M247" s="280" t="s">
        <v>1826</v>
      </c>
      <c r="N247" s="280" t="s">
        <v>1827</v>
      </c>
      <c r="O247" s="280"/>
      <c r="P247" s="283"/>
      <c r="Q247" s="279"/>
      <c r="R247" s="283"/>
      <c r="S247" s="279"/>
      <c r="T247" s="279"/>
      <c r="U247" s="279"/>
      <c r="V247" s="282"/>
      <c r="W247" s="282"/>
      <c r="X247" s="282"/>
      <c r="Y247" s="350"/>
      <c r="Z247" s="282"/>
    </row>
    <row r="248" spans="1:26" s="147" customFormat="1" ht="20.149999999999999" customHeight="1" x14ac:dyDescent="0.2">
      <c r="A248" s="366"/>
      <c r="B248" s="285"/>
      <c r="C248" s="286"/>
      <c r="D248" s="297"/>
      <c r="E248" s="298"/>
      <c r="F248" s="298"/>
      <c r="G248" s="298"/>
      <c r="H248" s="298"/>
      <c r="I248" s="298"/>
      <c r="J248" s="298"/>
      <c r="K248" s="299"/>
      <c r="L248" s="299"/>
      <c r="M248" s="337"/>
      <c r="N248" s="337"/>
      <c r="O248" s="298">
        <v>1</v>
      </c>
      <c r="P248" s="286" t="s">
        <v>1828</v>
      </c>
      <c r="Q248" s="376">
        <v>0</v>
      </c>
      <c r="R248" s="338"/>
      <c r="S248" s="338"/>
      <c r="T248" s="338"/>
      <c r="U248" s="338" t="s">
        <v>131</v>
      </c>
      <c r="V248" s="338"/>
      <c r="W248" s="338"/>
      <c r="X248" s="338"/>
      <c r="Y248" s="681"/>
      <c r="Z248" s="368" t="s">
        <v>204</v>
      </c>
    </row>
    <row r="249" spans="1:26" s="147" customFormat="1" ht="20.149999999999999" customHeight="1" x14ac:dyDescent="0.2">
      <c r="A249" s="366"/>
      <c r="B249" s="285"/>
      <c r="C249" s="286"/>
      <c r="D249" s="297"/>
      <c r="E249" s="298"/>
      <c r="F249" s="298"/>
      <c r="G249" s="298"/>
      <c r="H249" s="298"/>
      <c r="I249" s="298"/>
      <c r="J249" s="298"/>
      <c r="K249" s="299"/>
      <c r="L249" s="299"/>
      <c r="M249" s="337"/>
      <c r="N249" s="337"/>
      <c r="O249" s="298">
        <v>2</v>
      </c>
      <c r="P249" s="292" t="s">
        <v>1829</v>
      </c>
      <c r="Q249" s="338">
        <v>0</v>
      </c>
      <c r="R249" s="338"/>
      <c r="S249" s="338"/>
      <c r="T249" s="338"/>
      <c r="U249" s="338" t="s">
        <v>131</v>
      </c>
      <c r="V249" s="338"/>
      <c r="W249" s="338"/>
      <c r="X249" s="753"/>
      <c r="Y249" s="578"/>
      <c r="Z249" s="747">
        <v>2</v>
      </c>
    </row>
    <row r="250" spans="1:26" s="147" customFormat="1" ht="20.149999999999999" customHeight="1" x14ac:dyDescent="0.2">
      <c r="A250" s="366"/>
      <c r="B250" s="285"/>
      <c r="C250" s="286"/>
      <c r="D250" s="297"/>
      <c r="E250" s="298"/>
      <c r="F250" s="298"/>
      <c r="G250" s="298"/>
      <c r="H250" s="298"/>
      <c r="I250" s="298"/>
      <c r="J250" s="298"/>
      <c r="K250" s="299"/>
      <c r="L250" s="299"/>
      <c r="M250" s="337"/>
      <c r="N250" s="337"/>
      <c r="O250" s="298">
        <v>3</v>
      </c>
      <c r="P250" s="292" t="s">
        <v>1830</v>
      </c>
      <c r="Q250" s="338">
        <v>0</v>
      </c>
      <c r="R250" s="338"/>
      <c r="S250" s="338"/>
      <c r="T250" s="338"/>
      <c r="U250" s="338" t="s">
        <v>131</v>
      </c>
      <c r="V250" s="338"/>
      <c r="W250" s="338"/>
      <c r="X250" s="753"/>
      <c r="Y250" s="578"/>
      <c r="Z250" s="747">
        <v>2</v>
      </c>
    </row>
    <row r="251" spans="1:26" s="147" customFormat="1" ht="20.149999999999999" customHeight="1" x14ac:dyDescent="0.2">
      <c r="A251" s="366"/>
      <c r="B251" s="285"/>
      <c r="C251" s="286"/>
      <c r="D251" s="297"/>
      <c r="E251" s="298"/>
      <c r="F251" s="298"/>
      <c r="G251" s="298"/>
      <c r="H251" s="298"/>
      <c r="I251" s="298"/>
      <c r="J251" s="298"/>
      <c r="K251" s="299"/>
      <c r="L251" s="299"/>
      <c r="M251" s="337"/>
      <c r="N251" s="337"/>
      <c r="O251" s="298">
        <v>4</v>
      </c>
      <c r="P251" s="292" t="s">
        <v>1831</v>
      </c>
      <c r="Q251" s="338">
        <v>0</v>
      </c>
      <c r="R251" s="338"/>
      <c r="S251" s="338"/>
      <c r="T251" s="338"/>
      <c r="U251" s="338" t="s">
        <v>131</v>
      </c>
      <c r="V251" s="338" t="s">
        <v>131</v>
      </c>
      <c r="W251" s="338"/>
      <c r="X251" s="753"/>
      <c r="Y251" s="578"/>
      <c r="Z251" s="747">
        <v>2</v>
      </c>
    </row>
    <row r="252" spans="1:26" s="147" customFormat="1" ht="20.149999999999999" customHeight="1" x14ac:dyDescent="0.2">
      <c r="A252" s="366"/>
      <c r="B252" s="285"/>
      <c r="C252" s="286"/>
      <c r="D252" s="297"/>
      <c r="E252" s="298"/>
      <c r="F252" s="298"/>
      <c r="G252" s="298"/>
      <c r="H252" s="298"/>
      <c r="I252" s="298"/>
      <c r="J252" s="298"/>
      <c r="K252" s="299"/>
      <c r="L252" s="299"/>
      <c r="M252" s="337"/>
      <c r="N252" s="337"/>
      <c r="O252" s="298">
        <v>5</v>
      </c>
      <c r="P252" s="292" t="s">
        <v>1832</v>
      </c>
      <c r="Q252" s="338">
        <v>0</v>
      </c>
      <c r="R252" s="338"/>
      <c r="S252" s="338"/>
      <c r="T252" s="338"/>
      <c r="U252" s="338" t="s">
        <v>131</v>
      </c>
      <c r="V252" s="338"/>
      <c r="W252" s="338"/>
      <c r="X252" s="338"/>
      <c r="Y252" s="578"/>
      <c r="Z252" s="368" t="s">
        <v>204</v>
      </c>
    </row>
    <row r="253" spans="1:26" s="147" customFormat="1" ht="20.149999999999999" customHeight="1" x14ac:dyDescent="0.2">
      <c r="A253" s="366"/>
      <c r="B253" s="285"/>
      <c r="C253" s="286"/>
      <c r="D253" s="297"/>
      <c r="E253" s="298"/>
      <c r="F253" s="298"/>
      <c r="G253" s="298"/>
      <c r="H253" s="298"/>
      <c r="I253" s="298"/>
      <c r="J253" s="298"/>
      <c r="K253" s="299"/>
      <c r="L253" s="299"/>
      <c r="M253" s="337"/>
      <c r="N253" s="337"/>
      <c r="O253" s="298">
        <v>6</v>
      </c>
      <c r="P253" s="292" t="s">
        <v>1833</v>
      </c>
      <c r="Q253" s="338">
        <v>0</v>
      </c>
      <c r="R253" s="338"/>
      <c r="S253" s="338"/>
      <c r="T253" s="338"/>
      <c r="U253" s="338" t="s">
        <v>131</v>
      </c>
      <c r="V253" s="338"/>
      <c r="W253" s="338"/>
      <c r="X253" s="338"/>
      <c r="Y253" s="578"/>
      <c r="Z253" s="368" t="s">
        <v>204</v>
      </c>
    </row>
    <row r="254" spans="1:26" s="147" customFormat="1" ht="21.75" customHeight="1" x14ac:dyDescent="0.2">
      <c r="A254" s="366"/>
      <c r="B254" s="285"/>
      <c r="C254" s="286"/>
      <c r="D254" s="297"/>
      <c r="E254" s="298"/>
      <c r="F254" s="298"/>
      <c r="G254" s="298"/>
      <c r="H254" s="298"/>
      <c r="I254" s="298"/>
      <c r="J254" s="298"/>
      <c r="K254" s="299"/>
      <c r="L254" s="299"/>
      <c r="M254" s="337"/>
      <c r="N254" s="299"/>
      <c r="O254" s="298">
        <v>7</v>
      </c>
      <c r="P254" s="292" t="s">
        <v>1834</v>
      </c>
      <c r="Q254" s="338">
        <v>0</v>
      </c>
      <c r="R254" s="577"/>
      <c r="S254" s="753"/>
      <c r="T254" s="576"/>
      <c r="U254" s="338" t="s">
        <v>131</v>
      </c>
      <c r="V254" s="575"/>
      <c r="W254" s="576"/>
      <c r="X254" s="338"/>
      <c r="Y254" s="578"/>
      <c r="Z254" s="747">
        <v>2</v>
      </c>
    </row>
    <row r="255" spans="1:26" s="147" customFormat="1" ht="21.75" customHeight="1" x14ac:dyDescent="0.2">
      <c r="A255" s="366"/>
      <c r="B255" s="285"/>
      <c r="C255" s="286"/>
      <c r="D255" s="297"/>
      <c r="E255" s="298"/>
      <c r="F255" s="298"/>
      <c r="G255" s="298"/>
      <c r="H255" s="298"/>
      <c r="I255" s="298"/>
      <c r="J255" s="298"/>
      <c r="K255" s="299"/>
      <c r="L255" s="299"/>
      <c r="M255" s="337"/>
      <c r="N255" s="299"/>
      <c r="O255" s="299"/>
      <c r="P255" s="286"/>
      <c r="Q255" s="338"/>
      <c r="R255" s="338"/>
      <c r="S255" s="338"/>
      <c r="T255" s="338"/>
      <c r="U255" s="338"/>
      <c r="V255" s="338"/>
      <c r="W255" s="338"/>
      <c r="X255" s="338"/>
      <c r="Y255" s="339"/>
      <c r="Z255" s="273"/>
    </row>
    <row r="256" spans="1:26" s="147" customFormat="1" ht="34" customHeight="1" x14ac:dyDescent="0.2">
      <c r="A256" s="876" t="s">
        <v>1835</v>
      </c>
      <c r="B256" s="348" t="s">
        <v>1387</v>
      </c>
      <c r="C256" s="878" t="s">
        <v>1836</v>
      </c>
      <c r="D256" s="352" t="s">
        <v>1584</v>
      </c>
      <c r="E256" s="454"/>
      <c r="F256" s="454"/>
      <c r="G256" s="454"/>
      <c r="H256" s="454"/>
      <c r="I256" s="454"/>
      <c r="J256" s="954">
        <f>2000/415</f>
        <v>4.8192771084337354</v>
      </c>
      <c r="K256" s="280" t="s">
        <v>131</v>
      </c>
      <c r="L256" s="280" t="s">
        <v>131</v>
      </c>
      <c r="M256" s="281" t="s">
        <v>1837</v>
      </c>
      <c r="N256" s="280" t="s">
        <v>1838</v>
      </c>
      <c r="O256" s="280"/>
      <c r="P256" s="283"/>
      <c r="Q256" s="279"/>
      <c r="R256" s="283"/>
      <c r="S256" s="279"/>
      <c r="T256" s="279"/>
      <c r="U256" s="279"/>
      <c r="V256" s="282"/>
      <c r="W256" s="282"/>
      <c r="X256" s="282"/>
      <c r="Y256" s="877" t="s">
        <v>1839</v>
      </c>
      <c r="Z256" s="751">
        <v>2</v>
      </c>
    </row>
    <row r="257" spans="1:26" s="147" customFormat="1" ht="21.75" customHeight="1" x14ac:dyDescent="0.2">
      <c r="A257" s="366"/>
      <c r="B257" s="285"/>
      <c r="C257" s="286"/>
      <c r="D257" s="297"/>
      <c r="E257" s="298"/>
      <c r="F257" s="298"/>
      <c r="G257" s="298"/>
      <c r="H257" s="298"/>
      <c r="I257" s="298"/>
      <c r="J257" s="298"/>
      <c r="K257" s="299"/>
      <c r="L257" s="299"/>
      <c r="M257" s="337"/>
      <c r="N257" s="299"/>
      <c r="O257" s="299">
        <v>1</v>
      </c>
      <c r="P257" s="286" t="s">
        <v>1840</v>
      </c>
      <c r="Q257" s="376">
        <v>0</v>
      </c>
      <c r="R257" s="338"/>
      <c r="S257" s="338"/>
      <c r="T257" s="338"/>
      <c r="U257" s="338" t="s">
        <v>131</v>
      </c>
      <c r="V257" s="338"/>
      <c r="W257" s="338"/>
      <c r="X257" s="338"/>
      <c r="Y257" s="681"/>
      <c r="Z257" s="368" t="s">
        <v>204</v>
      </c>
    </row>
    <row r="258" spans="1:26" s="147" customFormat="1" ht="21.75" customHeight="1" x14ac:dyDescent="0.2">
      <c r="A258" s="366"/>
      <c r="B258" s="285"/>
      <c r="C258" s="286"/>
      <c r="D258" s="297"/>
      <c r="E258" s="298"/>
      <c r="F258" s="298"/>
      <c r="G258" s="298"/>
      <c r="H258" s="298"/>
      <c r="I258" s="298"/>
      <c r="J258" s="298"/>
      <c r="K258" s="299"/>
      <c r="L258" s="299"/>
      <c r="M258" s="337"/>
      <c r="N258" s="299"/>
      <c r="O258" s="298">
        <v>2</v>
      </c>
      <c r="P258" s="292" t="s">
        <v>1841</v>
      </c>
      <c r="Q258" s="338">
        <v>0</v>
      </c>
      <c r="R258" s="338"/>
      <c r="S258" s="338"/>
      <c r="T258" s="338"/>
      <c r="U258" s="338" t="s">
        <v>131</v>
      </c>
      <c r="V258" s="338"/>
      <c r="W258" s="338"/>
      <c r="X258" s="753"/>
      <c r="Y258" s="578"/>
      <c r="Z258" s="747">
        <v>2</v>
      </c>
    </row>
    <row r="259" spans="1:26" s="147" customFormat="1" ht="21.75" customHeight="1" x14ac:dyDescent="0.2">
      <c r="A259" s="366"/>
      <c r="B259" s="285"/>
      <c r="C259" s="286"/>
      <c r="D259" s="297"/>
      <c r="E259" s="298"/>
      <c r="F259" s="298"/>
      <c r="G259" s="298"/>
      <c r="H259" s="298"/>
      <c r="I259" s="298"/>
      <c r="J259" s="298"/>
      <c r="K259" s="299"/>
      <c r="L259" s="299"/>
      <c r="M259" s="337"/>
      <c r="N259" s="299"/>
      <c r="O259" s="298">
        <v>3</v>
      </c>
      <c r="P259" s="292" t="s">
        <v>1842</v>
      </c>
      <c r="Q259" s="338">
        <v>0</v>
      </c>
      <c r="R259" s="338"/>
      <c r="S259" s="338"/>
      <c r="T259" s="338"/>
      <c r="U259" s="338" t="s">
        <v>131</v>
      </c>
      <c r="V259" s="338"/>
      <c r="W259" s="338"/>
      <c r="X259" s="753"/>
      <c r="Y259" s="578"/>
      <c r="Z259" s="747">
        <v>2</v>
      </c>
    </row>
    <row r="260" spans="1:26" s="147" customFormat="1" ht="21.75" customHeight="1" x14ac:dyDescent="0.2">
      <c r="A260" s="366"/>
      <c r="B260" s="285"/>
      <c r="C260" s="286"/>
      <c r="D260" s="297"/>
      <c r="E260" s="298"/>
      <c r="F260" s="298"/>
      <c r="G260" s="298"/>
      <c r="H260" s="298"/>
      <c r="I260" s="298"/>
      <c r="J260" s="298"/>
      <c r="K260" s="299"/>
      <c r="L260" s="299"/>
      <c r="M260" s="337"/>
      <c r="N260" s="299"/>
      <c r="O260" s="298">
        <v>4</v>
      </c>
      <c r="P260" s="292" t="s">
        <v>1843</v>
      </c>
      <c r="Q260" s="338">
        <v>0</v>
      </c>
      <c r="R260" s="338"/>
      <c r="S260" s="338"/>
      <c r="T260" s="338"/>
      <c r="U260" s="338" t="s">
        <v>131</v>
      </c>
      <c r="V260" s="338" t="s">
        <v>131</v>
      </c>
      <c r="W260" s="338"/>
      <c r="X260" s="753"/>
      <c r="Y260" s="578"/>
      <c r="Z260" s="747">
        <v>2</v>
      </c>
    </row>
    <row r="261" spans="1:26" s="147" customFormat="1" ht="21.75" customHeight="1" x14ac:dyDescent="0.2">
      <c r="A261" s="391"/>
      <c r="B261" s="295"/>
      <c r="C261" s="292"/>
      <c r="D261" s="287"/>
      <c r="E261" s="288"/>
      <c r="F261" s="288"/>
      <c r="G261" s="288"/>
      <c r="H261" s="288"/>
      <c r="I261" s="288"/>
      <c r="J261" s="288"/>
      <c r="K261" s="289"/>
      <c r="L261" s="289"/>
      <c r="M261" s="455"/>
      <c r="N261" s="289"/>
      <c r="O261" s="288">
        <v>5</v>
      </c>
      <c r="P261" s="292" t="s">
        <v>1844</v>
      </c>
      <c r="Q261" s="338">
        <v>0</v>
      </c>
      <c r="R261" s="338"/>
      <c r="S261" s="338"/>
      <c r="T261" s="338"/>
      <c r="U261" s="338" t="s">
        <v>131</v>
      </c>
      <c r="V261" s="338"/>
      <c r="W261" s="338"/>
      <c r="X261" s="338"/>
      <c r="Y261" s="578"/>
      <c r="Z261" s="368" t="s">
        <v>204</v>
      </c>
    </row>
    <row r="262" spans="1:26" s="147" customFormat="1" ht="21.75" customHeight="1" x14ac:dyDescent="0.2">
      <c r="A262" s="391"/>
      <c r="B262" s="295"/>
      <c r="C262" s="292"/>
      <c r="D262" s="287"/>
      <c r="E262" s="288"/>
      <c r="F262" s="288"/>
      <c r="G262" s="288"/>
      <c r="H262" s="288"/>
      <c r="I262" s="288"/>
      <c r="J262" s="288"/>
      <c r="K262" s="289"/>
      <c r="L262" s="289"/>
      <c r="M262" s="455"/>
      <c r="N262" s="289"/>
      <c r="O262" s="288">
        <v>6</v>
      </c>
      <c r="P262" s="292" t="s">
        <v>1845</v>
      </c>
      <c r="Q262" s="338">
        <v>0</v>
      </c>
      <c r="R262" s="338"/>
      <c r="S262" s="338"/>
      <c r="T262" s="338"/>
      <c r="U262" s="338" t="s">
        <v>131</v>
      </c>
      <c r="V262" s="338"/>
      <c r="W262" s="338"/>
      <c r="X262" s="338"/>
      <c r="Y262" s="578"/>
      <c r="Z262" s="368" t="s">
        <v>204</v>
      </c>
    </row>
    <row r="263" spans="1:26" s="147" customFormat="1" ht="21.75" customHeight="1" x14ac:dyDescent="0.2">
      <c r="A263" s="366"/>
      <c r="B263" s="285"/>
      <c r="C263" s="286"/>
      <c r="D263" s="297"/>
      <c r="E263" s="298"/>
      <c r="F263" s="298"/>
      <c r="G263" s="298"/>
      <c r="H263" s="298"/>
      <c r="I263" s="298"/>
      <c r="J263" s="298"/>
      <c r="K263" s="299"/>
      <c r="L263" s="299"/>
      <c r="M263" s="337"/>
      <c r="N263" s="299"/>
      <c r="O263" s="298">
        <v>7</v>
      </c>
      <c r="P263" s="292" t="s">
        <v>1846</v>
      </c>
      <c r="Q263" s="338">
        <v>0</v>
      </c>
      <c r="R263" s="577"/>
      <c r="S263" s="753"/>
      <c r="T263" s="576"/>
      <c r="U263" s="338" t="s">
        <v>131</v>
      </c>
      <c r="V263" s="575"/>
      <c r="W263" s="576"/>
      <c r="X263" s="338"/>
      <c r="Y263" s="578"/>
      <c r="Z263" s="747">
        <v>2</v>
      </c>
    </row>
    <row r="264" spans="1:26" s="147" customFormat="1" ht="21.75" customHeight="1" x14ac:dyDescent="0.2">
      <c r="A264" s="366"/>
      <c r="B264" s="285"/>
      <c r="C264" s="286"/>
      <c r="D264" s="297"/>
      <c r="E264" s="298"/>
      <c r="F264" s="298"/>
      <c r="G264" s="298"/>
      <c r="H264" s="298"/>
      <c r="I264" s="298"/>
      <c r="J264" s="298"/>
      <c r="K264" s="299"/>
      <c r="L264" s="299"/>
      <c r="M264" s="337"/>
      <c r="N264" s="299"/>
      <c r="O264" s="298">
        <v>8</v>
      </c>
      <c r="P264" s="286" t="s">
        <v>1847</v>
      </c>
      <c r="Q264" s="833">
        <v>3</v>
      </c>
      <c r="R264" s="369"/>
      <c r="S264" s="369"/>
      <c r="T264" s="369"/>
      <c r="U264" s="369" t="s">
        <v>131</v>
      </c>
      <c r="V264" s="369"/>
      <c r="W264" s="370"/>
      <c r="X264" s="370"/>
      <c r="Y264" s="340" t="s">
        <v>1848</v>
      </c>
      <c r="Z264" s="741">
        <v>2</v>
      </c>
    </row>
    <row r="265" spans="1:26" s="147" customFormat="1" ht="43.5" customHeight="1" x14ac:dyDescent="0.2">
      <c r="A265" s="366"/>
      <c r="B265" s="404"/>
      <c r="C265" s="405"/>
      <c r="D265" s="297"/>
      <c r="E265" s="406"/>
      <c r="F265" s="406"/>
      <c r="G265" s="406"/>
      <c r="H265" s="406"/>
      <c r="I265" s="406"/>
      <c r="J265" s="406"/>
      <c r="K265" s="407"/>
      <c r="L265" s="407"/>
      <c r="M265" s="459"/>
      <c r="N265" s="407"/>
      <c r="O265" s="298">
        <v>9</v>
      </c>
      <c r="P265" s="405" t="s">
        <v>1849</v>
      </c>
      <c r="Q265" s="833">
        <v>3</v>
      </c>
      <c r="R265" s="371"/>
      <c r="S265" s="371" t="s">
        <v>131</v>
      </c>
      <c r="T265" s="371"/>
      <c r="U265" s="371"/>
      <c r="V265" s="371"/>
      <c r="W265" s="766" t="s">
        <v>131</v>
      </c>
      <c r="X265" s="372"/>
      <c r="Y265" s="347" t="s">
        <v>1850</v>
      </c>
      <c r="Z265" s="741">
        <v>2</v>
      </c>
    </row>
    <row r="266" spans="1:26" s="147" customFormat="1" ht="21.75" customHeight="1" x14ac:dyDescent="0.2">
      <c r="A266" s="391"/>
      <c r="B266" s="295"/>
      <c r="C266" s="292"/>
      <c r="D266" s="287"/>
      <c r="E266" s="288"/>
      <c r="F266" s="288"/>
      <c r="G266" s="288"/>
      <c r="H266" s="288"/>
      <c r="I266" s="288"/>
      <c r="J266" s="288"/>
      <c r="K266" s="289"/>
      <c r="L266" s="289"/>
      <c r="M266" s="455"/>
      <c r="N266" s="289"/>
      <c r="O266" s="298">
        <v>10</v>
      </c>
      <c r="P266" s="367" t="s">
        <v>1851</v>
      </c>
      <c r="Q266" s="369">
        <v>5</v>
      </c>
      <c r="R266" s="369"/>
      <c r="S266" s="369"/>
      <c r="T266" s="369"/>
      <c r="U266" s="369" t="s">
        <v>131</v>
      </c>
      <c r="V266" s="369"/>
      <c r="W266" s="370"/>
      <c r="X266" s="369"/>
      <c r="Y266" s="340" t="s">
        <v>1852</v>
      </c>
      <c r="Z266" s="293" t="s">
        <v>175</v>
      </c>
    </row>
    <row r="267" spans="1:26" s="147" customFormat="1" ht="21.75" customHeight="1" x14ac:dyDescent="0.2">
      <c r="A267" s="392"/>
      <c r="B267" s="355"/>
      <c r="C267" s="356"/>
      <c r="D267" s="302"/>
      <c r="E267" s="357"/>
      <c r="F267" s="357"/>
      <c r="G267" s="357"/>
      <c r="H267" s="357"/>
      <c r="I267" s="357"/>
      <c r="J267" s="357"/>
      <c r="K267" s="358"/>
      <c r="L267" s="358"/>
      <c r="M267" s="456"/>
      <c r="N267" s="358"/>
      <c r="O267" s="358"/>
      <c r="P267" s="394"/>
      <c r="Q267" s="393"/>
      <c r="R267" s="393"/>
      <c r="S267" s="393"/>
      <c r="T267" s="393"/>
      <c r="U267" s="393"/>
      <c r="V267" s="393"/>
      <c r="W267" s="584"/>
      <c r="X267" s="393"/>
      <c r="Y267" s="361"/>
      <c r="Z267" s="268"/>
    </row>
    <row r="268" spans="1:26" s="147" customFormat="1" ht="34" customHeight="1" x14ac:dyDescent="0.2">
      <c r="A268" s="893" t="s">
        <v>1853</v>
      </c>
      <c r="B268" s="848" t="s">
        <v>1387</v>
      </c>
      <c r="C268" s="849" t="s">
        <v>1854</v>
      </c>
      <c r="D268" s="840" t="s">
        <v>1584</v>
      </c>
      <c r="E268" s="851"/>
      <c r="F268" s="851"/>
      <c r="G268" s="851"/>
      <c r="H268" s="851"/>
      <c r="I268" s="851"/>
      <c r="J268" s="842">
        <f>2000/415</f>
        <v>4.8192771084337354</v>
      </c>
      <c r="K268" s="852" t="s">
        <v>131</v>
      </c>
      <c r="L268" s="852" t="s">
        <v>131</v>
      </c>
      <c r="M268" s="844" t="s">
        <v>1837</v>
      </c>
      <c r="N268" s="843" t="s">
        <v>1838</v>
      </c>
      <c r="O268" s="852"/>
      <c r="P268" s="849"/>
      <c r="Q268" s="851"/>
      <c r="R268" s="849"/>
      <c r="S268" s="851"/>
      <c r="T268" s="851"/>
      <c r="U268" s="851"/>
      <c r="V268" s="749"/>
      <c r="W268" s="749"/>
      <c r="X268" s="749"/>
      <c r="Y268" s="859"/>
      <c r="Z268" s="749"/>
    </row>
    <row r="269" spans="1:26" s="147" customFormat="1" ht="21.75" customHeight="1" x14ac:dyDescent="0.2">
      <c r="A269" s="847"/>
      <c r="B269" s="848"/>
      <c r="C269" s="849"/>
      <c r="D269" s="850"/>
      <c r="E269" s="851"/>
      <c r="F269" s="851"/>
      <c r="G269" s="851"/>
      <c r="H269" s="851"/>
      <c r="I269" s="851"/>
      <c r="J269" s="851"/>
      <c r="K269" s="852"/>
      <c r="L269" s="852"/>
      <c r="M269" s="853"/>
      <c r="N269" s="852"/>
      <c r="O269" s="852">
        <v>1</v>
      </c>
      <c r="P269" s="849" t="s">
        <v>1855</v>
      </c>
      <c r="Q269" s="851">
        <v>0</v>
      </c>
      <c r="R269" s="753"/>
      <c r="S269" s="753"/>
      <c r="T269" s="753"/>
      <c r="U269" s="753" t="s">
        <v>131</v>
      </c>
      <c r="V269" s="753"/>
      <c r="W269" s="753"/>
      <c r="X269" s="753"/>
      <c r="Y269" s="854"/>
      <c r="Z269" s="754" t="s">
        <v>204</v>
      </c>
    </row>
    <row r="270" spans="1:26" s="147" customFormat="1" ht="21.75" customHeight="1" x14ac:dyDescent="0.2">
      <c r="A270" s="847"/>
      <c r="B270" s="848"/>
      <c r="C270" s="849"/>
      <c r="D270" s="850"/>
      <c r="E270" s="851"/>
      <c r="F270" s="851"/>
      <c r="G270" s="851"/>
      <c r="H270" s="851"/>
      <c r="I270" s="851"/>
      <c r="J270" s="851"/>
      <c r="K270" s="852"/>
      <c r="L270" s="852"/>
      <c r="M270" s="853"/>
      <c r="N270" s="852"/>
      <c r="O270" s="851">
        <v>2</v>
      </c>
      <c r="P270" s="752" t="s">
        <v>1856</v>
      </c>
      <c r="Q270" s="753">
        <v>0</v>
      </c>
      <c r="R270" s="753"/>
      <c r="S270" s="753"/>
      <c r="T270" s="753"/>
      <c r="U270" s="753" t="s">
        <v>131</v>
      </c>
      <c r="V270" s="753"/>
      <c r="W270" s="753"/>
      <c r="X270" s="753" t="s">
        <v>131</v>
      </c>
      <c r="Y270" s="854"/>
      <c r="Z270" s="754" t="s">
        <v>204</v>
      </c>
    </row>
    <row r="271" spans="1:26" s="147" customFormat="1" ht="21.75" customHeight="1" x14ac:dyDescent="0.2">
      <c r="A271" s="847"/>
      <c r="B271" s="848"/>
      <c r="C271" s="849"/>
      <c r="D271" s="850"/>
      <c r="E271" s="851"/>
      <c r="F271" s="851"/>
      <c r="G271" s="851"/>
      <c r="H271" s="851"/>
      <c r="I271" s="851"/>
      <c r="J271" s="851"/>
      <c r="K271" s="852"/>
      <c r="L271" s="852"/>
      <c r="M271" s="853"/>
      <c r="N271" s="852"/>
      <c r="O271" s="851">
        <v>3</v>
      </c>
      <c r="P271" s="752" t="s">
        <v>1857</v>
      </c>
      <c r="Q271" s="753">
        <v>0</v>
      </c>
      <c r="R271" s="753"/>
      <c r="S271" s="753"/>
      <c r="T271" s="753"/>
      <c r="U271" s="753" t="s">
        <v>131</v>
      </c>
      <c r="V271" s="753"/>
      <c r="W271" s="753"/>
      <c r="X271" s="753" t="s">
        <v>131</v>
      </c>
      <c r="Y271" s="854"/>
      <c r="Z271" s="754" t="s">
        <v>204</v>
      </c>
    </row>
    <row r="272" spans="1:26" s="147" customFormat="1" ht="21.75" customHeight="1" x14ac:dyDescent="0.2">
      <c r="A272" s="847"/>
      <c r="B272" s="848"/>
      <c r="C272" s="849"/>
      <c r="D272" s="850"/>
      <c r="E272" s="851"/>
      <c r="F272" s="851"/>
      <c r="G272" s="851"/>
      <c r="H272" s="851"/>
      <c r="I272" s="851"/>
      <c r="J272" s="851"/>
      <c r="K272" s="852"/>
      <c r="L272" s="852"/>
      <c r="M272" s="853"/>
      <c r="N272" s="852"/>
      <c r="O272" s="851">
        <v>4</v>
      </c>
      <c r="P272" s="752" t="s">
        <v>1858</v>
      </c>
      <c r="Q272" s="753">
        <v>0</v>
      </c>
      <c r="R272" s="753"/>
      <c r="S272" s="753"/>
      <c r="T272" s="753"/>
      <c r="U272" s="753" t="s">
        <v>131</v>
      </c>
      <c r="V272" s="753" t="s">
        <v>131</v>
      </c>
      <c r="W272" s="753"/>
      <c r="X272" s="753" t="s">
        <v>131</v>
      </c>
      <c r="Y272" s="854"/>
      <c r="Z272" s="754" t="s">
        <v>204</v>
      </c>
    </row>
    <row r="273" spans="1:26" s="147" customFormat="1" ht="21.75" customHeight="1" x14ac:dyDescent="0.2">
      <c r="A273" s="847"/>
      <c r="B273" s="848"/>
      <c r="C273" s="849"/>
      <c r="D273" s="850"/>
      <c r="E273" s="851"/>
      <c r="F273" s="851"/>
      <c r="G273" s="851"/>
      <c r="H273" s="851"/>
      <c r="I273" s="851"/>
      <c r="J273" s="851"/>
      <c r="K273" s="852"/>
      <c r="L273" s="852"/>
      <c r="M273" s="853"/>
      <c r="N273" s="852"/>
      <c r="O273" s="851">
        <v>5</v>
      </c>
      <c r="P273" s="752" t="s">
        <v>1859</v>
      </c>
      <c r="Q273" s="753">
        <v>0</v>
      </c>
      <c r="R273" s="753"/>
      <c r="S273" s="753"/>
      <c r="T273" s="753"/>
      <c r="U273" s="753" t="s">
        <v>131</v>
      </c>
      <c r="V273" s="753"/>
      <c r="W273" s="753"/>
      <c r="X273" s="753"/>
      <c r="Y273" s="854"/>
      <c r="Z273" s="754" t="s">
        <v>204</v>
      </c>
    </row>
    <row r="274" spans="1:26" s="147" customFormat="1" ht="21.75" customHeight="1" x14ac:dyDescent="0.2">
      <c r="A274" s="847"/>
      <c r="B274" s="848"/>
      <c r="C274" s="849"/>
      <c r="D274" s="850"/>
      <c r="E274" s="851"/>
      <c r="F274" s="851"/>
      <c r="G274" s="851"/>
      <c r="H274" s="851"/>
      <c r="I274" s="851"/>
      <c r="J274" s="851"/>
      <c r="K274" s="852"/>
      <c r="L274" s="852"/>
      <c r="M274" s="853"/>
      <c r="N274" s="852"/>
      <c r="O274" s="851">
        <v>6</v>
      </c>
      <c r="P274" s="752" t="s">
        <v>1860</v>
      </c>
      <c r="Q274" s="753">
        <v>0</v>
      </c>
      <c r="R274" s="753"/>
      <c r="S274" s="753"/>
      <c r="T274" s="753"/>
      <c r="U274" s="753" t="s">
        <v>131</v>
      </c>
      <c r="V274" s="753"/>
      <c r="W274" s="753"/>
      <c r="X274" s="753"/>
      <c r="Y274" s="854"/>
      <c r="Z274" s="754" t="s">
        <v>204</v>
      </c>
    </row>
    <row r="275" spans="1:26" s="147" customFormat="1" ht="21.75" customHeight="1" x14ac:dyDescent="0.2">
      <c r="A275" s="847"/>
      <c r="B275" s="848"/>
      <c r="C275" s="849"/>
      <c r="D275" s="850"/>
      <c r="E275" s="851"/>
      <c r="F275" s="851"/>
      <c r="G275" s="851"/>
      <c r="H275" s="851"/>
      <c r="I275" s="851"/>
      <c r="J275" s="851"/>
      <c r="K275" s="852"/>
      <c r="L275" s="852"/>
      <c r="M275" s="853"/>
      <c r="N275" s="852"/>
      <c r="O275" s="851">
        <v>7</v>
      </c>
      <c r="P275" s="752" t="s">
        <v>1861</v>
      </c>
      <c r="Q275" s="753">
        <v>0</v>
      </c>
      <c r="R275" s="855"/>
      <c r="S275" s="753" t="s">
        <v>131</v>
      </c>
      <c r="T275" s="856"/>
      <c r="U275" s="753"/>
      <c r="V275" s="856"/>
      <c r="W275" s="856"/>
      <c r="X275" s="753"/>
      <c r="Y275" s="854"/>
      <c r="Z275" s="754" t="s">
        <v>204</v>
      </c>
    </row>
    <row r="276" spans="1:26" s="147" customFormat="1" ht="21.75" customHeight="1" x14ac:dyDescent="0.2">
      <c r="A276" s="847"/>
      <c r="B276" s="848"/>
      <c r="C276" s="849"/>
      <c r="D276" s="850"/>
      <c r="E276" s="851"/>
      <c r="F276" s="851"/>
      <c r="G276" s="851"/>
      <c r="H276" s="851"/>
      <c r="I276" s="851"/>
      <c r="J276" s="851"/>
      <c r="K276" s="851"/>
      <c r="L276" s="851"/>
      <c r="M276" s="749"/>
      <c r="N276" s="851"/>
      <c r="O276" s="851">
        <v>8</v>
      </c>
      <c r="P276" s="849" t="s">
        <v>1847</v>
      </c>
      <c r="Q276" s="894">
        <v>3</v>
      </c>
      <c r="R276" s="857"/>
      <c r="S276" s="857"/>
      <c r="T276" s="857"/>
      <c r="U276" s="857" t="s">
        <v>131</v>
      </c>
      <c r="V276" s="857"/>
      <c r="W276" s="858"/>
      <c r="X276" s="858"/>
      <c r="Y276" s="755" t="s">
        <v>1848</v>
      </c>
      <c r="Z276" s="749">
        <v>2</v>
      </c>
    </row>
    <row r="277" spans="1:26" s="147" customFormat="1" ht="43.5" customHeight="1" x14ac:dyDescent="0.2">
      <c r="A277" s="860"/>
      <c r="B277" s="861"/>
      <c r="C277" s="752"/>
      <c r="D277" s="862"/>
      <c r="E277" s="753"/>
      <c r="F277" s="753"/>
      <c r="G277" s="753"/>
      <c r="H277" s="753"/>
      <c r="I277" s="753"/>
      <c r="J277" s="753"/>
      <c r="K277" s="863"/>
      <c r="L277" s="863"/>
      <c r="M277" s="864"/>
      <c r="N277" s="863"/>
      <c r="O277" s="851">
        <v>9</v>
      </c>
      <c r="P277" s="895" t="s">
        <v>1849</v>
      </c>
      <c r="Q277" s="894">
        <v>3</v>
      </c>
      <c r="R277" s="857"/>
      <c r="S277" s="857" t="s">
        <v>131</v>
      </c>
      <c r="T277" s="857"/>
      <c r="U277" s="857"/>
      <c r="V277" s="857"/>
      <c r="W277" s="858"/>
      <c r="X277" s="858"/>
      <c r="Y277" s="896" t="s">
        <v>1862</v>
      </c>
      <c r="Z277" s="749">
        <v>2</v>
      </c>
    </row>
    <row r="278" spans="1:26" s="147" customFormat="1" ht="21.75" customHeight="1" x14ac:dyDescent="0.2">
      <c r="A278" s="860"/>
      <c r="B278" s="861"/>
      <c r="C278" s="752"/>
      <c r="D278" s="862"/>
      <c r="E278" s="753"/>
      <c r="F278" s="753"/>
      <c r="G278" s="753"/>
      <c r="H278" s="753"/>
      <c r="I278" s="753"/>
      <c r="J278" s="753"/>
      <c r="K278" s="863"/>
      <c r="L278" s="863"/>
      <c r="M278" s="864"/>
      <c r="N278" s="863"/>
      <c r="O278" s="851">
        <v>10</v>
      </c>
      <c r="P278" s="752" t="s">
        <v>1851</v>
      </c>
      <c r="Q278" s="857">
        <v>5</v>
      </c>
      <c r="R278" s="857"/>
      <c r="S278" s="857"/>
      <c r="T278" s="857"/>
      <c r="U278" s="857" t="s">
        <v>131</v>
      </c>
      <c r="V278" s="857"/>
      <c r="W278" s="858"/>
      <c r="X278" s="857"/>
      <c r="Y278" s="755" t="s">
        <v>1852</v>
      </c>
      <c r="Z278" s="754" t="s">
        <v>175</v>
      </c>
    </row>
    <row r="279" spans="1:26" s="147" customFormat="1" ht="21.75" customHeight="1" x14ac:dyDescent="0.2">
      <c r="A279" s="897"/>
      <c r="B279" s="898"/>
      <c r="C279" s="899"/>
      <c r="D279" s="900"/>
      <c r="E279" s="901"/>
      <c r="F279" s="901"/>
      <c r="G279" s="901"/>
      <c r="H279" s="901"/>
      <c r="I279" s="901"/>
      <c r="J279" s="901"/>
      <c r="K279" s="902"/>
      <c r="L279" s="902"/>
      <c r="M279" s="903"/>
      <c r="N279" s="902"/>
      <c r="O279" s="902"/>
      <c r="P279" s="899"/>
      <c r="Q279" s="904"/>
      <c r="R279" s="904"/>
      <c r="S279" s="904"/>
      <c r="T279" s="904"/>
      <c r="U279" s="904"/>
      <c r="V279" s="904"/>
      <c r="W279" s="905"/>
      <c r="X279" s="904"/>
      <c r="Y279" s="906"/>
      <c r="Z279" s="907"/>
    </row>
    <row r="280" spans="1:26" s="147" customFormat="1" ht="34" customHeight="1" x14ac:dyDescent="0.2">
      <c r="A280" s="893" t="s">
        <v>1863</v>
      </c>
      <c r="B280" s="848" t="s">
        <v>1387</v>
      </c>
      <c r="C280" s="849" t="s">
        <v>1864</v>
      </c>
      <c r="D280" s="840" t="s">
        <v>1584</v>
      </c>
      <c r="E280" s="851"/>
      <c r="F280" s="851"/>
      <c r="G280" s="851"/>
      <c r="H280" s="851"/>
      <c r="I280" s="851"/>
      <c r="J280" s="842">
        <f>2000/415</f>
        <v>4.8192771084337354</v>
      </c>
      <c r="K280" s="852" t="s">
        <v>131</v>
      </c>
      <c r="L280" s="852" t="s">
        <v>131</v>
      </c>
      <c r="M280" s="844" t="s">
        <v>1837</v>
      </c>
      <c r="N280" s="843" t="s">
        <v>1838</v>
      </c>
      <c r="O280" s="852"/>
      <c r="P280" s="849"/>
      <c r="Q280" s="851"/>
      <c r="R280" s="849"/>
      <c r="S280" s="851"/>
      <c r="T280" s="851"/>
      <c r="U280" s="851"/>
      <c r="V280" s="749"/>
      <c r="W280" s="749"/>
      <c r="X280" s="749"/>
      <c r="Y280" s="859"/>
      <c r="Z280" s="749"/>
    </row>
    <row r="281" spans="1:26" s="147" customFormat="1" ht="21.75" customHeight="1" x14ac:dyDescent="0.2">
      <c r="A281" s="847"/>
      <c r="B281" s="848"/>
      <c r="C281" s="849"/>
      <c r="D281" s="850"/>
      <c r="E281" s="851"/>
      <c r="F281" s="851"/>
      <c r="G281" s="851"/>
      <c r="H281" s="851"/>
      <c r="I281" s="851"/>
      <c r="J281" s="851"/>
      <c r="K281" s="852"/>
      <c r="L281" s="852"/>
      <c r="M281" s="853"/>
      <c r="N281" s="852"/>
      <c r="O281" s="852">
        <v>1</v>
      </c>
      <c r="P281" s="849" t="s">
        <v>1865</v>
      </c>
      <c r="Q281" s="851">
        <v>0</v>
      </c>
      <c r="R281" s="753"/>
      <c r="S281" s="753"/>
      <c r="T281" s="753"/>
      <c r="U281" s="753" t="s">
        <v>131</v>
      </c>
      <c r="V281" s="753"/>
      <c r="W281" s="753"/>
      <c r="X281" s="753"/>
      <c r="Y281" s="854"/>
      <c r="Z281" s="754" t="s">
        <v>204</v>
      </c>
    </row>
    <row r="282" spans="1:26" s="147" customFormat="1" ht="21.75" customHeight="1" x14ac:dyDescent="0.2">
      <c r="A282" s="847"/>
      <c r="B282" s="848"/>
      <c r="C282" s="849"/>
      <c r="D282" s="850"/>
      <c r="E282" s="851"/>
      <c r="F282" s="851"/>
      <c r="G282" s="851"/>
      <c r="H282" s="851"/>
      <c r="I282" s="851"/>
      <c r="J282" s="851"/>
      <c r="K282" s="852"/>
      <c r="L282" s="852"/>
      <c r="M282" s="853"/>
      <c r="N282" s="852"/>
      <c r="O282" s="851">
        <v>2</v>
      </c>
      <c r="P282" s="752" t="s">
        <v>1866</v>
      </c>
      <c r="Q282" s="753">
        <v>0</v>
      </c>
      <c r="R282" s="753"/>
      <c r="S282" s="753"/>
      <c r="T282" s="753"/>
      <c r="U282" s="753" t="s">
        <v>131</v>
      </c>
      <c r="V282" s="753"/>
      <c r="W282" s="753"/>
      <c r="X282" s="753" t="s">
        <v>131</v>
      </c>
      <c r="Y282" s="854"/>
      <c r="Z282" s="754" t="s">
        <v>204</v>
      </c>
    </row>
    <row r="283" spans="1:26" s="147" customFormat="1" ht="21.75" customHeight="1" x14ac:dyDescent="0.2">
      <c r="A283" s="847"/>
      <c r="B283" s="848"/>
      <c r="C283" s="849"/>
      <c r="D283" s="850"/>
      <c r="E283" s="851"/>
      <c r="F283" s="851"/>
      <c r="G283" s="851"/>
      <c r="H283" s="851"/>
      <c r="I283" s="851"/>
      <c r="J283" s="851"/>
      <c r="K283" s="852"/>
      <c r="L283" s="852"/>
      <c r="M283" s="853"/>
      <c r="N283" s="852"/>
      <c r="O283" s="851">
        <v>3</v>
      </c>
      <c r="P283" s="752" t="s">
        <v>1867</v>
      </c>
      <c r="Q283" s="753">
        <v>0</v>
      </c>
      <c r="R283" s="753"/>
      <c r="S283" s="753"/>
      <c r="T283" s="753"/>
      <c r="U283" s="753" t="s">
        <v>131</v>
      </c>
      <c r="V283" s="753"/>
      <c r="W283" s="753"/>
      <c r="X283" s="753" t="s">
        <v>131</v>
      </c>
      <c r="Y283" s="854"/>
      <c r="Z283" s="754" t="s">
        <v>204</v>
      </c>
    </row>
    <row r="284" spans="1:26" s="147" customFormat="1" ht="21.75" customHeight="1" x14ac:dyDescent="0.2">
      <c r="A284" s="847"/>
      <c r="B284" s="848"/>
      <c r="C284" s="849"/>
      <c r="D284" s="850"/>
      <c r="E284" s="851"/>
      <c r="F284" s="851"/>
      <c r="G284" s="851"/>
      <c r="H284" s="851"/>
      <c r="I284" s="851"/>
      <c r="J284" s="851"/>
      <c r="K284" s="852"/>
      <c r="L284" s="852"/>
      <c r="M284" s="853"/>
      <c r="N284" s="852"/>
      <c r="O284" s="851">
        <v>4</v>
      </c>
      <c r="P284" s="752" t="s">
        <v>1868</v>
      </c>
      <c r="Q284" s="753">
        <v>0</v>
      </c>
      <c r="R284" s="753"/>
      <c r="S284" s="753"/>
      <c r="T284" s="753"/>
      <c r="U284" s="753" t="s">
        <v>131</v>
      </c>
      <c r="V284" s="753" t="s">
        <v>131</v>
      </c>
      <c r="W284" s="753"/>
      <c r="X284" s="753" t="s">
        <v>131</v>
      </c>
      <c r="Y284" s="854"/>
      <c r="Z284" s="754" t="s">
        <v>204</v>
      </c>
    </row>
    <row r="285" spans="1:26" s="147" customFormat="1" ht="21.75" customHeight="1" x14ac:dyDescent="0.2">
      <c r="A285" s="847"/>
      <c r="B285" s="848"/>
      <c r="C285" s="849"/>
      <c r="D285" s="850"/>
      <c r="E285" s="851"/>
      <c r="F285" s="851"/>
      <c r="G285" s="851"/>
      <c r="H285" s="851"/>
      <c r="I285" s="851"/>
      <c r="J285" s="851"/>
      <c r="K285" s="852"/>
      <c r="L285" s="852"/>
      <c r="M285" s="853"/>
      <c r="N285" s="852"/>
      <c r="O285" s="851">
        <v>5</v>
      </c>
      <c r="P285" s="752" t="s">
        <v>1869</v>
      </c>
      <c r="Q285" s="753">
        <v>0</v>
      </c>
      <c r="R285" s="753"/>
      <c r="S285" s="753"/>
      <c r="T285" s="753"/>
      <c r="U285" s="753" t="s">
        <v>131</v>
      </c>
      <c r="V285" s="753"/>
      <c r="W285" s="753"/>
      <c r="X285" s="753"/>
      <c r="Y285" s="854"/>
      <c r="Z285" s="754" t="s">
        <v>204</v>
      </c>
    </row>
    <row r="286" spans="1:26" s="147" customFormat="1" ht="21.75" customHeight="1" x14ac:dyDescent="0.2">
      <c r="A286" s="847"/>
      <c r="B286" s="848"/>
      <c r="C286" s="849"/>
      <c r="D286" s="850"/>
      <c r="E286" s="851"/>
      <c r="F286" s="851"/>
      <c r="G286" s="851"/>
      <c r="H286" s="851"/>
      <c r="I286" s="851"/>
      <c r="J286" s="851"/>
      <c r="K286" s="852"/>
      <c r="L286" s="852"/>
      <c r="M286" s="853"/>
      <c r="N286" s="852"/>
      <c r="O286" s="851">
        <v>6</v>
      </c>
      <c r="P286" s="752" t="s">
        <v>1870</v>
      </c>
      <c r="Q286" s="753">
        <v>0</v>
      </c>
      <c r="R286" s="753"/>
      <c r="S286" s="753"/>
      <c r="T286" s="753"/>
      <c r="U286" s="753" t="s">
        <v>131</v>
      </c>
      <c r="V286" s="753"/>
      <c r="W286" s="753"/>
      <c r="X286" s="753"/>
      <c r="Y286" s="854"/>
      <c r="Z286" s="754" t="s">
        <v>204</v>
      </c>
    </row>
    <row r="287" spans="1:26" s="147" customFormat="1" ht="21.75" customHeight="1" x14ac:dyDescent="0.2">
      <c r="A287" s="847"/>
      <c r="B287" s="848"/>
      <c r="C287" s="849"/>
      <c r="D287" s="850"/>
      <c r="E287" s="851"/>
      <c r="F287" s="851"/>
      <c r="G287" s="851"/>
      <c r="H287" s="851"/>
      <c r="I287" s="851"/>
      <c r="J287" s="851"/>
      <c r="K287" s="852"/>
      <c r="L287" s="852"/>
      <c r="M287" s="853"/>
      <c r="N287" s="852"/>
      <c r="O287" s="851">
        <v>7</v>
      </c>
      <c r="P287" s="752" t="s">
        <v>1871</v>
      </c>
      <c r="Q287" s="753">
        <v>0</v>
      </c>
      <c r="R287" s="855"/>
      <c r="S287" s="753" t="s">
        <v>131</v>
      </c>
      <c r="T287" s="856"/>
      <c r="U287" s="753"/>
      <c r="V287" s="856"/>
      <c r="W287" s="856"/>
      <c r="X287" s="753"/>
      <c r="Y287" s="854"/>
      <c r="Z287" s="754" t="s">
        <v>204</v>
      </c>
    </row>
    <row r="288" spans="1:26" s="147" customFormat="1" ht="21.75" customHeight="1" x14ac:dyDescent="0.2">
      <c r="A288" s="847"/>
      <c r="B288" s="848"/>
      <c r="C288" s="849"/>
      <c r="D288" s="850"/>
      <c r="E288" s="851"/>
      <c r="F288" s="851"/>
      <c r="G288" s="851"/>
      <c r="H288" s="851"/>
      <c r="I288" s="851"/>
      <c r="J288" s="851"/>
      <c r="K288" s="852"/>
      <c r="L288" s="852"/>
      <c r="M288" s="853"/>
      <c r="N288" s="852"/>
      <c r="O288" s="851">
        <v>8</v>
      </c>
      <c r="P288" s="849" t="s">
        <v>1847</v>
      </c>
      <c r="Q288" s="894">
        <v>3</v>
      </c>
      <c r="R288" s="857"/>
      <c r="S288" s="857"/>
      <c r="T288" s="857"/>
      <c r="U288" s="857" t="s">
        <v>131</v>
      </c>
      <c r="V288" s="857"/>
      <c r="W288" s="858"/>
      <c r="X288" s="858"/>
      <c r="Y288" s="755" t="s">
        <v>1848</v>
      </c>
      <c r="Z288" s="749">
        <v>2</v>
      </c>
    </row>
    <row r="289" spans="1:26" s="147" customFormat="1" ht="43.5" customHeight="1" x14ac:dyDescent="0.2">
      <c r="A289" s="847"/>
      <c r="B289" s="908"/>
      <c r="C289" s="895"/>
      <c r="D289" s="850"/>
      <c r="E289" s="909"/>
      <c r="F289" s="909"/>
      <c r="G289" s="909"/>
      <c r="H289" s="909"/>
      <c r="I289" s="909"/>
      <c r="J289" s="909"/>
      <c r="K289" s="910"/>
      <c r="L289" s="910"/>
      <c r="M289" s="911"/>
      <c r="N289" s="910"/>
      <c r="O289" s="851">
        <v>9</v>
      </c>
      <c r="P289" s="895" t="s">
        <v>1849</v>
      </c>
      <c r="Q289" s="894">
        <v>3</v>
      </c>
      <c r="R289" s="894"/>
      <c r="S289" s="894" t="s">
        <v>131</v>
      </c>
      <c r="T289" s="894"/>
      <c r="U289" s="894"/>
      <c r="V289" s="894"/>
      <c r="W289" s="912"/>
      <c r="X289" s="912"/>
      <c r="Y289" s="896" t="s">
        <v>1872</v>
      </c>
      <c r="Z289" s="749">
        <v>2</v>
      </c>
    </row>
    <row r="290" spans="1:26" s="147" customFormat="1" ht="21.75" customHeight="1" x14ac:dyDescent="0.2">
      <c r="A290" s="860"/>
      <c r="B290" s="861"/>
      <c r="C290" s="752"/>
      <c r="D290" s="862"/>
      <c r="E290" s="753"/>
      <c r="F290" s="753"/>
      <c r="G290" s="753"/>
      <c r="H290" s="753"/>
      <c r="I290" s="753"/>
      <c r="J290" s="753"/>
      <c r="K290" s="863"/>
      <c r="L290" s="863"/>
      <c r="M290" s="864"/>
      <c r="N290" s="863"/>
      <c r="O290" s="851">
        <v>10</v>
      </c>
      <c r="P290" s="752" t="s">
        <v>1851</v>
      </c>
      <c r="Q290" s="857">
        <v>5</v>
      </c>
      <c r="R290" s="857"/>
      <c r="S290" s="857"/>
      <c r="T290" s="857"/>
      <c r="U290" s="857" t="s">
        <v>131</v>
      </c>
      <c r="V290" s="857"/>
      <c r="W290" s="858"/>
      <c r="X290" s="857"/>
      <c r="Y290" s="755" t="s">
        <v>1852</v>
      </c>
      <c r="Z290" s="754" t="s">
        <v>175</v>
      </c>
    </row>
    <row r="291" spans="1:26" s="147" customFormat="1" ht="21.75" customHeight="1" x14ac:dyDescent="0.2">
      <c r="A291" s="897"/>
      <c r="B291" s="898"/>
      <c r="C291" s="899"/>
      <c r="D291" s="900"/>
      <c r="E291" s="901"/>
      <c r="F291" s="901"/>
      <c r="G291" s="901"/>
      <c r="H291" s="901"/>
      <c r="I291" s="901"/>
      <c r="J291" s="901"/>
      <c r="K291" s="902"/>
      <c r="L291" s="902"/>
      <c r="M291" s="903"/>
      <c r="N291" s="902"/>
      <c r="O291" s="902"/>
      <c r="P291" s="899"/>
      <c r="Q291" s="904"/>
      <c r="R291" s="904"/>
      <c r="S291" s="904"/>
      <c r="T291" s="904"/>
      <c r="U291" s="904"/>
      <c r="V291" s="904"/>
      <c r="W291" s="905"/>
      <c r="X291" s="904"/>
      <c r="Y291" s="906"/>
      <c r="Z291" s="907"/>
    </row>
    <row r="292" spans="1:26" s="147" customFormat="1" ht="34" customHeight="1" x14ac:dyDescent="0.2">
      <c r="A292" s="893" t="s">
        <v>1873</v>
      </c>
      <c r="B292" s="848" t="s">
        <v>1387</v>
      </c>
      <c r="C292" s="849" t="s">
        <v>1874</v>
      </c>
      <c r="D292" s="913" t="s">
        <v>1875</v>
      </c>
      <c r="E292" s="851"/>
      <c r="F292" s="851"/>
      <c r="G292" s="851"/>
      <c r="H292" s="851"/>
      <c r="I292" s="851"/>
      <c r="J292" s="842">
        <f>2000/415</f>
        <v>4.8192771084337354</v>
      </c>
      <c r="K292" s="852" t="s">
        <v>131</v>
      </c>
      <c r="L292" s="852" t="s">
        <v>131</v>
      </c>
      <c r="M292" s="844" t="s">
        <v>1837</v>
      </c>
      <c r="N292" s="843" t="s">
        <v>1838</v>
      </c>
      <c r="O292" s="852"/>
      <c r="P292" s="849"/>
      <c r="Q292" s="851"/>
      <c r="R292" s="849"/>
      <c r="S292" s="851"/>
      <c r="T292" s="851"/>
      <c r="U292" s="851"/>
      <c r="V292" s="749"/>
      <c r="W292" s="749"/>
      <c r="X292" s="749"/>
      <c r="Y292" s="859"/>
      <c r="Z292" s="749"/>
    </row>
    <row r="293" spans="1:26" s="147" customFormat="1" ht="21.75" customHeight="1" x14ac:dyDescent="0.2">
      <c r="A293" s="847"/>
      <c r="B293" s="848"/>
      <c r="C293" s="849"/>
      <c r="D293" s="850"/>
      <c r="E293" s="851"/>
      <c r="F293" s="851"/>
      <c r="G293" s="851"/>
      <c r="H293" s="851"/>
      <c r="I293" s="851"/>
      <c r="J293" s="851"/>
      <c r="K293" s="852"/>
      <c r="L293" s="852"/>
      <c r="M293" s="914"/>
      <c r="N293" s="915"/>
      <c r="O293" s="852">
        <v>1</v>
      </c>
      <c r="P293" s="849" t="s">
        <v>1876</v>
      </c>
      <c r="Q293" s="851">
        <v>0</v>
      </c>
      <c r="R293" s="753"/>
      <c r="S293" s="753"/>
      <c r="T293" s="753"/>
      <c r="U293" s="753" t="s">
        <v>131</v>
      </c>
      <c r="V293" s="753"/>
      <c r="W293" s="753"/>
      <c r="X293" s="753"/>
      <c r="Y293" s="854"/>
      <c r="Z293" s="754" t="s">
        <v>204</v>
      </c>
    </row>
    <row r="294" spans="1:26" s="147" customFormat="1" ht="21.75" customHeight="1" x14ac:dyDescent="0.2">
      <c r="A294" s="847"/>
      <c r="B294" s="848"/>
      <c r="C294" s="849"/>
      <c r="D294" s="850"/>
      <c r="E294" s="851"/>
      <c r="F294" s="851"/>
      <c r="G294" s="851"/>
      <c r="H294" s="851"/>
      <c r="I294" s="851"/>
      <c r="J294" s="851"/>
      <c r="K294" s="852"/>
      <c r="L294" s="852"/>
      <c r="M294" s="914"/>
      <c r="N294" s="915"/>
      <c r="O294" s="851">
        <v>2</v>
      </c>
      <c r="P294" s="752" t="s">
        <v>1877</v>
      </c>
      <c r="Q294" s="753">
        <v>0</v>
      </c>
      <c r="R294" s="753"/>
      <c r="S294" s="753"/>
      <c r="T294" s="753"/>
      <c r="U294" s="753" t="s">
        <v>131</v>
      </c>
      <c r="V294" s="753"/>
      <c r="W294" s="753"/>
      <c r="X294" s="753" t="s">
        <v>131</v>
      </c>
      <c r="Y294" s="854"/>
      <c r="Z294" s="754" t="s">
        <v>204</v>
      </c>
    </row>
    <row r="295" spans="1:26" s="147" customFormat="1" ht="21.75" customHeight="1" x14ac:dyDescent="0.2">
      <c r="A295" s="847"/>
      <c r="B295" s="848"/>
      <c r="C295" s="849"/>
      <c r="D295" s="850"/>
      <c r="E295" s="851"/>
      <c r="F295" s="851"/>
      <c r="G295" s="851"/>
      <c r="H295" s="851"/>
      <c r="I295" s="851"/>
      <c r="J295" s="851"/>
      <c r="K295" s="852"/>
      <c r="L295" s="852"/>
      <c r="M295" s="914"/>
      <c r="N295" s="915"/>
      <c r="O295" s="851">
        <v>3</v>
      </c>
      <c r="P295" s="752" t="s">
        <v>1878</v>
      </c>
      <c r="Q295" s="753">
        <v>0</v>
      </c>
      <c r="R295" s="753"/>
      <c r="S295" s="753"/>
      <c r="T295" s="753"/>
      <c r="U295" s="753" t="s">
        <v>131</v>
      </c>
      <c r="V295" s="753"/>
      <c r="W295" s="753"/>
      <c r="X295" s="753" t="s">
        <v>131</v>
      </c>
      <c r="Y295" s="854"/>
      <c r="Z295" s="754" t="s">
        <v>204</v>
      </c>
    </row>
    <row r="296" spans="1:26" s="147" customFormat="1" ht="21.75" customHeight="1" x14ac:dyDescent="0.2">
      <c r="A296" s="847"/>
      <c r="B296" s="848"/>
      <c r="C296" s="849"/>
      <c r="D296" s="850"/>
      <c r="E296" s="851"/>
      <c r="F296" s="851"/>
      <c r="G296" s="851"/>
      <c r="H296" s="851"/>
      <c r="I296" s="851"/>
      <c r="J296" s="851"/>
      <c r="K296" s="852"/>
      <c r="L296" s="852"/>
      <c r="M296" s="914"/>
      <c r="N296" s="915"/>
      <c r="O296" s="851">
        <v>4</v>
      </c>
      <c r="P296" s="752" t="s">
        <v>1879</v>
      </c>
      <c r="Q296" s="753">
        <v>0</v>
      </c>
      <c r="R296" s="753"/>
      <c r="S296" s="753"/>
      <c r="T296" s="753"/>
      <c r="U296" s="753" t="s">
        <v>131</v>
      </c>
      <c r="V296" s="753" t="s">
        <v>131</v>
      </c>
      <c r="W296" s="753"/>
      <c r="X296" s="753" t="s">
        <v>131</v>
      </c>
      <c r="Y296" s="854"/>
      <c r="Z296" s="754" t="s">
        <v>204</v>
      </c>
    </row>
    <row r="297" spans="1:26" s="147" customFormat="1" ht="21.75" customHeight="1" x14ac:dyDescent="0.2">
      <c r="A297" s="847"/>
      <c r="B297" s="848"/>
      <c r="C297" s="849"/>
      <c r="D297" s="850"/>
      <c r="E297" s="851"/>
      <c r="F297" s="851"/>
      <c r="G297" s="851"/>
      <c r="H297" s="851"/>
      <c r="I297" s="851"/>
      <c r="J297" s="851"/>
      <c r="K297" s="852"/>
      <c r="L297" s="852"/>
      <c r="M297" s="914"/>
      <c r="N297" s="915"/>
      <c r="O297" s="851">
        <v>5</v>
      </c>
      <c r="P297" s="752" t="s">
        <v>1880</v>
      </c>
      <c r="Q297" s="753">
        <v>0</v>
      </c>
      <c r="R297" s="753"/>
      <c r="S297" s="753"/>
      <c r="T297" s="753"/>
      <c r="U297" s="753" t="s">
        <v>131</v>
      </c>
      <c r="V297" s="753"/>
      <c r="W297" s="753"/>
      <c r="X297" s="753"/>
      <c r="Y297" s="854"/>
      <c r="Z297" s="754" t="s">
        <v>204</v>
      </c>
    </row>
    <row r="298" spans="1:26" s="147" customFormat="1" ht="21.75" customHeight="1" x14ac:dyDescent="0.2">
      <c r="A298" s="847"/>
      <c r="B298" s="848"/>
      <c r="C298" s="849"/>
      <c r="D298" s="850"/>
      <c r="E298" s="851"/>
      <c r="F298" s="851"/>
      <c r="G298" s="851"/>
      <c r="H298" s="851"/>
      <c r="I298" s="851"/>
      <c r="J298" s="851"/>
      <c r="K298" s="852"/>
      <c r="L298" s="852"/>
      <c r="M298" s="914"/>
      <c r="N298" s="915"/>
      <c r="O298" s="851">
        <v>6</v>
      </c>
      <c r="P298" s="752" t="s">
        <v>1881</v>
      </c>
      <c r="Q298" s="753">
        <v>0</v>
      </c>
      <c r="R298" s="753"/>
      <c r="S298" s="753"/>
      <c r="T298" s="753"/>
      <c r="U298" s="753" t="s">
        <v>131</v>
      </c>
      <c r="V298" s="753"/>
      <c r="W298" s="753"/>
      <c r="X298" s="753"/>
      <c r="Y298" s="854"/>
      <c r="Z298" s="754" t="s">
        <v>204</v>
      </c>
    </row>
    <row r="299" spans="1:26" s="147" customFormat="1" ht="21.75" customHeight="1" x14ac:dyDescent="0.2">
      <c r="A299" s="847"/>
      <c r="B299" s="848"/>
      <c r="C299" s="849"/>
      <c r="D299" s="850"/>
      <c r="E299" s="851"/>
      <c r="F299" s="851"/>
      <c r="G299" s="851"/>
      <c r="H299" s="851"/>
      <c r="I299" s="851"/>
      <c r="J299" s="851"/>
      <c r="K299" s="852"/>
      <c r="L299" s="852"/>
      <c r="M299" s="914"/>
      <c r="N299" s="915"/>
      <c r="O299" s="851">
        <v>7</v>
      </c>
      <c r="P299" s="752" t="s">
        <v>1882</v>
      </c>
      <c r="Q299" s="753">
        <v>0</v>
      </c>
      <c r="R299" s="855"/>
      <c r="S299" s="753" t="s">
        <v>131</v>
      </c>
      <c r="T299" s="856"/>
      <c r="U299" s="753"/>
      <c r="V299" s="856"/>
      <c r="W299" s="856"/>
      <c r="X299" s="753"/>
      <c r="Y299" s="854"/>
      <c r="Z299" s="754" t="s">
        <v>204</v>
      </c>
    </row>
    <row r="300" spans="1:26" s="147" customFormat="1" ht="21.75" customHeight="1" x14ac:dyDescent="0.2">
      <c r="A300" s="847"/>
      <c r="B300" s="866"/>
      <c r="C300" s="867"/>
      <c r="D300" s="850"/>
      <c r="E300" s="869"/>
      <c r="F300" s="869"/>
      <c r="G300" s="869"/>
      <c r="H300" s="869"/>
      <c r="I300" s="869"/>
      <c r="J300" s="869"/>
      <c r="K300" s="870"/>
      <c r="L300" s="870"/>
      <c r="M300" s="916"/>
      <c r="N300" s="917"/>
      <c r="O300" s="851">
        <v>8</v>
      </c>
      <c r="P300" s="867" t="s">
        <v>783</v>
      </c>
      <c r="Q300" s="894">
        <v>3</v>
      </c>
      <c r="R300" s="894"/>
      <c r="S300" s="894"/>
      <c r="T300" s="894"/>
      <c r="U300" s="894" t="s">
        <v>131</v>
      </c>
      <c r="V300" s="894"/>
      <c r="W300" s="912"/>
      <c r="X300" s="912"/>
      <c r="Y300" s="755" t="s">
        <v>1848</v>
      </c>
      <c r="Z300" s="749">
        <v>2</v>
      </c>
    </row>
    <row r="301" spans="1:26" s="147" customFormat="1" ht="43.5" customHeight="1" x14ac:dyDescent="0.2">
      <c r="A301" s="860"/>
      <c r="B301" s="861"/>
      <c r="C301" s="752"/>
      <c r="D301" s="862"/>
      <c r="E301" s="753"/>
      <c r="F301" s="753"/>
      <c r="G301" s="753"/>
      <c r="H301" s="753"/>
      <c r="I301" s="753"/>
      <c r="J301" s="753"/>
      <c r="K301" s="863"/>
      <c r="L301" s="863"/>
      <c r="M301" s="918"/>
      <c r="N301" s="919"/>
      <c r="O301" s="851">
        <v>9</v>
      </c>
      <c r="P301" s="752" t="s">
        <v>1883</v>
      </c>
      <c r="Q301" s="894">
        <v>3</v>
      </c>
      <c r="R301" s="857"/>
      <c r="S301" s="857" t="s">
        <v>131</v>
      </c>
      <c r="T301" s="857"/>
      <c r="U301" s="857"/>
      <c r="V301" s="857"/>
      <c r="W301" s="858"/>
      <c r="X301" s="858"/>
      <c r="Y301" s="896" t="s">
        <v>1884</v>
      </c>
      <c r="Z301" s="749">
        <v>2</v>
      </c>
    </row>
    <row r="302" spans="1:26" s="147" customFormat="1" ht="21.75" customHeight="1" x14ac:dyDescent="0.2">
      <c r="A302" s="860"/>
      <c r="B302" s="861"/>
      <c r="C302" s="752"/>
      <c r="D302" s="862"/>
      <c r="E302" s="753"/>
      <c r="F302" s="753"/>
      <c r="G302" s="753"/>
      <c r="H302" s="753"/>
      <c r="I302" s="753"/>
      <c r="J302" s="753"/>
      <c r="K302" s="863"/>
      <c r="L302" s="863"/>
      <c r="M302" s="918"/>
      <c r="N302" s="919"/>
      <c r="O302" s="851">
        <v>10</v>
      </c>
      <c r="P302" s="752" t="s">
        <v>1851</v>
      </c>
      <c r="Q302" s="857">
        <v>5</v>
      </c>
      <c r="R302" s="857"/>
      <c r="S302" s="857"/>
      <c r="T302" s="857"/>
      <c r="U302" s="857" t="s">
        <v>131</v>
      </c>
      <c r="V302" s="857"/>
      <c r="W302" s="858"/>
      <c r="X302" s="858"/>
      <c r="Y302" s="755" t="s">
        <v>1852</v>
      </c>
      <c r="Z302" s="754" t="s">
        <v>175</v>
      </c>
    </row>
    <row r="303" spans="1:26" s="147" customFormat="1" ht="21.75" customHeight="1" x14ac:dyDescent="0.2">
      <c r="A303" s="897"/>
      <c r="B303" s="898"/>
      <c r="C303" s="899"/>
      <c r="D303" s="900"/>
      <c r="E303" s="901"/>
      <c r="F303" s="901"/>
      <c r="G303" s="901"/>
      <c r="H303" s="901"/>
      <c r="I303" s="901"/>
      <c r="J303" s="901"/>
      <c r="K303" s="902"/>
      <c r="L303" s="902"/>
      <c r="M303" s="920"/>
      <c r="N303" s="921"/>
      <c r="O303" s="902"/>
      <c r="P303" s="899"/>
      <c r="Q303" s="904"/>
      <c r="R303" s="904"/>
      <c r="S303" s="904"/>
      <c r="T303" s="904"/>
      <c r="U303" s="904"/>
      <c r="V303" s="904"/>
      <c r="W303" s="905"/>
      <c r="X303" s="905"/>
      <c r="Y303" s="906"/>
      <c r="Z303" s="907"/>
    </row>
    <row r="304" spans="1:26" s="147" customFormat="1" ht="95.5" customHeight="1" x14ac:dyDescent="0.2">
      <c r="A304" s="556" t="s">
        <v>1885</v>
      </c>
      <c r="B304" s="336" t="s">
        <v>134</v>
      </c>
      <c r="C304" s="286" t="s">
        <v>1886</v>
      </c>
      <c r="D304" s="457" t="s">
        <v>1480</v>
      </c>
      <c r="E304" s="376">
        <v>0</v>
      </c>
      <c r="F304" s="376">
        <v>100</v>
      </c>
      <c r="G304" s="376" t="s">
        <v>44</v>
      </c>
      <c r="H304" s="376">
        <f>20/50*100</f>
        <v>40</v>
      </c>
      <c r="I304" s="417">
        <v>100</v>
      </c>
      <c r="J304" s="298">
        <v>224</v>
      </c>
      <c r="K304" s="299" t="s">
        <v>131</v>
      </c>
      <c r="L304" s="583" t="s">
        <v>131</v>
      </c>
      <c r="M304" s="880" t="s">
        <v>1887</v>
      </c>
      <c r="N304" s="745" t="s">
        <v>1888</v>
      </c>
      <c r="O304" s="299"/>
      <c r="P304" s="286"/>
      <c r="Q304" s="298"/>
      <c r="R304" s="286"/>
      <c r="S304" s="298"/>
      <c r="T304" s="298"/>
      <c r="U304" s="298"/>
      <c r="V304" s="273"/>
      <c r="W304" s="273"/>
      <c r="X304" s="273"/>
      <c r="Y304" s="339" t="s">
        <v>1889</v>
      </c>
      <c r="Z304" s="273">
        <v>1</v>
      </c>
    </row>
    <row r="305" spans="1:26" s="147" customFormat="1" ht="21.75" customHeight="1" x14ac:dyDescent="0.2">
      <c r="A305" s="296"/>
      <c r="B305" s="285"/>
      <c r="C305" s="286"/>
      <c r="D305" s="298"/>
      <c r="E305" s="298"/>
      <c r="F305" s="298"/>
      <c r="G305" s="298"/>
      <c r="H305" s="298"/>
      <c r="I305" s="298"/>
      <c r="J305" s="298"/>
      <c r="K305" s="299"/>
      <c r="L305" s="299"/>
      <c r="M305" s="337" t="s">
        <v>1688</v>
      </c>
      <c r="N305" s="299" t="s">
        <v>1689</v>
      </c>
      <c r="O305" s="299">
        <v>1</v>
      </c>
      <c r="P305" s="286" t="s">
        <v>1890</v>
      </c>
      <c r="Q305" s="376">
        <v>0</v>
      </c>
      <c r="R305" s="338"/>
      <c r="S305" s="338"/>
      <c r="T305" s="338"/>
      <c r="U305" s="338" t="s">
        <v>131</v>
      </c>
      <c r="V305" s="338"/>
      <c r="W305" s="338"/>
      <c r="X305" s="338"/>
      <c r="Y305" s="681"/>
      <c r="Z305" s="368" t="s">
        <v>204</v>
      </c>
    </row>
    <row r="306" spans="1:26" s="147" customFormat="1" ht="21.75" customHeight="1" x14ac:dyDescent="0.2">
      <c r="A306" s="296"/>
      <c r="B306" s="285"/>
      <c r="C306" s="286"/>
      <c r="D306" s="298"/>
      <c r="E306" s="298"/>
      <c r="F306" s="298"/>
      <c r="G306" s="298"/>
      <c r="H306" s="298"/>
      <c r="I306" s="298"/>
      <c r="J306" s="298"/>
      <c r="K306" s="299"/>
      <c r="L306" s="299"/>
      <c r="M306" s="337"/>
      <c r="N306" s="299"/>
      <c r="O306" s="298">
        <v>2</v>
      </c>
      <c r="P306" s="292" t="s">
        <v>1891</v>
      </c>
      <c r="Q306" s="338">
        <v>0</v>
      </c>
      <c r="R306" s="338"/>
      <c r="S306" s="338"/>
      <c r="T306" s="338"/>
      <c r="U306" s="338" t="s">
        <v>131</v>
      </c>
      <c r="V306" s="338"/>
      <c r="W306" s="338"/>
      <c r="X306" s="753"/>
      <c r="Y306" s="578"/>
      <c r="Z306" s="747">
        <v>2</v>
      </c>
    </row>
    <row r="307" spans="1:26" s="147" customFormat="1" ht="21.75" customHeight="1" x14ac:dyDescent="0.2">
      <c r="A307" s="296"/>
      <c r="B307" s="285"/>
      <c r="C307" s="286"/>
      <c r="D307" s="298"/>
      <c r="E307" s="298"/>
      <c r="F307" s="298"/>
      <c r="G307" s="298"/>
      <c r="H307" s="298"/>
      <c r="I307" s="298"/>
      <c r="J307" s="298"/>
      <c r="K307" s="299"/>
      <c r="L307" s="299"/>
      <c r="M307" s="337"/>
      <c r="N307" s="299"/>
      <c r="O307" s="298">
        <v>3</v>
      </c>
      <c r="P307" s="292" t="s">
        <v>1892</v>
      </c>
      <c r="Q307" s="338">
        <v>0</v>
      </c>
      <c r="R307" s="338"/>
      <c r="S307" s="338"/>
      <c r="T307" s="338"/>
      <c r="U307" s="338" t="s">
        <v>131</v>
      </c>
      <c r="V307" s="338"/>
      <c r="W307" s="338"/>
      <c r="X307" s="753"/>
      <c r="Y307" s="578"/>
      <c r="Z307" s="747">
        <v>2</v>
      </c>
    </row>
    <row r="308" spans="1:26" s="147" customFormat="1" ht="21.75" customHeight="1" x14ac:dyDescent="0.2">
      <c r="A308" s="296"/>
      <c r="B308" s="285"/>
      <c r="C308" s="286"/>
      <c r="D308" s="298"/>
      <c r="E308" s="298"/>
      <c r="F308" s="298"/>
      <c r="G308" s="298"/>
      <c r="H308" s="298"/>
      <c r="I308" s="298"/>
      <c r="J308" s="298"/>
      <c r="K308" s="299"/>
      <c r="L308" s="299"/>
      <c r="M308" s="337"/>
      <c r="N308" s="299"/>
      <c r="O308" s="298">
        <v>4</v>
      </c>
      <c r="P308" s="292" t="s">
        <v>1893</v>
      </c>
      <c r="Q308" s="338">
        <v>0</v>
      </c>
      <c r="R308" s="338"/>
      <c r="S308" s="338"/>
      <c r="T308" s="338"/>
      <c r="U308" s="338" t="s">
        <v>131</v>
      </c>
      <c r="V308" s="338" t="s">
        <v>131</v>
      </c>
      <c r="W308" s="338"/>
      <c r="X308" s="753"/>
      <c r="Y308" s="578"/>
      <c r="Z308" s="747">
        <v>2</v>
      </c>
    </row>
    <row r="309" spans="1:26" s="147" customFormat="1" ht="21.75" customHeight="1" x14ac:dyDescent="0.2">
      <c r="A309" s="296"/>
      <c r="B309" s="285"/>
      <c r="C309" s="286"/>
      <c r="D309" s="298"/>
      <c r="E309" s="298"/>
      <c r="F309" s="298"/>
      <c r="G309" s="298"/>
      <c r="H309" s="298"/>
      <c r="I309" s="298"/>
      <c r="J309" s="298"/>
      <c r="K309" s="299"/>
      <c r="L309" s="299"/>
      <c r="M309" s="337"/>
      <c r="N309" s="299"/>
      <c r="O309" s="298">
        <v>5</v>
      </c>
      <c r="P309" s="292" t="s">
        <v>1894</v>
      </c>
      <c r="Q309" s="338">
        <v>0</v>
      </c>
      <c r="R309" s="338"/>
      <c r="S309" s="338"/>
      <c r="T309" s="338"/>
      <c r="U309" s="338" t="s">
        <v>131</v>
      </c>
      <c r="V309" s="338"/>
      <c r="W309" s="338"/>
      <c r="X309" s="338"/>
      <c r="Y309" s="578"/>
      <c r="Z309" s="368" t="s">
        <v>204</v>
      </c>
    </row>
    <row r="310" spans="1:26" s="147" customFormat="1" ht="21.75" customHeight="1" x14ac:dyDescent="0.2">
      <c r="A310" s="296"/>
      <c r="B310" s="285"/>
      <c r="C310" s="286"/>
      <c r="D310" s="298"/>
      <c r="E310" s="298"/>
      <c r="F310" s="298"/>
      <c r="G310" s="298"/>
      <c r="H310" s="298"/>
      <c r="I310" s="298"/>
      <c r="J310" s="298"/>
      <c r="K310" s="299"/>
      <c r="L310" s="299"/>
      <c r="M310" s="337"/>
      <c r="N310" s="299"/>
      <c r="O310" s="298">
        <v>6</v>
      </c>
      <c r="P310" s="292" t="s">
        <v>1895</v>
      </c>
      <c r="Q310" s="338">
        <v>0</v>
      </c>
      <c r="R310" s="338"/>
      <c r="S310" s="338"/>
      <c r="T310" s="338"/>
      <c r="U310" s="338" t="s">
        <v>131</v>
      </c>
      <c r="V310" s="338"/>
      <c r="W310" s="338"/>
      <c r="X310" s="338"/>
      <c r="Y310" s="578"/>
      <c r="Z310" s="368" t="s">
        <v>204</v>
      </c>
    </row>
    <row r="311" spans="1:26" s="147" customFormat="1" ht="21.75" customHeight="1" x14ac:dyDescent="0.2">
      <c r="A311" s="296"/>
      <c r="B311" s="285"/>
      <c r="C311" s="286"/>
      <c r="D311" s="298"/>
      <c r="E311" s="298"/>
      <c r="F311" s="298"/>
      <c r="G311" s="298"/>
      <c r="H311" s="298"/>
      <c r="I311" s="298"/>
      <c r="J311" s="298"/>
      <c r="K311" s="299"/>
      <c r="L311" s="299"/>
      <c r="M311" s="300"/>
      <c r="N311" s="301"/>
      <c r="O311" s="298">
        <v>7</v>
      </c>
      <c r="P311" s="292" t="s">
        <v>1896</v>
      </c>
      <c r="Q311" s="338">
        <v>0</v>
      </c>
      <c r="R311" s="577"/>
      <c r="S311" s="753"/>
      <c r="T311" s="576"/>
      <c r="U311" s="338" t="s">
        <v>131</v>
      </c>
      <c r="V311" s="575"/>
      <c r="W311" s="576"/>
      <c r="X311" s="338"/>
      <c r="Y311" s="578"/>
      <c r="Z311" s="747">
        <v>2</v>
      </c>
    </row>
    <row r="312" spans="1:26" s="147" customFormat="1" ht="21.75" customHeight="1" x14ac:dyDescent="0.2">
      <c r="A312" s="296"/>
      <c r="B312" s="285"/>
      <c r="C312" s="286"/>
      <c r="D312" s="298"/>
      <c r="E312" s="298"/>
      <c r="F312" s="298"/>
      <c r="G312" s="298"/>
      <c r="H312" s="298"/>
      <c r="I312" s="298"/>
      <c r="J312" s="298"/>
      <c r="K312" s="299"/>
      <c r="L312" s="299"/>
      <c r="M312" s="300"/>
      <c r="N312" s="301"/>
      <c r="O312" s="298">
        <v>8</v>
      </c>
      <c r="P312" s="286" t="s">
        <v>1897</v>
      </c>
      <c r="Q312" s="298">
        <v>5</v>
      </c>
      <c r="R312" s="375"/>
      <c r="S312" s="376"/>
      <c r="T312" s="376" t="s">
        <v>131</v>
      </c>
      <c r="U312" s="376"/>
      <c r="V312" s="377"/>
      <c r="W312" s="377" t="s">
        <v>131</v>
      </c>
      <c r="X312" s="377"/>
      <c r="Y312" s="339" t="s">
        <v>1898</v>
      </c>
      <c r="Z312" s="273" t="s">
        <v>204</v>
      </c>
    </row>
    <row r="313" spans="1:26" s="147" customFormat="1" ht="21.75" customHeight="1" x14ac:dyDescent="0.2">
      <c r="A313" s="296"/>
      <c r="B313" s="285"/>
      <c r="C313" s="286"/>
      <c r="D313" s="298"/>
      <c r="E313" s="298"/>
      <c r="F313" s="298"/>
      <c r="G313" s="298"/>
      <c r="H313" s="298"/>
      <c r="I313" s="298"/>
      <c r="J313" s="298"/>
      <c r="K313" s="299"/>
      <c r="L313" s="299"/>
      <c r="M313" s="300"/>
      <c r="N313" s="301"/>
      <c r="O313" s="298">
        <v>9</v>
      </c>
      <c r="P313" s="286" t="s">
        <v>1899</v>
      </c>
      <c r="Q313" s="298">
        <v>5</v>
      </c>
      <c r="R313" s="375"/>
      <c r="S313" s="376"/>
      <c r="T313" s="376" t="s">
        <v>131</v>
      </c>
      <c r="U313" s="376"/>
      <c r="V313" s="377"/>
      <c r="W313" s="376" t="s">
        <v>131</v>
      </c>
      <c r="X313" s="377"/>
      <c r="Y313" s="339" t="s">
        <v>1898</v>
      </c>
      <c r="Z313" s="273" t="s">
        <v>204</v>
      </c>
    </row>
    <row r="314" spans="1:26" s="147" customFormat="1" ht="21.75" customHeight="1" x14ac:dyDescent="0.2">
      <c r="A314" s="296"/>
      <c r="B314" s="285"/>
      <c r="C314" s="286"/>
      <c r="D314" s="298"/>
      <c r="E314" s="298"/>
      <c r="F314" s="298"/>
      <c r="G314" s="298"/>
      <c r="H314" s="298"/>
      <c r="I314" s="298"/>
      <c r="J314" s="298"/>
      <c r="K314" s="299"/>
      <c r="L314" s="299"/>
      <c r="M314" s="300"/>
      <c r="N314" s="301"/>
      <c r="O314" s="298">
        <v>10</v>
      </c>
      <c r="P314" s="286" t="s">
        <v>1900</v>
      </c>
      <c r="Q314" s="338">
        <v>0</v>
      </c>
      <c r="R314" s="367"/>
      <c r="S314" s="338"/>
      <c r="T314" s="338"/>
      <c r="U314" s="338" t="s">
        <v>131</v>
      </c>
      <c r="V314" s="368" t="s">
        <v>131</v>
      </c>
      <c r="W314" s="368"/>
      <c r="X314" s="368" t="s">
        <v>131</v>
      </c>
      <c r="Y314" s="339" t="s">
        <v>1901</v>
      </c>
      <c r="Z314" s="273">
        <v>0</v>
      </c>
    </row>
    <row r="315" spans="1:26" s="147" customFormat="1" ht="21.75" customHeight="1" x14ac:dyDescent="0.2">
      <c r="A315" s="296"/>
      <c r="B315" s="285"/>
      <c r="C315" s="286"/>
      <c r="D315" s="298"/>
      <c r="E315" s="298"/>
      <c r="F315" s="298"/>
      <c r="G315" s="298"/>
      <c r="H315" s="298"/>
      <c r="I315" s="298"/>
      <c r="J315" s="298"/>
      <c r="K315" s="299"/>
      <c r="L315" s="299"/>
      <c r="M315" s="300"/>
      <c r="N315" s="301"/>
      <c r="O315" s="298">
        <v>11</v>
      </c>
      <c r="P315" s="286" t="s">
        <v>1902</v>
      </c>
      <c r="Q315" s="338">
        <v>0</v>
      </c>
      <c r="R315" s="367"/>
      <c r="S315" s="338"/>
      <c r="T315" s="338"/>
      <c r="U315" s="338" t="s">
        <v>131</v>
      </c>
      <c r="V315" s="368" t="s">
        <v>131</v>
      </c>
      <c r="W315" s="368"/>
      <c r="X315" s="368" t="s">
        <v>131</v>
      </c>
      <c r="Y315" s="339" t="s">
        <v>1901</v>
      </c>
      <c r="Z315" s="273">
        <v>0</v>
      </c>
    </row>
    <row r="316" spans="1:26" s="147" customFormat="1" ht="21.75" customHeight="1" x14ac:dyDescent="0.2">
      <c r="A316" s="294"/>
      <c r="B316" s="295"/>
      <c r="C316" s="292"/>
      <c r="D316" s="288"/>
      <c r="E316" s="288"/>
      <c r="F316" s="288"/>
      <c r="G316" s="288"/>
      <c r="H316" s="288"/>
      <c r="I316" s="288"/>
      <c r="J316" s="288"/>
      <c r="K316" s="289"/>
      <c r="L316" s="289"/>
      <c r="M316" s="290"/>
      <c r="N316" s="291"/>
      <c r="O316" s="289">
        <v>12</v>
      </c>
      <c r="P316" s="292" t="s">
        <v>866</v>
      </c>
      <c r="Q316" s="766">
        <v>0</v>
      </c>
      <c r="R316" s="367"/>
      <c r="S316" s="338"/>
      <c r="T316" s="338" t="s">
        <v>131</v>
      </c>
      <c r="U316" s="338"/>
      <c r="V316" s="368"/>
      <c r="W316" s="368" t="s">
        <v>131</v>
      </c>
      <c r="X316" s="293"/>
      <c r="Y316" s="340" t="s">
        <v>1903</v>
      </c>
      <c r="Z316" s="747">
        <v>2</v>
      </c>
    </row>
    <row r="317" spans="1:26" s="147" customFormat="1" ht="21.75" customHeight="1" x14ac:dyDescent="0.2">
      <c r="A317" s="294"/>
      <c r="B317" s="295"/>
      <c r="C317" s="292"/>
      <c r="D317" s="288"/>
      <c r="E317" s="288"/>
      <c r="F317" s="288"/>
      <c r="G317" s="288"/>
      <c r="H317" s="288"/>
      <c r="I317" s="288"/>
      <c r="J317" s="288"/>
      <c r="K317" s="289"/>
      <c r="L317" s="289"/>
      <c r="M317" s="290"/>
      <c r="N317" s="291"/>
      <c r="O317" s="288">
        <v>13</v>
      </c>
      <c r="P317" s="292" t="s">
        <v>1904</v>
      </c>
      <c r="Q317" s="794">
        <v>3</v>
      </c>
      <c r="R317" s="292"/>
      <c r="S317" s="288"/>
      <c r="T317" s="338" t="s">
        <v>131</v>
      </c>
      <c r="U317" s="288"/>
      <c r="V317" s="293"/>
      <c r="W317" s="293" t="s">
        <v>131</v>
      </c>
      <c r="X317" s="293"/>
      <c r="Y317" s="340" t="s">
        <v>1905</v>
      </c>
      <c r="Z317" s="747">
        <v>2</v>
      </c>
    </row>
    <row r="318" spans="1:26" s="147" customFormat="1" ht="21.75" customHeight="1" x14ac:dyDescent="0.2">
      <c r="A318" s="296"/>
      <c r="B318" s="285"/>
      <c r="C318" s="286"/>
      <c r="D318" s="298"/>
      <c r="E318" s="298"/>
      <c r="F318" s="298"/>
      <c r="G318" s="298"/>
      <c r="H318" s="298"/>
      <c r="I318" s="298"/>
      <c r="J318" s="298"/>
      <c r="K318" s="299"/>
      <c r="L318" s="299"/>
      <c r="M318" s="300"/>
      <c r="N318" s="301"/>
      <c r="O318" s="298">
        <v>14</v>
      </c>
      <c r="P318" s="286" t="s">
        <v>1906</v>
      </c>
      <c r="Q318" s="338">
        <v>0</v>
      </c>
      <c r="R318" s="367"/>
      <c r="S318" s="338" t="s">
        <v>131</v>
      </c>
      <c r="T318" s="338"/>
      <c r="U318" s="338"/>
      <c r="V318" s="368"/>
      <c r="W318" s="368" t="s">
        <v>131</v>
      </c>
      <c r="X318" s="273"/>
      <c r="Y318" s="339" t="s">
        <v>1907</v>
      </c>
      <c r="Z318" s="273">
        <v>0</v>
      </c>
    </row>
    <row r="319" spans="1:26" s="147" customFormat="1" ht="31" customHeight="1" x14ac:dyDescent="0.2">
      <c r="A319" s="296"/>
      <c r="B319" s="285"/>
      <c r="C319" s="286"/>
      <c r="D319" s="298"/>
      <c r="E319" s="298"/>
      <c r="F319" s="298"/>
      <c r="G319" s="298"/>
      <c r="H319" s="298"/>
      <c r="I319" s="298"/>
      <c r="J319" s="298"/>
      <c r="K319" s="299"/>
      <c r="L319" s="299"/>
      <c r="M319" s="300"/>
      <c r="N319" s="301"/>
      <c r="O319" s="298">
        <v>15</v>
      </c>
      <c r="P319" s="286" t="s">
        <v>1908</v>
      </c>
      <c r="Q319" s="794">
        <v>3</v>
      </c>
      <c r="R319" s="286"/>
      <c r="S319" s="298"/>
      <c r="T319" s="338"/>
      <c r="U319" s="298" t="s">
        <v>131</v>
      </c>
      <c r="V319" s="273"/>
      <c r="W319" s="273"/>
      <c r="X319" s="273" t="s">
        <v>131</v>
      </c>
      <c r="Y319" s="339" t="s">
        <v>1909</v>
      </c>
      <c r="Z319" s="741">
        <v>2</v>
      </c>
    </row>
    <row r="320" spans="1:26" s="147" customFormat="1" ht="21.75" customHeight="1" x14ac:dyDescent="0.2">
      <c r="A320" s="296"/>
      <c r="B320" s="285"/>
      <c r="C320" s="286"/>
      <c r="D320" s="298"/>
      <c r="E320" s="298"/>
      <c r="F320" s="298"/>
      <c r="G320" s="298"/>
      <c r="H320" s="298"/>
      <c r="I320" s="298"/>
      <c r="J320" s="298"/>
      <c r="K320" s="299"/>
      <c r="L320" s="299"/>
      <c r="M320" s="300"/>
      <c r="N320" s="301"/>
      <c r="O320" s="298">
        <v>16</v>
      </c>
      <c r="P320" s="286" t="s">
        <v>1910</v>
      </c>
      <c r="Q320" s="338">
        <v>5</v>
      </c>
      <c r="R320" s="367"/>
      <c r="S320" s="338"/>
      <c r="T320" s="753"/>
      <c r="U320" s="766" t="s">
        <v>131</v>
      </c>
      <c r="V320" s="368"/>
      <c r="W320" s="368"/>
      <c r="X320" s="273"/>
      <c r="Y320" s="339" t="s">
        <v>1911</v>
      </c>
      <c r="Z320" s="741">
        <v>2</v>
      </c>
    </row>
    <row r="321" spans="1:26" s="147" customFormat="1" ht="31" customHeight="1" x14ac:dyDescent="0.2">
      <c r="A321" s="684"/>
      <c r="B321" s="685"/>
      <c r="C321" s="367"/>
      <c r="D321" s="338"/>
      <c r="E321" s="338"/>
      <c r="F321" s="338"/>
      <c r="G321" s="338"/>
      <c r="H321" s="338"/>
      <c r="I321" s="338"/>
      <c r="J321" s="338"/>
      <c r="K321" s="424"/>
      <c r="L321" s="424"/>
      <c r="M321" s="587"/>
      <c r="N321" s="424"/>
      <c r="O321" s="288">
        <v>18</v>
      </c>
      <c r="P321" s="803" t="s">
        <v>1912</v>
      </c>
      <c r="Q321" s="338">
        <v>0</v>
      </c>
      <c r="R321" s="577"/>
      <c r="S321" s="338"/>
      <c r="T321" s="753"/>
      <c r="U321" s="766" t="s">
        <v>131</v>
      </c>
      <c r="V321" s="575"/>
      <c r="W321" s="575"/>
      <c r="X321" s="338"/>
      <c r="Y321" s="353" t="s">
        <v>1913</v>
      </c>
      <c r="Z321" s="741">
        <v>2</v>
      </c>
    </row>
    <row r="322" spans="1:26" s="147" customFormat="1" ht="21.75" customHeight="1" x14ac:dyDescent="0.2">
      <c r="A322" s="684"/>
      <c r="B322" s="685"/>
      <c r="C322" s="367"/>
      <c r="D322" s="338"/>
      <c r="E322" s="338"/>
      <c r="F322" s="338"/>
      <c r="G322" s="338"/>
      <c r="H322" s="338"/>
      <c r="I322" s="338"/>
      <c r="J322" s="338"/>
      <c r="K322" s="424"/>
      <c r="L322" s="424"/>
      <c r="M322" s="587"/>
      <c r="N322" s="424"/>
      <c r="O322" s="288">
        <v>19</v>
      </c>
      <c r="P322" s="367" t="s">
        <v>1914</v>
      </c>
      <c r="Q322" s="338">
        <v>5</v>
      </c>
      <c r="R322" s="577"/>
      <c r="S322" s="338"/>
      <c r="T322" s="338"/>
      <c r="U322" s="338" t="s">
        <v>131</v>
      </c>
      <c r="V322" s="575"/>
      <c r="W322" s="575"/>
      <c r="X322" s="338"/>
      <c r="Y322" s="353" t="s">
        <v>1915</v>
      </c>
      <c r="Z322" s="368">
        <v>0</v>
      </c>
    </row>
    <row r="323" spans="1:26" s="147" customFormat="1" ht="21.75" customHeight="1" x14ac:dyDescent="0.2">
      <c r="A323" s="684"/>
      <c r="B323" s="685"/>
      <c r="C323" s="367"/>
      <c r="D323" s="338"/>
      <c r="E323" s="338"/>
      <c r="F323" s="338"/>
      <c r="G323" s="338"/>
      <c r="H323" s="338"/>
      <c r="I323" s="338"/>
      <c r="J323" s="338"/>
      <c r="K323" s="424"/>
      <c r="L323" s="424"/>
      <c r="M323" s="587"/>
      <c r="N323" s="424"/>
      <c r="O323" s="288">
        <v>20</v>
      </c>
      <c r="P323" s="367" t="s">
        <v>1916</v>
      </c>
      <c r="Q323" s="338">
        <v>5</v>
      </c>
      <c r="R323" s="577"/>
      <c r="S323" s="338"/>
      <c r="T323" s="338"/>
      <c r="U323" s="338" t="s">
        <v>131</v>
      </c>
      <c r="V323" s="575"/>
      <c r="W323" s="575"/>
      <c r="X323" s="338"/>
      <c r="Y323" s="353" t="s">
        <v>1917</v>
      </c>
      <c r="Z323" s="368">
        <v>0</v>
      </c>
    </row>
    <row r="324" spans="1:26" s="147" customFormat="1" ht="21.75" customHeight="1" x14ac:dyDescent="0.2">
      <c r="A324" s="667"/>
      <c r="B324" s="586"/>
      <c r="C324" s="367"/>
      <c r="D324" s="338"/>
      <c r="E324" s="338"/>
      <c r="F324" s="338"/>
      <c r="G324" s="338"/>
      <c r="H324" s="338"/>
      <c r="I324" s="338"/>
      <c r="J324" s="338"/>
      <c r="K324" s="424"/>
      <c r="L324" s="424"/>
      <c r="M324" s="587"/>
      <c r="N324" s="424"/>
      <c r="O324" s="288">
        <v>21</v>
      </c>
      <c r="P324" s="367" t="s">
        <v>1918</v>
      </c>
      <c r="Q324" s="338">
        <v>30</v>
      </c>
      <c r="R324" s="577"/>
      <c r="S324" s="338"/>
      <c r="T324" s="338"/>
      <c r="U324" s="338" t="s">
        <v>131</v>
      </c>
      <c r="V324" s="575"/>
      <c r="W324" s="575"/>
      <c r="X324" s="338"/>
      <c r="Y324" s="353" t="s">
        <v>1919</v>
      </c>
      <c r="Z324" s="368">
        <v>0</v>
      </c>
    </row>
    <row r="325" spans="1:26" s="147" customFormat="1" ht="31" customHeight="1" x14ac:dyDescent="0.2">
      <c r="A325" s="628"/>
      <c r="B325" s="652"/>
      <c r="C325" s="653"/>
      <c r="D325" s="153"/>
      <c r="E325" s="153"/>
      <c r="F325" s="153"/>
      <c r="G325" s="153"/>
      <c r="H325" s="153"/>
      <c r="I325" s="153"/>
      <c r="J325" s="153"/>
      <c r="K325" s="654"/>
      <c r="L325" s="654"/>
      <c r="M325" s="655"/>
      <c r="N325" s="654"/>
      <c r="O325" s="153">
        <v>22</v>
      </c>
      <c r="P325" s="653" t="s">
        <v>1920</v>
      </c>
      <c r="Q325" s="831">
        <v>3</v>
      </c>
      <c r="R325" s="723"/>
      <c r="S325" s="153"/>
      <c r="T325" s="153" t="s">
        <v>131</v>
      </c>
      <c r="U325" s="153"/>
      <c r="V325" s="724"/>
      <c r="W325" s="153" t="s">
        <v>131</v>
      </c>
      <c r="X325" s="153"/>
      <c r="Y325" s="690" t="s">
        <v>1921</v>
      </c>
      <c r="Z325" s="741">
        <v>2</v>
      </c>
    </row>
    <row r="326" spans="1:26" s="147" customFormat="1" ht="20.149999999999999" customHeight="1" x14ac:dyDescent="0.2">
      <c r="A326" s="628"/>
      <c r="B326" s="652"/>
      <c r="C326" s="653"/>
      <c r="D326" s="153"/>
      <c r="E326" s="153"/>
      <c r="F326" s="153"/>
      <c r="G326" s="153"/>
      <c r="H326" s="153"/>
      <c r="I326" s="153"/>
      <c r="J326" s="153"/>
      <c r="K326" s="654"/>
      <c r="L326" s="654"/>
      <c r="M326" s="655"/>
      <c r="N326" s="654"/>
      <c r="O326" s="153">
        <v>23</v>
      </c>
      <c r="P326" s="653" t="s">
        <v>1922</v>
      </c>
      <c r="Q326" s="831">
        <v>3</v>
      </c>
      <c r="R326" s="723"/>
      <c r="S326" s="153" t="s">
        <v>131</v>
      </c>
      <c r="T326" s="153"/>
      <c r="U326" s="153"/>
      <c r="V326" s="724"/>
      <c r="W326" s="153" t="s">
        <v>131</v>
      </c>
      <c r="X326" s="153"/>
      <c r="Y326" s="690" t="s">
        <v>1923</v>
      </c>
      <c r="Z326" s="741">
        <v>2</v>
      </c>
    </row>
    <row r="327" spans="1:26" s="147" customFormat="1" ht="21.75" customHeight="1" x14ac:dyDescent="0.2">
      <c r="A327" s="354"/>
      <c r="B327" s="355"/>
      <c r="C327" s="356"/>
      <c r="D327" s="357"/>
      <c r="E327" s="357"/>
      <c r="F327" s="357"/>
      <c r="G327" s="357"/>
      <c r="H327" s="357"/>
      <c r="I327" s="357"/>
      <c r="J327" s="357"/>
      <c r="K327" s="358"/>
      <c r="L327" s="358"/>
      <c r="M327" s="359"/>
      <c r="N327" s="360"/>
      <c r="O327" s="357"/>
      <c r="P327" s="356"/>
      <c r="Q327" s="357"/>
      <c r="R327" s="356"/>
      <c r="S327" s="581"/>
      <c r="T327" s="581"/>
      <c r="U327" s="581"/>
      <c r="V327" s="581"/>
      <c r="W327" s="581"/>
      <c r="X327" s="268"/>
      <c r="Y327" s="361"/>
      <c r="Z327" s="268"/>
    </row>
    <row r="328" spans="1:26" s="147" customFormat="1" ht="48" customHeight="1" x14ac:dyDescent="0.2">
      <c r="A328" s="411" t="s">
        <v>1924</v>
      </c>
      <c r="B328" s="412" t="s">
        <v>134</v>
      </c>
      <c r="C328" s="395" t="s">
        <v>1925</v>
      </c>
      <c r="D328" s="413" t="s">
        <v>1584</v>
      </c>
      <c r="E328" s="454"/>
      <c r="F328" s="454"/>
      <c r="G328" s="454"/>
      <c r="H328" s="682"/>
      <c r="I328" s="682"/>
      <c r="J328" s="699">
        <v>3</v>
      </c>
      <c r="K328" s="374" t="s">
        <v>131</v>
      </c>
      <c r="L328" s="374" t="s">
        <v>131</v>
      </c>
      <c r="M328" s="802" t="s">
        <v>1926</v>
      </c>
      <c r="N328" s="802" t="s">
        <v>1927</v>
      </c>
      <c r="O328" s="374"/>
      <c r="P328" s="395"/>
      <c r="Q328" s="373"/>
      <c r="R328" s="395"/>
      <c r="S328" s="373"/>
      <c r="T328" s="373"/>
      <c r="U328" s="373"/>
      <c r="V328" s="414"/>
      <c r="W328" s="414"/>
      <c r="X328" s="414"/>
      <c r="Y328" s="415" t="s">
        <v>1928</v>
      </c>
      <c r="Z328" s="751">
        <v>2</v>
      </c>
    </row>
    <row r="329" spans="1:26" s="147" customFormat="1" ht="27" customHeight="1" x14ac:dyDescent="0.2">
      <c r="A329" s="634"/>
      <c r="B329" s="634"/>
      <c r="C329" s="375"/>
      <c r="D329" s="632"/>
      <c r="E329" s="376"/>
      <c r="F329" s="376"/>
      <c r="G329" s="376"/>
      <c r="H329" s="417"/>
      <c r="I329" s="417"/>
      <c r="J329" s="376"/>
      <c r="K329" s="417"/>
      <c r="L329" s="417"/>
      <c r="M329" s="337" t="s">
        <v>1688</v>
      </c>
      <c r="N329" s="299" t="s">
        <v>1689</v>
      </c>
      <c r="O329" s="376">
        <v>1</v>
      </c>
      <c r="P329" s="375" t="s">
        <v>1929</v>
      </c>
      <c r="Q329" s="376">
        <v>0</v>
      </c>
      <c r="R329" s="338"/>
      <c r="S329" s="338"/>
      <c r="T329" s="338"/>
      <c r="U329" s="338" t="s">
        <v>131</v>
      </c>
      <c r="V329" s="338"/>
      <c r="W329" s="338"/>
      <c r="X329" s="338"/>
      <c r="Y329" s="681"/>
      <c r="Z329" s="368" t="s">
        <v>204</v>
      </c>
    </row>
    <row r="330" spans="1:26" s="147" customFormat="1" ht="42" customHeight="1" x14ac:dyDescent="0.2">
      <c r="A330" s="634"/>
      <c r="B330" s="634"/>
      <c r="C330" s="375"/>
      <c r="D330" s="632"/>
      <c r="E330" s="376"/>
      <c r="F330" s="376"/>
      <c r="G330" s="376"/>
      <c r="H330" s="417"/>
      <c r="I330" s="417"/>
      <c r="J330" s="376"/>
      <c r="K330" s="417"/>
      <c r="L330" s="417"/>
      <c r="M330" s="417"/>
      <c r="N330" s="460"/>
      <c r="O330" s="376">
        <v>2</v>
      </c>
      <c r="P330" s="367" t="s">
        <v>1930</v>
      </c>
      <c r="Q330" s="338">
        <v>0</v>
      </c>
      <c r="R330" s="338"/>
      <c r="S330" s="338"/>
      <c r="T330" s="338"/>
      <c r="U330" s="338" t="s">
        <v>131</v>
      </c>
      <c r="V330" s="338"/>
      <c r="W330" s="338"/>
      <c r="X330" s="753"/>
      <c r="Y330" s="578"/>
      <c r="Z330" s="747">
        <v>2</v>
      </c>
    </row>
    <row r="331" spans="1:26" s="147" customFormat="1" ht="20.149999999999999" customHeight="1" x14ac:dyDescent="0.2">
      <c r="A331" s="634"/>
      <c r="B331" s="634"/>
      <c r="C331" s="375"/>
      <c r="D331" s="632"/>
      <c r="E331" s="376"/>
      <c r="F331" s="376"/>
      <c r="G331" s="376"/>
      <c r="H331" s="417"/>
      <c r="I331" s="417"/>
      <c r="J331" s="376"/>
      <c r="K331" s="417"/>
      <c r="L331" s="417"/>
      <c r="M331" s="460"/>
      <c r="N331" s="460"/>
      <c r="O331" s="376">
        <v>3</v>
      </c>
      <c r="P331" s="367" t="s">
        <v>1931</v>
      </c>
      <c r="Q331" s="338">
        <v>0</v>
      </c>
      <c r="R331" s="338"/>
      <c r="S331" s="338"/>
      <c r="T331" s="338"/>
      <c r="U331" s="338" t="s">
        <v>131</v>
      </c>
      <c r="V331" s="338"/>
      <c r="W331" s="338"/>
      <c r="X331" s="753"/>
      <c r="Y331" s="578"/>
      <c r="Z331" s="747">
        <v>2</v>
      </c>
    </row>
    <row r="332" spans="1:26" s="147" customFormat="1" ht="20.149999999999999" customHeight="1" x14ac:dyDescent="0.2">
      <c r="A332" s="634"/>
      <c r="B332" s="634"/>
      <c r="C332" s="375"/>
      <c r="D332" s="632"/>
      <c r="E332" s="376"/>
      <c r="F332" s="376"/>
      <c r="G332" s="376"/>
      <c r="H332" s="417"/>
      <c r="I332" s="417"/>
      <c r="J332" s="376"/>
      <c r="K332" s="417"/>
      <c r="L332" s="417"/>
      <c r="M332" s="460"/>
      <c r="N332" s="460"/>
      <c r="O332" s="376">
        <v>4</v>
      </c>
      <c r="P332" s="367" t="s">
        <v>1932</v>
      </c>
      <c r="Q332" s="338">
        <v>0</v>
      </c>
      <c r="R332" s="338"/>
      <c r="S332" s="338"/>
      <c r="T332" s="338"/>
      <c r="U332" s="338" t="s">
        <v>131</v>
      </c>
      <c r="V332" s="338" t="s">
        <v>131</v>
      </c>
      <c r="W332" s="338"/>
      <c r="X332" s="753"/>
      <c r="Y332" s="578"/>
      <c r="Z332" s="747">
        <v>2</v>
      </c>
    </row>
    <row r="333" spans="1:26" s="147" customFormat="1" ht="20.149999999999999" customHeight="1" x14ac:dyDescent="0.2">
      <c r="A333" s="634"/>
      <c r="B333" s="634"/>
      <c r="C333" s="375"/>
      <c r="D333" s="632"/>
      <c r="E333" s="376"/>
      <c r="F333" s="376"/>
      <c r="G333" s="376"/>
      <c r="H333" s="417"/>
      <c r="I333" s="417"/>
      <c r="J333" s="376"/>
      <c r="K333" s="417"/>
      <c r="L333" s="417"/>
      <c r="M333" s="460"/>
      <c r="N333" s="460"/>
      <c r="O333" s="376">
        <v>5</v>
      </c>
      <c r="P333" s="367" t="s">
        <v>1933</v>
      </c>
      <c r="Q333" s="338">
        <v>0</v>
      </c>
      <c r="R333" s="338"/>
      <c r="S333" s="338"/>
      <c r="T333" s="338"/>
      <c r="U333" s="338" t="s">
        <v>131</v>
      </c>
      <c r="V333" s="338"/>
      <c r="W333" s="338"/>
      <c r="X333" s="338"/>
      <c r="Y333" s="578"/>
      <c r="Z333" s="368" t="s">
        <v>204</v>
      </c>
    </row>
    <row r="334" spans="1:26" s="147" customFormat="1" ht="20.149999999999999" customHeight="1" x14ac:dyDescent="0.2">
      <c r="A334" s="683"/>
      <c r="B334" s="634"/>
      <c r="C334" s="375"/>
      <c r="D334" s="632"/>
      <c r="E334" s="376"/>
      <c r="F334" s="376"/>
      <c r="G334" s="376"/>
      <c r="H334" s="417"/>
      <c r="I334" s="417"/>
      <c r="J334" s="376"/>
      <c r="K334" s="417"/>
      <c r="L334" s="417"/>
      <c r="M334" s="460"/>
      <c r="N334" s="460"/>
      <c r="O334" s="376">
        <v>6</v>
      </c>
      <c r="P334" s="367" t="s">
        <v>1934</v>
      </c>
      <c r="Q334" s="338">
        <v>0</v>
      </c>
      <c r="R334" s="338"/>
      <c r="S334" s="338"/>
      <c r="T334" s="338"/>
      <c r="U334" s="338" t="s">
        <v>131</v>
      </c>
      <c r="V334" s="338"/>
      <c r="W334" s="338"/>
      <c r="X334" s="338"/>
      <c r="Y334" s="578"/>
      <c r="Z334" s="368" t="s">
        <v>204</v>
      </c>
    </row>
    <row r="335" spans="1:26" s="147" customFormat="1" ht="21.75" customHeight="1" x14ac:dyDescent="0.2">
      <c r="A335" s="628"/>
      <c r="B335" s="629"/>
      <c r="C335" s="375"/>
      <c r="D335" s="376"/>
      <c r="E335" s="376"/>
      <c r="F335" s="376"/>
      <c r="G335" s="376"/>
      <c r="H335" s="376"/>
      <c r="I335" s="376"/>
      <c r="J335" s="376"/>
      <c r="K335" s="417"/>
      <c r="L335" s="417"/>
      <c r="M335" s="460"/>
      <c r="N335" s="417"/>
      <c r="O335" s="376">
        <v>7</v>
      </c>
      <c r="P335" s="367" t="s">
        <v>1935</v>
      </c>
      <c r="Q335" s="338">
        <v>0</v>
      </c>
      <c r="R335" s="577"/>
      <c r="S335" s="753"/>
      <c r="T335" s="576"/>
      <c r="U335" s="338" t="s">
        <v>131</v>
      </c>
      <c r="V335" s="575"/>
      <c r="W335" s="576"/>
      <c r="X335" s="338"/>
      <c r="Y335" s="578"/>
      <c r="Z335" s="747">
        <v>2</v>
      </c>
    </row>
    <row r="336" spans="1:26" s="147" customFormat="1" ht="43.5" customHeight="1" x14ac:dyDescent="0.2">
      <c r="A336" s="628"/>
      <c r="B336" s="629"/>
      <c r="C336" s="375"/>
      <c r="D336" s="376"/>
      <c r="E336" s="376"/>
      <c r="F336" s="376"/>
      <c r="G336" s="376"/>
      <c r="H336" s="376"/>
      <c r="I336" s="376"/>
      <c r="J336" s="376"/>
      <c r="K336" s="417"/>
      <c r="L336" s="417"/>
      <c r="M336" s="460"/>
      <c r="N336" s="417"/>
      <c r="O336" s="376">
        <v>8</v>
      </c>
      <c r="P336" s="367" t="s">
        <v>1936</v>
      </c>
      <c r="Q336" s="338">
        <v>10</v>
      </c>
      <c r="R336" s="338"/>
      <c r="S336" s="338"/>
      <c r="T336" s="338" t="s">
        <v>131</v>
      </c>
      <c r="U336" s="338"/>
      <c r="V336" s="338"/>
      <c r="W336" s="338" t="s">
        <v>131</v>
      </c>
      <c r="X336" s="338"/>
      <c r="Y336" s="691" t="s">
        <v>1937</v>
      </c>
      <c r="Z336" s="368">
        <v>0</v>
      </c>
    </row>
    <row r="337" spans="1:26" s="147" customFormat="1" ht="21.75" customHeight="1" x14ac:dyDescent="0.2">
      <c r="A337" s="628"/>
      <c r="B337" s="629"/>
      <c r="C337" s="375"/>
      <c r="D337" s="376"/>
      <c r="E337" s="376"/>
      <c r="F337" s="376"/>
      <c r="G337" s="376"/>
      <c r="H337" s="376"/>
      <c r="I337" s="376"/>
      <c r="J337" s="376"/>
      <c r="K337" s="417"/>
      <c r="L337" s="417"/>
      <c r="M337" s="636"/>
      <c r="N337" s="637"/>
      <c r="O337" s="417"/>
      <c r="P337" s="375"/>
      <c r="Q337" s="338"/>
      <c r="R337" s="367"/>
      <c r="S337" s="338"/>
      <c r="T337" s="338"/>
      <c r="U337" s="338"/>
      <c r="V337" s="368"/>
      <c r="W337" s="368"/>
      <c r="X337" s="377"/>
      <c r="Y337" s="401"/>
      <c r="Z337" s="377"/>
    </row>
    <row r="338" spans="1:26" s="147" customFormat="1" ht="48" customHeight="1" x14ac:dyDescent="0.2">
      <c r="A338" s="666" t="s">
        <v>1938</v>
      </c>
      <c r="B338" s="412" t="s">
        <v>134</v>
      </c>
      <c r="C338" s="395" t="s">
        <v>1939</v>
      </c>
      <c r="D338" s="413" t="s">
        <v>1584</v>
      </c>
      <c r="E338" s="454"/>
      <c r="F338" s="454"/>
      <c r="G338" s="454"/>
      <c r="H338" s="454"/>
      <c r="I338" s="454"/>
      <c r="J338" s="373">
        <v>2.1</v>
      </c>
      <c r="K338" s="374"/>
      <c r="L338" s="374" t="s">
        <v>131</v>
      </c>
      <c r="M338" s="374" t="s">
        <v>1940</v>
      </c>
      <c r="N338" s="374" t="s">
        <v>1941</v>
      </c>
      <c r="O338" s="374"/>
      <c r="P338" s="395"/>
      <c r="Q338" s="373"/>
      <c r="R338" s="395"/>
      <c r="S338" s="373"/>
      <c r="T338" s="373"/>
      <c r="U338" s="373"/>
      <c r="V338" s="414"/>
      <c r="W338" s="414"/>
      <c r="X338" s="414"/>
      <c r="Y338" s="877" t="s">
        <v>1942</v>
      </c>
      <c r="Z338" s="751">
        <v>2</v>
      </c>
    </row>
    <row r="339" spans="1:26" s="147" customFormat="1" ht="20.149999999999999" customHeight="1" x14ac:dyDescent="0.2">
      <c r="A339" s="634"/>
      <c r="B339" s="634"/>
      <c r="C339" s="375"/>
      <c r="D339" s="632"/>
      <c r="E339" s="376"/>
      <c r="F339" s="376"/>
      <c r="G339" s="376"/>
      <c r="H339" s="376"/>
      <c r="I339" s="376"/>
      <c r="J339" s="376"/>
      <c r="K339" s="417"/>
      <c r="L339" s="417"/>
      <c r="M339" s="417"/>
      <c r="N339" s="417"/>
      <c r="O339" s="376">
        <v>1</v>
      </c>
      <c r="P339" s="367" t="s">
        <v>1943</v>
      </c>
      <c r="Q339" s="376">
        <v>0</v>
      </c>
      <c r="R339" s="338"/>
      <c r="S339" s="338"/>
      <c r="T339" s="338"/>
      <c r="U339" s="338" t="s">
        <v>131</v>
      </c>
      <c r="V339" s="338"/>
      <c r="W339" s="338"/>
      <c r="X339" s="338"/>
      <c r="Y339" s="681"/>
      <c r="Z339" s="368" t="s">
        <v>204</v>
      </c>
    </row>
    <row r="340" spans="1:26" s="147" customFormat="1" ht="20.149999999999999" customHeight="1" x14ac:dyDescent="0.2">
      <c r="A340" s="634"/>
      <c r="B340" s="634"/>
      <c r="C340" s="375"/>
      <c r="D340" s="632"/>
      <c r="E340" s="376"/>
      <c r="F340" s="376"/>
      <c r="G340" s="376"/>
      <c r="H340" s="376"/>
      <c r="I340" s="376"/>
      <c r="J340" s="376"/>
      <c r="K340" s="417"/>
      <c r="L340" s="417"/>
      <c r="M340" s="417"/>
      <c r="N340" s="417"/>
      <c r="O340" s="376">
        <v>2</v>
      </c>
      <c r="P340" s="375" t="s">
        <v>1944</v>
      </c>
      <c r="Q340" s="338">
        <v>0</v>
      </c>
      <c r="R340" s="338"/>
      <c r="S340" s="338"/>
      <c r="T340" s="338"/>
      <c r="U340" s="338" t="s">
        <v>131</v>
      </c>
      <c r="V340" s="338"/>
      <c r="W340" s="338"/>
      <c r="X340" s="753"/>
      <c r="Y340" s="578"/>
      <c r="Z340" s="747">
        <v>2</v>
      </c>
    </row>
    <row r="341" spans="1:26" s="147" customFormat="1" ht="20.149999999999999" customHeight="1" x14ac:dyDescent="0.2">
      <c r="A341" s="634"/>
      <c r="B341" s="634"/>
      <c r="C341" s="375"/>
      <c r="D341" s="632"/>
      <c r="E341" s="376"/>
      <c r="F341" s="376"/>
      <c r="G341" s="376"/>
      <c r="H341" s="376"/>
      <c r="I341" s="376"/>
      <c r="J341" s="376"/>
      <c r="K341" s="417"/>
      <c r="L341" s="417"/>
      <c r="M341" s="417"/>
      <c r="N341" s="417"/>
      <c r="O341" s="376">
        <v>3</v>
      </c>
      <c r="P341" s="375" t="s">
        <v>1945</v>
      </c>
      <c r="Q341" s="338">
        <v>0</v>
      </c>
      <c r="R341" s="338"/>
      <c r="S341" s="338"/>
      <c r="T341" s="338"/>
      <c r="U341" s="338" t="s">
        <v>131</v>
      </c>
      <c r="V341" s="338"/>
      <c r="W341" s="338"/>
      <c r="X341" s="753"/>
      <c r="Y341" s="578"/>
      <c r="Z341" s="747">
        <v>2</v>
      </c>
    </row>
    <row r="342" spans="1:26" s="147" customFormat="1" ht="20.149999999999999" customHeight="1" x14ac:dyDescent="0.2">
      <c r="A342" s="634"/>
      <c r="B342" s="634"/>
      <c r="C342" s="375"/>
      <c r="D342" s="632"/>
      <c r="E342" s="376"/>
      <c r="F342" s="376"/>
      <c r="G342" s="376"/>
      <c r="H342" s="376"/>
      <c r="I342" s="376"/>
      <c r="J342" s="376"/>
      <c r="K342" s="417"/>
      <c r="L342" s="417"/>
      <c r="M342" s="417"/>
      <c r="N342" s="417"/>
      <c r="O342" s="376">
        <v>4</v>
      </c>
      <c r="P342" s="375" t="s">
        <v>1946</v>
      </c>
      <c r="Q342" s="338">
        <v>0</v>
      </c>
      <c r="R342" s="338"/>
      <c r="S342" s="338"/>
      <c r="T342" s="338"/>
      <c r="U342" s="338" t="s">
        <v>131</v>
      </c>
      <c r="V342" s="338" t="s">
        <v>131</v>
      </c>
      <c r="W342" s="338"/>
      <c r="X342" s="753"/>
      <c r="Y342" s="578"/>
      <c r="Z342" s="747">
        <v>2</v>
      </c>
    </row>
    <row r="343" spans="1:26" s="147" customFormat="1" ht="20.149999999999999" customHeight="1" x14ac:dyDescent="0.2">
      <c r="A343" s="634"/>
      <c r="B343" s="634"/>
      <c r="C343" s="375"/>
      <c r="D343" s="632"/>
      <c r="E343" s="376"/>
      <c r="F343" s="376"/>
      <c r="G343" s="376"/>
      <c r="H343" s="376"/>
      <c r="I343" s="376"/>
      <c r="J343" s="376"/>
      <c r="K343" s="417"/>
      <c r="L343" s="417"/>
      <c r="M343" s="417"/>
      <c r="N343" s="417"/>
      <c r="O343" s="376">
        <v>5</v>
      </c>
      <c r="P343" s="375" t="s">
        <v>1947</v>
      </c>
      <c r="Q343" s="338">
        <v>0</v>
      </c>
      <c r="R343" s="338"/>
      <c r="S343" s="338"/>
      <c r="T343" s="338"/>
      <c r="U343" s="338" t="s">
        <v>131</v>
      </c>
      <c r="V343" s="338"/>
      <c r="W343" s="338"/>
      <c r="X343" s="338"/>
      <c r="Y343" s="578"/>
      <c r="Z343" s="368" t="s">
        <v>204</v>
      </c>
    </row>
    <row r="344" spans="1:26" s="147" customFormat="1" ht="20.149999999999999" customHeight="1" x14ac:dyDescent="0.2">
      <c r="A344" s="634"/>
      <c r="B344" s="634"/>
      <c r="C344" s="375"/>
      <c r="D344" s="632"/>
      <c r="E344" s="376"/>
      <c r="F344" s="376"/>
      <c r="G344" s="376"/>
      <c r="H344" s="376"/>
      <c r="I344" s="376"/>
      <c r="J344" s="376"/>
      <c r="K344" s="417"/>
      <c r="L344" s="417"/>
      <c r="M344" s="417"/>
      <c r="N344" s="417"/>
      <c r="O344" s="376">
        <v>6</v>
      </c>
      <c r="P344" s="375" t="s">
        <v>1948</v>
      </c>
      <c r="Q344" s="338">
        <v>0</v>
      </c>
      <c r="R344" s="338"/>
      <c r="S344" s="338"/>
      <c r="T344" s="338"/>
      <c r="U344" s="338" t="s">
        <v>131</v>
      </c>
      <c r="V344" s="338"/>
      <c r="W344" s="338"/>
      <c r="X344" s="338"/>
      <c r="Y344" s="578"/>
      <c r="Z344" s="368" t="s">
        <v>204</v>
      </c>
    </row>
    <row r="345" spans="1:26" s="147" customFormat="1" ht="21.75" customHeight="1" x14ac:dyDescent="0.2">
      <c r="A345" s="628"/>
      <c r="B345" s="629"/>
      <c r="C345" s="375"/>
      <c r="D345" s="376"/>
      <c r="E345" s="376"/>
      <c r="F345" s="376"/>
      <c r="G345" s="376"/>
      <c r="H345" s="376"/>
      <c r="I345" s="376"/>
      <c r="J345" s="376"/>
      <c r="K345" s="417"/>
      <c r="L345" s="417"/>
      <c r="M345" s="636"/>
      <c r="N345" s="637"/>
      <c r="O345" s="376">
        <v>7</v>
      </c>
      <c r="P345" s="375" t="s">
        <v>1949</v>
      </c>
      <c r="Q345" s="338">
        <v>0</v>
      </c>
      <c r="R345" s="577"/>
      <c r="S345" s="753"/>
      <c r="T345" s="576"/>
      <c r="U345" s="338" t="s">
        <v>131</v>
      </c>
      <c r="V345" s="575"/>
      <c r="W345" s="576"/>
      <c r="X345" s="338"/>
      <c r="Y345" s="578"/>
      <c r="Z345" s="747">
        <v>2</v>
      </c>
    </row>
    <row r="346" spans="1:26" s="147" customFormat="1" ht="21.75" customHeight="1" x14ac:dyDescent="0.2">
      <c r="A346" s="686"/>
      <c r="B346" s="687"/>
      <c r="C346" s="653"/>
      <c r="D346" s="418"/>
      <c r="E346" s="153"/>
      <c r="F346" s="153"/>
      <c r="G346" s="153"/>
      <c r="H346" s="153"/>
      <c r="I346" s="153"/>
      <c r="J346" s="153"/>
      <c r="K346" s="654"/>
      <c r="L346" s="654"/>
      <c r="M346" s="688"/>
      <c r="N346" s="689"/>
      <c r="O346" s="654"/>
      <c r="P346" s="653"/>
      <c r="Q346" s="153"/>
      <c r="R346" s="653"/>
      <c r="S346" s="153"/>
      <c r="T346" s="153"/>
      <c r="U346" s="153"/>
      <c r="V346" s="580"/>
      <c r="W346" s="580"/>
      <c r="X346" s="580"/>
      <c r="Y346" s="690"/>
      <c r="Z346" s="580"/>
    </row>
    <row r="347" spans="1:26" s="147" customFormat="1" ht="48" customHeight="1" x14ac:dyDescent="0.2">
      <c r="A347" s="666" t="s">
        <v>1950</v>
      </c>
      <c r="B347" s="412" t="s">
        <v>134</v>
      </c>
      <c r="C347" s="395" t="s">
        <v>1951</v>
      </c>
      <c r="D347" s="413" t="s">
        <v>1584</v>
      </c>
      <c r="E347" s="454"/>
      <c r="F347" s="454"/>
      <c r="G347" s="454"/>
      <c r="H347" s="454"/>
      <c r="I347" s="454"/>
      <c r="J347" s="373">
        <v>2.2000000000000002</v>
      </c>
      <c r="K347" s="750" t="s">
        <v>131</v>
      </c>
      <c r="L347" s="374" t="s">
        <v>131</v>
      </c>
      <c r="M347" s="750" t="s">
        <v>1644</v>
      </c>
      <c r="N347" s="750" t="s">
        <v>1791</v>
      </c>
      <c r="O347" s="374"/>
      <c r="P347" s="395"/>
      <c r="Q347" s="373"/>
      <c r="R347" s="395"/>
      <c r="S347" s="373"/>
      <c r="T347" s="373"/>
      <c r="U347" s="373"/>
      <c r="V347" s="414"/>
      <c r="W347" s="414"/>
      <c r="X347" s="414"/>
      <c r="Y347" s="415" t="s">
        <v>1952</v>
      </c>
      <c r="Z347" s="751">
        <v>2</v>
      </c>
    </row>
    <row r="348" spans="1:26" s="147" customFormat="1" ht="20.149999999999999" customHeight="1" x14ac:dyDescent="0.2">
      <c r="A348" s="634"/>
      <c r="B348" s="634"/>
      <c r="C348" s="375"/>
      <c r="D348" s="632"/>
      <c r="E348" s="376"/>
      <c r="F348" s="376"/>
      <c r="G348" s="376"/>
      <c r="H348" s="376"/>
      <c r="I348" s="376"/>
      <c r="J348" s="376"/>
      <c r="K348" s="417"/>
      <c r="L348" s="417"/>
      <c r="M348" s="417"/>
      <c r="N348" s="417"/>
      <c r="O348" s="376">
        <v>1</v>
      </c>
      <c r="P348" s="367" t="s">
        <v>1953</v>
      </c>
      <c r="Q348" s="376">
        <v>0</v>
      </c>
      <c r="R348" s="338"/>
      <c r="S348" s="338"/>
      <c r="T348" s="338"/>
      <c r="U348" s="338" t="s">
        <v>131</v>
      </c>
      <c r="V348" s="338"/>
      <c r="W348" s="338"/>
      <c r="X348" s="338"/>
      <c r="Y348" s="681"/>
      <c r="Z348" s="368" t="s">
        <v>204</v>
      </c>
    </row>
    <row r="349" spans="1:26" s="147" customFormat="1" ht="20.149999999999999" customHeight="1" x14ac:dyDescent="0.2">
      <c r="A349" s="634"/>
      <c r="B349" s="634"/>
      <c r="C349" s="375"/>
      <c r="D349" s="632"/>
      <c r="E349" s="376"/>
      <c r="F349" s="376"/>
      <c r="G349" s="376"/>
      <c r="H349" s="376"/>
      <c r="I349" s="376"/>
      <c r="J349" s="376"/>
      <c r="K349" s="417"/>
      <c r="L349" s="417"/>
      <c r="M349" s="417"/>
      <c r="N349" s="417"/>
      <c r="O349" s="376">
        <v>2</v>
      </c>
      <c r="P349" s="375" t="s">
        <v>1954</v>
      </c>
      <c r="Q349" s="338">
        <v>0</v>
      </c>
      <c r="R349" s="338"/>
      <c r="S349" s="338"/>
      <c r="T349" s="338"/>
      <c r="U349" s="338" t="s">
        <v>131</v>
      </c>
      <c r="V349" s="338"/>
      <c r="W349" s="338"/>
      <c r="X349" s="753"/>
      <c r="Y349" s="578"/>
      <c r="Z349" s="747">
        <v>2</v>
      </c>
    </row>
    <row r="350" spans="1:26" s="147" customFormat="1" ht="20.149999999999999" customHeight="1" x14ac:dyDescent="0.2">
      <c r="A350" s="634"/>
      <c r="B350" s="634"/>
      <c r="C350" s="375"/>
      <c r="D350" s="632"/>
      <c r="E350" s="376"/>
      <c r="F350" s="376"/>
      <c r="G350" s="376"/>
      <c r="H350" s="376"/>
      <c r="I350" s="376"/>
      <c r="J350" s="376"/>
      <c r="K350" s="417"/>
      <c r="L350" s="417"/>
      <c r="M350" s="417"/>
      <c r="N350" s="417"/>
      <c r="O350" s="376">
        <v>3</v>
      </c>
      <c r="P350" s="375" t="s">
        <v>1955</v>
      </c>
      <c r="Q350" s="338">
        <v>0</v>
      </c>
      <c r="R350" s="338"/>
      <c r="S350" s="338"/>
      <c r="T350" s="338"/>
      <c r="U350" s="338" t="s">
        <v>131</v>
      </c>
      <c r="V350" s="338"/>
      <c r="W350" s="338"/>
      <c r="X350" s="753"/>
      <c r="Y350" s="578"/>
      <c r="Z350" s="747">
        <v>2</v>
      </c>
    </row>
    <row r="351" spans="1:26" s="147" customFormat="1" ht="20.149999999999999" customHeight="1" x14ac:dyDescent="0.2">
      <c r="A351" s="634"/>
      <c r="B351" s="634"/>
      <c r="C351" s="375"/>
      <c r="D351" s="632"/>
      <c r="E351" s="376"/>
      <c r="F351" s="376"/>
      <c r="G351" s="376"/>
      <c r="H351" s="376"/>
      <c r="I351" s="376"/>
      <c r="J351" s="376"/>
      <c r="K351" s="417"/>
      <c r="L351" s="417"/>
      <c r="M351" s="417"/>
      <c r="N351" s="417"/>
      <c r="O351" s="376">
        <v>4</v>
      </c>
      <c r="P351" s="375" t="s">
        <v>1956</v>
      </c>
      <c r="Q351" s="338">
        <v>0</v>
      </c>
      <c r="R351" s="338"/>
      <c r="S351" s="338"/>
      <c r="T351" s="338"/>
      <c r="U351" s="338" t="s">
        <v>131</v>
      </c>
      <c r="V351" s="338" t="s">
        <v>131</v>
      </c>
      <c r="W351" s="338"/>
      <c r="X351" s="753"/>
      <c r="Y351" s="578"/>
      <c r="Z351" s="747">
        <v>2</v>
      </c>
    </row>
    <row r="352" spans="1:26" s="147" customFormat="1" ht="20.149999999999999" customHeight="1" x14ac:dyDescent="0.2">
      <c r="A352" s="634"/>
      <c r="B352" s="634"/>
      <c r="C352" s="375"/>
      <c r="D352" s="632"/>
      <c r="E352" s="376"/>
      <c r="F352" s="376"/>
      <c r="G352" s="376"/>
      <c r="H352" s="376"/>
      <c r="I352" s="376"/>
      <c r="J352" s="376"/>
      <c r="K352" s="417"/>
      <c r="L352" s="417"/>
      <c r="M352" s="417"/>
      <c r="N352" s="417"/>
      <c r="O352" s="376">
        <v>5</v>
      </c>
      <c r="P352" s="375" t="s">
        <v>1957</v>
      </c>
      <c r="Q352" s="338">
        <v>0</v>
      </c>
      <c r="R352" s="338"/>
      <c r="S352" s="338"/>
      <c r="T352" s="338"/>
      <c r="U352" s="338" t="s">
        <v>131</v>
      </c>
      <c r="V352" s="338"/>
      <c r="W352" s="338"/>
      <c r="X352" s="338"/>
      <c r="Y352" s="578"/>
      <c r="Z352" s="368" t="s">
        <v>204</v>
      </c>
    </row>
    <row r="353" spans="1:26" s="147" customFormat="1" ht="20.149999999999999" customHeight="1" x14ac:dyDescent="0.2">
      <c r="A353" s="634"/>
      <c r="B353" s="634"/>
      <c r="C353" s="375"/>
      <c r="D353" s="632"/>
      <c r="E353" s="376"/>
      <c r="F353" s="376"/>
      <c r="G353" s="376"/>
      <c r="H353" s="376"/>
      <c r="I353" s="376"/>
      <c r="J353" s="376"/>
      <c r="K353" s="417"/>
      <c r="L353" s="417"/>
      <c r="M353" s="417"/>
      <c r="N353" s="417"/>
      <c r="O353" s="376">
        <v>6</v>
      </c>
      <c r="P353" s="375" t="s">
        <v>1958</v>
      </c>
      <c r="Q353" s="338">
        <v>0</v>
      </c>
      <c r="R353" s="338"/>
      <c r="S353" s="338"/>
      <c r="T353" s="338"/>
      <c r="U353" s="338" t="s">
        <v>131</v>
      </c>
      <c r="V353" s="338"/>
      <c r="W353" s="338"/>
      <c r="X353" s="338"/>
      <c r="Y353" s="578"/>
      <c r="Z353" s="368" t="s">
        <v>204</v>
      </c>
    </row>
    <row r="354" spans="1:26" s="147" customFormat="1" ht="21.75" customHeight="1" x14ac:dyDescent="0.2">
      <c r="A354" s="628"/>
      <c r="B354" s="629"/>
      <c r="C354" s="375"/>
      <c r="D354" s="376"/>
      <c r="E354" s="376"/>
      <c r="F354" s="376"/>
      <c r="G354" s="376"/>
      <c r="H354" s="376"/>
      <c r="I354" s="376"/>
      <c r="J354" s="376"/>
      <c r="K354" s="417"/>
      <c r="L354" s="417"/>
      <c r="M354" s="636"/>
      <c r="N354" s="637"/>
      <c r="O354" s="376">
        <v>7</v>
      </c>
      <c r="P354" s="375" t="s">
        <v>1959</v>
      </c>
      <c r="Q354" s="338">
        <v>0</v>
      </c>
      <c r="R354" s="577"/>
      <c r="S354" s="753"/>
      <c r="T354" s="576"/>
      <c r="U354" s="338" t="s">
        <v>131</v>
      </c>
      <c r="V354" s="575"/>
      <c r="W354" s="576"/>
      <c r="X354" s="338"/>
      <c r="Y354" s="578"/>
      <c r="Z354" s="747">
        <v>2</v>
      </c>
    </row>
    <row r="355" spans="1:26" s="147" customFormat="1" ht="21.75" customHeight="1" x14ac:dyDescent="0.2">
      <c r="A355" s="630"/>
      <c r="B355" s="671"/>
      <c r="C355" s="672"/>
      <c r="D355" s="673"/>
      <c r="E355" s="673"/>
      <c r="F355" s="673"/>
      <c r="G355" s="673"/>
      <c r="H355" s="673"/>
      <c r="I355" s="673"/>
      <c r="J355" s="673"/>
      <c r="K355" s="674"/>
      <c r="L355" s="674"/>
      <c r="M355" s="675"/>
      <c r="N355" s="676"/>
      <c r="O355" s="674"/>
      <c r="P355" s="672"/>
      <c r="Q355" s="673"/>
      <c r="R355" s="672"/>
      <c r="S355" s="673"/>
      <c r="T355" s="673"/>
      <c r="U355" s="673"/>
      <c r="V355" s="484"/>
      <c r="W355" s="484"/>
      <c r="X355" s="484"/>
      <c r="Y355" s="677"/>
      <c r="Z355" s="484"/>
    </row>
    <row r="356" spans="1:26" s="147" customFormat="1" ht="34" customHeight="1" x14ac:dyDescent="0.2">
      <c r="A356" s="278" t="s">
        <v>1960</v>
      </c>
      <c r="B356" s="270" t="s">
        <v>290</v>
      </c>
      <c r="C356" s="283" t="s">
        <v>1961</v>
      </c>
      <c r="D356" s="352" t="s">
        <v>1480</v>
      </c>
      <c r="E356" s="374">
        <v>0</v>
      </c>
      <c r="F356" s="374">
        <v>100</v>
      </c>
      <c r="G356" s="374" t="s">
        <v>44</v>
      </c>
      <c r="H356" s="374">
        <v>100</v>
      </c>
      <c r="I356" s="374">
        <v>100</v>
      </c>
      <c r="J356" s="373">
        <v>581</v>
      </c>
      <c r="K356" s="280" t="s">
        <v>131</v>
      </c>
      <c r="L356" s="280" t="s">
        <v>131</v>
      </c>
      <c r="M356" s="281" t="s">
        <v>1644</v>
      </c>
      <c r="N356" s="281" t="s">
        <v>1791</v>
      </c>
      <c r="O356" s="280"/>
      <c r="P356" s="283"/>
      <c r="Q356" s="279"/>
      <c r="R356" s="283"/>
      <c r="S356" s="279"/>
      <c r="T356" s="279"/>
      <c r="U356" s="279"/>
      <c r="V356" s="282"/>
      <c r="W356" s="282"/>
      <c r="X356" s="282"/>
      <c r="Y356" s="350"/>
      <c r="Z356" s="282"/>
    </row>
    <row r="357" spans="1:26" s="147" customFormat="1" ht="21.75" customHeight="1" x14ac:dyDescent="0.2">
      <c r="A357" s="296"/>
      <c r="B357" s="285"/>
      <c r="C357" s="286"/>
      <c r="D357" s="298"/>
      <c r="E357" s="298"/>
      <c r="F357" s="298"/>
      <c r="G357" s="298"/>
      <c r="H357" s="298"/>
      <c r="I357" s="298"/>
      <c r="J357" s="298"/>
      <c r="K357" s="299"/>
      <c r="L357" s="299"/>
      <c r="M357" s="337" t="s">
        <v>1688</v>
      </c>
      <c r="N357" s="299" t="s">
        <v>1689</v>
      </c>
      <c r="O357" s="299">
        <v>1</v>
      </c>
      <c r="P357" s="286" t="s">
        <v>1962</v>
      </c>
      <c r="Q357" s="376">
        <v>0</v>
      </c>
      <c r="R357" s="338"/>
      <c r="S357" s="338"/>
      <c r="T357" s="338"/>
      <c r="U357" s="338" t="s">
        <v>131</v>
      </c>
      <c r="V357" s="338"/>
      <c r="W357" s="338"/>
      <c r="X357" s="338"/>
      <c r="Y357" s="681"/>
      <c r="Z357" s="368" t="s">
        <v>204</v>
      </c>
    </row>
    <row r="358" spans="1:26" s="147" customFormat="1" ht="21.75" customHeight="1" x14ac:dyDescent="0.2">
      <c r="A358" s="296"/>
      <c r="B358" s="285"/>
      <c r="C358" s="286"/>
      <c r="D358" s="298"/>
      <c r="E358" s="298"/>
      <c r="F358" s="298"/>
      <c r="G358" s="298"/>
      <c r="H358" s="298"/>
      <c r="I358" s="298"/>
      <c r="J358" s="298"/>
      <c r="K358" s="299"/>
      <c r="L358" s="299"/>
      <c r="M358" s="337"/>
      <c r="N358" s="299"/>
      <c r="O358" s="298">
        <v>2</v>
      </c>
      <c r="P358" s="292" t="s">
        <v>1963</v>
      </c>
      <c r="Q358" s="338">
        <v>0</v>
      </c>
      <c r="R358" s="338"/>
      <c r="S358" s="338"/>
      <c r="T358" s="338"/>
      <c r="U358" s="338" t="s">
        <v>131</v>
      </c>
      <c r="V358" s="338"/>
      <c r="W358" s="338"/>
      <c r="X358" s="753"/>
      <c r="Y358" s="578"/>
      <c r="Z358" s="747">
        <v>2</v>
      </c>
    </row>
    <row r="359" spans="1:26" s="147" customFormat="1" ht="21.75" customHeight="1" x14ac:dyDescent="0.2">
      <c r="A359" s="296"/>
      <c r="B359" s="285"/>
      <c r="C359" s="286"/>
      <c r="D359" s="298"/>
      <c r="E359" s="298"/>
      <c r="F359" s="298"/>
      <c r="G359" s="298"/>
      <c r="H359" s="298"/>
      <c r="I359" s="298"/>
      <c r="J359" s="298"/>
      <c r="K359" s="299"/>
      <c r="L359" s="299"/>
      <c r="M359" s="337"/>
      <c r="N359" s="299"/>
      <c r="O359" s="298">
        <v>3</v>
      </c>
      <c r="P359" s="292" t="s">
        <v>1964</v>
      </c>
      <c r="Q359" s="338">
        <v>0</v>
      </c>
      <c r="R359" s="338"/>
      <c r="S359" s="338"/>
      <c r="T359" s="338"/>
      <c r="U359" s="338" t="s">
        <v>131</v>
      </c>
      <c r="V359" s="338"/>
      <c r="W359" s="338"/>
      <c r="X359" s="753"/>
      <c r="Y359" s="578"/>
      <c r="Z359" s="747">
        <v>2</v>
      </c>
    </row>
    <row r="360" spans="1:26" s="147" customFormat="1" ht="21.75" customHeight="1" x14ac:dyDescent="0.2">
      <c r="A360" s="296"/>
      <c r="B360" s="285"/>
      <c r="C360" s="286"/>
      <c r="D360" s="298"/>
      <c r="E360" s="298"/>
      <c r="F360" s="298"/>
      <c r="G360" s="298"/>
      <c r="H360" s="298"/>
      <c r="I360" s="298"/>
      <c r="J360" s="298"/>
      <c r="K360" s="299"/>
      <c r="L360" s="299"/>
      <c r="M360" s="337"/>
      <c r="N360" s="299"/>
      <c r="O360" s="298">
        <v>4</v>
      </c>
      <c r="P360" s="292" t="s">
        <v>1965</v>
      </c>
      <c r="Q360" s="338">
        <v>0</v>
      </c>
      <c r="R360" s="338"/>
      <c r="S360" s="338"/>
      <c r="T360" s="338"/>
      <c r="U360" s="338" t="s">
        <v>131</v>
      </c>
      <c r="V360" s="338" t="s">
        <v>131</v>
      </c>
      <c r="W360" s="338"/>
      <c r="X360" s="753"/>
      <c r="Y360" s="578"/>
      <c r="Z360" s="747">
        <v>2</v>
      </c>
    </row>
    <row r="361" spans="1:26" s="147" customFormat="1" ht="21.75" customHeight="1" x14ac:dyDescent="0.2">
      <c r="A361" s="296"/>
      <c r="B361" s="285"/>
      <c r="C361" s="286"/>
      <c r="D361" s="298"/>
      <c r="E361" s="298"/>
      <c r="F361" s="298"/>
      <c r="G361" s="298"/>
      <c r="H361" s="298"/>
      <c r="I361" s="298"/>
      <c r="J361" s="298"/>
      <c r="K361" s="299"/>
      <c r="L361" s="299"/>
      <c r="M361" s="337"/>
      <c r="N361" s="299"/>
      <c r="O361" s="298">
        <v>5</v>
      </c>
      <c r="P361" s="292" t="s">
        <v>1966</v>
      </c>
      <c r="Q361" s="338">
        <v>0</v>
      </c>
      <c r="R361" s="338"/>
      <c r="S361" s="338"/>
      <c r="T361" s="338"/>
      <c r="U361" s="338" t="s">
        <v>131</v>
      </c>
      <c r="V361" s="338"/>
      <c r="W361" s="338"/>
      <c r="X361" s="338"/>
      <c r="Y361" s="578"/>
      <c r="Z361" s="368" t="s">
        <v>204</v>
      </c>
    </row>
    <row r="362" spans="1:26" s="147" customFormat="1" ht="21.75" customHeight="1" x14ac:dyDescent="0.2">
      <c r="A362" s="296"/>
      <c r="B362" s="285"/>
      <c r="C362" s="286"/>
      <c r="D362" s="298"/>
      <c r="E362" s="298"/>
      <c r="F362" s="298"/>
      <c r="G362" s="298"/>
      <c r="H362" s="298"/>
      <c r="I362" s="298"/>
      <c r="J362" s="298"/>
      <c r="K362" s="299"/>
      <c r="L362" s="299"/>
      <c r="M362" s="337"/>
      <c r="N362" s="299"/>
      <c r="O362" s="298">
        <v>6</v>
      </c>
      <c r="P362" s="292" t="s">
        <v>1967</v>
      </c>
      <c r="Q362" s="338">
        <v>0</v>
      </c>
      <c r="R362" s="338"/>
      <c r="S362" s="338"/>
      <c r="T362" s="338"/>
      <c r="U362" s="338" t="s">
        <v>131</v>
      </c>
      <c r="V362" s="338"/>
      <c r="W362" s="338"/>
      <c r="X362" s="338"/>
      <c r="Y362" s="578"/>
      <c r="Z362" s="368" t="s">
        <v>204</v>
      </c>
    </row>
    <row r="363" spans="1:26" s="147" customFormat="1" ht="21.75" customHeight="1" x14ac:dyDescent="0.2">
      <c r="A363" s="296"/>
      <c r="B363" s="285"/>
      <c r="C363" s="286"/>
      <c r="D363" s="298"/>
      <c r="E363" s="298"/>
      <c r="F363" s="298"/>
      <c r="G363" s="298"/>
      <c r="H363" s="298"/>
      <c r="I363" s="298"/>
      <c r="J363" s="298"/>
      <c r="K363" s="299"/>
      <c r="L363" s="299"/>
      <c r="M363" s="300"/>
      <c r="N363" s="301"/>
      <c r="O363" s="298">
        <v>7</v>
      </c>
      <c r="P363" s="292" t="s">
        <v>1968</v>
      </c>
      <c r="Q363" s="338">
        <v>0</v>
      </c>
      <c r="R363" s="577"/>
      <c r="S363" s="753"/>
      <c r="T363" s="576"/>
      <c r="U363" s="338" t="s">
        <v>131</v>
      </c>
      <c r="V363" s="575"/>
      <c r="W363" s="576"/>
      <c r="X363" s="338"/>
      <c r="Y363" s="578"/>
      <c r="Z363" s="747">
        <v>2</v>
      </c>
    </row>
    <row r="364" spans="1:26" s="147" customFormat="1" ht="43.5" customHeight="1" x14ac:dyDescent="0.2">
      <c r="A364" s="294"/>
      <c r="B364" s="295"/>
      <c r="C364" s="292"/>
      <c r="D364" s="288"/>
      <c r="E364" s="288"/>
      <c r="F364" s="288"/>
      <c r="G364" s="288"/>
      <c r="H364" s="288"/>
      <c r="I364" s="288"/>
      <c r="J364" s="288"/>
      <c r="K364" s="289"/>
      <c r="L364" s="289"/>
      <c r="M364" s="290"/>
      <c r="N364" s="291"/>
      <c r="O364" s="299">
        <v>8</v>
      </c>
      <c r="P364" s="292" t="s">
        <v>1969</v>
      </c>
      <c r="Q364" s="288">
        <v>0</v>
      </c>
      <c r="R364" s="292"/>
      <c r="S364" s="338" t="s">
        <v>131</v>
      </c>
      <c r="T364" s="338"/>
      <c r="U364" s="338"/>
      <c r="V364" s="338"/>
      <c r="W364" s="338" t="s">
        <v>131</v>
      </c>
      <c r="X364" s="293"/>
      <c r="Y364" s="340" t="s">
        <v>1970</v>
      </c>
      <c r="Z364" s="293">
        <v>0</v>
      </c>
    </row>
    <row r="365" spans="1:26" s="147" customFormat="1" ht="20.149999999999999" customHeight="1" x14ac:dyDescent="0.2">
      <c r="A365" s="296"/>
      <c r="B365" s="285"/>
      <c r="C365" s="286"/>
      <c r="D365" s="298"/>
      <c r="E365" s="298"/>
      <c r="F365" s="298"/>
      <c r="G365" s="298"/>
      <c r="H365" s="298"/>
      <c r="I365" s="298"/>
      <c r="J365" s="298"/>
      <c r="K365" s="299"/>
      <c r="L365" s="299"/>
      <c r="M365" s="300"/>
      <c r="N365" s="301"/>
      <c r="O365" s="298">
        <v>9</v>
      </c>
      <c r="P365" s="286" t="s">
        <v>1971</v>
      </c>
      <c r="Q365" s="830">
        <v>3</v>
      </c>
      <c r="R365" s="286"/>
      <c r="S365" s="298"/>
      <c r="T365" s="298"/>
      <c r="U365" s="298" t="s">
        <v>131</v>
      </c>
      <c r="V365" s="273"/>
      <c r="W365" s="273"/>
      <c r="X365" s="273" t="s">
        <v>131</v>
      </c>
      <c r="Y365" s="340" t="s">
        <v>1972</v>
      </c>
      <c r="Z365" s="741">
        <v>2</v>
      </c>
    </row>
    <row r="366" spans="1:26" s="147" customFormat="1" ht="20.149999999999999" customHeight="1" x14ac:dyDescent="0.2">
      <c r="A366" s="296"/>
      <c r="B366" s="285"/>
      <c r="C366" s="286"/>
      <c r="D366" s="298"/>
      <c r="E366" s="298"/>
      <c r="F366" s="298"/>
      <c r="G366" s="298"/>
      <c r="H366" s="298"/>
      <c r="I366" s="298"/>
      <c r="J366" s="298"/>
      <c r="K366" s="299"/>
      <c r="L366" s="299"/>
      <c r="M366" s="300"/>
      <c r="N366" s="301"/>
      <c r="O366" s="298">
        <v>10</v>
      </c>
      <c r="P366" s="286" t="s">
        <v>1973</v>
      </c>
      <c r="Q366" s="748">
        <v>0</v>
      </c>
      <c r="R366" s="286"/>
      <c r="S366" s="298"/>
      <c r="T366" s="298" t="s">
        <v>131</v>
      </c>
      <c r="U366" s="298"/>
      <c r="V366" s="273"/>
      <c r="W366" s="273" t="s">
        <v>131</v>
      </c>
      <c r="X366" s="273"/>
      <c r="Y366" s="339"/>
      <c r="Z366" s="741">
        <v>2</v>
      </c>
    </row>
    <row r="367" spans="1:26" s="147" customFormat="1" ht="21.75" customHeight="1" x14ac:dyDescent="0.2">
      <c r="A367" s="296"/>
      <c r="B367" s="285"/>
      <c r="C367" s="286"/>
      <c r="D367" s="298"/>
      <c r="E367" s="298"/>
      <c r="F367" s="298"/>
      <c r="G367" s="298"/>
      <c r="H367" s="298"/>
      <c r="I367" s="298"/>
      <c r="J367" s="298"/>
      <c r="K367" s="299"/>
      <c r="L367" s="299"/>
      <c r="M367" s="300"/>
      <c r="N367" s="301"/>
      <c r="O367" s="298">
        <v>11</v>
      </c>
      <c r="P367" s="286" t="s">
        <v>935</v>
      </c>
      <c r="Q367" s="748">
        <v>0</v>
      </c>
      <c r="R367" s="286"/>
      <c r="S367" s="298"/>
      <c r="T367" s="298" t="s">
        <v>131</v>
      </c>
      <c r="U367" s="298"/>
      <c r="V367" s="273"/>
      <c r="W367" s="273" t="s">
        <v>131</v>
      </c>
      <c r="X367" s="273"/>
      <c r="Y367" s="339"/>
      <c r="Z367" s="741">
        <v>2</v>
      </c>
    </row>
    <row r="368" spans="1:26" s="147" customFormat="1" ht="21.75" customHeight="1" x14ac:dyDescent="0.2">
      <c r="A368" s="296"/>
      <c r="B368" s="285"/>
      <c r="C368" s="286"/>
      <c r="D368" s="298"/>
      <c r="E368" s="298"/>
      <c r="F368" s="298"/>
      <c r="G368" s="298"/>
      <c r="H368" s="298"/>
      <c r="I368" s="298"/>
      <c r="J368" s="298"/>
      <c r="K368" s="299"/>
      <c r="L368" s="299"/>
      <c r="M368" s="300"/>
      <c r="N368" s="301"/>
      <c r="O368" s="298">
        <v>12</v>
      </c>
      <c r="P368" s="286" t="s">
        <v>1974</v>
      </c>
      <c r="Q368" s="830">
        <v>3</v>
      </c>
      <c r="R368" s="286"/>
      <c r="S368" s="298"/>
      <c r="T368" s="338" t="s">
        <v>131</v>
      </c>
      <c r="U368" s="338"/>
      <c r="V368" s="368"/>
      <c r="W368" s="273" t="s">
        <v>131</v>
      </c>
      <c r="X368" s="273"/>
      <c r="Y368" s="339" t="s">
        <v>1975</v>
      </c>
      <c r="Z368" s="741">
        <v>2</v>
      </c>
    </row>
    <row r="369" spans="1:26" s="147" customFormat="1" ht="21.75" customHeight="1" x14ac:dyDescent="0.2">
      <c r="A369" s="296"/>
      <c r="B369" s="285"/>
      <c r="C369" s="286"/>
      <c r="D369" s="298"/>
      <c r="E369" s="298"/>
      <c r="F369" s="298"/>
      <c r="G369" s="298"/>
      <c r="H369" s="298"/>
      <c r="I369" s="298"/>
      <c r="J369" s="298"/>
      <c r="K369" s="299"/>
      <c r="L369" s="299"/>
      <c r="M369" s="300"/>
      <c r="N369" s="301"/>
      <c r="O369" s="298">
        <v>13</v>
      </c>
      <c r="P369" s="286" t="s">
        <v>1976</v>
      </c>
      <c r="Q369" s="830">
        <v>3</v>
      </c>
      <c r="R369" s="286"/>
      <c r="S369" s="298"/>
      <c r="T369" s="338" t="s">
        <v>131</v>
      </c>
      <c r="U369" s="338"/>
      <c r="V369" s="368"/>
      <c r="W369" s="273" t="s">
        <v>131</v>
      </c>
      <c r="X369" s="273"/>
      <c r="Y369" s="339" t="s">
        <v>1975</v>
      </c>
      <c r="Z369" s="741">
        <v>2</v>
      </c>
    </row>
    <row r="370" spans="1:26" s="147" customFormat="1" ht="21.75" customHeight="1" x14ac:dyDescent="0.2">
      <c r="A370" s="296"/>
      <c r="B370" s="285"/>
      <c r="C370" s="286"/>
      <c r="D370" s="298"/>
      <c r="E370" s="298"/>
      <c r="F370" s="298"/>
      <c r="G370" s="298"/>
      <c r="H370" s="298"/>
      <c r="I370" s="298"/>
      <c r="J370" s="298"/>
      <c r="K370" s="299"/>
      <c r="L370" s="299"/>
      <c r="M370" s="300"/>
      <c r="N370" s="301"/>
      <c r="O370" s="298">
        <v>14</v>
      </c>
      <c r="P370" s="286" t="s">
        <v>1977</v>
      </c>
      <c r="Q370" s="830">
        <v>3</v>
      </c>
      <c r="R370" s="286"/>
      <c r="S370" s="298"/>
      <c r="T370" s="338" t="s">
        <v>131</v>
      </c>
      <c r="U370" s="338"/>
      <c r="V370" s="368"/>
      <c r="W370" s="273" t="s">
        <v>131</v>
      </c>
      <c r="X370" s="273"/>
      <c r="Y370" s="339" t="s">
        <v>1975</v>
      </c>
      <c r="Z370" s="741">
        <v>2</v>
      </c>
    </row>
    <row r="371" spans="1:26" s="147" customFormat="1" ht="21.75" customHeight="1" x14ac:dyDescent="0.2">
      <c r="A371" s="294"/>
      <c r="B371" s="295"/>
      <c r="C371" s="292"/>
      <c r="D371" s="288"/>
      <c r="E371" s="288"/>
      <c r="F371" s="288"/>
      <c r="G371" s="288"/>
      <c r="H371" s="288"/>
      <c r="I371" s="288"/>
      <c r="J371" s="288"/>
      <c r="K371" s="289"/>
      <c r="L371" s="289"/>
      <c r="M371" s="290"/>
      <c r="N371" s="291"/>
      <c r="O371" s="289">
        <v>15</v>
      </c>
      <c r="P371" s="292" t="s">
        <v>1978</v>
      </c>
      <c r="Q371" s="794">
        <v>3</v>
      </c>
      <c r="R371" s="292"/>
      <c r="S371" s="288"/>
      <c r="T371" s="338" t="s">
        <v>131</v>
      </c>
      <c r="U371" s="338"/>
      <c r="V371" s="368"/>
      <c r="W371" s="293" t="s">
        <v>131</v>
      </c>
      <c r="X371" s="293"/>
      <c r="Y371" s="340" t="s">
        <v>1975</v>
      </c>
      <c r="Z371" s="747">
        <v>2</v>
      </c>
    </row>
    <row r="372" spans="1:26" s="147" customFormat="1" ht="21.75" customHeight="1" x14ac:dyDescent="0.2">
      <c r="A372" s="294"/>
      <c r="B372" s="295"/>
      <c r="C372" s="292"/>
      <c r="D372" s="288"/>
      <c r="E372" s="288"/>
      <c r="F372" s="288"/>
      <c r="G372" s="288"/>
      <c r="H372" s="288"/>
      <c r="I372" s="288"/>
      <c r="J372" s="288"/>
      <c r="K372" s="289"/>
      <c r="L372" s="289"/>
      <c r="M372" s="290"/>
      <c r="N372" s="291"/>
      <c r="O372" s="288">
        <v>16</v>
      </c>
      <c r="P372" s="292" t="s">
        <v>1979</v>
      </c>
      <c r="Q372" s="794">
        <v>3</v>
      </c>
      <c r="R372" s="292"/>
      <c r="S372" s="288"/>
      <c r="T372" s="338" t="s">
        <v>131</v>
      </c>
      <c r="U372" s="338"/>
      <c r="V372" s="368"/>
      <c r="W372" s="293" t="s">
        <v>131</v>
      </c>
      <c r="X372" s="293"/>
      <c r="Y372" s="340" t="s">
        <v>1975</v>
      </c>
      <c r="Z372" s="747">
        <v>2</v>
      </c>
    </row>
    <row r="373" spans="1:26" s="147" customFormat="1" ht="21.75" customHeight="1" x14ac:dyDescent="0.2">
      <c r="A373" s="296"/>
      <c r="B373" s="285"/>
      <c r="C373" s="286"/>
      <c r="D373" s="298"/>
      <c r="E373" s="298"/>
      <c r="F373" s="298"/>
      <c r="G373" s="298"/>
      <c r="H373" s="298"/>
      <c r="I373" s="298"/>
      <c r="J373" s="298"/>
      <c r="K373" s="299"/>
      <c r="L373" s="299"/>
      <c r="M373" s="300"/>
      <c r="N373" s="301"/>
      <c r="O373" s="298">
        <v>17</v>
      </c>
      <c r="P373" s="286" t="s">
        <v>1980</v>
      </c>
      <c r="Q373" s="830">
        <v>3</v>
      </c>
      <c r="R373" s="286"/>
      <c r="S373" s="298"/>
      <c r="T373" s="338" t="s">
        <v>131</v>
      </c>
      <c r="U373" s="338"/>
      <c r="V373" s="368"/>
      <c r="W373" s="273" t="s">
        <v>131</v>
      </c>
      <c r="X373" s="273"/>
      <c r="Y373" s="339" t="s">
        <v>1975</v>
      </c>
      <c r="Z373" s="741">
        <v>2</v>
      </c>
    </row>
    <row r="374" spans="1:26" s="147" customFormat="1" ht="21.75" customHeight="1" x14ac:dyDescent="0.2">
      <c r="A374" s="296"/>
      <c r="B374" s="285"/>
      <c r="C374" s="286"/>
      <c r="D374" s="298"/>
      <c r="E374" s="298"/>
      <c r="F374" s="298"/>
      <c r="G374" s="298"/>
      <c r="H374" s="298"/>
      <c r="I374" s="298"/>
      <c r="J374" s="298"/>
      <c r="K374" s="299"/>
      <c r="L374" s="299"/>
      <c r="M374" s="300"/>
      <c r="N374" s="301"/>
      <c r="O374" s="298">
        <v>18</v>
      </c>
      <c r="P374" s="286" t="s">
        <v>1981</v>
      </c>
      <c r="Q374" s="830">
        <v>3</v>
      </c>
      <c r="R374" s="286"/>
      <c r="S374" s="298"/>
      <c r="T374" s="338"/>
      <c r="U374" s="338" t="s">
        <v>131</v>
      </c>
      <c r="V374" s="368"/>
      <c r="W374" s="273"/>
      <c r="X374" s="273" t="s">
        <v>131</v>
      </c>
      <c r="Y374" s="339"/>
      <c r="Z374" s="741">
        <v>2</v>
      </c>
    </row>
    <row r="375" spans="1:26" s="147" customFormat="1" ht="21.75" customHeight="1" x14ac:dyDescent="0.2">
      <c r="A375" s="296"/>
      <c r="B375" s="285"/>
      <c r="C375" s="286"/>
      <c r="D375" s="298"/>
      <c r="E375" s="298"/>
      <c r="F375" s="298"/>
      <c r="G375" s="298"/>
      <c r="H375" s="298"/>
      <c r="I375" s="298"/>
      <c r="J375" s="298"/>
      <c r="K375" s="299"/>
      <c r="L375" s="299"/>
      <c r="M375" s="300"/>
      <c r="N375" s="301"/>
      <c r="O375" s="298">
        <v>19</v>
      </c>
      <c r="P375" s="286" t="s">
        <v>1982</v>
      </c>
      <c r="Q375" s="298">
        <v>0</v>
      </c>
      <c r="R375" s="286"/>
      <c r="S375" s="298"/>
      <c r="T375" s="338"/>
      <c r="U375" s="338" t="s">
        <v>131</v>
      </c>
      <c r="V375" s="368" t="s">
        <v>131</v>
      </c>
      <c r="W375" s="273"/>
      <c r="X375" s="273" t="s">
        <v>131</v>
      </c>
      <c r="Y375" s="339"/>
      <c r="Z375" s="273">
        <v>0</v>
      </c>
    </row>
    <row r="376" spans="1:26" s="147" customFormat="1" ht="21.75" customHeight="1" x14ac:dyDescent="0.2">
      <c r="A376" s="296"/>
      <c r="B376" s="285"/>
      <c r="C376" s="286"/>
      <c r="D376" s="298"/>
      <c r="E376" s="298"/>
      <c r="F376" s="298"/>
      <c r="G376" s="298"/>
      <c r="H376" s="298"/>
      <c r="I376" s="298"/>
      <c r="J376" s="298"/>
      <c r="K376" s="299"/>
      <c r="L376" s="299"/>
      <c r="M376" s="300"/>
      <c r="N376" s="301"/>
      <c r="O376" s="298">
        <v>20</v>
      </c>
      <c r="P376" s="286" t="s">
        <v>1983</v>
      </c>
      <c r="Q376" s="338">
        <v>0</v>
      </c>
      <c r="R376" s="367"/>
      <c r="S376" s="338"/>
      <c r="T376" s="338"/>
      <c r="U376" s="338" t="s">
        <v>131</v>
      </c>
      <c r="V376" s="368" t="s">
        <v>131</v>
      </c>
      <c r="W376" s="368"/>
      <c r="X376" s="273" t="s">
        <v>131</v>
      </c>
      <c r="Y376" s="339"/>
      <c r="Z376" s="273">
        <v>0</v>
      </c>
    </row>
    <row r="377" spans="1:26" s="147" customFormat="1" ht="21.75" customHeight="1" x14ac:dyDescent="0.2">
      <c r="A377" s="296"/>
      <c r="B377" s="285"/>
      <c r="C377" s="286"/>
      <c r="D377" s="298"/>
      <c r="E377" s="298"/>
      <c r="F377" s="298"/>
      <c r="G377" s="298"/>
      <c r="H377" s="298"/>
      <c r="I377" s="298"/>
      <c r="J377" s="298"/>
      <c r="K377" s="299"/>
      <c r="L377" s="299"/>
      <c r="M377" s="300"/>
      <c r="N377" s="301"/>
      <c r="O377" s="298">
        <v>21</v>
      </c>
      <c r="P377" s="286" t="s">
        <v>1984</v>
      </c>
      <c r="Q377" s="338">
        <v>0</v>
      </c>
      <c r="R377" s="367"/>
      <c r="S377" s="338"/>
      <c r="T377" s="338"/>
      <c r="U377" s="338" t="s">
        <v>131</v>
      </c>
      <c r="V377" s="368" t="s">
        <v>131</v>
      </c>
      <c r="W377" s="368"/>
      <c r="X377" s="273" t="s">
        <v>131</v>
      </c>
      <c r="Y377" s="339"/>
      <c r="Z377" s="273">
        <v>0</v>
      </c>
    </row>
    <row r="378" spans="1:26" s="147" customFormat="1" ht="21.75" customHeight="1" x14ac:dyDescent="0.2">
      <c r="A378" s="296"/>
      <c r="B378" s="285"/>
      <c r="C378" s="286"/>
      <c r="D378" s="298"/>
      <c r="E378" s="298"/>
      <c r="F378" s="298"/>
      <c r="G378" s="298"/>
      <c r="H378" s="298"/>
      <c r="I378" s="298"/>
      <c r="J378" s="298"/>
      <c r="K378" s="299"/>
      <c r="L378" s="299"/>
      <c r="M378" s="300"/>
      <c r="N378" s="301"/>
      <c r="O378" s="299">
        <v>22</v>
      </c>
      <c r="P378" s="286" t="s">
        <v>1985</v>
      </c>
      <c r="Q378" s="338">
        <v>0</v>
      </c>
      <c r="R378" s="367"/>
      <c r="S378" s="338"/>
      <c r="T378" s="338"/>
      <c r="U378" s="338" t="s">
        <v>131</v>
      </c>
      <c r="V378" s="368" t="s">
        <v>131</v>
      </c>
      <c r="W378" s="368"/>
      <c r="X378" s="273" t="s">
        <v>131</v>
      </c>
      <c r="Y378" s="339"/>
      <c r="Z378" s="273">
        <v>0</v>
      </c>
    </row>
    <row r="379" spans="1:26" s="147" customFormat="1" ht="21.75" customHeight="1" x14ac:dyDescent="0.2">
      <c r="A379" s="296"/>
      <c r="B379" s="285"/>
      <c r="C379" s="286"/>
      <c r="D379" s="298"/>
      <c r="E379" s="298"/>
      <c r="F379" s="298"/>
      <c r="G379" s="298"/>
      <c r="H379" s="298"/>
      <c r="I379" s="298"/>
      <c r="J379" s="298"/>
      <c r="K379" s="299"/>
      <c r="L379" s="299"/>
      <c r="M379" s="300"/>
      <c r="N379" s="301"/>
      <c r="O379" s="298">
        <v>23</v>
      </c>
      <c r="P379" s="286" t="s">
        <v>1986</v>
      </c>
      <c r="Q379" s="830">
        <v>3</v>
      </c>
      <c r="R379" s="286"/>
      <c r="S379" s="298"/>
      <c r="T379" s="298" t="s">
        <v>131</v>
      </c>
      <c r="U379" s="298"/>
      <c r="V379" s="273"/>
      <c r="W379" s="273" t="s">
        <v>131</v>
      </c>
      <c r="X379" s="273"/>
      <c r="Y379" s="339" t="s">
        <v>1987</v>
      </c>
      <c r="Z379" s="741">
        <v>2</v>
      </c>
    </row>
    <row r="380" spans="1:26" s="147" customFormat="1" ht="21.75" customHeight="1" x14ac:dyDescent="0.2">
      <c r="A380" s="296"/>
      <c r="B380" s="285"/>
      <c r="C380" s="286"/>
      <c r="D380" s="298"/>
      <c r="E380" s="298"/>
      <c r="F380" s="298"/>
      <c r="G380" s="298"/>
      <c r="H380" s="298"/>
      <c r="I380" s="298"/>
      <c r="J380" s="298"/>
      <c r="K380" s="299"/>
      <c r="L380" s="299"/>
      <c r="M380" s="300"/>
      <c r="N380" s="301"/>
      <c r="O380" s="298">
        <v>24</v>
      </c>
      <c r="P380" s="286" t="s">
        <v>1988</v>
      </c>
      <c r="Q380" s="830">
        <v>3</v>
      </c>
      <c r="R380" s="286"/>
      <c r="S380" s="298"/>
      <c r="T380" s="298" t="s">
        <v>131</v>
      </c>
      <c r="U380" s="298"/>
      <c r="V380" s="273"/>
      <c r="W380" s="273" t="s">
        <v>131</v>
      </c>
      <c r="X380" s="273"/>
      <c r="Y380" s="339" t="s">
        <v>1989</v>
      </c>
      <c r="Z380" s="741">
        <v>2</v>
      </c>
    </row>
    <row r="381" spans="1:26" s="147" customFormat="1" ht="21.75" customHeight="1" x14ac:dyDescent="0.2">
      <c r="A381" s="296"/>
      <c r="B381" s="285"/>
      <c r="C381" s="286"/>
      <c r="D381" s="298"/>
      <c r="E381" s="298"/>
      <c r="F381" s="298"/>
      <c r="G381" s="298"/>
      <c r="H381" s="298"/>
      <c r="I381" s="298"/>
      <c r="J381" s="298"/>
      <c r="K381" s="299"/>
      <c r="L381" s="299"/>
      <c r="M381" s="300"/>
      <c r="N381" s="301"/>
      <c r="O381" s="298">
        <v>25</v>
      </c>
      <c r="P381" s="286" t="s">
        <v>1990</v>
      </c>
      <c r="Q381" s="298">
        <v>5</v>
      </c>
      <c r="R381" s="286"/>
      <c r="S381" s="298"/>
      <c r="T381" s="298" t="s">
        <v>131</v>
      </c>
      <c r="U381" s="298"/>
      <c r="V381" s="273"/>
      <c r="W381" s="273" t="s">
        <v>131</v>
      </c>
      <c r="X381" s="273"/>
      <c r="Y381" s="339"/>
      <c r="Z381" s="273" t="s">
        <v>175</v>
      </c>
    </row>
    <row r="382" spans="1:26" s="147" customFormat="1" ht="21.75" customHeight="1" x14ac:dyDescent="0.2">
      <c r="A382" s="296"/>
      <c r="B382" s="285"/>
      <c r="C382" s="286"/>
      <c r="D382" s="298"/>
      <c r="E382" s="298"/>
      <c r="F382" s="298"/>
      <c r="G382" s="298"/>
      <c r="H382" s="298"/>
      <c r="I382" s="298"/>
      <c r="J382" s="298"/>
      <c r="K382" s="299"/>
      <c r="L382" s="299"/>
      <c r="M382" s="300"/>
      <c r="N382" s="301"/>
      <c r="O382" s="298">
        <v>26</v>
      </c>
      <c r="P382" s="286" t="s">
        <v>1991</v>
      </c>
      <c r="Q382" s="298">
        <v>5</v>
      </c>
      <c r="R382" s="286"/>
      <c r="S382" s="298"/>
      <c r="T382" s="298" t="s">
        <v>131</v>
      </c>
      <c r="U382" s="298"/>
      <c r="V382" s="273"/>
      <c r="W382" s="273" t="s">
        <v>131</v>
      </c>
      <c r="X382" s="273"/>
      <c r="Y382" s="339"/>
      <c r="Z382" s="273" t="s">
        <v>175</v>
      </c>
    </row>
    <row r="383" spans="1:26" s="147" customFormat="1" ht="21.75" customHeight="1" x14ac:dyDescent="0.2">
      <c r="A383" s="296"/>
      <c r="B383" s="285"/>
      <c r="C383" s="286"/>
      <c r="D383" s="298"/>
      <c r="E383" s="298"/>
      <c r="F383" s="298"/>
      <c r="G383" s="298"/>
      <c r="H383" s="298"/>
      <c r="I383" s="298"/>
      <c r="J383" s="298"/>
      <c r="K383" s="299"/>
      <c r="L383" s="299"/>
      <c r="M383" s="300"/>
      <c r="N383" s="301"/>
      <c r="O383" s="298">
        <v>27</v>
      </c>
      <c r="P383" s="286" t="s">
        <v>1992</v>
      </c>
      <c r="Q383" s="298">
        <v>5</v>
      </c>
      <c r="R383" s="286"/>
      <c r="S383" s="298"/>
      <c r="T383" s="298" t="s">
        <v>131</v>
      </c>
      <c r="U383" s="298"/>
      <c r="V383" s="273"/>
      <c r="W383" s="273" t="s">
        <v>131</v>
      </c>
      <c r="X383" s="273"/>
      <c r="Y383" s="339" t="s">
        <v>1993</v>
      </c>
      <c r="Z383" s="273">
        <v>0</v>
      </c>
    </row>
    <row r="384" spans="1:26" s="147" customFormat="1" ht="47.25" customHeight="1" x14ac:dyDescent="0.2">
      <c r="A384" s="294"/>
      <c r="B384" s="295"/>
      <c r="C384" s="292"/>
      <c r="D384" s="288"/>
      <c r="E384" s="288"/>
      <c r="F384" s="288"/>
      <c r="G384" s="288"/>
      <c r="H384" s="288"/>
      <c r="I384" s="288"/>
      <c r="J384" s="288"/>
      <c r="K384" s="289"/>
      <c r="L384" s="289"/>
      <c r="M384" s="290"/>
      <c r="N384" s="291"/>
      <c r="O384" s="298">
        <v>28</v>
      </c>
      <c r="P384" s="292" t="s">
        <v>1994</v>
      </c>
      <c r="Q384" s="794">
        <v>3</v>
      </c>
      <c r="R384" s="292"/>
      <c r="S384" s="338"/>
      <c r="T384" s="338"/>
      <c r="U384" s="338" t="s">
        <v>131</v>
      </c>
      <c r="V384" s="338"/>
      <c r="W384" s="338"/>
      <c r="X384" s="293" t="s">
        <v>131</v>
      </c>
      <c r="Y384" s="340" t="s">
        <v>1995</v>
      </c>
      <c r="Z384" s="741">
        <v>2</v>
      </c>
    </row>
    <row r="385" spans="1:26" s="147" customFormat="1" ht="47.25" customHeight="1" x14ac:dyDescent="0.2">
      <c r="A385" s="296"/>
      <c r="B385" s="404"/>
      <c r="C385" s="405"/>
      <c r="D385" s="406"/>
      <c r="E385" s="406"/>
      <c r="F385" s="406"/>
      <c r="G385" s="406"/>
      <c r="H385" s="406"/>
      <c r="I385" s="406"/>
      <c r="J385" s="406"/>
      <c r="K385" s="407"/>
      <c r="L385" s="407"/>
      <c r="M385" s="663"/>
      <c r="N385" s="664"/>
      <c r="O385" s="892">
        <v>29</v>
      </c>
      <c r="P385" s="884" t="s">
        <v>1182</v>
      </c>
      <c r="Q385" s="885">
        <v>3</v>
      </c>
      <c r="R385" s="884"/>
      <c r="S385" s="885"/>
      <c r="T385" s="885" t="s">
        <v>131</v>
      </c>
      <c r="U385" s="885"/>
      <c r="V385" s="885"/>
      <c r="W385" s="885" t="s">
        <v>131</v>
      </c>
      <c r="X385" s="886"/>
      <c r="Y385" s="887"/>
      <c r="Z385" s="883">
        <v>2</v>
      </c>
    </row>
    <row r="386" spans="1:26" s="147" customFormat="1" ht="21.75" customHeight="1" x14ac:dyDescent="0.2">
      <c r="A386" s="354"/>
      <c r="B386" s="355"/>
      <c r="C386" s="356"/>
      <c r="D386" s="357"/>
      <c r="E386" s="357"/>
      <c r="F386" s="357"/>
      <c r="G386" s="357"/>
      <c r="H386" s="357"/>
      <c r="I386" s="357"/>
      <c r="J386" s="357"/>
      <c r="K386" s="358"/>
      <c r="L386" s="358"/>
      <c r="M386" s="359"/>
      <c r="N386" s="360"/>
      <c r="O386" s="889">
        <v>30</v>
      </c>
      <c r="P386" s="888" t="s">
        <v>1996</v>
      </c>
      <c r="Q386" s="889">
        <v>3</v>
      </c>
      <c r="R386" s="888"/>
      <c r="S386" s="889"/>
      <c r="T386" s="889" t="s">
        <v>131</v>
      </c>
      <c r="U386" s="889"/>
      <c r="V386" s="889"/>
      <c r="W386" s="889" t="s">
        <v>131</v>
      </c>
      <c r="X386" s="890"/>
      <c r="Y386" s="891"/>
      <c r="Z386" s="890">
        <v>2</v>
      </c>
    </row>
    <row r="387" spans="1:26" s="147" customFormat="1" ht="32.25" customHeight="1" x14ac:dyDescent="0.2">
      <c r="A387" s="433" t="s">
        <v>1997</v>
      </c>
      <c r="B387" s="270" t="s">
        <v>290</v>
      </c>
      <c r="C387" s="283" t="s">
        <v>1998</v>
      </c>
      <c r="D387" s="352" t="s">
        <v>1584</v>
      </c>
      <c r="E387" s="454"/>
      <c r="F387" s="454"/>
      <c r="G387" s="454"/>
      <c r="H387" s="454"/>
      <c r="I387" s="454"/>
      <c r="J387" s="373">
        <v>2.21</v>
      </c>
      <c r="K387" s="280" t="s">
        <v>131</v>
      </c>
      <c r="L387" s="280" t="s">
        <v>131</v>
      </c>
      <c r="M387" s="281" t="s">
        <v>1644</v>
      </c>
      <c r="N387" s="281" t="s">
        <v>1791</v>
      </c>
      <c r="O387" s="280"/>
      <c r="P387" s="283"/>
      <c r="Q387" s="279"/>
      <c r="R387" s="283"/>
      <c r="S387" s="373"/>
      <c r="T387" s="373"/>
      <c r="U387" s="373"/>
      <c r="V387" s="373"/>
      <c r="W387" s="373"/>
      <c r="X387" s="282"/>
      <c r="Y387" s="350"/>
      <c r="Z387" s="282" t="s">
        <v>175</v>
      </c>
    </row>
    <row r="388" spans="1:26" s="147" customFormat="1" ht="21.75" customHeight="1" x14ac:dyDescent="0.2">
      <c r="A388" s="294"/>
      <c r="B388" s="295"/>
      <c r="C388" s="292"/>
      <c r="D388" s="288"/>
      <c r="E388" s="288"/>
      <c r="F388" s="288"/>
      <c r="G388" s="288"/>
      <c r="H388" s="288"/>
      <c r="I388" s="288"/>
      <c r="J388" s="288"/>
      <c r="K388" s="289"/>
      <c r="L388" s="289"/>
      <c r="M388" s="290"/>
      <c r="N388" s="291"/>
      <c r="O388" s="299">
        <v>1</v>
      </c>
      <c r="P388" s="286" t="s">
        <v>1999</v>
      </c>
      <c r="Q388" s="376">
        <v>0</v>
      </c>
      <c r="R388" s="338"/>
      <c r="S388" s="338"/>
      <c r="T388" s="338"/>
      <c r="U388" s="338" t="s">
        <v>131</v>
      </c>
      <c r="V388" s="338"/>
      <c r="W388" s="338"/>
      <c r="X388" s="338"/>
      <c r="Y388" s="681"/>
      <c r="Z388" s="368" t="s">
        <v>204</v>
      </c>
    </row>
    <row r="389" spans="1:26" s="147" customFormat="1" ht="21.75" customHeight="1" x14ac:dyDescent="0.2">
      <c r="A389" s="294"/>
      <c r="B389" s="295"/>
      <c r="C389" s="292"/>
      <c r="D389" s="288"/>
      <c r="E389" s="288"/>
      <c r="F389" s="288"/>
      <c r="G389" s="288"/>
      <c r="H389" s="288"/>
      <c r="I389" s="288"/>
      <c r="J389" s="288"/>
      <c r="K389" s="289"/>
      <c r="L389" s="289"/>
      <c r="M389" s="290"/>
      <c r="N389" s="291"/>
      <c r="O389" s="298">
        <v>2</v>
      </c>
      <c r="P389" s="292" t="s">
        <v>2000</v>
      </c>
      <c r="Q389" s="338">
        <v>0</v>
      </c>
      <c r="R389" s="338"/>
      <c r="S389" s="338"/>
      <c r="T389" s="338"/>
      <c r="U389" s="338" t="s">
        <v>131</v>
      </c>
      <c r="V389" s="338"/>
      <c r="W389" s="338"/>
      <c r="X389" s="753"/>
      <c r="Y389" s="578"/>
      <c r="Z389" s="747">
        <v>2</v>
      </c>
    </row>
    <row r="390" spans="1:26" s="147" customFormat="1" ht="21.75" customHeight="1" x14ac:dyDescent="0.2">
      <c r="A390" s="294"/>
      <c r="B390" s="295"/>
      <c r="C390" s="292"/>
      <c r="D390" s="288"/>
      <c r="E390" s="288"/>
      <c r="F390" s="288"/>
      <c r="G390" s="288"/>
      <c r="H390" s="288"/>
      <c r="I390" s="288"/>
      <c r="J390" s="288"/>
      <c r="K390" s="289"/>
      <c r="L390" s="289"/>
      <c r="M390" s="290"/>
      <c r="N390" s="291"/>
      <c r="O390" s="298">
        <v>3</v>
      </c>
      <c r="P390" s="292" t="s">
        <v>2001</v>
      </c>
      <c r="Q390" s="338">
        <v>0</v>
      </c>
      <c r="R390" s="338"/>
      <c r="S390" s="338"/>
      <c r="T390" s="338"/>
      <c r="U390" s="338" t="s">
        <v>131</v>
      </c>
      <c r="V390" s="338"/>
      <c r="W390" s="338"/>
      <c r="X390" s="753"/>
      <c r="Y390" s="578"/>
      <c r="Z390" s="747">
        <v>2</v>
      </c>
    </row>
    <row r="391" spans="1:26" s="147" customFormat="1" ht="21.75" customHeight="1" x14ac:dyDescent="0.2">
      <c r="A391" s="294"/>
      <c r="B391" s="295"/>
      <c r="C391" s="292"/>
      <c r="D391" s="288"/>
      <c r="E391" s="288"/>
      <c r="F391" s="288"/>
      <c r="G391" s="288"/>
      <c r="H391" s="288"/>
      <c r="I391" s="288"/>
      <c r="J391" s="288"/>
      <c r="K391" s="289"/>
      <c r="L391" s="289"/>
      <c r="M391" s="290"/>
      <c r="N391" s="291"/>
      <c r="O391" s="298">
        <v>4</v>
      </c>
      <c r="P391" s="292" t="s">
        <v>2002</v>
      </c>
      <c r="Q391" s="338">
        <v>0</v>
      </c>
      <c r="R391" s="338"/>
      <c r="S391" s="338"/>
      <c r="T391" s="338"/>
      <c r="U391" s="338" t="s">
        <v>131</v>
      </c>
      <c r="V391" s="338" t="s">
        <v>131</v>
      </c>
      <c r="W391" s="338"/>
      <c r="X391" s="753"/>
      <c r="Y391" s="578"/>
      <c r="Z391" s="747">
        <v>2</v>
      </c>
    </row>
    <row r="392" spans="1:26" s="147" customFormat="1" ht="21.75" customHeight="1" x14ac:dyDescent="0.2">
      <c r="A392" s="294"/>
      <c r="B392" s="295"/>
      <c r="C392" s="292"/>
      <c r="D392" s="288"/>
      <c r="E392" s="288"/>
      <c r="F392" s="288"/>
      <c r="G392" s="288"/>
      <c r="H392" s="288"/>
      <c r="I392" s="288"/>
      <c r="J392" s="288"/>
      <c r="K392" s="289"/>
      <c r="L392" s="289"/>
      <c r="M392" s="290"/>
      <c r="N392" s="291"/>
      <c r="O392" s="298">
        <v>5</v>
      </c>
      <c r="P392" s="292" t="s">
        <v>2003</v>
      </c>
      <c r="Q392" s="338">
        <v>0</v>
      </c>
      <c r="R392" s="338"/>
      <c r="S392" s="338"/>
      <c r="T392" s="338"/>
      <c r="U392" s="338" t="s">
        <v>131</v>
      </c>
      <c r="V392" s="338"/>
      <c r="W392" s="338"/>
      <c r="X392" s="338"/>
      <c r="Y392" s="578"/>
      <c r="Z392" s="368" t="s">
        <v>204</v>
      </c>
    </row>
    <row r="393" spans="1:26" s="147" customFormat="1" ht="21.75" customHeight="1" x14ac:dyDescent="0.2">
      <c r="A393" s="294"/>
      <c r="B393" s="295"/>
      <c r="C393" s="292"/>
      <c r="D393" s="288"/>
      <c r="E393" s="288"/>
      <c r="F393" s="288"/>
      <c r="G393" s="288"/>
      <c r="H393" s="288"/>
      <c r="I393" s="288"/>
      <c r="J393" s="288"/>
      <c r="K393" s="289"/>
      <c r="L393" s="289"/>
      <c r="M393" s="290"/>
      <c r="N393" s="291"/>
      <c r="O393" s="298">
        <v>6</v>
      </c>
      <c r="P393" s="292" t="s">
        <v>2004</v>
      </c>
      <c r="Q393" s="338">
        <v>0</v>
      </c>
      <c r="R393" s="338"/>
      <c r="S393" s="338"/>
      <c r="T393" s="338"/>
      <c r="U393" s="338" t="s">
        <v>131</v>
      </c>
      <c r="V393" s="338"/>
      <c r="W393" s="338"/>
      <c r="X393" s="338"/>
      <c r="Y393" s="578"/>
      <c r="Z393" s="368" t="s">
        <v>204</v>
      </c>
    </row>
    <row r="394" spans="1:26" s="147" customFormat="1" ht="21.75" customHeight="1" x14ac:dyDescent="0.2">
      <c r="A394" s="294"/>
      <c r="B394" s="295"/>
      <c r="C394" s="292"/>
      <c r="D394" s="288"/>
      <c r="E394" s="288"/>
      <c r="F394" s="288"/>
      <c r="G394" s="288"/>
      <c r="H394" s="288"/>
      <c r="I394" s="288"/>
      <c r="J394" s="288"/>
      <c r="K394" s="289"/>
      <c r="L394" s="289"/>
      <c r="M394" s="290"/>
      <c r="N394" s="291"/>
      <c r="O394" s="298">
        <v>7</v>
      </c>
      <c r="P394" s="292" t="s">
        <v>2005</v>
      </c>
      <c r="Q394" s="338">
        <v>0</v>
      </c>
      <c r="R394" s="577"/>
      <c r="S394" s="753"/>
      <c r="T394" s="576"/>
      <c r="U394" s="338" t="s">
        <v>131</v>
      </c>
      <c r="V394" s="575"/>
      <c r="W394" s="576"/>
      <c r="X394" s="338"/>
      <c r="Y394" s="578"/>
      <c r="Z394" s="747">
        <v>2</v>
      </c>
    </row>
    <row r="395" spans="1:26" s="147" customFormat="1" ht="21.75" customHeight="1" x14ac:dyDescent="0.2">
      <c r="A395" s="294"/>
      <c r="B395" s="295"/>
      <c r="C395" s="292"/>
      <c r="D395" s="288"/>
      <c r="E395" s="288"/>
      <c r="F395" s="288"/>
      <c r="G395" s="288"/>
      <c r="H395" s="288"/>
      <c r="I395" s="288"/>
      <c r="J395" s="288"/>
      <c r="K395" s="289"/>
      <c r="L395" s="289"/>
      <c r="M395" s="290"/>
      <c r="N395" s="291"/>
      <c r="O395" s="298">
        <v>8</v>
      </c>
      <c r="P395" s="292" t="s">
        <v>1971</v>
      </c>
      <c r="Q395" s="794">
        <v>3</v>
      </c>
      <c r="R395" s="292"/>
      <c r="S395" s="338"/>
      <c r="T395" s="338" t="s">
        <v>131</v>
      </c>
      <c r="U395" s="338"/>
      <c r="V395" s="338"/>
      <c r="W395" s="338" t="s">
        <v>131</v>
      </c>
      <c r="X395" s="293"/>
      <c r="Y395" s="340" t="s">
        <v>1972</v>
      </c>
      <c r="Z395" s="741">
        <v>2</v>
      </c>
    </row>
    <row r="396" spans="1:26" s="147" customFormat="1" ht="21.75" customHeight="1" x14ac:dyDescent="0.2">
      <c r="A396" s="294"/>
      <c r="B396" s="295"/>
      <c r="C396" s="292"/>
      <c r="D396" s="288"/>
      <c r="E396" s="288"/>
      <c r="F396" s="288"/>
      <c r="G396" s="288"/>
      <c r="H396" s="288"/>
      <c r="I396" s="288"/>
      <c r="J396" s="288"/>
      <c r="K396" s="289"/>
      <c r="L396" s="289"/>
      <c r="M396" s="290"/>
      <c r="N396" s="291"/>
      <c r="O396" s="289"/>
      <c r="P396" s="292"/>
      <c r="Q396" s="288"/>
      <c r="R396" s="292"/>
      <c r="S396" s="338"/>
      <c r="T396" s="338"/>
      <c r="U396" s="338"/>
      <c r="V396" s="338"/>
      <c r="W396" s="338"/>
      <c r="X396" s="293"/>
      <c r="Y396" s="340"/>
      <c r="Z396" s="293"/>
    </row>
    <row r="397" spans="1:26" s="147" customFormat="1" ht="34" customHeight="1" x14ac:dyDescent="0.2">
      <c r="A397" s="411" t="s">
        <v>2006</v>
      </c>
      <c r="B397" s="412" t="s">
        <v>290</v>
      </c>
      <c r="C397" s="395" t="s">
        <v>2007</v>
      </c>
      <c r="D397" s="413" t="s">
        <v>1584</v>
      </c>
      <c r="E397" s="454"/>
      <c r="F397" s="454"/>
      <c r="G397" s="454"/>
      <c r="H397" s="454"/>
      <c r="I397" s="454"/>
      <c r="J397" s="373">
        <v>59.6</v>
      </c>
      <c r="K397" s="280" t="s">
        <v>131</v>
      </c>
      <c r="L397" s="280" t="s">
        <v>131</v>
      </c>
      <c r="M397" s="463" t="s">
        <v>1644</v>
      </c>
      <c r="N397" s="463" t="s">
        <v>1791</v>
      </c>
      <c r="O397" s="374"/>
      <c r="P397" s="395"/>
      <c r="Q397" s="373"/>
      <c r="R397" s="395"/>
      <c r="S397" s="373"/>
      <c r="T397" s="373"/>
      <c r="U397" s="373"/>
      <c r="V397" s="414"/>
      <c r="W397" s="414"/>
      <c r="X397" s="414"/>
      <c r="Y397" s="415"/>
      <c r="Z397" s="414"/>
    </row>
    <row r="398" spans="1:26" s="147" customFormat="1" ht="21.75" customHeight="1" x14ac:dyDescent="0.2">
      <c r="A398" s="628"/>
      <c r="B398" s="629"/>
      <c r="C398" s="375"/>
      <c r="D398" s="376"/>
      <c r="E398" s="376"/>
      <c r="F398" s="376"/>
      <c r="G398" s="376"/>
      <c r="H398" s="376"/>
      <c r="I398" s="376"/>
      <c r="J398" s="376"/>
      <c r="K398" s="417"/>
      <c r="L398" s="417"/>
      <c r="M398" s="460" t="s">
        <v>1686</v>
      </c>
      <c r="N398" s="417"/>
      <c r="O398" s="417">
        <v>1</v>
      </c>
      <c r="P398" s="367" t="s">
        <v>2008</v>
      </c>
      <c r="Q398" s="376">
        <v>0</v>
      </c>
      <c r="R398" s="338"/>
      <c r="S398" s="338"/>
      <c r="T398" s="338"/>
      <c r="U398" s="338" t="s">
        <v>131</v>
      </c>
      <c r="V398" s="338"/>
      <c r="W398" s="338"/>
      <c r="X398" s="338"/>
      <c r="Y398" s="681"/>
      <c r="Z398" s="368" t="s">
        <v>204</v>
      </c>
    </row>
    <row r="399" spans="1:26" s="147" customFormat="1" ht="21.75" customHeight="1" x14ac:dyDescent="0.2">
      <c r="A399" s="628"/>
      <c r="B399" s="629"/>
      <c r="C399" s="375"/>
      <c r="D399" s="376"/>
      <c r="E399" s="376"/>
      <c r="F399" s="376"/>
      <c r="G399" s="376"/>
      <c r="H399" s="376"/>
      <c r="I399" s="376"/>
      <c r="J399" s="376"/>
      <c r="K399" s="417"/>
      <c r="L399" s="417"/>
      <c r="M399" s="460" t="s">
        <v>1688</v>
      </c>
      <c r="N399" s="417" t="s">
        <v>1689</v>
      </c>
      <c r="O399" s="376">
        <v>2</v>
      </c>
      <c r="P399" s="375" t="s">
        <v>2009</v>
      </c>
      <c r="Q399" s="338">
        <v>0</v>
      </c>
      <c r="R399" s="338"/>
      <c r="S399" s="338"/>
      <c r="T399" s="338"/>
      <c r="U399" s="338" t="s">
        <v>131</v>
      </c>
      <c r="V399" s="338"/>
      <c r="W399" s="338"/>
      <c r="X399" s="753"/>
      <c r="Y399" s="578"/>
      <c r="Z399" s="747">
        <v>2</v>
      </c>
    </row>
    <row r="400" spans="1:26" s="147" customFormat="1" ht="21.75" customHeight="1" x14ac:dyDescent="0.2">
      <c r="A400" s="628"/>
      <c r="B400" s="629"/>
      <c r="C400" s="375"/>
      <c r="D400" s="376"/>
      <c r="E400" s="376"/>
      <c r="F400" s="376"/>
      <c r="G400" s="376"/>
      <c r="H400" s="376"/>
      <c r="I400" s="376"/>
      <c r="J400" s="376"/>
      <c r="K400" s="417"/>
      <c r="L400" s="417"/>
      <c r="M400" s="460"/>
      <c r="N400" s="376"/>
      <c r="O400" s="376">
        <v>3</v>
      </c>
      <c r="P400" s="375" t="s">
        <v>2010</v>
      </c>
      <c r="Q400" s="338">
        <v>0</v>
      </c>
      <c r="R400" s="338"/>
      <c r="S400" s="338"/>
      <c r="T400" s="338"/>
      <c r="U400" s="338" t="s">
        <v>131</v>
      </c>
      <c r="V400" s="338"/>
      <c r="W400" s="338"/>
      <c r="X400" s="753"/>
      <c r="Y400" s="578"/>
      <c r="Z400" s="747">
        <v>2</v>
      </c>
    </row>
    <row r="401" spans="1:26" s="147" customFormat="1" ht="21.75" customHeight="1" x14ac:dyDescent="0.2">
      <c r="A401" s="628"/>
      <c r="B401" s="629"/>
      <c r="C401" s="375"/>
      <c r="D401" s="376"/>
      <c r="E401" s="376"/>
      <c r="F401" s="376"/>
      <c r="G401" s="376"/>
      <c r="H401" s="376"/>
      <c r="I401" s="376"/>
      <c r="J401" s="376"/>
      <c r="K401" s="417"/>
      <c r="L401" s="417"/>
      <c r="M401" s="376"/>
      <c r="N401" s="417"/>
      <c r="O401" s="376">
        <v>4</v>
      </c>
      <c r="P401" s="375" t="s">
        <v>2011</v>
      </c>
      <c r="Q401" s="338">
        <v>0</v>
      </c>
      <c r="R401" s="338"/>
      <c r="S401" s="338"/>
      <c r="T401" s="338"/>
      <c r="U401" s="338" t="s">
        <v>131</v>
      </c>
      <c r="V401" s="338" t="s">
        <v>131</v>
      </c>
      <c r="W401" s="338"/>
      <c r="X401" s="753"/>
      <c r="Y401" s="578"/>
      <c r="Z401" s="747">
        <v>2</v>
      </c>
    </row>
    <row r="402" spans="1:26" s="147" customFormat="1" ht="21.75" customHeight="1" x14ac:dyDescent="0.2">
      <c r="A402" s="628"/>
      <c r="B402" s="629"/>
      <c r="C402" s="375"/>
      <c r="D402" s="376"/>
      <c r="E402" s="376"/>
      <c r="F402" s="376"/>
      <c r="G402" s="376"/>
      <c r="H402" s="376"/>
      <c r="I402" s="376"/>
      <c r="J402" s="376"/>
      <c r="K402" s="417"/>
      <c r="L402" s="417"/>
      <c r="M402" s="417"/>
      <c r="N402" s="417"/>
      <c r="O402" s="376">
        <v>5</v>
      </c>
      <c r="P402" s="375" t="s">
        <v>2012</v>
      </c>
      <c r="Q402" s="338">
        <v>0</v>
      </c>
      <c r="R402" s="338"/>
      <c r="S402" s="338"/>
      <c r="T402" s="338"/>
      <c r="U402" s="338" t="s">
        <v>131</v>
      </c>
      <c r="V402" s="338"/>
      <c r="W402" s="338"/>
      <c r="X402" s="338"/>
      <c r="Y402" s="578"/>
      <c r="Z402" s="368" t="s">
        <v>204</v>
      </c>
    </row>
    <row r="403" spans="1:26" s="147" customFormat="1" ht="21.75" customHeight="1" x14ac:dyDescent="0.2">
      <c r="A403" s="628"/>
      <c r="B403" s="629"/>
      <c r="C403" s="375"/>
      <c r="D403" s="376"/>
      <c r="E403" s="376"/>
      <c r="F403" s="376"/>
      <c r="G403" s="376"/>
      <c r="H403" s="376"/>
      <c r="I403" s="376"/>
      <c r="J403" s="376"/>
      <c r="K403" s="417"/>
      <c r="L403" s="417"/>
      <c r="M403" s="460"/>
      <c r="N403" s="417"/>
      <c r="O403" s="376">
        <v>6</v>
      </c>
      <c r="P403" s="375" t="s">
        <v>2013</v>
      </c>
      <c r="Q403" s="338">
        <v>0</v>
      </c>
      <c r="R403" s="338"/>
      <c r="S403" s="338"/>
      <c r="T403" s="338"/>
      <c r="U403" s="338" t="s">
        <v>131</v>
      </c>
      <c r="V403" s="338"/>
      <c r="W403" s="338"/>
      <c r="X403" s="338"/>
      <c r="Y403" s="578"/>
      <c r="Z403" s="368" t="s">
        <v>204</v>
      </c>
    </row>
    <row r="404" spans="1:26" s="147" customFormat="1" ht="21.75" customHeight="1" x14ac:dyDescent="0.2">
      <c r="A404" s="628"/>
      <c r="B404" s="629"/>
      <c r="C404" s="375"/>
      <c r="D404" s="376"/>
      <c r="E404" s="376"/>
      <c r="F404" s="376"/>
      <c r="G404" s="376"/>
      <c r="H404" s="376"/>
      <c r="I404" s="376"/>
      <c r="J404" s="376"/>
      <c r="K404" s="417"/>
      <c r="L404" s="417"/>
      <c r="M404" s="460"/>
      <c r="N404" s="417"/>
      <c r="O404" s="376">
        <v>7</v>
      </c>
      <c r="P404" s="375" t="s">
        <v>2014</v>
      </c>
      <c r="Q404" s="338">
        <v>0</v>
      </c>
      <c r="R404" s="577"/>
      <c r="S404" s="753"/>
      <c r="T404" s="576"/>
      <c r="U404" s="338" t="s">
        <v>131</v>
      </c>
      <c r="V404" s="575"/>
      <c r="W404" s="576"/>
      <c r="X404" s="338"/>
      <c r="Y404" s="578"/>
      <c r="Z404" s="747">
        <v>2</v>
      </c>
    </row>
    <row r="405" spans="1:26" s="147" customFormat="1" ht="43.5" customHeight="1" x14ac:dyDescent="0.2">
      <c r="A405" s="628"/>
      <c r="B405" s="629"/>
      <c r="C405" s="375"/>
      <c r="D405" s="376"/>
      <c r="E405" s="376"/>
      <c r="F405" s="376"/>
      <c r="G405" s="376"/>
      <c r="H405" s="376"/>
      <c r="I405" s="376"/>
      <c r="J405" s="376"/>
      <c r="K405" s="417"/>
      <c r="L405" s="417"/>
      <c r="M405" s="460"/>
      <c r="N405" s="417"/>
      <c r="O405" s="376">
        <v>8</v>
      </c>
      <c r="P405" s="375" t="s">
        <v>2015</v>
      </c>
      <c r="Q405" s="376">
        <v>3600</v>
      </c>
      <c r="R405" s="375"/>
      <c r="S405" s="376"/>
      <c r="T405" s="376"/>
      <c r="U405" s="376" t="s">
        <v>131</v>
      </c>
      <c r="V405" s="377"/>
      <c r="W405" s="377"/>
      <c r="X405" s="377"/>
      <c r="Y405" s="401" t="s">
        <v>2016</v>
      </c>
      <c r="Z405" s="377">
        <v>0</v>
      </c>
    </row>
    <row r="406" spans="1:26" s="147" customFormat="1" ht="39.75" customHeight="1" x14ac:dyDescent="0.2">
      <c r="A406" s="628"/>
      <c r="B406" s="629"/>
      <c r="C406" s="375"/>
      <c r="D406" s="376"/>
      <c r="E406" s="376"/>
      <c r="F406" s="376"/>
      <c r="G406" s="376"/>
      <c r="H406" s="376"/>
      <c r="I406" s="376"/>
      <c r="J406" s="376"/>
      <c r="K406" s="417"/>
      <c r="L406" s="417"/>
      <c r="M406" s="460"/>
      <c r="N406" s="417"/>
      <c r="O406" s="376">
        <v>9</v>
      </c>
      <c r="P406" s="375" t="s">
        <v>1182</v>
      </c>
      <c r="Q406" s="830">
        <v>3</v>
      </c>
      <c r="R406" s="375"/>
      <c r="S406" s="376"/>
      <c r="T406" s="376" t="s">
        <v>131</v>
      </c>
      <c r="U406" s="376"/>
      <c r="V406" s="377"/>
      <c r="W406" s="377" t="s">
        <v>131</v>
      </c>
      <c r="X406" s="377"/>
      <c r="Y406" s="401" t="s">
        <v>2017</v>
      </c>
      <c r="Z406" s="741">
        <v>2</v>
      </c>
    </row>
    <row r="407" spans="1:26" s="147" customFormat="1" ht="21.75" customHeight="1" x14ac:dyDescent="0.2">
      <c r="A407" s="628"/>
      <c r="B407" s="629"/>
      <c r="C407" s="375"/>
      <c r="D407" s="376"/>
      <c r="E407" s="376"/>
      <c r="F407" s="376"/>
      <c r="G407" s="376"/>
      <c r="H407" s="376"/>
      <c r="I407" s="376"/>
      <c r="J407" s="376"/>
      <c r="K407" s="417"/>
      <c r="L407" s="417"/>
      <c r="M407" s="460"/>
      <c r="N407" s="417"/>
      <c r="O407" s="851">
        <v>10</v>
      </c>
      <c r="P407" s="752" t="s">
        <v>866</v>
      </c>
      <c r="Q407" s="753">
        <v>600</v>
      </c>
      <c r="R407" s="752"/>
      <c r="S407" s="753"/>
      <c r="T407" s="753" t="s">
        <v>131</v>
      </c>
      <c r="U407" s="753"/>
      <c r="V407" s="754"/>
      <c r="W407" s="754" t="s">
        <v>131</v>
      </c>
      <c r="X407" s="754"/>
      <c r="Y407" s="755" t="s">
        <v>2018</v>
      </c>
      <c r="Z407" s="747">
        <v>2</v>
      </c>
    </row>
    <row r="408" spans="1:26" s="147" customFormat="1" ht="21.75" customHeight="1" x14ac:dyDescent="0.2">
      <c r="A408" s="630"/>
      <c r="B408" s="589"/>
      <c r="C408" s="394"/>
      <c r="D408" s="581"/>
      <c r="E408" s="581"/>
      <c r="F408" s="581"/>
      <c r="G408" s="581"/>
      <c r="H408" s="581"/>
      <c r="I408" s="581"/>
      <c r="J408" s="581"/>
      <c r="K408" s="590"/>
      <c r="L408" s="590"/>
      <c r="M408" s="591"/>
      <c r="N408" s="590"/>
      <c r="O408" s="590"/>
      <c r="P408" s="394"/>
      <c r="Q408" s="581"/>
      <c r="R408" s="394"/>
      <c r="S408" s="581"/>
      <c r="T408" s="581"/>
      <c r="U408" s="581"/>
      <c r="V408" s="582"/>
      <c r="W408" s="582"/>
      <c r="X408" s="582"/>
      <c r="Y408" s="592"/>
      <c r="Z408" s="582"/>
    </row>
    <row r="409" spans="1:26" s="147" customFormat="1" ht="34" customHeight="1" x14ac:dyDescent="0.2">
      <c r="A409" s="651" t="s">
        <v>2019</v>
      </c>
      <c r="B409" s="631" t="s">
        <v>290</v>
      </c>
      <c r="C409" s="375" t="s">
        <v>2020</v>
      </c>
      <c r="D409" s="632" t="s">
        <v>1584</v>
      </c>
      <c r="E409" s="454"/>
      <c r="F409" s="454"/>
      <c r="G409" s="454"/>
      <c r="H409" s="454"/>
      <c r="I409" s="454"/>
      <c r="J409" s="620" t="s">
        <v>1710</v>
      </c>
      <c r="K409" s="417" t="s">
        <v>131</v>
      </c>
      <c r="L409" s="417" t="s">
        <v>131</v>
      </c>
      <c r="M409" s="460" t="s">
        <v>1644</v>
      </c>
      <c r="N409" s="745" t="s">
        <v>2021</v>
      </c>
      <c r="O409" s="417"/>
      <c r="P409" s="375"/>
      <c r="Q409" s="376"/>
      <c r="R409" s="375"/>
      <c r="S409" s="376"/>
      <c r="T409" s="376"/>
      <c r="U409" s="376"/>
      <c r="V409" s="377"/>
      <c r="W409" s="377"/>
      <c r="X409" s="377"/>
      <c r="Y409" s="401" t="s">
        <v>2022</v>
      </c>
      <c r="Z409" s="377"/>
    </row>
    <row r="410" spans="1:26" s="147" customFormat="1" ht="20.149999999999999" customHeight="1" x14ac:dyDescent="0.2">
      <c r="A410" s="633"/>
      <c r="B410" s="634"/>
      <c r="C410" s="375"/>
      <c r="D410" s="632"/>
      <c r="E410" s="376"/>
      <c r="F410" s="376"/>
      <c r="G410" s="376"/>
      <c r="H410" s="376"/>
      <c r="I410" s="376"/>
      <c r="J410" s="376"/>
      <c r="K410" s="417"/>
      <c r="L410" s="417"/>
      <c r="M410" s="460" t="s">
        <v>1686</v>
      </c>
      <c r="N410" s="460"/>
      <c r="O410" s="376">
        <v>1</v>
      </c>
      <c r="P410" s="367" t="s">
        <v>2023</v>
      </c>
      <c r="Q410" s="376">
        <v>0</v>
      </c>
      <c r="R410" s="338"/>
      <c r="S410" s="338"/>
      <c r="T410" s="338"/>
      <c r="U410" s="338" t="s">
        <v>131</v>
      </c>
      <c r="V410" s="338"/>
      <c r="W410" s="338"/>
      <c r="X410" s="338"/>
      <c r="Y410" s="681"/>
      <c r="Z410" s="368" t="s">
        <v>204</v>
      </c>
    </row>
    <row r="411" spans="1:26" s="147" customFormat="1" ht="20.149999999999999" customHeight="1" x14ac:dyDescent="0.2">
      <c r="A411" s="633"/>
      <c r="B411" s="634"/>
      <c r="C411" s="375"/>
      <c r="D411" s="632"/>
      <c r="E411" s="376"/>
      <c r="F411" s="376"/>
      <c r="G411" s="376"/>
      <c r="H411" s="376"/>
      <c r="I411" s="376"/>
      <c r="J411" s="376"/>
      <c r="K411" s="417"/>
      <c r="L411" s="417"/>
      <c r="M411" s="460"/>
      <c r="N411" s="460"/>
      <c r="O411" s="376">
        <v>2</v>
      </c>
      <c r="P411" s="375" t="s">
        <v>2024</v>
      </c>
      <c r="Q411" s="338">
        <v>0</v>
      </c>
      <c r="R411" s="338"/>
      <c r="S411" s="338"/>
      <c r="T411" s="338"/>
      <c r="U411" s="338" t="s">
        <v>131</v>
      </c>
      <c r="V411" s="338"/>
      <c r="W411" s="338"/>
      <c r="X411" s="753"/>
      <c r="Y411" s="578"/>
      <c r="Z411" s="747">
        <v>2</v>
      </c>
    </row>
    <row r="412" spans="1:26" s="147" customFormat="1" ht="20.149999999999999" customHeight="1" x14ac:dyDescent="0.2">
      <c r="A412" s="633"/>
      <c r="B412" s="634"/>
      <c r="C412" s="375"/>
      <c r="D412" s="632"/>
      <c r="E412" s="376"/>
      <c r="F412" s="376"/>
      <c r="G412" s="376"/>
      <c r="H412" s="376"/>
      <c r="I412" s="376"/>
      <c r="J412" s="376"/>
      <c r="K412" s="417"/>
      <c r="L412" s="417"/>
      <c r="M412" s="460"/>
      <c r="N412" s="460"/>
      <c r="O412" s="376">
        <v>3</v>
      </c>
      <c r="P412" s="375" t="s">
        <v>2025</v>
      </c>
      <c r="Q412" s="338">
        <v>0</v>
      </c>
      <c r="R412" s="338"/>
      <c r="S412" s="338"/>
      <c r="T412" s="338"/>
      <c r="U412" s="338" t="s">
        <v>131</v>
      </c>
      <c r="V412" s="338"/>
      <c r="W412" s="338"/>
      <c r="X412" s="753"/>
      <c r="Y412" s="578"/>
      <c r="Z412" s="747">
        <v>2</v>
      </c>
    </row>
    <row r="413" spans="1:26" s="147" customFormat="1" ht="20.149999999999999" customHeight="1" x14ac:dyDescent="0.2">
      <c r="A413" s="633"/>
      <c r="B413" s="634"/>
      <c r="C413" s="375"/>
      <c r="D413" s="632"/>
      <c r="E413" s="376"/>
      <c r="F413" s="376"/>
      <c r="G413" s="376"/>
      <c r="H413" s="376"/>
      <c r="I413" s="376"/>
      <c r="J413" s="376"/>
      <c r="K413" s="417"/>
      <c r="L413" s="417"/>
      <c r="M413" s="460"/>
      <c r="N413" s="460"/>
      <c r="O413" s="376">
        <v>4</v>
      </c>
      <c r="P413" s="375" t="s">
        <v>2026</v>
      </c>
      <c r="Q413" s="338">
        <v>0</v>
      </c>
      <c r="R413" s="338"/>
      <c r="S413" s="338"/>
      <c r="T413" s="338"/>
      <c r="U413" s="338" t="s">
        <v>131</v>
      </c>
      <c r="V413" s="338" t="s">
        <v>131</v>
      </c>
      <c r="W413" s="338"/>
      <c r="X413" s="753"/>
      <c r="Y413" s="578"/>
      <c r="Z413" s="747">
        <v>2</v>
      </c>
    </row>
    <row r="414" spans="1:26" s="147" customFormat="1" ht="20.149999999999999" customHeight="1" x14ac:dyDescent="0.2">
      <c r="A414" s="633"/>
      <c r="B414" s="634"/>
      <c r="C414" s="375"/>
      <c r="D414" s="632"/>
      <c r="E414" s="376"/>
      <c r="F414" s="376"/>
      <c r="G414" s="376"/>
      <c r="H414" s="376"/>
      <c r="I414" s="376"/>
      <c r="J414" s="376"/>
      <c r="K414" s="417"/>
      <c r="L414" s="417"/>
      <c r="M414" s="460"/>
      <c r="N414" s="460"/>
      <c r="O414" s="376">
        <v>5</v>
      </c>
      <c r="P414" s="375" t="s">
        <v>2027</v>
      </c>
      <c r="Q414" s="338">
        <v>0</v>
      </c>
      <c r="R414" s="338"/>
      <c r="S414" s="338"/>
      <c r="T414" s="338"/>
      <c r="U414" s="338" t="s">
        <v>131</v>
      </c>
      <c r="V414" s="338"/>
      <c r="W414" s="338"/>
      <c r="X414" s="338"/>
      <c r="Y414" s="578"/>
      <c r="Z414" s="368" t="s">
        <v>204</v>
      </c>
    </row>
    <row r="415" spans="1:26" s="147" customFormat="1" ht="20.149999999999999" customHeight="1" x14ac:dyDescent="0.2">
      <c r="A415" s="633"/>
      <c r="B415" s="634"/>
      <c r="C415" s="375"/>
      <c r="D415" s="632"/>
      <c r="E415" s="376"/>
      <c r="F415" s="376"/>
      <c r="G415" s="376"/>
      <c r="H415" s="376"/>
      <c r="I415" s="376"/>
      <c r="J415" s="376"/>
      <c r="K415" s="417"/>
      <c r="L415" s="417"/>
      <c r="M415" s="460"/>
      <c r="N415" s="460"/>
      <c r="O415" s="376">
        <v>6</v>
      </c>
      <c r="P415" s="375" t="s">
        <v>2028</v>
      </c>
      <c r="Q415" s="338">
        <v>0</v>
      </c>
      <c r="R415" s="338"/>
      <c r="S415" s="338"/>
      <c r="T415" s="338"/>
      <c r="U415" s="338" t="s">
        <v>131</v>
      </c>
      <c r="V415" s="338"/>
      <c r="W415" s="338"/>
      <c r="X415" s="338"/>
      <c r="Y415" s="578"/>
      <c r="Z415" s="368" t="s">
        <v>204</v>
      </c>
    </row>
    <row r="416" spans="1:26" s="147" customFormat="1" ht="20.149999999999999" customHeight="1" x14ac:dyDescent="0.2">
      <c r="A416" s="633"/>
      <c r="B416" s="634"/>
      <c r="C416" s="375"/>
      <c r="D416" s="632"/>
      <c r="E416" s="376"/>
      <c r="F416" s="376"/>
      <c r="G416" s="376"/>
      <c r="H416" s="376"/>
      <c r="I416" s="376"/>
      <c r="J416" s="376"/>
      <c r="K416" s="417"/>
      <c r="L416" s="417"/>
      <c r="M416" s="460"/>
      <c r="N416" s="460"/>
      <c r="O416" s="376">
        <v>7</v>
      </c>
      <c r="P416" s="375" t="s">
        <v>2029</v>
      </c>
      <c r="Q416" s="338">
        <v>0</v>
      </c>
      <c r="R416" s="577"/>
      <c r="S416" s="753"/>
      <c r="T416" s="576"/>
      <c r="U416" s="338" t="s">
        <v>131</v>
      </c>
      <c r="V416" s="575"/>
      <c r="W416" s="576"/>
      <c r="X416" s="338"/>
      <c r="Y416" s="578"/>
      <c r="Z416" s="747">
        <v>2</v>
      </c>
    </row>
    <row r="417" spans="1:26" s="147" customFormat="1" ht="20.149999999999999" customHeight="1" x14ac:dyDescent="0.2">
      <c r="A417" s="633"/>
      <c r="B417" s="634"/>
      <c r="C417" s="375"/>
      <c r="D417" s="632"/>
      <c r="E417" s="376"/>
      <c r="F417" s="376"/>
      <c r="G417" s="376"/>
      <c r="H417" s="376"/>
      <c r="I417" s="376"/>
      <c r="J417" s="376"/>
      <c r="K417" s="417"/>
      <c r="L417" s="417"/>
      <c r="M417" s="460"/>
      <c r="N417" s="460"/>
      <c r="O417" s="376">
        <v>8</v>
      </c>
      <c r="P417" s="375" t="s">
        <v>2030</v>
      </c>
      <c r="Q417" s="830">
        <v>3</v>
      </c>
      <c r="R417" s="375"/>
      <c r="S417" s="376"/>
      <c r="T417" s="376"/>
      <c r="U417" s="748" t="s">
        <v>131</v>
      </c>
      <c r="V417" s="749"/>
      <c r="W417" s="377"/>
      <c r="X417" s="377"/>
      <c r="Y417" s="401" t="s">
        <v>2031</v>
      </c>
      <c r="Z417" s="741">
        <v>2</v>
      </c>
    </row>
    <row r="418" spans="1:26" s="147" customFormat="1" ht="20.149999999999999" customHeight="1" x14ac:dyDescent="0.2">
      <c r="A418" s="633"/>
      <c r="B418" s="634"/>
      <c r="C418" s="375"/>
      <c r="D418" s="632"/>
      <c r="E418" s="376"/>
      <c r="F418" s="376"/>
      <c r="G418" s="376"/>
      <c r="H418" s="376"/>
      <c r="I418" s="376"/>
      <c r="J418" s="376"/>
      <c r="K418" s="417"/>
      <c r="L418" s="417"/>
      <c r="M418" s="460"/>
      <c r="N418" s="460"/>
      <c r="O418" s="851">
        <v>9</v>
      </c>
      <c r="P418" s="849" t="s">
        <v>2032</v>
      </c>
      <c r="Q418" s="851">
        <v>5</v>
      </c>
      <c r="R418" s="849"/>
      <c r="S418" s="851"/>
      <c r="T418" s="851" t="s">
        <v>131</v>
      </c>
      <c r="U418" s="851"/>
      <c r="V418" s="749"/>
      <c r="W418" s="749" t="s">
        <v>131</v>
      </c>
      <c r="X418" s="749"/>
      <c r="Y418" s="859" t="s">
        <v>1903</v>
      </c>
      <c r="Z418" s="741">
        <v>2</v>
      </c>
    </row>
    <row r="419" spans="1:26" s="147" customFormat="1" ht="17.149999999999999" customHeight="1" x14ac:dyDescent="0.2">
      <c r="A419" s="635"/>
      <c r="B419" s="629"/>
      <c r="C419" s="375"/>
      <c r="D419" s="376"/>
      <c r="E419" s="376"/>
      <c r="F419" s="376"/>
      <c r="G419" s="376"/>
      <c r="H419" s="376"/>
      <c r="I419" s="376"/>
      <c r="J419" s="376"/>
      <c r="K419" s="417"/>
      <c r="L419" s="417"/>
      <c r="M419" s="636"/>
      <c r="N419" s="637"/>
      <c r="O419" s="417"/>
      <c r="P419" s="375"/>
      <c r="Q419" s="376"/>
      <c r="R419" s="375"/>
      <c r="S419" s="376"/>
      <c r="T419" s="376"/>
      <c r="U419" s="376"/>
      <c r="V419" s="376"/>
      <c r="W419" s="376"/>
      <c r="X419" s="377"/>
      <c r="Y419" s="401"/>
      <c r="Z419" s="377"/>
    </row>
    <row r="420" spans="1:26" s="147" customFormat="1" ht="34" customHeight="1" x14ac:dyDescent="0.2">
      <c r="A420" s="278" t="s">
        <v>2033</v>
      </c>
      <c r="B420" s="270" t="s">
        <v>290</v>
      </c>
      <c r="C420" s="283" t="s">
        <v>2034</v>
      </c>
      <c r="D420" s="352" t="s">
        <v>1763</v>
      </c>
      <c r="E420" s="454"/>
      <c r="F420" s="454"/>
      <c r="G420" s="454"/>
      <c r="H420" s="454"/>
      <c r="I420" s="454"/>
      <c r="J420" s="373">
        <v>161.21</v>
      </c>
      <c r="K420" s="280" t="s">
        <v>131</v>
      </c>
      <c r="L420" s="280" t="s">
        <v>131</v>
      </c>
      <c r="M420" s="281" t="s">
        <v>1644</v>
      </c>
      <c r="N420" s="281" t="s">
        <v>1791</v>
      </c>
      <c r="O420" s="280"/>
      <c r="P420" s="283"/>
      <c r="Q420" s="279"/>
      <c r="R420" s="283"/>
      <c r="S420" s="279"/>
      <c r="T420" s="279"/>
      <c r="U420" s="279"/>
      <c r="V420" s="282"/>
      <c r="W420" s="282"/>
      <c r="X420" s="282"/>
      <c r="Y420" s="350"/>
      <c r="Z420" s="282"/>
    </row>
    <row r="421" spans="1:26" s="147" customFormat="1" ht="20.149999999999999" customHeight="1" x14ac:dyDescent="0.2">
      <c r="A421" s="335"/>
      <c r="B421" s="335"/>
      <c r="C421" s="286"/>
      <c r="D421" s="457"/>
      <c r="E421" s="298"/>
      <c r="F421" s="298"/>
      <c r="G421" s="298"/>
      <c r="H421" s="298"/>
      <c r="I421" s="298"/>
      <c r="J421" s="298"/>
      <c r="K421" s="299"/>
      <c r="L421" s="299"/>
      <c r="M421" s="460"/>
      <c r="N421" s="417"/>
      <c r="O421" s="376">
        <v>1</v>
      </c>
      <c r="P421" s="367" t="s">
        <v>2035</v>
      </c>
      <c r="Q421" s="376">
        <v>0</v>
      </c>
      <c r="R421" s="338"/>
      <c r="S421" s="338"/>
      <c r="T421" s="338"/>
      <c r="U421" s="338" t="s">
        <v>131</v>
      </c>
      <c r="V421" s="338"/>
      <c r="W421" s="338"/>
      <c r="X421" s="338"/>
      <c r="Y421" s="681"/>
      <c r="Z421" s="368" t="s">
        <v>204</v>
      </c>
    </row>
    <row r="422" spans="1:26" s="147" customFormat="1" ht="20.149999999999999" customHeight="1" x14ac:dyDescent="0.2">
      <c r="A422" s="335"/>
      <c r="B422" s="335"/>
      <c r="C422" s="286"/>
      <c r="D422" s="457"/>
      <c r="E422" s="298"/>
      <c r="F422" s="298"/>
      <c r="G422" s="298"/>
      <c r="H422" s="298"/>
      <c r="I422" s="298"/>
      <c r="J422" s="298"/>
      <c r="K422" s="299"/>
      <c r="L422" s="299"/>
      <c r="M422" s="460"/>
      <c r="N422" s="299"/>
      <c r="O422" s="376">
        <v>2</v>
      </c>
      <c r="P422" s="375" t="s">
        <v>2036</v>
      </c>
      <c r="Q422" s="338">
        <v>0</v>
      </c>
      <c r="R422" s="338"/>
      <c r="S422" s="338"/>
      <c r="T422" s="338"/>
      <c r="U422" s="338" t="s">
        <v>131</v>
      </c>
      <c r="V422" s="338"/>
      <c r="W422" s="338"/>
      <c r="X422" s="753"/>
      <c r="Y422" s="578"/>
      <c r="Z422" s="747">
        <v>2</v>
      </c>
    </row>
    <row r="423" spans="1:26" s="147" customFormat="1" ht="20.149999999999999" customHeight="1" x14ac:dyDescent="0.2">
      <c r="A423" s="335"/>
      <c r="B423" s="335"/>
      <c r="C423" s="286"/>
      <c r="D423" s="457"/>
      <c r="E423" s="298"/>
      <c r="F423" s="298"/>
      <c r="G423" s="298"/>
      <c r="H423" s="298"/>
      <c r="I423" s="298"/>
      <c r="J423" s="298"/>
      <c r="K423" s="299"/>
      <c r="L423" s="299"/>
      <c r="M423" s="460"/>
      <c r="N423" s="299"/>
      <c r="O423" s="376">
        <v>3</v>
      </c>
      <c r="P423" s="375" t="s">
        <v>2037</v>
      </c>
      <c r="Q423" s="338">
        <v>0</v>
      </c>
      <c r="R423" s="338"/>
      <c r="S423" s="338"/>
      <c r="T423" s="338"/>
      <c r="U423" s="338" t="s">
        <v>131</v>
      </c>
      <c r="V423" s="338"/>
      <c r="W423" s="338"/>
      <c r="X423" s="753"/>
      <c r="Y423" s="578"/>
      <c r="Z423" s="747">
        <v>2</v>
      </c>
    </row>
    <row r="424" spans="1:26" s="147" customFormat="1" ht="20.149999999999999" customHeight="1" x14ac:dyDescent="0.2">
      <c r="A424" s="335"/>
      <c r="B424" s="335"/>
      <c r="C424" s="286"/>
      <c r="D424" s="457"/>
      <c r="E424" s="298"/>
      <c r="F424" s="298"/>
      <c r="G424" s="298"/>
      <c r="H424" s="298"/>
      <c r="I424" s="298"/>
      <c r="J424" s="298"/>
      <c r="K424" s="299"/>
      <c r="L424" s="299"/>
      <c r="M424" s="460"/>
      <c r="N424" s="299"/>
      <c r="O424" s="376">
        <v>4</v>
      </c>
      <c r="P424" s="375" t="s">
        <v>2038</v>
      </c>
      <c r="Q424" s="338">
        <v>0</v>
      </c>
      <c r="R424" s="338"/>
      <c r="S424" s="338"/>
      <c r="T424" s="338"/>
      <c r="U424" s="338" t="s">
        <v>131</v>
      </c>
      <c r="V424" s="338" t="s">
        <v>131</v>
      </c>
      <c r="W424" s="338"/>
      <c r="X424" s="753"/>
      <c r="Y424" s="578"/>
      <c r="Z424" s="747">
        <v>2</v>
      </c>
    </row>
    <row r="425" spans="1:26" s="147" customFormat="1" ht="20.149999999999999" customHeight="1" x14ac:dyDescent="0.2">
      <c r="A425" s="335"/>
      <c r="B425" s="335"/>
      <c r="C425" s="286"/>
      <c r="D425" s="457"/>
      <c r="E425" s="298"/>
      <c r="F425" s="298"/>
      <c r="G425" s="298"/>
      <c r="H425" s="298"/>
      <c r="I425" s="298"/>
      <c r="J425" s="298"/>
      <c r="K425" s="299"/>
      <c r="L425" s="299"/>
      <c r="M425" s="460"/>
      <c r="N425" s="299"/>
      <c r="O425" s="376">
        <v>5</v>
      </c>
      <c r="P425" s="375" t="s">
        <v>2039</v>
      </c>
      <c r="Q425" s="338">
        <v>0</v>
      </c>
      <c r="R425" s="338"/>
      <c r="S425" s="338"/>
      <c r="T425" s="338"/>
      <c r="U425" s="338" t="s">
        <v>131</v>
      </c>
      <c r="V425" s="338"/>
      <c r="W425" s="338"/>
      <c r="X425" s="338"/>
      <c r="Y425" s="578"/>
      <c r="Z425" s="368" t="s">
        <v>204</v>
      </c>
    </row>
    <row r="426" spans="1:26" s="147" customFormat="1" ht="20.149999999999999" customHeight="1" x14ac:dyDescent="0.2">
      <c r="A426" s="335"/>
      <c r="B426" s="335"/>
      <c r="C426" s="286"/>
      <c r="D426" s="457"/>
      <c r="E426" s="298"/>
      <c r="F426" s="298"/>
      <c r="G426" s="298"/>
      <c r="H426" s="298"/>
      <c r="I426" s="298"/>
      <c r="J426" s="298"/>
      <c r="K426" s="299"/>
      <c r="L426" s="299"/>
      <c r="M426" s="460"/>
      <c r="N426" s="299"/>
      <c r="O426" s="376">
        <v>6</v>
      </c>
      <c r="P426" s="375" t="s">
        <v>2040</v>
      </c>
      <c r="Q426" s="338">
        <v>0</v>
      </c>
      <c r="R426" s="338"/>
      <c r="S426" s="338"/>
      <c r="T426" s="338"/>
      <c r="U426" s="338" t="s">
        <v>131</v>
      </c>
      <c r="V426" s="338"/>
      <c r="W426" s="338"/>
      <c r="X426" s="338"/>
      <c r="Y426" s="578"/>
      <c r="Z426" s="368" t="s">
        <v>204</v>
      </c>
    </row>
    <row r="427" spans="1:26" s="147" customFormat="1" ht="20.149999999999999" customHeight="1" x14ac:dyDescent="0.2">
      <c r="A427" s="335"/>
      <c r="B427" s="335"/>
      <c r="C427" s="286"/>
      <c r="D427" s="457"/>
      <c r="E427" s="298"/>
      <c r="F427" s="298"/>
      <c r="G427" s="298"/>
      <c r="H427" s="298"/>
      <c r="I427" s="298"/>
      <c r="J427" s="298"/>
      <c r="K427" s="299"/>
      <c r="L427" s="299"/>
      <c r="M427" s="460"/>
      <c r="N427" s="299"/>
      <c r="O427" s="376">
        <v>7</v>
      </c>
      <c r="P427" s="375" t="s">
        <v>2041</v>
      </c>
      <c r="Q427" s="338">
        <v>0</v>
      </c>
      <c r="R427" s="577"/>
      <c r="S427" s="753"/>
      <c r="T427" s="576"/>
      <c r="U427" s="338" t="s">
        <v>131</v>
      </c>
      <c r="V427" s="575"/>
      <c r="W427" s="576"/>
      <c r="X427" s="338"/>
      <c r="Y427" s="578"/>
      <c r="Z427" s="747">
        <v>2</v>
      </c>
    </row>
    <row r="428" spans="1:26" s="147" customFormat="1" ht="21.75" customHeight="1" x14ac:dyDescent="0.2">
      <c r="A428" s="296"/>
      <c r="B428" s="285"/>
      <c r="C428" s="286"/>
      <c r="D428" s="298"/>
      <c r="E428" s="298"/>
      <c r="F428" s="298"/>
      <c r="G428" s="298"/>
      <c r="H428" s="298"/>
      <c r="I428" s="298"/>
      <c r="J428" s="298"/>
      <c r="K428" s="299"/>
      <c r="L428" s="299"/>
      <c r="M428" s="460"/>
      <c r="N428" s="299"/>
      <c r="O428" s="376">
        <v>8</v>
      </c>
      <c r="P428" s="375" t="s">
        <v>2042</v>
      </c>
      <c r="Q428" s="830">
        <v>3</v>
      </c>
      <c r="R428" s="375"/>
      <c r="S428" s="376"/>
      <c r="T428" s="851"/>
      <c r="U428" s="766" t="s">
        <v>131</v>
      </c>
      <c r="V428" s="368"/>
      <c r="W428" s="368"/>
      <c r="X428" s="368" t="s">
        <v>131</v>
      </c>
      <c r="Y428" s="401" t="s">
        <v>2043</v>
      </c>
      <c r="Z428" s="741">
        <v>2</v>
      </c>
    </row>
    <row r="429" spans="1:26" s="147" customFormat="1" ht="43.5" customHeight="1" x14ac:dyDescent="0.2">
      <c r="A429" s="296"/>
      <c r="B429" s="285"/>
      <c r="C429" s="286"/>
      <c r="D429" s="298"/>
      <c r="E429" s="298"/>
      <c r="F429" s="298"/>
      <c r="G429" s="298"/>
      <c r="H429" s="298"/>
      <c r="I429" s="298"/>
      <c r="J429" s="298"/>
      <c r="K429" s="299"/>
      <c r="L429" s="299"/>
      <c r="M429" s="460"/>
      <c r="N429" s="299"/>
      <c r="O429" s="298">
        <v>9</v>
      </c>
      <c r="P429" s="286" t="s">
        <v>2044</v>
      </c>
      <c r="Q429" s="298">
        <v>0</v>
      </c>
      <c r="R429" s="367"/>
      <c r="S429" s="338" t="s">
        <v>131</v>
      </c>
      <c r="T429" s="338"/>
      <c r="U429" s="338"/>
      <c r="V429" s="368"/>
      <c r="W429" s="766" t="s">
        <v>131</v>
      </c>
      <c r="X429" s="368"/>
      <c r="Y429" s="339" t="s">
        <v>2045</v>
      </c>
      <c r="Z429" s="741">
        <v>2</v>
      </c>
    </row>
    <row r="430" spans="1:26" s="147" customFormat="1" ht="21.75" customHeight="1" x14ac:dyDescent="0.2">
      <c r="A430" s="354"/>
      <c r="B430" s="355"/>
      <c r="C430" s="356"/>
      <c r="D430" s="357"/>
      <c r="E430" s="357"/>
      <c r="F430" s="357"/>
      <c r="G430" s="357"/>
      <c r="H430" s="357"/>
      <c r="I430" s="357"/>
      <c r="J430" s="357"/>
      <c r="K430" s="358"/>
      <c r="L430" s="358"/>
      <c r="M430" s="591"/>
      <c r="N430" s="358"/>
      <c r="O430" s="358"/>
      <c r="P430" s="356"/>
      <c r="Q430" s="357"/>
      <c r="R430" s="356"/>
      <c r="S430" s="357"/>
      <c r="T430" s="581"/>
      <c r="U430" s="581"/>
      <c r="V430" s="581"/>
      <c r="W430" s="581"/>
      <c r="X430" s="268"/>
      <c r="Y430" s="361"/>
      <c r="Z430" s="268"/>
    </row>
    <row r="431" spans="1:26" s="147" customFormat="1" ht="34" customHeight="1" x14ac:dyDescent="0.2">
      <c r="A431" s="278" t="s">
        <v>2046</v>
      </c>
      <c r="B431" s="270" t="s">
        <v>290</v>
      </c>
      <c r="C431" s="283" t="s">
        <v>2047</v>
      </c>
      <c r="D431" s="352" t="s">
        <v>1763</v>
      </c>
      <c r="E431" s="454"/>
      <c r="F431" s="454"/>
      <c r="G431" s="454"/>
      <c r="H431" s="454"/>
      <c r="I431" s="454"/>
      <c r="J431" s="373">
        <v>161.21</v>
      </c>
      <c r="K431" s="280" t="s">
        <v>131</v>
      </c>
      <c r="L431" s="280" t="s">
        <v>131</v>
      </c>
      <c r="M431" s="281" t="s">
        <v>1644</v>
      </c>
      <c r="N431" s="281" t="s">
        <v>1791</v>
      </c>
      <c r="O431" s="280"/>
      <c r="P431" s="283"/>
      <c r="Q431" s="279"/>
      <c r="R431" s="283"/>
      <c r="S431" s="279"/>
      <c r="T431" s="279"/>
      <c r="U431" s="279"/>
      <c r="V431" s="282"/>
      <c r="W431" s="282"/>
      <c r="X431" s="282"/>
      <c r="Y431" s="350"/>
      <c r="Z431" s="282"/>
    </row>
    <row r="432" spans="1:26" s="147" customFormat="1" ht="20.149999999999999" customHeight="1" x14ac:dyDescent="0.2">
      <c r="A432" s="335"/>
      <c r="B432" s="335"/>
      <c r="C432" s="286"/>
      <c r="D432" s="457"/>
      <c r="E432" s="376"/>
      <c r="F432" s="376"/>
      <c r="G432" s="376"/>
      <c r="H432" s="376"/>
      <c r="I432" s="376"/>
      <c r="J432" s="298"/>
      <c r="K432" s="299"/>
      <c r="L432" s="299"/>
      <c r="M432" s="460"/>
      <c r="N432" s="417"/>
      <c r="O432" s="376">
        <v>1</v>
      </c>
      <c r="P432" s="367" t="s">
        <v>2048</v>
      </c>
      <c r="Q432" s="376">
        <v>0</v>
      </c>
      <c r="R432" s="338"/>
      <c r="S432" s="338"/>
      <c r="T432" s="338"/>
      <c r="U432" s="338" t="s">
        <v>131</v>
      </c>
      <c r="V432" s="338"/>
      <c r="W432" s="338"/>
      <c r="X432" s="338"/>
      <c r="Y432" s="681"/>
      <c r="Z432" s="368" t="s">
        <v>204</v>
      </c>
    </row>
    <row r="433" spans="1:26" s="147" customFormat="1" ht="20.149999999999999" customHeight="1" x14ac:dyDescent="0.2">
      <c r="A433" s="335"/>
      <c r="B433" s="335"/>
      <c r="C433" s="286"/>
      <c r="D433" s="457"/>
      <c r="E433" s="376"/>
      <c r="F433" s="376"/>
      <c r="G433" s="376"/>
      <c r="H433" s="376"/>
      <c r="I433" s="376"/>
      <c r="J433" s="298"/>
      <c r="K433" s="299"/>
      <c r="L433" s="299"/>
      <c r="M433" s="460"/>
      <c r="N433" s="417"/>
      <c r="O433" s="376">
        <v>2</v>
      </c>
      <c r="P433" s="375" t="s">
        <v>2049</v>
      </c>
      <c r="Q433" s="338">
        <v>0</v>
      </c>
      <c r="R433" s="338"/>
      <c r="S433" s="338"/>
      <c r="T433" s="338"/>
      <c r="U433" s="338" t="s">
        <v>131</v>
      </c>
      <c r="V433" s="338"/>
      <c r="W433" s="338"/>
      <c r="X433" s="753"/>
      <c r="Y433" s="578"/>
      <c r="Z433" s="747">
        <v>2</v>
      </c>
    </row>
    <row r="434" spans="1:26" s="147" customFormat="1" ht="20.149999999999999" customHeight="1" x14ac:dyDescent="0.2">
      <c r="A434" s="335"/>
      <c r="B434" s="335"/>
      <c r="C434" s="286"/>
      <c r="D434" s="457"/>
      <c r="E434" s="376"/>
      <c r="F434" s="376"/>
      <c r="G434" s="376"/>
      <c r="H434" s="376"/>
      <c r="I434" s="376"/>
      <c r="J434" s="298"/>
      <c r="K434" s="299"/>
      <c r="L434" s="299"/>
      <c r="M434" s="337"/>
      <c r="N434" s="299"/>
      <c r="O434" s="376">
        <v>3</v>
      </c>
      <c r="P434" s="375" t="s">
        <v>2050</v>
      </c>
      <c r="Q434" s="338">
        <v>0</v>
      </c>
      <c r="R434" s="338"/>
      <c r="S434" s="338"/>
      <c r="T434" s="338"/>
      <c r="U434" s="338" t="s">
        <v>131</v>
      </c>
      <c r="V434" s="338"/>
      <c r="W434" s="338"/>
      <c r="X434" s="753"/>
      <c r="Y434" s="578"/>
      <c r="Z434" s="747">
        <v>2</v>
      </c>
    </row>
    <row r="435" spans="1:26" s="147" customFormat="1" ht="20.149999999999999" customHeight="1" x14ac:dyDescent="0.2">
      <c r="A435" s="335"/>
      <c r="B435" s="335"/>
      <c r="C435" s="286"/>
      <c r="D435" s="457"/>
      <c r="E435" s="376"/>
      <c r="F435" s="376"/>
      <c r="G435" s="376"/>
      <c r="H435" s="376"/>
      <c r="I435" s="376"/>
      <c r="J435" s="298"/>
      <c r="K435" s="299"/>
      <c r="L435" s="299"/>
      <c r="M435" s="337"/>
      <c r="N435" s="299"/>
      <c r="O435" s="376">
        <v>4</v>
      </c>
      <c r="P435" s="375" t="s">
        <v>2051</v>
      </c>
      <c r="Q435" s="338">
        <v>0</v>
      </c>
      <c r="R435" s="338"/>
      <c r="S435" s="338"/>
      <c r="T435" s="338"/>
      <c r="U435" s="338" t="s">
        <v>131</v>
      </c>
      <c r="V435" s="338" t="s">
        <v>131</v>
      </c>
      <c r="W435" s="338"/>
      <c r="X435" s="753"/>
      <c r="Y435" s="578"/>
      <c r="Z435" s="747">
        <v>2</v>
      </c>
    </row>
    <row r="436" spans="1:26" s="147" customFormat="1" ht="20.149999999999999" customHeight="1" x14ac:dyDescent="0.2">
      <c r="A436" s="335"/>
      <c r="B436" s="335"/>
      <c r="C436" s="286"/>
      <c r="D436" s="457"/>
      <c r="E436" s="376"/>
      <c r="F436" s="376"/>
      <c r="G436" s="376"/>
      <c r="H436" s="376"/>
      <c r="I436" s="376"/>
      <c r="J436" s="298"/>
      <c r="K436" s="299"/>
      <c r="L436" s="299"/>
      <c r="M436" s="337"/>
      <c r="N436" s="299"/>
      <c r="O436" s="376">
        <v>5</v>
      </c>
      <c r="P436" s="375" t="s">
        <v>2052</v>
      </c>
      <c r="Q436" s="338">
        <v>0</v>
      </c>
      <c r="R436" s="338"/>
      <c r="S436" s="338"/>
      <c r="T436" s="338"/>
      <c r="U436" s="338" t="s">
        <v>131</v>
      </c>
      <c r="V436" s="338"/>
      <c r="W436" s="338"/>
      <c r="X436" s="338"/>
      <c r="Y436" s="578"/>
      <c r="Z436" s="368" t="s">
        <v>204</v>
      </c>
    </row>
    <row r="437" spans="1:26" s="147" customFormat="1" ht="20.149999999999999" customHeight="1" x14ac:dyDescent="0.2">
      <c r="A437" s="335"/>
      <c r="B437" s="335"/>
      <c r="C437" s="286"/>
      <c r="D437" s="457"/>
      <c r="E437" s="376"/>
      <c r="F437" s="376"/>
      <c r="G437" s="376"/>
      <c r="H437" s="376"/>
      <c r="I437" s="376"/>
      <c r="J437" s="298"/>
      <c r="K437" s="299"/>
      <c r="L437" s="299"/>
      <c r="M437" s="337"/>
      <c r="N437" s="299"/>
      <c r="O437" s="376">
        <v>6</v>
      </c>
      <c r="P437" s="375" t="s">
        <v>2053</v>
      </c>
      <c r="Q437" s="338">
        <v>0</v>
      </c>
      <c r="R437" s="338"/>
      <c r="S437" s="338"/>
      <c r="T437" s="338"/>
      <c r="U437" s="338" t="s">
        <v>131</v>
      </c>
      <c r="V437" s="338"/>
      <c r="W437" s="338"/>
      <c r="X437" s="338"/>
      <c r="Y437" s="578"/>
      <c r="Z437" s="368" t="s">
        <v>204</v>
      </c>
    </row>
    <row r="438" spans="1:26" s="147" customFormat="1" ht="20.149999999999999" customHeight="1" x14ac:dyDescent="0.2">
      <c r="A438" s="335"/>
      <c r="B438" s="335"/>
      <c r="C438" s="286"/>
      <c r="D438" s="457"/>
      <c r="E438" s="376"/>
      <c r="F438" s="376"/>
      <c r="G438" s="376"/>
      <c r="H438" s="376"/>
      <c r="I438" s="376"/>
      <c r="J438" s="298"/>
      <c r="K438" s="299"/>
      <c r="L438" s="299"/>
      <c r="M438" s="337"/>
      <c r="N438" s="299"/>
      <c r="O438" s="376">
        <v>7</v>
      </c>
      <c r="P438" s="375" t="s">
        <v>2054</v>
      </c>
      <c r="Q438" s="338">
        <v>0</v>
      </c>
      <c r="R438" s="577"/>
      <c r="S438" s="753"/>
      <c r="T438" s="576"/>
      <c r="U438" s="338" t="s">
        <v>131</v>
      </c>
      <c r="V438" s="575"/>
      <c r="W438" s="576"/>
      <c r="X438" s="338"/>
      <c r="Y438" s="578"/>
      <c r="Z438" s="747">
        <v>2</v>
      </c>
    </row>
    <row r="439" spans="1:26" s="147" customFormat="1" ht="21.75" customHeight="1" x14ac:dyDescent="0.2">
      <c r="A439" s="296"/>
      <c r="B439" s="285"/>
      <c r="C439" s="286"/>
      <c r="D439" s="298"/>
      <c r="E439" s="298"/>
      <c r="F439" s="298"/>
      <c r="G439" s="298"/>
      <c r="H439" s="298"/>
      <c r="I439" s="298"/>
      <c r="J439" s="298"/>
      <c r="K439" s="299"/>
      <c r="L439" s="299"/>
      <c r="M439" s="337"/>
      <c r="N439" s="299"/>
      <c r="O439" s="376">
        <v>8</v>
      </c>
      <c r="P439" s="375" t="s">
        <v>2055</v>
      </c>
      <c r="Q439" s="830">
        <v>3</v>
      </c>
      <c r="R439" s="375"/>
      <c r="S439" s="376"/>
      <c r="T439" s="376"/>
      <c r="U439" s="338" t="s">
        <v>131</v>
      </c>
      <c r="V439" s="368"/>
      <c r="W439" s="368"/>
      <c r="X439" s="368" t="s">
        <v>131</v>
      </c>
      <c r="Y439" s="401" t="s">
        <v>2043</v>
      </c>
      <c r="Z439" s="741">
        <v>2</v>
      </c>
    </row>
    <row r="440" spans="1:26" s="147" customFormat="1" ht="43.5" customHeight="1" x14ac:dyDescent="0.2">
      <c r="A440" s="296"/>
      <c r="B440" s="285"/>
      <c r="C440" s="286"/>
      <c r="D440" s="298"/>
      <c r="E440" s="298"/>
      <c r="F440" s="298"/>
      <c r="G440" s="298"/>
      <c r="H440" s="298"/>
      <c r="I440" s="298"/>
      <c r="J440" s="298"/>
      <c r="K440" s="299"/>
      <c r="L440" s="299"/>
      <c r="M440" s="337"/>
      <c r="N440" s="299"/>
      <c r="O440" s="298">
        <v>9</v>
      </c>
      <c r="P440" s="286" t="s">
        <v>2056</v>
      </c>
      <c r="Q440" s="298">
        <v>0</v>
      </c>
      <c r="R440" s="367"/>
      <c r="S440" s="338" t="s">
        <v>131</v>
      </c>
      <c r="T440" s="338"/>
      <c r="U440" s="338"/>
      <c r="V440" s="368"/>
      <c r="W440" s="766" t="s">
        <v>131</v>
      </c>
      <c r="X440" s="368"/>
      <c r="Y440" s="339" t="s">
        <v>2057</v>
      </c>
      <c r="Z440" s="741">
        <v>2</v>
      </c>
    </row>
    <row r="441" spans="1:26" s="147" customFormat="1" ht="21.75" customHeight="1" x14ac:dyDescent="0.2">
      <c r="A441" s="296"/>
      <c r="B441" s="341"/>
      <c r="C441" s="342"/>
      <c r="D441" s="343"/>
      <c r="E441" s="343"/>
      <c r="F441" s="343"/>
      <c r="G441" s="343"/>
      <c r="H441" s="343"/>
      <c r="I441" s="343"/>
      <c r="J441" s="343"/>
      <c r="K441" s="344"/>
      <c r="L441" s="344"/>
      <c r="M441" s="458"/>
      <c r="N441" s="344"/>
      <c r="O441" s="344"/>
      <c r="P441" s="342"/>
      <c r="Q441" s="343"/>
      <c r="R441" s="342"/>
      <c r="S441" s="343"/>
      <c r="T441" s="153"/>
      <c r="U441" s="153"/>
      <c r="V441" s="153"/>
      <c r="W441" s="153"/>
      <c r="X441" s="274"/>
      <c r="Y441" s="351"/>
      <c r="Z441" s="274"/>
    </row>
    <row r="442" spans="1:26" s="147" customFormat="1" ht="54" customHeight="1" x14ac:dyDescent="0.2">
      <c r="A442" s="278" t="s">
        <v>2058</v>
      </c>
      <c r="B442" s="270" t="s">
        <v>134</v>
      </c>
      <c r="C442" s="283" t="s">
        <v>2059</v>
      </c>
      <c r="D442" s="352" t="s">
        <v>729</v>
      </c>
      <c r="E442" s="454"/>
      <c r="F442" s="454"/>
      <c r="G442" s="454"/>
      <c r="H442" s="454"/>
      <c r="I442" s="454"/>
      <c r="J442" s="620" t="s">
        <v>1710</v>
      </c>
      <c r="K442" s="280"/>
      <c r="L442" s="280" t="s">
        <v>131</v>
      </c>
      <c r="M442" s="374" t="s">
        <v>1721</v>
      </c>
      <c r="N442" s="463" t="s">
        <v>1711</v>
      </c>
      <c r="O442" s="280"/>
      <c r="P442" s="283"/>
      <c r="Q442" s="279"/>
      <c r="R442" s="283"/>
      <c r="S442" s="279"/>
      <c r="T442" s="279"/>
      <c r="U442" s="279"/>
      <c r="V442" s="282"/>
      <c r="W442" s="282"/>
      <c r="X442" s="282"/>
      <c r="Y442" s="350" t="s">
        <v>2060</v>
      </c>
      <c r="Z442" s="282"/>
    </row>
    <row r="443" spans="1:26" s="147" customFormat="1" ht="20.149999999999999" customHeight="1" x14ac:dyDescent="0.2">
      <c r="A443" s="335"/>
      <c r="B443" s="335"/>
      <c r="C443" s="286"/>
      <c r="D443" s="457"/>
      <c r="E443" s="376"/>
      <c r="F443" s="376"/>
      <c r="G443" s="376"/>
      <c r="H443" s="376"/>
      <c r="I443" s="376"/>
      <c r="J443" s="298"/>
      <c r="K443" s="299"/>
      <c r="L443" s="299"/>
      <c r="M443" s="337"/>
      <c r="N443" s="299"/>
      <c r="O443" s="376">
        <v>1</v>
      </c>
      <c r="P443" s="367" t="s">
        <v>2061</v>
      </c>
      <c r="Q443" s="376">
        <v>0</v>
      </c>
      <c r="R443" s="338"/>
      <c r="S443" s="338"/>
      <c r="T443" s="338"/>
      <c r="U443" s="338" t="s">
        <v>131</v>
      </c>
      <c r="V443" s="338"/>
      <c r="W443" s="338"/>
      <c r="X443" s="338"/>
      <c r="Y443" s="681"/>
      <c r="Z443" s="368" t="s">
        <v>204</v>
      </c>
    </row>
    <row r="444" spans="1:26" s="147" customFormat="1" ht="20.149999999999999" customHeight="1" x14ac:dyDescent="0.2">
      <c r="A444" s="335"/>
      <c r="B444" s="335"/>
      <c r="C444" s="286"/>
      <c r="D444" s="457"/>
      <c r="E444" s="376"/>
      <c r="F444" s="376"/>
      <c r="G444" s="376"/>
      <c r="H444" s="376"/>
      <c r="I444" s="376"/>
      <c r="J444" s="298"/>
      <c r="K444" s="299"/>
      <c r="L444" s="299"/>
      <c r="M444" s="337"/>
      <c r="N444" s="299"/>
      <c r="O444" s="376">
        <v>2</v>
      </c>
      <c r="P444" s="375" t="s">
        <v>2062</v>
      </c>
      <c r="Q444" s="338">
        <v>0</v>
      </c>
      <c r="R444" s="338"/>
      <c r="S444" s="338"/>
      <c r="T444" s="338"/>
      <c r="U444" s="338" t="s">
        <v>131</v>
      </c>
      <c r="V444" s="338"/>
      <c r="W444" s="338"/>
      <c r="X444" s="753"/>
      <c r="Y444" s="578"/>
      <c r="Z444" s="747">
        <v>2</v>
      </c>
    </row>
    <row r="445" spans="1:26" s="147" customFormat="1" ht="20.149999999999999" customHeight="1" x14ac:dyDescent="0.2">
      <c r="A445" s="335"/>
      <c r="B445" s="335"/>
      <c r="C445" s="286"/>
      <c r="D445" s="457"/>
      <c r="E445" s="376"/>
      <c r="F445" s="376"/>
      <c r="G445" s="376"/>
      <c r="H445" s="376"/>
      <c r="I445" s="376"/>
      <c r="J445" s="298"/>
      <c r="K445" s="299"/>
      <c r="L445" s="299"/>
      <c r="M445" s="337"/>
      <c r="N445" s="299"/>
      <c r="O445" s="376">
        <v>3</v>
      </c>
      <c r="P445" s="375" t="s">
        <v>2063</v>
      </c>
      <c r="Q445" s="338">
        <v>0</v>
      </c>
      <c r="R445" s="338"/>
      <c r="S445" s="338"/>
      <c r="T445" s="338"/>
      <c r="U445" s="338" t="s">
        <v>131</v>
      </c>
      <c r="V445" s="338"/>
      <c r="W445" s="338"/>
      <c r="X445" s="753"/>
      <c r="Y445" s="578"/>
      <c r="Z445" s="747">
        <v>2</v>
      </c>
    </row>
    <row r="446" spans="1:26" s="147" customFormat="1" ht="20.149999999999999" customHeight="1" x14ac:dyDescent="0.2">
      <c r="A446" s="335"/>
      <c r="B446" s="335"/>
      <c r="C446" s="286"/>
      <c r="D446" s="457"/>
      <c r="E446" s="376"/>
      <c r="F446" s="376"/>
      <c r="G446" s="376"/>
      <c r="H446" s="376"/>
      <c r="I446" s="376"/>
      <c r="J446" s="298"/>
      <c r="K446" s="299"/>
      <c r="L446" s="299"/>
      <c r="M446" s="337"/>
      <c r="N446" s="299"/>
      <c r="O446" s="376">
        <v>4</v>
      </c>
      <c r="P446" s="375" t="s">
        <v>2064</v>
      </c>
      <c r="Q446" s="338">
        <v>0</v>
      </c>
      <c r="R446" s="338"/>
      <c r="S446" s="338"/>
      <c r="T446" s="338"/>
      <c r="U446" s="338" t="s">
        <v>131</v>
      </c>
      <c r="V446" s="338" t="s">
        <v>131</v>
      </c>
      <c r="W446" s="338"/>
      <c r="X446" s="753"/>
      <c r="Y446" s="578"/>
      <c r="Z446" s="747">
        <v>2</v>
      </c>
    </row>
    <row r="447" spans="1:26" s="147" customFormat="1" ht="20.149999999999999" customHeight="1" x14ac:dyDescent="0.2">
      <c r="A447" s="335"/>
      <c r="B447" s="335"/>
      <c r="C447" s="286"/>
      <c r="D447" s="457"/>
      <c r="E447" s="376"/>
      <c r="F447" s="376"/>
      <c r="G447" s="376"/>
      <c r="H447" s="376"/>
      <c r="I447" s="376"/>
      <c r="J447" s="298"/>
      <c r="K447" s="299"/>
      <c r="L447" s="299"/>
      <c r="M447" s="337"/>
      <c r="N447" s="299"/>
      <c r="O447" s="376">
        <v>5</v>
      </c>
      <c r="P447" s="375" t="s">
        <v>2065</v>
      </c>
      <c r="Q447" s="338">
        <v>0</v>
      </c>
      <c r="R447" s="338"/>
      <c r="S447" s="338"/>
      <c r="T447" s="338"/>
      <c r="U447" s="338" t="s">
        <v>131</v>
      </c>
      <c r="V447" s="338"/>
      <c r="W447" s="338"/>
      <c r="X447" s="338"/>
      <c r="Y447" s="578"/>
      <c r="Z447" s="368" t="s">
        <v>204</v>
      </c>
    </row>
    <row r="448" spans="1:26" s="147" customFormat="1" ht="20.149999999999999" customHeight="1" x14ac:dyDescent="0.2">
      <c r="A448" s="335"/>
      <c r="B448" s="335"/>
      <c r="C448" s="286"/>
      <c r="D448" s="457"/>
      <c r="E448" s="376"/>
      <c r="F448" s="376"/>
      <c r="G448" s="376"/>
      <c r="H448" s="376"/>
      <c r="I448" s="376"/>
      <c r="J448" s="298"/>
      <c r="K448" s="299"/>
      <c r="L448" s="299"/>
      <c r="M448" s="337"/>
      <c r="N448" s="299"/>
      <c r="O448" s="376">
        <v>6</v>
      </c>
      <c r="P448" s="375" t="s">
        <v>2066</v>
      </c>
      <c r="Q448" s="338">
        <v>0</v>
      </c>
      <c r="R448" s="338"/>
      <c r="S448" s="338"/>
      <c r="T448" s="338"/>
      <c r="U448" s="338" t="s">
        <v>131</v>
      </c>
      <c r="V448" s="338"/>
      <c r="W448" s="338"/>
      <c r="X448" s="338"/>
      <c r="Y448" s="578"/>
      <c r="Z448" s="368" t="s">
        <v>204</v>
      </c>
    </row>
    <row r="449" spans="1:26" s="147" customFormat="1" ht="20.149999999999999" customHeight="1" x14ac:dyDescent="0.2">
      <c r="A449" s="335"/>
      <c r="B449" s="335"/>
      <c r="C449" s="286"/>
      <c r="D449" s="457"/>
      <c r="E449" s="376"/>
      <c r="F449" s="376"/>
      <c r="G449" s="376"/>
      <c r="H449" s="376"/>
      <c r="I449" s="376"/>
      <c r="J449" s="298"/>
      <c r="K449" s="299"/>
      <c r="L449" s="299"/>
      <c r="M449" s="337"/>
      <c r="N449" s="299"/>
      <c r="O449" s="376">
        <v>7</v>
      </c>
      <c r="P449" s="375" t="s">
        <v>2067</v>
      </c>
      <c r="Q449" s="338">
        <v>0</v>
      </c>
      <c r="R449" s="577"/>
      <c r="S449" s="753"/>
      <c r="T449" s="576"/>
      <c r="U449" s="338" t="s">
        <v>131</v>
      </c>
      <c r="V449" s="575"/>
      <c r="W449" s="576"/>
      <c r="X449" s="338"/>
      <c r="Y449" s="578"/>
      <c r="Z449" s="747">
        <v>2</v>
      </c>
    </row>
    <row r="450" spans="1:26" s="147" customFormat="1" ht="21.75" customHeight="1" x14ac:dyDescent="0.2">
      <c r="A450" s="294"/>
      <c r="B450" s="295"/>
      <c r="C450" s="292"/>
      <c r="D450" s="288"/>
      <c r="E450" s="288"/>
      <c r="F450" s="288"/>
      <c r="G450" s="288"/>
      <c r="H450" s="288"/>
      <c r="I450" s="288"/>
      <c r="J450" s="288"/>
      <c r="K450" s="288"/>
      <c r="L450" s="288"/>
      <c r="M450" s="293"/>
      <c r="N450" s="288"/>
      <c r="O450" s="376">
        <v>8</v>
      </c>
      <c r="P450" s="292" t="s">
        <v>2068</v>
      </c>
      <c r="Q450" s="288">
        <v>0</v>
      </c>
      <c r="R450" s="367"/>
      <c r="S450" s="338"/>
      <c r="T450" s="338"/>
      <c r="U450" s="338" t="s">
        <v>131</v>
      </c>
      <c r="V450" s="368" t="s">
        <v>131</v>
      </c>
      <c r="W450" s="368"/>
      <c r="X450" s="368" t="s">
        <v>131</v>
      </c>
      <c r="Y450" s="340"/>
      <c r="Z450" s="293" t="s">
        <v>175</v>
      </c>
    </row>
    <row r="451" spans="1:26" s="147" customFormat="1" ht="21.75" customHeight="1" x14ac:dyDescent="0.2">
      <c r="A451" s="296"/>
      <c r="B451" s="404"/>
      <c r="C451" s="405"/>
      <c r="D451" s="406"/>
      <c r="E451" s="406"/>
      <c r="F451" s="406"/>
      <c r="G451" s="406"/>
      <c r="H451" s="406"/>
      <c r="I451" s="406"/>
      <c r="J451" s="406"/>
      <c r="K451" s="407"/>
      <c r="L451" s="407"/>
      <c r="M451" s="459"/>
      <c r="N451" s="407"/>
      <c r="O451" s="376">
        <v>9</v>
      </c>
      <c r="P451" s="405" t="s">
        <v>2069</v>
      </c>
      <c r="Q451" s="831">
        <v>3</v>
      </c>
      <c r="R451" s="405"/>
      <c r="S451" s="406" t="s">
        <v>131</v>
      </c>
      <c r="T451" s="153"/>
      <c r="U451" s="153"/>
      <c r="V451" s="153"/>
      <c r="W451" s="153" t="s">
        <v>131</v>
      </c>
      <c r="X451" s="408"/>
      <c r="Y451" s="347" t="s">
        <v>2070</v>
      </c>
      <c r="Z451" s="741">
        <v>2</v>
      </c>
    </row>
    <row r="452" spans="1:26" s="147" customFormat="1" ht="21.75" customHeight="1" x14ac:dyDescent="0.2">
      <c r="A452" s="354"/>
      <c r="B452" s="355"/>
      <c r="C452" s="356"/>
      <c r="D452" s="357"/>
      <c r="E452" s="357"/>
      <c r="F452" s="357"/>
      <c r="G452" s="357"/>
      <c r="H452" s="357"/>
      <c r="I452" s="357"/>
      <c r="J452" s="357"/>
      <c r="K452" s="358"/>
      <c r="L452" s="358"/>
      <c r="M452" s="456"/>
      <c r="N452" s="358"/>
      <c r="O452" s="357"/>
      <c r="P452" s="356"/>
      <c r="Q452" s="357"/>
      <c r="R452" s="356"/>
      <c r="S452" s="357"/>
      <c r="T452" s="581"/>
      <c r="U452" s="581"/>
      <c r="V452" s="581"/>
      <c r="W452" s="581"/>
      <c r="X452" s="268"/>
      <c r="Y452" s="361"/>
      <c r="Z452" s="268"/>
    </row>
    <row r="453" spans="1:26" s="147" customFormat="1" ht="27" customHeight="1" x14ac:dyDescent="0.2">
      <c r="A453" s="278" t="s">
        <v>2071</v>
      </c>
      <c r="B453" s="270" t="s">
        <v>134</v>
      </c>
      <c r="C453" s="283" t="s">
        <v>2072</v>
      </c>
      <c r="D453" s="352" t="s">
        <v>1584</v>
      </c>
      <c r="E453" s="454"/>
      <c r="F453" s="454"/>
      <c r="G453" s="454"/>
      <c r="H453" s="454"/>
      <c r="I453" s="454"/>
      <c r="J453" s="620" t="s">
        <v>1710</v>
      </c>
      <c r="K453" s="280"/>
      <c r="L453" s="280" t="s">
        <v>131</v>
      </c>
      <c r="M453" s="463" t="s">
        <v>1711</v>
      </c>
      <c r="N453" s="463" t="s">
        <v>1711</v>
      </c>
      <c r="O453" s="280"/>
      <c r="P453" s="283"/>
      <c r="Q453" s="279"/>
      <c r="R453" s="283"/>
      <c r="S453" s="279"/>
      <c r="T453" s="279"/>
      <c r="U453" s="279"/>
      <c r="V453" s="282"/>
      <c r="W453" s="282"/>
      <c r="X453" s="282"/>
      <c r="Y453" s="350"/>
      <c r="Z453" s="282"/>
    </row>
    <row r="454" spans="1:26" s="147" customFormat="1" ht="21.75" customHeight="1" x14ac:dyDescent="0.2">
      <c r="A454" s="634"/>
      <c r="B454" s="335"/>
      <c r="C454" s="286"/>
      <c r="D454" s="457"/>
      <c r="E454" s="298"/>
      <c r="F454" s="298"/>
      <c r="G454" s="298"/>
      <c r="H454" s="298"/>
      <c r="I454" s="298"/>
      <c r="J454" s="298"/>
      <c r="K454" s="299"/>
      <c r="L454" s="299"/>
      <c r="M454" s="460"/>
      <c r="N454" s="460"/>
      <c r="O454" s="376">
        <v>1</v>
      </c>
      <c r="P454" s="367" t="s">
        <v>2073</v>
      </c>
      <c r="Q454" s="376">
        <v>0</v>
      </c>
      <c r="R454" s="338"/>
      <c r="S454" s="338"/>
      <c r="T454" s="338"/>
      <c r="U454" s="338" t="s">
        <v>131</v>
      </c>
      <c r="V454" s="338"/>
      <c r="W454" s="338"/>
      <c r="X454" s="338"/>
      <c r="Y454" s="681"/>
      <c r="Z454" s="368" t="s">
        <v>204</v>
      </c>
    </row>
    <row r="455" spans="1:26" s="147" customFormat="1" ht="21.75" customHeight="1" x14ac:dyDescent="0.2">
      <c r="A455" s="634"/>
      <c r="B455" s="335"/>
      <c r="C455" s="286"/>
      <c r="D455" s="457"/>
      <c r="E455" s="298"/>
      <c r="F455" s="298"/>
      <c r="G455" s="298"/>
      <c r="H455" s="298"/>
      <c r="I455" s="298"/>
      <c r="J455" s="298"/>
      <c r="K455" s="299"/>
      <c r="L455" s="299"/>
      <c r="M455" s="460"/>
      <c r="N455" s="460"/>
      <c r="O455" s="376">
        <v>2</v>
      </c>
      <c r="P455" s="375" t="s">
        <v>2074</v>
      </c>
      <c r="Q455" s="338">
        <v>0</v>
      </c>
      <c r="R455" s="338"/>
      <c r="S455" s="338"/>
      <c r="T455" s="338"/>
      <c r="U455" s="338" t="s">
        <v>131</v>
      </c>
      <c r="V455" s="338"/>
      <c r="W455" s="338"/>
      <c r="X455" s="753"/>
      <c r="Y455" s="578"/>
      <c r="Z455" s="747">
        <v>2</v>
      </c>
    </row>
    <row r="456" spans="1:26" s="147" customFormat="1" ht="21.75" customHeight="1" x14ac:dyDescent="0.2">
      <c r="A456" s="634"/>
      <c r="B456" s="335"/>
      <c r="C456" s="286"/>
      <c r="D456" s="457"/>
      <c r="E456" s="298"/>
      <c r="F456" s="298"/>
      <c r="G456" s="298"/>
      <c r="H456" s="298"/>
      <c r="I456" s="298"/>
      <c r="J456" s="298"/>
      <c r="K456" s="299"/>
      <c r="L456" s="299"/>
      <c r="M456" s="460"/>
      <c r="N456" s="460"/>
      <c r="O456" s="376">
        <v>3</v>
      </c>
      <c r="P456" s="375" t="s">
        <v>2075</v>
      </c>
      <c r="Q456" s="338">
        <v>0</v>
      </c>
      <c r="R456" s="338"/>
      <c r="S456" s="338"/>
      <c r="T456" s="338"/>
      <c r="U456" s="338" t="s">
        <v>131</v>
      </c>
      <c r="V456" s="338"/>
      <c r="W456" s="338"/>
      <c r="X456" s="753"/>
      <c r="Y456" s="578"/>
      <c r="Z456" s="747">
        <v>2</v>
      </c>
    </row>
    <row r="457" spans="1:26" s="147" customFormat="1" ht="21.75" customHeight="1" x14ac:dyDescent="0.2">
      <c r="A457" s="634"/>
      <c r="B457" s="335"/>
      <c r="C457" s="286"/>
      <c r="D457" s="457"/>
      <c r="E457" s="298"/>
      <c r="F457" s="298"/>
      <c r="G457" s="298"/>
      <c r="H457" s="298"/>
      <c r="I457" s="298"/>
      <c r="J457" s="298"/>
      <c r="K457" s="299"/>
      <c r="L457" s="299"/>
      <c r="M457" s="460"/>
      <c r="N457" s="460"/>
      <c r="O457" s="376">
        <v>4</v>
      </c>
      <c r="P457" s="375" t="s">
        <v>2076</v>
      </c>
      <c r="Q457" s="338">
        <v>0</v>
      </c>
      <c r="R457" s="338"/>
      <c r="S457" s="338"/>
      <c r="T457" s="338"/>
      <c r="U457" s="338" t="s">
        <v>131</v>
      </c>
      <c r="V457" s="338" t="s">
        <v>131</v>
      </c>
      <c r="W457" s="338"/>
      <c r="X457" s="753"/>
      <c r="Y457" s="578"/>
      <c r="Z457" s="747">
        <v>2</v>
      </c>
    </row>
    <row r="458" spans="1:26" s="147" customFormat="1" ht="21.75" customHeight="1" x14ac:dyDescent="0.2">
      <c r="A458" s="634"/>
      <c r="B458" s="335"/>
      <c r="C458" s="286"/>
      <c r="D458" s="457"/>
      <c r="E458" s="298"/>
      <c r="F458" s="298"/>
      <c r="G458" s="298"/>
      <c r="H458" s="298"/>
      <c r="I458" s="298"/>
      <c r="J458" s="298"/>
      <c r="K458" s="299"/>
      <c r="L458" s="299"/>
      <c r="M458" s="460"/>
      <c r="N458" s="460"/>
      <c r="O458" s="376">
        <v>5</v>
      </c>
      <c r="P458" s="375" t="s">
        <v>2077</v>
      </c>
      <c r="Q458" s="338">
        <v>0</v>
      </c>
      <c r="R458" s="338"/>
      <c r="S458" s="338"/>
      <c r="T458" s="338"/>
      <c r="U458" s="338" t="s">
        <v>131</v>
      </c>
      <c r="V458" s="338"/>
      <c r="W458" s="338"/>
      <c r="X458" s="338"/>
      <c r="Y458" s="578"/>
      <c r="Z458" s="368" t="s">
        <v>204</v>
      </c>
    </row>
    <row r="459" spans="1:26" s="147" customFormat="1" ht="21.75" customHeight="1" x14ac:dyDescent="0.2">
      <c r="A459" s="638"/>
      <c r="B459" s="335"/>
      <c r="C459" s="286"/>
      <c r="D459" s="457"/>
      <c r="E459" s="298"/>
      <c r="F459" s="298"/>
      <c r="G459" s="298"/>
      <c r="H459" s="298"/>
      <c r="I459" s="298"/>
      <c r="J459" s="298"/>
      <c r="K459" s="299"/>
      <c r="L459" s="299"/>
      <c r="M459" s="460"/>
      <c r="N459" s="460"/>
      <c r="O459" s="376">
        <v>6</v>
      </c>
      <c r="P459" s="375" t="s">
        <v>2078</v>
      </c>
      <c r="Q459" s="338">
        <v>0</v>
      </c>
      <c r="R459" s="338"/>
      <c r="S459" s="338"/>
      <c r="T459" s="338"/>
      <c r="U459" s="338" t="s">
        <v>131</v>
      </c>
      <c r="V459" s="338"/>
      <c r="W459" s="338"/>
      <c r="X459" s="338"/>
      <c r="Y459" s="578"/>
      <c r="Z459" s="368" t="s">
        <v>204</v>
      </c>
    </row>
    <row r="460" spans="1:26" s="147" customFormat="1" ht="21.75" customHeight="1" x14ac:dyDescent="0.2">
      <c r="A460" s="296"/>
      <c r="B460" s="285"/>
      <c r="C460" s="286"/>
      <c r="D460" s="298"/>
      <c r="E460" s="298"/>
      <c r="F460" s="298"/>
      <c r="G460" s="298"/>
      <c r="H460" s="298"/>
      <c r="I460" s="298"/>
      <c r="J460" s="298"/>
      <c r="K460" s="299"/>
      <c r="L460" s="299"/>
      <c r="M460" s="300"/>
      <c r="N460" s="301"/>
      <c r="O460" s="376">
        <v>7</v>
      </c>
      <c r="P460" s="375" t="s">
        <v>2079</v>
      </c>
      <c r="Q460" s="338">
        <v>0</v>
      </c>
      <c r="R460" s="577"/>
      <c r="S460" s="753"/>
      <c r="T460" s="576"/>
      <c r="U460" s="338" t="s">
        <v>131</v>
      </c>
      <c r="V460" s="575"/>
      <c r="W460" s="576"/>
      <c r="X460" s="338"/>
      <c r="Y460" s="578"/>
      <c r="Z460" s="747">
        <v>2</v>
      </c>
    </row>
    <row r="461" spans="1:26" s="147" customFormat="1" ht="21.75" customHeight="1" x14ac:dyDescent="0.2">
      <c r="A461" s="296"/>
      <c r="B461" s="341"/>
      <c r="C461" s="342"/>
      <c r="D461" s="343"/>
      <c r="E461" s="343"/>
      <c r="F461" s="343"/>
      <c r="G461" s="343"/>
      <c r="H461" s="343"/>
      <c r="I461" s="343"/>
      <c r="J461" s="343"/>
      <c r="K461" s="344"/>
      <c r="L461" s="344"/>
      <c r="M461" s="345"/>
      <c r="N461" s="346"/>
      <c r="O461" s="344"/>
      <c r="P461" s="342"/>
      <c r="Q461" s="343"/>
      <c r="R461" s="342"/>
      <c r="S461" s="343"/>
      <c r="T461" s="153"/>
      <c r="U461" s="153"/>
      <c r="V461" s="153"/>
      <c r="W461" s="153"/>
      <c r="X461" s="274"/>
      <c r="Y461" s="351"/>
      <c r="Z461" s="274"/>
    </row>
    <row r="462" spans="1:26" s="147" customFormat="1" ht="34" customHeight="1" x14ac:dyDescent="0.2">
      <c r="A462" s="278" t="s">
        <v>2080</v>
      </c>
      <c r="B462" s="270" t="s">
        <v>134</v>
      </c>
      <c r="C462" s="283" t="s">
        <v>2081</v>
      </c>
      <c r="D462" s="352" t="s">
        <v>1584</v>
      </c>
      <c r="E462" s="454"/>
      <c r="F462" s="454"/>
      <c r="G462" s="454"/>
      <c r="H462" s="454"/>
      <c r="I462" s="454"/>
      <c r="J462" s="620" t="s">
        <v>1710</v>
      </c>
      <c r="K462" s="280"/>
      <c r="L462" s="280" t="s">
        <v>131</v>
      </c>
      <c r="M462" s="463" t="s">
        <v>1711</v>
      </c>
      <c r="N462" s="463" t="s">
        <v>1711</v>
      </c>
      <c r="O462" s="280"/>
      <c r="P462" s="283"/>
      <c r="Q462" s="279"/>
      <c r="R462" s="283"/>
      <c r="S462" s="279"/>
      <c r="T462" s="279"/>
      <c r="U462" s="279"/>
      <c r="V462" s="282"/>
      <c r="W462" s="282"/>
      <c r="X462" s="282"/>
      <c r="Y462" s="350"/>
      <c r="Z462" s="282"/>
    </row>
    <row r="463" spans="1:26" s="147" customFormat="1" ht="20.149999999999999" customHeight="1" x14ac:dyDescent="0.2">
      <c r="A463" s="634"/>
      <c r="B463" s="335"/>
      <c r="C463" s="286"/>
      <c r="D463" s="457"/>
      <c r="E463" s="298"/>
      <c r="F463" s="298"/>
      <c r="G463" s="298"/>
      <c r="H463" s="298"/>
      <c r="I463" s="298"/>
      <c r="J463" s="298"/>
      <c r="K463" s="299"/>
      <c r="L463" s="299"/>
      <c r="M463" s="460"/>
      <c r="N463" s="460"/>
      <c r="O463" s="376">
        <v>1</v>
      </c>
      <c r="P463" s="367" t="s">
        <v>2082</v>
      </c>
      <c r="Q463" s="376">
        <v>0</v>
      </c>
      <c r="R463" s="338"/>
      <c r="S463" s="338"/>
      <c r="T463" s="338"/>
      <c r="U463" s="338" t="s">
        <v>131</v>
      </c>
      <c r="V463" s="338"/>
      <c r="W463" s="338"/>
      <c r="X463" s="338"/>
      <c r="Y463" s="681"/>
      <c r="Z463" s="368" t="s">
        <v>204</v>
      </c>
    </row>
    <row r="464" spans="1:26" s="147" customFormat="1" ht="20.149999999999999" customHeight="1" x14ac:dyDescent="0.2">
      <c r="A464" s="634"/>
      <c r="B464" s="335"/>
      <c r="C464" s="286"/>
      <c r="D464" s="457"/>
      <c r="E464" s="298"/>
      <c r="F464" s="298"/>
      <c r="G464" s="298"/>
      <c r="H464" s="298"/>
      <c r="I464" s="298"/>
      <c r="J464" s="298"/>
      <c r="K464" s="299"/>
      <c r="L464" s="299"/>
      <c r="M464" s="460"/>
      <c r="N464" s="460"/>
      <c r="O464" s="376">
        <v>2</v>
      </c>
      <c r="P464" s="375" t="s">
        <v>2083</v>
      </c>
      <c r="Q464" s="338">
        <v>0</v>
      </c>
      <c r="R464" s="338"/>
      <c r="S464" s="338"/>
      <c r="T464" s="338"/>
      <c r="U464" s="338" t="s">
        <v>131</v>
      </c>
      <c r="V464" s="338"/>
      <c r="W464" s="338"/>
      <c r="X464" s="753"/>
      <c r="Y464" s="578"/>
      <c r="Z464" s="747">
        <v>2</v>
      </c>
    </row>
    <row r="465" spans="1:26" s="147" customFormat="1" ht="20.149999999999999" customHeight="1" x14ac:dyDescent="0.2">
      <c r="A465" s="634"/>
      <c r="B465" s="335"/>
      <c r="C465" s="286"/>
      <c r="D465" s="457"/>
      <c r="E465" s="298"/>
      <c r="F465" s="298"/>
      <c r="G465" s="298"/>
      <c r="H465" s="298"/>
      <c r="I465" s="298"/>
      <c r="J465" s="298"/>
      <c r="K465" s="299"/>
      <c r="L465" s="299"/>
      <c r="M465" s="460"/>
      <c r="N465" s="460"/>
      <c r="O465" s="376">
        <v>3</v>
      </c>
      <c r="P465" s="375" t="s">
        <v>2084</v>
      </c>
      <c r="Q465" s="338">
        <v>0</v>
      </c>
      <c r="R465" s="338"/>
      <c r="S465" s="338"/>
      <c r="T465" s="338"/>
      <c r="U465" s="338" t="s">
        <v>131</v>
      </c>
      <c r="V465" s="338"/>
      <c r="W465" s="338"/>
      <c r="X465" s="753"/>
      <c r="Y465" s="578"/>
      <c r="Z465" s="747">
        <v>2</v>
      </c>
    </row>
    <row r="466" spans="1:26" s="147" customFormat="1" ht="20.149999999999999" customHeight="1" x14ac:dyDescent="0.2">
      <c r="A466" s="634"/>
      <c r="B466" s="335"/>
      <c r="C466" s="286"/>
      <c r="D466" s="457"/>
      <c r="E466" s="298"/>
      <c r="F466" s="298"/>
      <c r="G466" s="298"/>
      <c r="H466" s="298"/>
      <c r="I466" s="298"/>
      <c r="J466" s="298"/>
      <c r="K466" s="299"/>
      <c r="L466" s="299"/>
      <c r="M466" s="460"/>
      <c r="N466" s="460"/>
      <c r="O466" s="376">
        <v>4</v>
      </c>
      <c r="P466" s="375" t="s">
        <v>2085</v>
      </c>
      <c r="Q466" s="338">
        <v>0</v>
      </c>
      <c r="R466" s="338"/>
      <c r="S466" s="338"/>
      <c r="T466" s="338"/>
      <c r="U466" s="338" t="s">
        <v>131</v>
      </c>
      <c r="V466" s="338" t="s">
        <v>131</v>
      </c>
      <c r="W466" s="338"/>
      <c r="X466" s="753"/>
      <c r="Y466" s="578"/>
      <c r="Z466" s="747">
        <v>2</v>
      </c>
    </row>
    <row r="467" spans="1:26" s="147" customFormat="1" ht="20.149999999999999" customHeight="1" x14ac:dyDescent="0.2">
      <c r="A467" s="634"/>
      <c r="B467" s="335"/>
      <c r="C467" s="286"/>
      <c r="D467" s="457"/>
      <c r="E467" s="298"/>
      <c r="F467" s="298"/>
      <c r="G467" s="298"/>
      <c r="H467" s="298"/>
      <c r="I467" s="298"/>
      <c r="J467" s="298"/>
      <c r="K467" s="299"/>
      <c r="L467" s="299"/>
      <c r="M467" s="460"/>
      <c r="N467" s="460"/>
      <c r="O467" s="376">
        <v>5</v>
      </c>
      <c r="P467" s="375" t="s">
        <v>2086</v>
      </c>
      <c r="Q467" s="338">
        <v>0</v>
      </c>
      <c r="R467" s="338"/>
      <c r="S467" s="338"/>
      <c r="T467" s="338"/>
      <c r="U467" s="338" t="s">
        <v>131</v>
      </c>
      <c r="V467" s="338"/>
      <c r="W467" s="338"/>
      <c r="X467" s="338"/>
      <c r="Y467" s="578"/>
      <c r="Z467" s="368" t="s">
        <v>204</v>
      </c>
    </row>
    <row r="468" spans="1:26" s="147" customFormat="1" ht="20.149999999999999" customHeight="1" x14ac:dyDescent="0.2">
      <c r="A468" s="628"/>
      <c r="B468" s="335"/>
      <c r="C468" s="286"/>
      <c r="D468" s="457"/>
      <c r="E468" s="298"/>
      <c r="F468" s="298"/>
      <c r="G468" s="298"/>
      <c r="H468" s="298"/>
      <c r="I468" s="298"/>
      <c r="J468" s="298"/>
      <c r="K468" s="299"/>
      <c r="L468" s="299"/>
      <c r="M468" s="460"/>
      <c r="N468" s="460"/>
      <c r="O468" s="376">
        <v>6</v>
      </c>
      <c r="P468" s="375" t="s">
        <v>2087</v>
      </c>
      <c r="Q468" s="338">
        <v>0</v>
      </c>
      <c r="R468" s="338"/>
      <c r="S468" s="338"/>
      <c r="T468" s="338"/>
      <c r="U468" s="338" t="s">
        <v>131</v>
      </c>
      <c r="V468" s="338"/>
      <c r="W468" s="338"/>
      <c r="X468" s="338"/>
      <c r="Y468" s="578"/>
      <c r="Z468" s="368" t="s">
        <v>204</v>
      </c>
    </row>
    <row r="469" spans="1:26" s="147" customFormat="1" ht="21.75" customHeight="1" x14ac:dyDescent="0.2">
      <c r="A469" s="296"/>
      <c r="B469" s="285"/>
      <c r="C469" s="286"/>
      <c r="D469" s="298"/>
      <c r="E469" s="298"/>
      <c r="F469" s="298"/>
      <c r="G469" s="298"/>
      <c r="H469" s="298"/>
      <c r="I469" s="298"/>
      <c r="J469" s="298"/>
      <c r="K469" s="299"/>
      <c r="L469" s="299"/>
      <c r="M469" s="300"/>
      <c r="N469" s="301"/>
      <c r="O469" s="376">
        <v>7</v>
      </c>
      <c r="P469" s="375" t="s">
        <v>2088</v>
      </c>
      <c r="Q469" s="338">
        <v>0</v>
      </c>
      <c r="R469" s="577"/>
      <c r="S469" s="753"/>
      <c r="T469" s="576"/>
      <c r="U469" s="338" t="s">
        <v>131</v>
      </c>
      <c r="V469" s="575"/>
      <c r="W469" s="576"/>
      <c r="X469" s="338"/>
      <c r="Y469" s="578"/>
      <c r="Z469" s="747">
        <v>2</v>
      </c>
    </row>
    <row r="470" spans="1:26" s="147" customFormat="1" ht="21.75" customHeight="1" x14ac:dyDescent="0.2">
      <c r="A470" s="296"/>
      <c r="B470" s="341"/>
      <c r="C470" s="342"/>
      <c r="D470" s="343"/>
      <c r="E470" s="343"/>
      <c r="F470" s="343"/>
      <c r="G470" s="343"/>
      <c r="H470" s="343"/>
      <c r="I470" s="343"/>
      <c r="J470" s="343"/>
      <c r="K470" s="344"/>
      <c r="L470" s="344"/>
      <c r="M470" s="345"/>
      <c r="N470" s="346"/>
      <c r="O470" s="344"/>
      <c r="P470" s="342"/>
      <c r="Q470" s="343"/>
      <c r="R470" s="342"/>
      <c r="S470" s="343"/>
      <c r="T470" s="153"/>
      <c r="U470" s="153"/>
      <c r="V470" s="153"/>
      <c r="W470" s="153"/>
      <c r="X470" s="274"/>
      <c r="Y470" s="351"/>
      <c r="Z470" s="274"/>
    </row>
    <row r="471" spans="1:26" s="147" customFormat="1" ht="34.5" customHeight="1" x14ac:dyDescent="0.2">
      <c r="A471" s="278" t="s">
        <v>2089</v>
      </c>
      <c r="B471" s="270" t="s">
        <v>290</v>
      </c>
      <c r="C471" s="283" t="s">
        <v>2090</v>
      </c>
      <c r="D471" s="352" t="s">
        <v>1480</v>
      </c>
      <c r="E471" s="374">
        <v>0</v>
      </c>
      <c r="F471" s="374">
        <v>100</v>
      </c>
      <c r="G471" s="374" t="s">
        <v>44</v>
      </c>
      <c r="H471" s="374">
        <v>100</v>
      </c>
      <c r="I471" s="374">
        <v>100</v>
      </c>
      <c r="J471" s="373">
        <v>581</v>
      </c>
      <c r="K471" s="280" t="s">
        <v>131</v>
      </c>
      <c r="L471" s="280" t="s">
        <v>131</v>
      </c>
      <c r="M471" s="281" t="s">
        <v>1644</v>
      </c>
      <c r="N471" s="281" t="s">
        <v>1791</v>
      </c>
      <c r="O471" s="280"/>
      <c r="P471" s="283"/>
      <c r="Q471" s="279"/>
      <c r="R471" s="283"/>
      <c r="S471" s="279"/>
      <c r="T471" s="279"/>
      <c r="U471" s="279"/>
      <c r="V471" s="282"/>
      <c r="W471" s="282"/>
      <c r="X471" s="282"/>
      <c r="Y471" s="350"/>
      <c r="Z471" s="282"/>
    </row>
    <row r="472" spans="1:26" s="147" customFormat="1" ht="15.75" customHeight="1" x14ac:dyDescent="0.2">
      <c r="A472" s="296"/>
      <c r="B472" s="285"/>
      <c r="C472" s="286"/>
      <c r="D472" s="298"/>
      <c r="E472" s="298"/>
      <c r="F472" s="298"/>
      <c r="G472" s="298"/>
      <c r="H472" s="298"/>
      <c r="I472" s="298"/>
      <c r="J472" s="298"/>
      <c r="K472" s="299"/>
      <c r="L472" s="299"/>
      <c r="M472" s="337" t="s">
        <v>1688</v>
      </c>
      <c r="N472" s="299" t="s">
        <v>1689</v>
      </c>
      <c r="O472" s="417">
        <v>1</v>
      </c>
      <c r="P472" s="367" t="s">
        <v>2091</v>
      </c>
      <c r="Q472" s="376">
        <v>0</v>
      </c>
      <c r="R472" s="338"/>
      <c r="S472" s="338"/>
      <c r="T472" s="338"/>
      <c r="U472" s="338" t="s">
        <v>131</v>
      </c>
      <c r="V472" s="338"/>
      <c r="W472" s="338"/>
      <c r="X472" s="338"/>
      <c r="Y472" s="681"/>
      <c r="Z472" s="368" t="s">
        <v>204</v>
      </c>
    </row>
    <row r="473" spans="1:26" s="147" customFormat="1" ht="15.75" customHeight="1" x14ac:dyDescent="0.2">
      <c r="A473" s="296"/>
      <c r="B473" s="285"/>
      <c r="C473" s="286"/>
      <c r="D473" s="298"/>
      <c r="E473" s="298"/>
      <c r="F473" s="298"/>
      <c r="G473" s="298"/>
      <c r="H473" s="298"/>
      <c r="I473" s="298"/>
      <c r="J473" s="298"/>
      <c r="K473" s="299"/>
      <c r="L473" s="299"/>
      <c r="M473" s="337"/>
      <c r="N473" s="299"/>
      <c r="O473" s="376">
        <v>2</v>
      </c>
      <c r="P473" s="375" t="s">
        <v>2092</v>
      </c>
      <c r="Q473" s="338">
        <v>0</v>
      </c>
      <c r="R473" s="338"/>
      <c r="S473" s="338"/>
      <c r="T473" s="338"/>
      <c r="U473" s="338" t="s">
        <v>131</v>
      </c>
      <c r="V473" s="338"/>
      <c r="W473" s="338"/>
      <c r="X473" s="753"/>
      <c r="Y473" s="578"/>
      <c r="Z473" s="747">
        <v>2</v>
      </c>
    </row>
    <row r="474" spans="1:26" s="147" customFormat="1" ht="15.75" customHeight="1" x14ac:dyDescent="0.2">
      <c r="A474" s="296"/>
      <c r="B474" s="285"/>
      <c r="C474" s="286"/>
      <c r="D474" s="298"/>
      <c r="E474" s="298"/>
      <c r="F474" s="298"/>
      <c r="G474" s="298"/>
      <c r="H474" s="298"/>
      <c r="I474" s="298"/>
      <c r="J474" s="298"/>
      <c r="K474" s="299"/>
      <c r="L474" s="299"/>
      <c r="M474" s="337"/>
      <c r="N474" s="299"/>
      <c r="O474" s="376">
        <v>3</v>
      </c>
      <c r="P474" s="375" t="s">
        <v>2093</v>
      </c>
      <c r="Q474" s="338">
        <v>0</v>
      </c>
      <c r="R474" s="338"/>
      <c r="S474" s="338"/>
      <c r="T474" s="338"/>
      <c r="U474" s="338" t="s">
        <v>131</v>
      </c>
      <c r="V474" s="338"/>
      <c r="W474" s="338"/>
      <c r="X474" s="753"/>
      <c r="Y474" s="578"/>
      <c r="Z474" s="747">
        <v>2</v>
      </c>
    </row>
    <row r="475" spans="1:26" s="147" customFormat="1" ht="15.75" customHeight="1" x14ac:dyDescent="0.2">
      <c r="A475" s="296"/>
      <c r="B475" s="285"/>
      <c r="C475" s="286"/>
      <c r="D475" s="298"/>
      <c r="E475" s="298"/>
      <c r="F475" s="298"/>
      <c r="G475" s="298"/>
      <c r="H475" s="298"/>
      <c r="I475" s="298"/>
      <c r="J475" s="298"/>
      <c r="K475" s="299"/>
      <c r="L475" s="299"/>
      <c r="M475" s="337"/>
      <c r="N475" s="299"/>
      <c r="O475" s="376">
        <v>4</v>
      </c>
      <c r="P475" s="375" t="s">
        <v>2094</v>
      </c>
      <c r="Q475" s="338">
        <v>0</v>
      </c>
      <c r="R475" s="338"/>
      <c r="S475" s="338"/>
      <c r="T475" s="338"/>
      <c r="U475" s="338" t="s">
        <v>131</v>
      </c>
      <c r="V475" s="338" t="s">
        <v>131</v>
      </c>
      <c r="W475" s="338"/>
      <c r="X475" s="753"/>
      <c r="Y475" s="578"/>
      <c r="Z475" s="747">
        <v>2</v>
      </c>
    </row>
    <row r="476" spans="1:26" s="147" customFormat="1" ht="15.75" customHeight="1" x14ac:dyDescent="0.2">
      <c r="A476" s="296"/>
      <c r="B476" s="285"/>
      <c r="C476" s="286"/>
      <c r="D476" s="298"/>
      <c r="E476" s="298"/>
      <c r="F476" s="298"/>
      <c r="G476" s="298"/>
      <c r="H476" s="298"/>
      <c r="I476" s="298"/>
      <c r="J476" s="298"/>
      <c r="K476" s="299"/>
      <c r="L476" s="299"/>
      <c r="M476" s="337"/>
      <c r="N476" s="299"/>
      <c r="O476" s="376">
        <v>5</v>
      </c>
      <c r="P476" s="375" t="s">
        <v>2095</v>
      </c>
      <c r="Q476" s="338">
        <v>0</v>
      </c>
      <c r="R476" s="338"/>
      <c r="S476" s="338"/>
      <c r="T476" s="338"/>
      <c r="U476" s="338" t="s">
        <v>131</v>
      </c>
      <c r="V476" s="338"/>
      <c r="W476" s="338"/>
      <c r="X476" s="338"/>
      <c r="Y476" s="578"/>
      <c r="Z476" s="368" t="s">
        <v>204</v>
      </c>
    </row>
    <row r="477" spans="1:26" s="147" customFormat="1" ht="15.75" customHeight="1" x14ac:dyDescent="0.2">
      <c r="A477" s="296"/>
      <c r="B477" s="285"/>
      <c r="C477" s="286"/>
      <c r="D477" s="298"/>
      <c r="E477" s="298"/>
      <c r="F477" s="298"/>
      <c r="G477" s="298"/>
      <c r="H477" s="298"/>
      <c r="I477" s="298"/>
      <c r="J477" s="298"/>
      <c r="K477" s="299"/>
      <c r="L477" s="299"/>
      <c r="M477" s="337"/>
      <c r="N477" s="299"/>
      <c r="O477" s="376">
        <v>6</v>
      </c>
      <c r="P477" s="375" t="s">
        <v>2096</v>
      </c>
      <c r="Q477" s="338">
        <v>0</v>
      </c>
      <c r="R477" s="338"/>
      <c r="S477" s="338"/>
      <c r="T477" s="338"/>
      <c r="U477" s="338" t="s">
        <v>131</v>
      </c>
      <c r="V477" s="338"/>
      <c r="W477" s="338"/>
      <c r="X477" s="338"/>
      <c r="Y477" s="578"/>
      <c r="Z477" s="368" t="s">
        <v>204</v>
      </c>
    </row>
    <row r="478" spans="1:26" s="147" customFormat="1" ht="15.75" customHeight="1" x14ac:dyDescent="0.2">
      <c r="A478" s="296"/>
      <c r="B478" s="285"/>
      <c r="C478" s="286"/>
      <c r="D478" s="298"/>
      <c r="E478" s="298"/>
      <c r="F478" s="298"/>
      <c r="G478" s="298"/>
      <c r="H478" s="298"/>
      <c r="I478" s="298"/>
      <c r="J478" s="298"/>
      <c r="K478" s="299"/>
      <c r="L478" s="299"/>
      <c r="M478" s="300"/>
      <c r="N478" s="301"/>
      <c r="O478" s="376">
        <v>7</v>
      </c>
      <c r="P478" s="375" t="s">
        <v>2097</v>
      </c>
      <c r="Q478" s="338">
        <v>0</v>
      </c>
      <c r="R478" s="577"/>
      <c r="S478" s="753"/>
      <c r="T478" s="576"/>
      <c r="U478" s="338" t="s">
        <v>131</v>
      </c>
      <c r="V478" s="575"/>
      <c r="W478" s="576"/>
      <c r="X478" s="338"/>
      <c r="Y478" s="578"/>
      <c r="Z478" s="747">
        <v>2</v>
      </c>
    </row>
    <row r="479" spans="1:26" s="147" customFormat="1" ht="37.5" x14ac:dyDescent="0.2">
      <c r="A479" s="294"/>
      <c r="B479" s="295"/>
      <c r="C479" s="292"/>
      <c r="D479" s="288"/>
      <c r="E479" s="288"/>
      <c r="F479" s="288"/>
      <c r="G479" s="288"/>
      <c r="H479" s="288"/>
      <c r="I479" s="288"/>
      <c r="J479" s="288"/>
      <c r="K479" s="289"/>
      <c r="L479" s="289"/>
      <c r="M479" s="290"/>
      <c r="N479" s="291"/>
      <c r="O479" s="299">
        <v>8</v>
      </c>
      <c r="P479" s="292" t="s">
        <v>1969</v>
      </c>
      <c r="Q479" s="288">
        <v>0</v>
      </c>
      <c r="R479" s="292"/>
      <c r="S479" s="338" t="s">
        <v>131</v>
      </c>
      <c r="T479" s="338"/>
      <c r="U479" s="338"/>
      <c r="V479" s="338"/>
      <c r="W479" s="338" t="s">
        <v>131</v>
      </c>
      <c r="X479" s="293"/>
      <c r="Y479" s="340" t="s">
        <v>2098</v>
      </c>
      <c r="Z479" s="293">
        <v>0</v>
      </c>
    </row>
    <row r="480" spans="1:26" s="147" customFormat="1" ht="15.75" customHeight="1" x14ac:dyDescent="0.2">
      <c r="A480" s="296"/>
      <c r="B480" s="285"/>
      <c r="C480" s="286"/>
      <c r="D480" s="298"/>
      <c r="E480" s="298"/>
      <c r="F480" s="298"/>
      <c r="G480" s="298"/>
      <c r="H480" s="298"/>
      <c r="I480" s="298"/>
      <c r="J480" s="298"/>
      <c r="K480" s="299"/>
      <c r="L480" s="299"/>
      <c r="M480" s="300"/>
      <c r="N480" s="301"/>
      <c r="O480" s="417">
        <v>9</v>
      </c>
      <c r="P480" s="286" t="s">
        <v>2099</v>
      </c>
      <c r="Q480" s="830">
        <v>3</v>
      </c>
      <c r="R480" s="286"/>
      <c r="S480" s="298"/>
      <c r="T480" s="298" t="s">
        <v>131</v>
      </c>
      <c r="U480" s="298"/>
      <c r="V480" s="273"/>
      <c r="W480" s="273" t="s">
        <v>131</v>
      </c>
      <c r="X480" s="273"/>
      <c r="Y480" s="339" t="s">
        <v>2100</v>
      </c>
      <c r="Z480" s="741">
        <v>2</v>
      </c>
    </row>
    <row r="481" spans="1:26" s="147" customFormat="1" ht="15.75" customHeight="1" x14ac:dyDescent="0.2">
      <c r="A481" s="296"/>
      <c r="B481" s="285"/>
      <c r="C481" s="286"/>
      <c r="D481" s="298"/>
      <c r="E481" s="298"/>
      <c r="F481" s="298"/>
      <c r="G481" s="298"/>
      <c r="H481" s="298"/>
      <c r="I481" s="298"/>
      <c r="J481" s="298"/>
      <c r="K481" s="299"/>
      <c r="L481" s="299"/>
      <c r="M481" s="300"/>
      <c r="N481" s="301"/>
      <c r="O481" s="376">
        <v>10</v>
      </c>
      <c r="P481" s="286" t="s">
        <v>1992</v>
      </c>
      <c r="Q481" s="298">
        <v>5</v>
      </c>
      <c r="R481" s="286"/>
      <c r="S481" s="298"/>
      <c r="T481" s="298" t="s">
        <v>131</v>
      </c>
      <c r="U481" s="298"/>
      <c r="V481" s="273"/>
      <c r="W481" s="273" t="s">
        <v>131</v>
      </c>
      <c r="X481" s="273"/>
      <c r="Y481" s="339" t="s">
        <v>1993</v>
      </c>
      <c r="Z481" s="273" t="s">
        <v>175</v>
      </c>
    </row>
    <row r="482" spans="1:26" s="147" customFormat="1" ht="15.75" customHeight="1" x14ac:dyDescent="0.2">
      <c r="A482" s="296"/>
      <c r="B482" s="285"/>
      <c r="C482" s="286"/>
      <c r="D482" s="298"/>
      <c r="E482" s="298"/>
      <c r="F482" s="298"/>
      <c r="G482" s="298"/>
      <c r="H482" s="298"/>
      <c r="I482" s="298"/>
      <c r="J482" s="298"/>
      <c r="K482" s="299"/>
      <c r="L482" s="299"/>
      <c r="M482" s="300"/>
      <c r="N482" s="301"/>
      <c r="O482" s="376">
        <v>11</v>
      </c>
      <c r="P482" s="286" t="s">
        <v>2101</v>
      </c>
      <c r="Q482" s="830">
        <v>3</v>
      </c>
      <c r="R482" s="286"/>
      <c r="S482" s="298"/>
      <c r="T482" s="338" t="s">
        <v>131</v>
      </c>
      <c r="U482" s="338"/>
      <c r="V482" s="368"/>
      <c r="W482" s="273" t="s">
        <v>131</v>
      </c>
      <c r="X482" s="273"/>
      <c r="Y482" s="339" t="s">
        <v>1975</v>
      </c>
      <c r="Z482" s="741">
        <v>2</v>
      </c>
    </row>
    <row r="483" spans="1:26" s="147" customFormat="1" ht="15.75" customHeight="1" x14ac:dyDescent="0.2">
      <c r="A483" s="296"/>
      <c r="B483" s="285"/>
      <c r="C483" s="286"/>
      <c r="D483" s="298"/>
      <c r="E483" s="298"/>
      <c r="F483" s="298"/>
      <c r="G483" s="298"/>
      <c r="H483" s="298"/>
      <c r="I483" s="298"/>
      <c r="J483" s="298"/>
      <c r="K483" s="299"/>
      <c r="L483" s="299"/>
      <c r="M483" s="300"/>
      <c r="N483" s="301"/>
      <c r="O483" s="376">
        <v>12</v>
      </c>
      <c r="P483" s="286" t="s">
        <v>2102</v>
      </c>
      <c r="Q483" s="830">
        <v>3</v>
      </c>
      <c r="R483" s="286"/>
      <c r="S483" s="298"/>
      <c r="T483" s="338" t="s">
        <v>131</v>
      </c>
      <c r="U483" s="338"/>
      <c r="V483" s="368"/>
      <c r="W483" s="273" t="s">
        <v>131</v>
      </c>
      <c r="X483" s="273"/>
      <c r="Y483" s="339" t="s">
        <v>1975</v>
      </c>
      <c r="Z483" s="741">
        <v>2</v>
      </c>
    </row>
    <row r="484" spans="1:26" s="147" customFormat="1" ht="15.75" customHeight="1" x14ac:dyDescent="0.2">
      <c r="A484" s="296"/>
      <c r="B484" s="285"/>
      <c r="C484" s="286"/>
      <c r="D484" s="298"/>
      <c r="E484" s="298"/>
      <c r="F484" s="298"/>
      <c r="G484" s="298"/>
      <c r="H484" s="298"/>
      <c r="I484" s="298"/>
      <c r="J484" s="298"/>
      <c r="K484" s="299"/>
      <c r="L484" s="299"/>
      <c r="M484" s="300"/>
      <c r="N484" s="301"/>
      <c r="O484" s="376">
        <v>13</v>
      </c>
      <c r="P484" s="286" t="s">
        <v>2103</v>
      </c>
      <c r="Q484" s="830">
        <v>3</v>
      </c>
      <c r="R484" s="286"/>
      <c r="S484" s="298"/>
      <c r="T484" s="338" t="s">
        <v>131</v>
      </c>
      <c r="U484" s="338"/>
      <c r="V484" s="368"/>
      <c r="W484" s="273" t="s">
        <v>131</v>
      </c>
      <c r="X484" s="273"/>
      <c r="Y484" s="339" t="s">
        <v>1975</v>
      </c>
      <c r="Z484" s="741">
        <v>2</v>
      </c>
    </row>
    <row r="485" spans="1:26" s="147" customFormat="1" ht="15.75" customHeight="1" x14ac:dyDescent="0.2">
      <c r="A485" s="296"/>
      <c r="B485" s="285"/>
      <c r="C485" s="286"/>
      <c r="D485" s="298"/>
      <c r="E485" s="298"/>
      <c r="F485" s="298"/>
      <c r="G485" s="298"/>
      <c r="H485" s="298"/>
      <c r="I485" s="298"/>
      <c r="J485" s="298"/>
      <c r="K485" s="299"/>
      <c r="L485" s="299"/>
      <c r="M485" s="300"/>
      <c r="N485" s="301"/>
      <c r="O485" s="376">
        <v>14</v>
      </c>
      <c r="P485" s="286" t="s">
        <v>2104</v>
      </c>
      <c r="Q485" s="830">
        <v>3</v>
      </c>
      <c r="R485" s="286"/>
      <c r="S485" s="298"/>
      <c r="T485" s="338" t="s">
        <v>131</v>
      </c>
      <c r="U485" s="338"/>
      <c r="V485" s="368"/>
      <c r="W485" s="273" t="s">
        <v>131</v>
      </c>
      <c r="X485" s="273"/>
      <c r="Y485" s="339" t="s">
        <v>1975</v>
      </c>
      <c r="Z485" s="741">
        <v>2</v>
      </c>
    </row>
    <row r="486" spans="1:26" s="147" customFormat="1" ht="15.75" customHeight="1" x14ac:dyDescent="0.2">
      <c r="A486" s="296"/>
      <c r="B486" s="285"/>
      <c r="C486" s="286"/>
      <c r="D486" s="298"/>
      <c r="E486" s="298"/>
      <c r="F486" s="298"/>
      <c r="G486" s="298"/>
      <c r="H486" s="298"/>
      <c r="I486" s="298"/>
      <c r="J486" s="298"/>
      <c r="K486" s="299"/>
      <c r="L486" s="299"/>
      <c r="M486" s="300"/>
      <c r="N486" s="301"/>
      <c r="O486" s="376">
        <v>15</v>
      </c>
      <c r="P486" s="286" t="s">
        <v>2105</v>
      </c>
      <c r="Q486" s="830">
        <v>3</v>
      </c>
      <c r="R486" s="286"/>
      <c r="S486" s="298"/>
      <c r="T486" s="338" t="s">
        <v>131</v>
      </c>
      <c r="U486" s="376"/>
      <c r="V486" s="377"/>
      <c r="W486" s="273" t="s">
        <v>131</v>
      </c>
      <c r="X486" s="273"/>
      <c r="Y486" s="339" t="s">
        <v>1975</v>
      </c>
      <c r="Z486" s="741">
        <v>2</v>
      </c>
    </row>
    <row r="487" spans="1:26" s="147" customFormat="1" ht="15.75" customHeight="1" x14ac:dyDescent="0.2">
      <c r="A487" s="294"/>
      <c r="B487" s="295"/>
      <c r="C487" s="292"/>
      <c r="D487" s="288"/>
      <c r="E487" s="288"/>
      <c r="F487" s="288"/>
      <c r="G487" s="288"/>
      <c r="H487" s="288"/>
      <c r="I487" s="288"/>
      <c r="J487" s="288"/>
      <c r="K487" s="289"/>
      <c r="L487" s="289"/>
      <c r="M487" s="290"/>
      <c r="N487" s="291"/>
      <c r="O487" s="289">
        <v>16</v>
      </c>
      <c r="P487" s="292" t="s">
        <v>2106</v>
      </c>
      <c r="Q487" s="794">
        <v>3</v>
      </c>
      <c r="R487" s="292"/>
      <c r="S487" s="288"/>
      <c r="T487" s="338" t="s">
        <v>131</v>
      </c>
      <c r="U487" s="338"/>
      <c r="V487" s="368"/>
      <c r="W487" s="293" t="s">
        <v>131</v>
      </c>
      <c r="X487" s="293"/>
      <c r="Y487" s="340" t="s">
        <v>1975</v>
      </c>
      <c r="Z487" s="747">
        <v>2</v>
      </c>
    </row>
    <row r="488" spans="1:26" s="147" customFormat="1" ht="15.75" customHeight="1" x14ac:dyDescent="0.2">
      <c r="A488" s="294"/>
      <c r="B488" s="295"/>
      <c r="C488" s="292"/>
      <c r="D488" s="288"/>
      <c r="E488" s="288"/>
      <c r="F488" s="288"/>
      <c r="G488" s="288"/>
      <c r="H488" s="288"/>
      <c r="I488" s="288"/>
      <c r="J488" s="288"/>
      <c r="K488" s="289"/>
      <c r="L488" s="289"/>
      <c r="M488" s="290"/>
      <c r="N488" s="291"/>
      <c r="O488" s="424">
        <v>17</v>
      </c>
      <c r="P488" s="292" t="s">
        <v>2107</v>
      </c>
      <c r="Q488" s="794">
        <v>3</v>
      </c>
      <c r="R488" s="292"/>
      <c r="S488" s="288"/>
      <c r="T488" s="338" t="s">
        <v>131</v>
      </c>
      <c r="U488" s="338"/>
      <c r="V488" s="368"/>
      <c r="W488" s="293" t="s">
        <v>131</v>
      </c>
      <c r="X488" s="293"/>
      <c r="Y488" s="340" t="s">
        <v>1975</v>
      </c>
      <c r="Z488" s="747">
        <v>2</v>
      </c>
    </row>
    <row r="489" spans="1:26" s="147" customFormat="1" ht="15.75" customHeight="1" x14ac:dyDescent="0.2">
      <c r="A489" s="296"/>
      <c r="B489" s="285"/>
      <c r="C489" s="286"/>
      <c r="D489" s="298"/>
      <c r="E489" s="298"/>
      <c r="F489" s="298"/>
      <c r="G489" s="298"/>
      <c r="H489" s="298"/>
      <c r="I489" s="298"/>
      <c r="J489" s="298"/>
      <c r="K489" s="299"/>
      <c r="L489" s="299"/>
      <c r="M489" s="300"/>
      <c r="N489" s="301"/>
      <c r="O489" s="376">
        <v>18</v>
      </c>
      <c r="P489" s="286" t="s">
        <v>2108</v>
      </c>
      <c r="Q489" s="830">
        <v>3</v>
      </c>
      <c r="R489" s="286"/>
      <c r="S489" s="298"/>
      <c r="T489" s="338" t="s">
        <v>131</v>
      </c>
      <c r="U489" s="376"/>
      <c r="V489" s="377"/>
      <c r="W489" s="273" t="s">
        <v>131</v>
      </c>
      <c r="X489" s="273"/>
      <c r="Y489" s="339" t="s">
        <v>1975</v>
      </c>
      <c r="Z489" s="741">
        <v>2</v>
      </c>
    </row>
    <row r="490" spans="1:26" s="147" customFormat="1" ht="15.75" customHeight="1" x14ac:dyDescent="0.2">
      <c r="A490" s="296"/>
      <c r="B490" s="285"/>
      <c r="C490" s="286"/>
      <c r="D490" s="298"/>
      <c r="E490" s="298"/>
      <c r="F490" s="298"/>
      <c r="G490" s="298"/>
      <c r="H490" s="298"/>
      <c r="I490" s="298"/>
      <c r="J490" s="298"/>
      <c r="K490" s="299"/>
      <c r="L490" s="299"/>
      <c r="M490" s="300"/>
      <c r="N490" s="301"/>
      <c r="O490" s="376">
        <v>19</v>
      </c>
      <c r="P490" s="286" t="s">
        <v>2109</v>
      </c>
      <c r="Q490" s="830">
        <v>3</v>
      </c>
      <c r="R490" s="286"/>
      <c r="S490" s="298"/>
      <c r="T490" s="298"/>
      <c r="U490" s="298" t="s">
        <v>131</v>
      </c>
      <c r="V490" s="273"/>
      <c r="W490" s="273"/>
      <c r="X490" s="273" t="s">
        <v>131</v>
      </c>
      <c r="Y490" s="339"/>
      <c r="Z490" s="741">
        <v>2</v>
      </c>
    </row>
    <row r="491" spans="1:26" s="147" customFormat="1" ht="15.75" customHeight="1" x14ac:dyDescent="0.2">
      <c r="A491" s="296"/>
      <c r="B491" s="285"/>
      <c r="C491" s="286"/>
      <c r="D491" s="298"/>
      <c r="E491" s="298"/>
      <c r="F491" s="298"/>
      <c r="G491" s="298"/>
      <c r="H491" s="298"/>
      <c r="I491" s="298"/>
      <c r="J491" s="298"/>
      <c r="K491" s="299"/>
      <c r="L491" s="299"/>
      <c r="M491" s="300"/>
      <c r="N491" s="301"/>
      <c r="O491" s="376">
        <v>20</v>
      </c>
      <c r="P491" s="286" t="s">
        <v>2110</v>
      </c>
      <c r="Q491" s="338">
        <v>0</v>
      </c>
      <c r="R491" s="367"/>
      <c r="S491" s="338"/>
      <c r="T491" s="338"/>
      <c r="U491" s="338" t="s">
        <v>131</v>
      </c>
      <c r="V491" s="368" t="s">
        <v>131</v>
      </c>
      <c r="W491" s="368"/>
      <c r="X491" s="368" t="s">
        <v>131</v>
      </c>
      <c r="Y491" s="339"/>
      <c r="Z491" s="273">
        <v>0</v>
      </c>
    </row>
    <row r="492" spans="1:26" s="147" customFormat="1" ht="15.75" customHeight="1" x14ac:dyDescent="0.2">
      <c r="A492" s="296"/>
      <c r="B492" s="285"/>
      <c r="C492" s="286"/>
      <c r="D492" s="298"/>
      <c r="E492" s="298"/>
      <c r="F492" s="298"/>
      <c r="G492" s="298"/>
      <c r="H492" s="298"/>
      <c r="I492" s="298"/>
      <c r="J492" s="298"/>
      <c r="K492" s="299"/>
      <c r="L492" s="299"/>
      <c r="M492" s="300"/>
      <c r="N492" s="301"/>
      <c r="O492" s="376">
        <v>21</v>
      </c>
      <c r="P492" s="286" t="s">
        <v>2111</v>
      </c>
      <c r="Q492" s="338">
        <v>0</v>
      </c>
      <c r="R492" s="367"/>
      <c r="S492" s="338"/>
      <c r="T492" s="338"/>
      <c r="U492" s="338" t="s">
        <v>131</v>
      </c>
      <c r="V492" s="368" t="s">
        <v>131</v>
      </c>
      <c r="W492" s="368"/>
      <c r="X492" s="368" t="s">
        <v>131</v>
      </c>
      <c r="Y492" s="339"/>
      <c r="Z492" s="273">
        <v>0</v>
      </c>
    </row>
    <row r="493" spans="1:26" s="147" customFormat="1" ht="15.75" customHeight="1" x14ac:dyDescent="0.2">
      <c r="A493" s="296"/>
      <c r="B493" s="285"/>
      <c r="C493" s="286"/>
      <c r="D493" s="298"/>
      <c r="E493" s="298"/>
      <c r="F493" s="298"/>
      <c r="G493" s="298"/>
      <c r="H493" s="298"/>
      <c r="I493" s="298"/>
      <c r="J493" s="298"/>
      <c r="K493" s="299"/>
      <c r="L493" s="299"/>
      <c r="M493" s="300"/>
      <c r="N493" s="301"/>
      <c r="O493" s="376">
        <v>22</v>
      </c>
      <c r="P493" s="286" t="s">
        <v>2112</v>
      </c>
      <c r="Q493" s="338">
        <v>0</v>
      </c>
      <c r="R493" s="367"/>
      <c r="S493" s="338"/>
      <c r="T493" s="338"/>
      <c r="U493" s="338" t="s">
        <v>131</v>
      </c>
      <c r="V493" s="368" t="s">
        <v>131</v>
      </c>
      <c r="W493" s="368"/>
      <c r="X493" s="368" t="s">
        <v>131</v>
      </c>
      <c r="Y493" s="339"/>
      <c r="Z493" s="273">
        <v>0</v>
      </c>
    </row>
    <row r="494" spans="1:26" s="147" customFormat="1" ht="15.75" customHeight="1" x14ac:dyDescent="0.2">
      <c r="A494" s="296"/>
      <c r="B494" s="285"/>
      <c r="C494" s="286"/>
      <c r="D494" s="298"/>
      <c r="E494" s="298"/>
      <c r="F494" s="298"/>
      <c r="G494" s="298"/>
      <c r="H494" s="298"/>
      <c r="I494" s="298"/>
      <c r="J494" s="298"/>
      <c r="K494" s="299"/>
      <c r="L494" s="299"/>
      <c r="M494" s="300"/>
      <c r="N494" s="301"/>
      <c r="O494" s="376">
        <v>23</v>
      </c>
      <c r="P494" s="286" t="s">
        <v>2113</v>
      </c>
      <c r="Q494" s="338">
        <v>0</v>
      </c>
      <c r="R494" s="367"/>
      <c r="S494" s="338"/>
      <c r="T494" s="338"/>
      <c r="U494" s="338" t="s">
        <v>131</v>
      </c>
      <c r="V494" s="368" t="s">
        <v>131</v>
      </c>
      <c r="W494" s="368"/>
      <c r="X494" s="368" t="s">
        <v>131</v>
      </c>
      <c r="Y494" s="339"/>
      <c r="Z494" s="273">
        <v>0</v>
      </c>
    </row>
    <row r="495" spans="1:26" s="147" customFormat="1" ht="15.75" customHeight="1" x14ac:dyDescent="0.2">
      <c r="A495" s="296"/>
      <c r="B495" s="285"/>
      <c r="C495" s="286"/>
      <c r="D495" s="298"/>
      <c r="E495" s="298"/>
      <c r="F495" s="298"/>
      <c r="G495" s="298"/>
      <c r="H495" s="298"/>
      <c r="I495" s="298"/>
      <c r="J495" s="298"/>
      <c r="K495" s="299"/>
      <c r="L495" s="299"/>
      <c r="M495" s="300"/>
      <c r="N495" s="301"/>
      <c r="O495" s="299">
        <v>24</v>
      </c>
      <c r="P495" s="286" t="s">
        <v>2114</v>
      </c>
      <c r="Q495" s="830">
        <v>3</v>
      </c>
      <c r="R495" s="286"/>
      <c r="S495" s="298"/>
      <c r="T495" s="298" t="s">
        <v>131</v>
      </c>
      <c r="U495" s="298"/>
      <c r="V495" s="273"/>
      <c r="W495" s="273" t="s">
        <v>131</v>
      </c>
      <c r="X495" s="273"/>
      <c r="Y495" s="339"/>
      <c r="Z495" s="741">
        <v>2</v>
      </c>
    </row>
    <row r="496" spans="1:26" s="147" customFormat="1" ht="15.75" customHeight="1" x14ac:dyDescent="0.2">
      <c r="A496" s="296"/>
      <c r="B496" s="285"/>
      <c r="C496" s="286"/>
      <c r="D496" s="298"/>
      <c r="E496" s="298"/>
      <c r="F496" s="298"/>
      <c r="G496" s="298"/>
      <c r="H496" s="298"/>
      <c r="I496" s="298"/>
      <c r="J496" s="298"/>
      <c r="K496" s="299"/>
      <c r="L496" s="299"/>
      <c r="M496" s="300"/>
      <c r="N496" s="301"/>
      <c r="O496" s="417">
        <v>25</v>
      </c>
      <c r="P496" s="286" t="s">
        <v>2115</v>
      </c>
      <c r="Q496" s="830">
        <v>3</v>
      </c>
      <c r="R496" s="286"/>
      <c r="S496" s="298"/>
      <c r="T496" s="298" t="s">
        <v>131</v>
      </c>
      <c r="U496" s="298"/>
      <c r="V496" s="273"/>
      <c r="W496" s="273" t="s">
        <v>131</v>
      </c>
      <c r="X496" s="273"/>
      <c r="Y496" s="339"/>
      <c r="Z496" s="741">
        <v>2</v>
      </c>
    </row>
    <row r="497" spans="1:26" s="147" customFormat="1" ht="15.75" customHeight="1" x14ac:dyDescent="0.2">
      <c r="A497" s="296"/>
      <c r="B497" s="285"/>
      <c r="C497" s="286"/>
      <c r="D497" s="298"/>
      <c r="E497" s="298"/>
      <c r="F497" s="298"/>
      <c r="G497" s="298"/>
      <c r="H497" s="298"/>
      <c r="I497" s="298"/>
      <c r="J497" s="298"/>
      <c r="K497" s="299"/>
      <c r="L497" s="299"/>
      <c r="M497" s="300"/>
      <c r="N497" s="301"/>
      <c r="O497" s="376">
        <v>26</v>
      </c>
      <c r="P497" s="286" t="s">
        <v>2116</v>
      </c>
      <c r="Q497" s="298">
        <v>5</v>
      </c>
      <c r="R497" s="286"/>
      <c r="S497" s="298"/>
      <c r="T497" s="298" t="s">
        <v>131</v>
      </c>
      <c r="U497" s="298"/>
      <c r="V497" s="273"/>
      <c r="W497" s="273" t="s">
        <v>131</v>
      </c>
      <c r="X497" s="273"/>
      <c r="Y497" s="339"/>
      <c r="Z497" s="273" t="s">
        <v>175</v>
      </c>
    </row>
    <row r="498" spans="1:26" s="147" customFormat="1" ht="15.75" customHeight="1" x14ac:dyDescent="0.2">
      <c r="A498" s="294"/>
      <c r="B498" s="295"/>
      <c r="C498" s="292"/>
      <c r="D498" s="288"/>
      <c r="E498" s="288"/>
      <c r="F498" s="288"/>
      <c r="G498" s="288"/>
      <c r="H498" s="288"/>
      <c r="I498" s="288"/>
      <c r="J498" s="288"/>
      <c r="K498" s="289"/>
      <c r="L498" s="289"/>
      <c r="M498" s="290"/>
      <c r="N498" s="291"/>
      <c r="O498" s="376">
        <v>27</v>
      </c>
      <c r="P498" s="292" t="s">
        <v>2117</v>
      </c>
      <c r="Q498" s="288">
        <v>5</v>
      </c>
      <c r="R498" s="292"/>
      <c r="S498" s="288"/>
      <c r="T498" s="288" t="s">
        <v>131</v>
      </c>
      <c r="U498" s="288"/>
      <c r="V498" s="293"/>
      <c r="W498" s="293" t="s">
        <v>131</v>
      </c>
      <c r="X498" s="293"/>
      <c r="Y498" s="340"/>
      <c r="Z498" s="293" t="s">
        <v>175</v>
      </c>
    </row>
    <row r="499" spans="1:26" s="147" customFormat="1" ht="15.75" customHeight="1" x14ac:dyDescent="0.2">
      <c r="A499" s="296"/>
      <c r="B499" s="404"/>
      <c r="C499" s="405"/>
      <c r="D499" s="406"/>
      <c r="E499" s="406"/>
      <c r="F499" s="406"/>
      <c r="G499" s="406"/>
      <c r="H499" s="406"/>
      <c r="I499" s="406"/>
      <c r="J499" s="406"/>
      <c r="K499" s="407"/>
      <c r="L499" s="407"/>
      <c r="M499" s="663"/>
      <c r="N499" s="664"/>
      <c r="O499" s="376">
        <v>28</v>
      </c>
      <c r="P499" s="405" t="s">
        <v>2118</v>
      </c>
      <c r="Q499" s="831">
        <v>3</v>
      </c>
      <c r="R499" s="405"/>
      <c r="S499" s="153"/>
      <c r="T499" s="153"/>
      <c r="U499" s="153" t="s">
        <v>131</v>
      </c>
      <c r="V499" s="153"/>
      <c r="W499" s="153"/>
      <c r="X499" s="408" t="s">
        <v>131</v>
      </c>
      <c r="Y499" s="347" t="s">
        <v>1995</v>
      </c>
      <c r="Z499" s="741">
        <v>2</v>
      </c>
    </row>
    <row r="500" spans="1:26" s="147" customFormat="1" ht="15.75" customHeight="1" x14ac:dyDescent="0.2">
      <c r="A500" s="296"/>
      <c r="B500" s="404"/>
      <c r="C500" s="405"/>
      <c r="D500" s="406"/>
      <c r="E500" s="406"/>
      <c r="F500" s="406"/>
      <c r="G500" s="406"/>
      <c r="H500" s="406"/>
      <c r="I500" s="406"/>
      <c r="J500" s="406"/>
      <c r="K500" s="407"/>
      <c r="L500" s="407"/>
      <c r="M500" s="663"/>
      <c r="N500" s="664"/>
      <c r="O500" s="376">
        <v>29</v>
      </c>
      <c r="P500" s="405" t="s">
        <v>2119</v>
      </c>
      <c r="Q500" s="831">
        <v>3</v>
      </c>
      <c r="R500" s="405"/>
      <c r="S500" s="153"/>
      <c r="T500" s="153" t="s">
        <v>131</v>
      </c>
      <c r="U500" s="153"/>
      <c r="V500" s="153"/>
      <c r="W500" s="153" t="s">
        <v>131</v>
      </c>
      <c r="X500" s="408"/>
      <c r="Y500" s="347" t="s">
        <v>2120</v>
      </c>
      <c r="Z500" s="741">
        <v>2</v>
      </c>
    </row>
    <row r="501" spans="1:26" s="147" customFormat="1" ht="15.75" customHeight="1" x14ac:dyDescent="0.2">
      <c r="A501" s="354"/>
      <c r="B501" s="355"/>
      <c r="C501" s="356"/>
      <c r="D501" s="357"/>
      <c r="E501" s="357"/>
      <c r="F501" s="357"/>
      <c r="G501" s="357"/>
      <c r="H501" s="357"/>
      <c r="I501" s="357"/>
      <c r="J501" s="357"/>
      <c r="K501" s="358"/>
      <c r="L501" s="358"/>
      <c r="M501" s="359"/>
      <c r="N501" s="360"/>
      <c r="O501" s="358"/>
      <c r="P501" s="356"/>
      <c r="Q501" s="357"/>
      <c r="R501" s="356"/>
      <c r="S501" s="357"/>
      <c r="T501" s="357"/>
      <c r="U501" s="357"/>
      <c r="V501" s="268"/>
      <c r="W501" s="268"/>
      <c r="X501" s="268"/>
      <c r="Y501" s="361"/>
      <c r="Z501" s="268"/>
    </row>
    <row r="502" spans="1:26" s="147" customFormat="1" ht="49.5" customHeight="1" x14ac:dyDescent="0.2">
      <c r="A502" s="958" t="s">
        <v>2121</v>
      </c>
      <c r="B502" s="959" t="s">
        <v>134</v>
      </c>
      <c r="C502" s="839" t="s">
        <v>2122</v>
      </c>
      <c r="D502" s="840" t="s">
        <v>1763</v>
      </c>
      <c r="E502" s="841"/>
      <c r="F502" s="841"/>
      <c r="G502" s="841"/>
      <c r="H502" s="841"/>
      <c r="I502" s="841"/>
      <c r="J502" s="841">
        <v>135</v>
      </c>
      <c r="K502" s="841" t="s">
        <v>131</v>
      </c>
      <c r="L502" s="841"/>
      <c r="M502" s="843" t="s">
        <v>2123</v>
      </c>
      <c r="N502" s="843" t="s">
        <v>2123</v>
      </c>
      <c r="O502" s="843"/>
      <c r="P502" s="839"/>
      <c r="Q502" s="841"/>
      <c r="R502" s="839"/>
      <c r="S502" s="841"/>
      <c r="T502" s="841"/>
      <c r="U502" s="841"/>
      <c r="V502" s="845"/>
      <c r="W502" s="845"/>
      <c r="X502" s="845"/>
      <c r="Y502" s="846" t="s">
        <v>2124</v>
      </c>
      <c r="Z502" s="845">
        <v>2</v>
      </c>
    </row>
    <row r="503" spans="1:26" s="147" customFormat="1" ht="15.75" customHeight="1" x14ac:dyDescent="0.2">
      <c r="A503" s="960"/>
      <c r="B503" s="960"/>
      <c r="C503" s="849"/>
      <c r="D503" s="913"/>
      <c r="E503" s="851"/>
      <c r="F503" s="851"/>
      <c r="G503" s="851"/>
      <c r="H503" s="851"/>
      <c r="I503" s="851"/>
      <c r="J503" s="851"/>
      <c r="K503" s="852"/>
      <c r="L503" s="852"/>
      <c r="M503" s="852"/>
      <c r="N503" s="852"/>
      <c r="O503" s="851">
        <v>1</v>
      </c>
      <c r="P503" s="752" t="s">
        <v>2125</v>
      </c>
      <c r="Q503" s="851">
        <v>0</v>
      </c>
      <c r="R503" s="753"/>
      <c r="S503" s="753"/>
      <c r="T503" s="753"/>
      <c r="U503" s="753" t="s">
        <v>131</v>
      </c>
      <c r="V503" s="753"/>
      <c r="W503" s="753"/>
      <c r="X503" s="753"/>
      <c r="Y503" s="961"/>
      <c r="Z503" s="754" t="s">
        <v>204</v>
      </c>
    </row>
    <row r="504" spans="1:26" s="147" customFormat="1" ht="15.75" customHeight="1" x14ac:dyDescent="0.2">
      <c r="A504" s="960"/>
      <c r="B504" s="960"/>
      <c r="C504" s="849"/>
      <c r="D504" s="913"/>
      <c r="E504" s="851"/>
      <c r="F504" s="851"/>
      <c r="G504" s="851"/>
      <c r="H504" s="851"/>
      <c r="I504" s="851"/>
      <c r="J504" s="851"/>
      <c r="K504" s="852"/>
      <c r="L504" s="852"/>
      <c r="M504" s="852"/>
      <c r="N504" s="852"/>
      <c r="O504" s="851">
        <v>2</v>
      </c>
      <c r="P504" s="849" t="s">
        <v>2126</v>
      </c>
      <c r="Q504" s="753">
        <v>0</v>
      </c>
      <c r="R504" s="753"/>
      <c r="S504" s="753"/>
      <c r="T504" s="753"/>
      <c r="U504" s="753" t="s">
        <v>131</v>
      </c>
      <c r="V504" s="753"/>
      <c r="W504" s="753"/>
      <c r="X504" s="753"/>
      <c r="Y504" s="854"/>
      <c r="Z504" s="754">
        <v>2</v>
      </c>
    </row>
    <row r="505" spans="1:26" s="147" customFormat="1" ht="15.75" customHeight="1" x14ac:dyDescent="0.2">
      <c r="A505" s="960"/>
      <c r="B505" s="960"/>
      <c r="C505" s="849"/>
      <c r="D505" s="913"/>
      <c r="E505" s="851"/>
      <c r="F505" s="851"/>
      <c r="G505" s="851"/>
      <c r="H505" s="851"/>
      <c r="I505" s="851"/>
      <c r="J505" s="851"/>
      <c r="K505" s="852"/>
      <c r="L505" s="852"/>
      <c r="M505" s="852"/>
      <c r="N505" s="852"/>
      <c r="O505" s="851">
        <v>3</v>
      </c>
      <c r="P505" s="849" t="s">
        <v>2127</v>
      </c>
      <c r="Q505" s="753">
        <v>0</v>
      </c>
      <c r="R505" s="753"/>
      <c r="S505" s="753"/>
      <c r="T505" s="753"/>
      <c r="U505" s="753" t="s">
        <v>131</v>
      </c>
      <c r="V505" s="753"/>
      <c r="W505" s="753"/>
      <c r="X505" s="753"/>
      <c r="Y505" s="854"/>
      <c r="Z505" s="754">
        <v>2</v>
      </c>
    </row>
    <row r="506" spans="1:26" s="147" customFormat="1" ht="15.75" customHeight="1" x14ac:dyDescent="0.2">
      <c r="A506" s="960"/>
      <c r="B506" s="960"/>
      <c r="C506" s="849"/>
      <c r="D506" s="913"/>
      <c r="E506" s="851"/>
      <c r="F506" s="851"/>
      <c r="G506" s="851"/>
      <c r="H506" s="851"/>
      <c r="I506" s="851"/>
      <c r="J506" s="851"/>
      <c r="K506" s="852"/>
      <c r="L506" s="852"/>
      <c r="M506" s="852"/>
      <c r="N506" s="852"/>
      <c r="O506" s="851">
        <v>4</v>
      </c>
      <c r="P506" s="849" t="s">
        <v>2128</v>
      </c>
      <c r="Q506" s="753">
        <v>0</v>
      </c>
      <c r="R506" s="753"/>
      <c r="S506" s="753"/>
      <c r="T506" s="753"/>
      <c r="U506" s="753" t="s">
        <v>131</v>
      </c>
      <c r="V506" s="753" t="s">
        <v>131</v>
      </c>
      <c r="W506" s="753"/>
      <c r="X506" s="753"/>
      <c r="Y506" s="854"/>
      <c r="Z506" s="754">
        <v>2</v>
      </c>
    </row>
    <row r="507" spans="1:26" s="147" customFormat="1" ht="15.75" customHeight="1" x14ac:dyDescent="0.2">
      <c r="A507" s="960"/>
      <c r="B507" s="960"/>
      <c r="C507" s="849"/>
      <c r="D507" s="913"/>
      <c r="E507" s="851"/>
      <c r="F507" s="851"/>
      <c r="G507" s="851"/>
      <c r="H507" s="851"/>
      <c r="I507" s="851"/>
      <c r="J507" s="851"/>
      <c r="K507" s="852"/>
      <c r="L507" s="852"/>
      <c r="M507" s="852"/>
      <c r="N507" s="852"/>
      <c r="O507" s="851">
        <v>5</v>
      </c>
      <c r="P507" s="849" t="s">
        <v>2129</v>
      </c>
      <c r="Q507" s="753">
        <v>0</v>
      </c>
      <c r="R507" s="753"/>
      <c r="S507" s="753"/>
      <c r="T507" s="753"/>
      <c r="U507" s="753" t="s">
        <v>131</v>
      </c>
      <c r="V507" s="753"/>
      <c r="W507" s="753"/>
      <c r="X507" s="753"/>
      <c r="Y507" s="854"/>
      <c r="Z507" s="754" t="s">
        <v>204</v>
      </c>
    </row>
    <row r="508" spans="1:26" s="147" customFormat="1" ht="15.75" customHeight="1" x14ac:dyDescent="0.2">
      <c r="A508" s="960"/>
      <c r="B508" s="960"/>
      <c r="C508" s="849"/>
      <c r="D508" s="913"/>
      <c r="E508" s="851"/>
      <c r="F508" s="851"/>
      <c r="G508" s="851"/>
      <c r="H508" s="851"/>
      <c r="I508" s="851"/>
      <c r="J508" s="851"/>
      <c r="K508" s="852"/>
      <c r="L508" s="852"/>
      <c r="M508" s="852"/>
      <c r="N508" s="852"/>
      <c r="O508" s="851">
        <v>6</v>
      </c>
      <c r="P508" s="849" t="s">
        <v>2130</v>
      </c>
      <c r="Q508" s="753">
        <v>0</v>
      </c>
      <c r="R508" s="753"/>
      <c r="S508" s="753"/>
      <c r="T508" s="753"/>
      <c r="U508" s="753" t="s">
        <v>131</v>
      </c>
      <c r="V508" s="753"/>
      <c r="W508" s="753"/>
      <c r="X508" s="753"/>
      <c r="Y508" s="854"/>
      <c r="Z508" s="754" t="s">
        <v>204</v>
      </c>
    </row>
    <row r="509" spans="1:26" s="147" customFormat="1" ht="15.75" customHeight="1" x14ac:dyDescent="0.2">
      <c r="A509" s="962"/>
      <c r="B509" s="848"/>
      <c r="C509" s="849"/>
      <c r="D509" s="851"/>
      <c r="E509" s="851"/>
      <c r="F509" s="851"/>
      <c r="G509" s="851"/>
      <c r="H509" s="851"/>
      <c r="I509" s="851"/>
      <c r="J509" s="851"/>
      <c r="K509" s="852"/>
      <c r="L509" s="852"/>
      <c r="M509" s="914"/>
      <c r="N509" s="915"/>
      <c r="O509" s="851">
        <v>7</v>
      </c>
      <c r="P509" s="849" t="s">
        <v>2131</v>
      </c>
      <c r="Q509" s="753">
        <v>0</v>
      </c>
      <c r="R509" s="855"/>
      <c r="S509" s="753"/>
      <c r="T509" s="856"/>
      <c r="U509" s="753" t="s">
        <v>131</v>
      </c>
      <c r="V509" s="856"/>
      <c r="W509" s="856"/>
      <c r="X509" s="753"/>
      <c r="Y509" s="854"/>
      <c r="Z509" s="754">
        <v>2</v>
      </c>
    </row>
    <row r="510" spans="1:26" s="147" customFormat="1" ht="15.75" customHeight="1" x14ac:dyDescent="0.2">
      <c r="A510" s="963"/>
      <c r="B510" s="861"/>
      <c r="C510" s="752"/>
      <c r="D510" s="753"/>
      <c r="E510" s="753"/>
      <c r="F510" s="753"/>
      <c r="G510" s="753"/>
      <c r="H510" s="753"/>
      <c r="I510" s="753"/>
      <c r="J510" s="753"/>
      <c r="K510" s="863"/>
      <c r="L510" s="863"/>
      <c r="M510" s="918"/>
      <c r="N510" s="919"/>
      <c r="O510" s="753">
        <v>8</v>
      </c>
      <c r="P510" s="752" t="s">
        <v>2132</v>
      </c>
      <c r="Q510" s="753">
        <v>3</v>
      </c>
      <c r="R510" s="752"/>
      <c r="S510" s="753"/>
      <c r="T510" s="753"/>
      <c r="U510" s="753" t="s">
        <v>131</v>
      </c>
      <c r="V510" s="754"/>
      <c r="W510" s="754"/>
      <c r="X510" s="754"/>
      <c r="Y510" s="755" t="s">
        <v>2133</v>
      </c>
      <c r="Z510" s="749">
        <v>2</v>
      </c>
    </row>
    <row r="511" spans="1:26" s="147" customFormat="1" ht="15.75" customHeight="1" x14ac:dyDescent="0.2">
      <c r="A511" s="630"/>
      <c r="B511" s="589"/>
      <c r="C511" s="394"/>
      <c r="D511" s="581"/>
      <c r="E511" s="581"/>
      <c r="F511" s="581"/>
      <c r="G511" s="581"/>
      <c r="H511" s="581"/>
      <c r="I511" s="581"/>
      <c r="J511" s="581"/>
      <c r="K511" s="590"/>
      <c r="L511" s="590"/>
      <c r="M511" s="668"/>
      <c r="N511" s="669"/>
      <c r="O511" s="590"/>
      <c r="P511" s="394"/>
      <c r="Q511" s="581"/>
      <c r="R511" s="394"/>
      <c r="S511" s="581"/>
      <c r="T511" s="581"/>
      <c r="U511" s="581"/>
      <c r="V511" s="582"/>
      <c r="W511" s="582"/>
      <c r="X511" s="582"/>
      <c r="Y511" s="592"/>
      <c r="Z511" s="582"/>
    </row>
    <row r="512" spans="1:26" s="147" customFormat="1" ht="36" customHeight="1" x14ac:dyDescent="0.2">
      <c r="A512" s="958" t="s">
        <v>2134</v>
      </c>
      <c r="B512" s="959" t="s">
        <v>134</v>
      </c>
      <c r="C512" s="839" t="s">
        <v>2135</v>
      </c>
      <c r="D512" s="840" t="s">
        <v>1763</v>
      </c>
      <c r="E512" s="841"/>
      <c r="F512" s="841"/>
      <c r="G512" s="841"/>
      <c r="H512" s="841"/>
      <c r="I512" s="841"/>
      <c r="J512" s="841">
        <v>5.6</v>
      </c>
      <c r="K512" s="841"/>
      <c r="L512" s="841"/>
      <c r="M512" s="843" t="s">
        <v>2136</v>
      </c>
      <c r="N512" s="843" t="s">
        <v>2136</v>
      </c>
      <c r="O512" s="843"/>
      <c r="P512" s="839"/>
      <c r="Q512" s="841"/>
      <c r="R512" s="839"/>
      <c r="S512" s="841"/>
      <c r="T512" s="841"/>
      <c r="U512" s="841"/>
      <c r="V512" s="845"/>
      <c r="W512" s="845"/>
      <c r="X512" s="845"/>
      <c r="Y512" s="846" t="s">
        <v>2137</v>
      </c>
      <c r="Z512" s="845">
        <v>2</v>
      </c>
    </row>
    <row r="513" spans="1:26" s="147" customFormat="1" ht="15.75" customHeight="1" x14ac:dyDescent="0.2">
      <c r="A513" s="960"/>
      <c r="B513" s="960"/>
      <c r="C513" s="849"/>
      <c r="D513" s="913"/>
      <c r="E513" s="851"/>
      <c r="F513" s="851"/>
      <c r="G513" s="851"/>
      <c r="H513" s="851"/>
      <c r="I513" s="851"/>
      <c r="J513" s="851"/>
      <c r="K513" s="852"/>
      <c r="L513" s="852"/>
      <c r="M513" s="852"/>
      <c r="N513" s="852"/>
      <c r="O513" s="851">
        <v>1</v>
      </c>
      <c r="P513" s="752" t="s">
        <v>2138</v>
      </c>
      <c r="Q513" s="851">
        <v>0</v>
      </c>
      <c r="R513" s="753"/>
      <c r="S513" s="753"/>
      <c r="T513" s="753"/>
      <c r="U513" s="753" t="s">
        <v>131</v>
      </c>
      <c r="V513" s="753"/>
      <c r="W513" s="753"/>
      <c r="X513" s="753"/>
      <c r="Y513" s="961"/>
      <c r="Z513" s="754" t="s">
        <v>204</v>
      </c>
    </row>
    <row r="514" spans="1:26" s="147" customFormat="1" ht="15.75" customHeight="1" x14ac:dyDescent="0.2">
      <c r="A514" s="960"/>
      <c r="B514" s="960"/>
      <c r="C514" s="849"/>
      <c r="D514" s="913"/>
      <c r="E514" s="851"/>
      <c r="F514" s="851"/>
      <c r="G514" s="851"/>
      <c r="H514" s="851"/>
      <c r="I514" s="851"/>
      <c r="J514" s="851"/>
      <c r="K514" s="852"/>
      <c r="L514" s="852"/>
      <c r="M514" s="852"/>
      <c r="N514" s="852"/>
      <c r="O514" s="851">
        <v>2</v>
      </c>
      <c r="P514" s="849" t="s">
        <v>2139</v>
      </c>
      <c r="Q514" s="753">
        <v>0</v>
      </c>
      <c r="R514" s="753"/>
      <c r="S514" s="753"/>
      <c r="T514" s="753"/>
      <c r="U514" s="753" t="s">
        <v>131</v>
      </c>
      <c r="V514" s="753"/>
      <c r="W514" s="753"/>
      <c r="X514" s="753"/>
      <c r="Y514" s="854"/>
      <c r="Z514" s="754">
        <v>2</v>
      </c>
    </row>
    <row r="515" spans="1:26" s="147" customFormat="1" ht="15.75" customHeight="1" x14ac:dyDescent="0.2">
      <c r="A515" s="960"/>
      <c r="B515" s="960"/>
      <c r="C515" s="849"/>
      <c r="D515" s="913"/>
      <c r="E515" s="851"/>
      <c r="F515" s="851"/>
      <c r="G515" s="851"/>
      <c r="H515" s="851"/>
      <c r="I515" s="851"/>
      <c r="J515" s="851"/>
      <c r="K515" s="852"/>
      <c r="L515" s="852"/>
      <c r="M515" s="852"/>
      <c r="N515" s="852"/>
      <c r="O515" s="851">
        <v>3</v>
      </c>
      <c r="P515" s="849" t="s">
        <v>2140</v>
      </c>
      <c r="Q515" s="753">
        <v>0</v>
      </c>
      <c r="R515" s="753"/>
      <c r="S515" s="753"/>
      <c r="T515" s="753"/>
      <c r="U515" s="753" t="s">
        <v>131</v>
      </c>
      <c r="V515" s="753"/>
      <c r="W515" s="753"/>
      <c r="X515" s="753"/>
      <c r="Y515" s="854"/>
      <c r="Z515" s="754">
        <v>2</v>
      </c>
    </row>
    <row r="516" spans="1:26" s="147" customFormat="1" ht="15.75" customHeight="1" x14ac:dyDescent="0.2">
      <c r="A516" s="960"/>
      <c r="B516" s="960"/>
      <c r="C516" s="849"/>
      <c r="D516" s="913"/>
      <c r="E516" s="851"/>
      <c r="F516" s="851"/>
      <c r="G516" s="851"/>
      <c r="H516" s="851"/>
      <c r="I516" s="851"/>
      <c r="J516" s="851"/>
      <c r="K516" s="852"/>
      <c r="L516" s="852"/>
      <c r="M516" s="852"/>
      <c r="N516" s="852"/>
      <c r="O516" s="851">
        <v>4</v>
      </c>
      <c r="P516" s="849" t="s">
        <v>2141</v>
      </c>
      <c r="Q516" s="753">
        <v>0</v>
      </c>
      <c r="R516" s="753"/>
      <c r="S516" s="753"/>
      <c r="T516" s="753"/>
      <c r="U516" s="753" t="s">
        <v>131</v>
      </c>
      <c r="V516" s="753" t="s">
        <v>131</v>
      </c>
      <c r="W516" s="753"/>
      <c r="X516" s="753"/>
      <c r="Y516" s="854"/>
      <c r="Z516" s="754">
        <v>2</v>
      </c>
    </row>
    <row r="517" spans="1:26" s="147" customFormat="1" ht="15.75" customHeight="1" x14ac:dyDescent="0.2">
      <c r="A517" s="960"/>
      <c r="B517" s="960"/>
      <c r="C517" s="849"/>
      <c r="D517" s="913"/>
      <c r="E517" s="851"/>
      <c r="F517" s="851"/>
      <c r="G517" s="851"/>
      <c r="H517" s="851"/>
      <c r="I517" s="851"/>
      <c r="J517" s="851"/>
      <c r="K517" s="852"/>
      <c r="L517" s="852"/>
      <c r="M517" s="852"/>
      <c r="N517" s="852"/>
      <c r="O517" s="851">
        <v>5</v>
      </c>
      <c r="P517" s="849" t="s">
        <v>2142</v>
      </c>
      <c r="Q517" s="753">
        <v>0</v>
      </c>
      <c r="R517" s="753"/>
      <c r="S517" s="753"/>
      <c r="T517" s="753"/>
      <c r="U517" s="753" t="s">
        <v>131</v>
      </c>
      <c r="V517" s="753"/>
      <c r="W517" s="753"/>
      <c r="X517" s="753"/>
      <c r="Y517" s="854"/>
      <c r="Z517" s="754" t="s">
        <v>204</v>
      </c>
    </row>
    <row r="518" spans="1:26" s="147" customFormat="1" ht="15.75" customHeight="1" x14ac:dyDescent="0.2">
      <c r="A518" s="960"/>
      <c r="B518" s="960"/>
      <c r="C518" s="849"/>
      <c r="D518" s="913"/>
      <c r="E518" s="851"/>
      <c r="F518" s="851"/>
      <c r="G518" s="851"/>
      <c r="H518" s="851"/>
      <c r="I518" s="851"/>
      <c r="J518" s="851"/>
      <c r="K518" s="852"/>
      <c r="L518" s="852"/>
      <c r="M518" s="852"/>
      <c r="N518" s="852"/>
      <c r="O518" s="851">
        <v>6</v>
      </c>
      <c r="P518" s="849" t="s">
        <v>2143</v>
      </c>
      <c r="Q518" s="753">
        <v>0</v>
      </c>
      <c r="R518" s="753"/>
      <c r="S518" s="753"/>
      <c r="T518" s="753"/>
      <c r="U518" s="753" t="s">
        <v>131</v>
      </c>
      <c r="V518" s="753"/>
      <c r="W518" s="753"/>
      <c r="X518" s="753"/>
      <c r="Y518" s="854"/>
      <c r="Z518" s="754" t="s">
        <v>204</v>
      </c>
    </row>
    <row r="519" spans="1:26" s="147" customFormat="1" ht="15.75" customHeight="1" x14ac:dyDescent="0.2">
      <c r="A519" s="962"/>
      <c r="B519" s="866"/>
      <c r="C519" s="867"/>
      <c r="D519" s="869"/>
      <c r="E519" s="869"/>
      <c r="F519" s="869"/>
      <c r="G519" s="869"/>
      <c r="H519" s="869"/>
      <c r="I519" s="869"/>
      <c r="J519" s="869"/>
      <c r="K519" s="870"/>
      <c r="L519" s="870"/>
      <c r="M519" s="916"/>
      <c r="N519" s="917"/>
      <c r="O519" s="869">
        <v>7</v>
      </c>
      <c r="P519" s="867" t="s">
        <v>2144</v>
      </c>
      <c r="Q519" s="753">
        <v>0</v>
      </c>
      <c r="R519" s="855"/>
      <c r="S519" s="753"/>
      <c r="T519" s="856"/>
      <c r="U519" s="753" t="s">
        <v>131</v>
      </c>
      <c r="V519" s="856"/>
      <c r="W519" s="856"/>
      <c r="X519" s="753"/>
      <c r="Y519" s="854"/>
      <c r="Z519" s="754">
        <v>2</v>
      </c>
    </row>
    <row r="520" spans="1:26" s="147" customFormat="1" ht="15.75" customHeight="1" x14ac:dyDescent="0.2">
      <c r="A520" s="963"/>
      <c r="B520" s="861"/>
      <c r="C520" s="752"/>
      <c r="D520" s="753"/>
      <c r="E520" s="753"/>
      <c r="F520" s="753"/>
      <c r="G520" s="753"/>
      <c r="H520" s="753"/>
      <c r="I520" s="753"/>
      <c r="J520" s="753"/>
      <c r="K520" s="863"/>
      <c r="L520" s="863"/>
      <c r="M520" s="918"/>
      <c r="N520" s="919"/>
      <c r="O520" s="753">
        <v>8</v>
      </c>
      <c r="P520" s="752" t="s">
        <v>2145</v>
      </c>
      <c r="Q520" s="753">
        <v>5</v>
      </c>
      <c r="R520" s="752"/>
      <c r="S520" s="753"/>
      <c r="T520" s="753" t="s">
        <v>131</v>
      </c>
      <c r="U520" s="753"/>
      <c r="V520" s="754"/>
      <c r="W520" s="754" t="s">
        <v>131</v>
      </c>
      <c r="X520" s="754"/>
      <c r="Y520" s="755" t="s">
        <v>2146</v>
      </c>
      <c r="Z520" s="754">
        <v>0</v>
      </c>
    </row>
    <row r="521" spans="1:26" s="147" customFormat="1" ht="15.75" customHeight="1" x14ac:dyDescent="0.2">
      <c r="A521" s="630"/>
      <c r="B521" s="589"/>
      <c r="C521" s="394"/>
      <c r="D521" s="581"/>
      <c r="E521" s="581"/>
      <c r="F521" s="581"/>
      <c r="G521" s="581"/>
      <c r="H521" s="581"/>
      <c r="I521" s="581"/>
      <c r="J521" s="581"/>
      <c r="K521" s="590"/>
      <c r="L521" s="590"/>
      <c r="M521" s="668"/>
      <c r="N521" s="669"/>
      <c r="O521" s="581"/>
      <c r="P521" s="394"/>
      <c r="Q521" s="581"/>
      <c r="R521" s="394"/>
      <c r="S521" s="581"/>
      <c r="T521" s="581"/>
      <c r="U521" s="581"/>
      <c r="V521" s="582"/>
      <c r="W521" s="582"/>
      <c r="X521" s="582"/>
      <c r="Y521" s="592"/>
      <c r="Z521" s="582"/>
    </row>
    <row r="522" spans="1:26" s="147" customFormat="1" ht="28" x14ac:dyDescent="0.2">
      <c r="A522" s="945" t="s">
        <v>2147</v>
      </c>
      <c r="B522" s="946" t="s">
        <v>134</v>
      </c>
      <c r="C522" s="878" t="s">
        <v>2148</v>
      </c>
      <c r="D522" s="947" t="s">
        <v>1584</v>
      </c>
      <c r="E522" s="454"/>
      <c r="F522" s="454"/>
      <c r="G522" s="454"/>
      <c r="H522" s="454"/>
      <c r="I522" s="454"/>
      <c r="J522" s="620" t="s">
        <v>1710</v>
      </c>
      <c r="K522" s="750" t="s">
        <v>131</v>
      </c>
      <c r="L522" s="682"/>
      <c r="M522" s="1008"/>
      <c r="N522" s="1009"/>
      <c r="O522" s="947"/>
      <c r="P522" s="878"/>
      <c r="Q522" s="947"/>
      <c r="R522" s="878"/>
      <c r="S522" s="947"/>
      <c r="T522" s="947"/>
      <c r="U522" s="947"/>
      <c r="V522" s="751"/>
      <c r="W522" s="751"/>
      <c r="X522" s="751"/>
      <c r="Y522" s="877"/>
      <c r="Z522" s="751"/>
    </row>
    <row r="523" spans="1:26" s="147" customFormat="1" ht="15.75" customHeight="1" x14ac:dyDescent="0.2">
      <c r="A523" s="757"/>
      <c r="B523" s="757"/>
      <c r="C523" s="758"/>
      <c r="D523" s="759"/>
      <c r="E523" s="748"/>
      <c r="F523" s="748"/>
      <c r="G523" s="748"/>
      <c r="H523" s="748"/>
      <c r="I523" s="748"/>
      <c r="J523" s="748"/>
      <c r="K523" s="745"/>
      <c r="L523" s="745"/>
      <c r="M523" s="745"/>
      <c r="N523" s="745"/>
      <c r="O523" s="748">
        <v>1</v>
      </c>
      <c r="P523" s="746" t="s">
        <v>2149</v>
      </c>
      <c r="Q523" s="748">
        <v>0</v>
      </c>
      <c r="R523" s="758"/>
      <c r="S523" s="748"/>
      <c r="T523" s="748"/>
      <c r="U523" s="748" t="s">
        <v>131</v>
      </c>
      <c r="V523" s="741"/>
      <c r="W523" s="741"/>
      <c r="X523" s="741"/>
      <c r="Y523" s="760"/>
      <c r="Z523" s="747">
        <v>2</v>
      </c>
    </row>
    <row r="524" spans="1:26" s="147" customFormat="1" ht="15.75" customHeight="1" x14ac:dyDescent="0.2">
      <c r="A524" s="757"/>
      <c r="B524" s="757"/>
      <c r="C524" s="758"/>
      <c r="D524" s="759"/>
      <c r="E524" s="748"/>
      <c r="F524" s="748"/>
      <c r="G524" s="748"/>
      <c r="H524" s="748"/>
      <c r="I524" s="748"/>
      <c r="J524" s="748"/>
      <c r="K524" s="745"/>
      <c r="L524" s="745"/>
      <c r="M524" s="745"/>
      <c r="N524" s="745"/>
      <c r="O524" s="748">
        <v>2</v>
      </c>
      <c r="P524" s="758" t="s">
        <v>2150</v>
      </c>
      <c r="Q524" s="748">
        <v>0</v>
      </c>
      <c r="R524" s="758"/>
      <c r="S524" s="748"/>
      <c r="T524" s="748"/>
      <c r="U524" s="748" t="s">
        <v>131</v>
      </c>
      <c r="V524" s="741"/>
      <c r="W524" s="741"/>
      <c r="X524" s="741"/>
      <c r="Y524" s="761"/>
      <c r="Z524" s="747">
        <v>2</v>
      </c>
    </row>
    <row r="525" spans="1:26" s="147" customFormat="1" ht="15.75" customHeight="1" x14ac:dyDescent="0.2">
      <c r="A525" s="757"/>
      <c r="B525" s="757"/>
      <c r="C525" s="758"/>
      <c r="D525" s="759"/>
      <c r="E525" s="748"/>
      <c r="F525" s="748"/>
      <c r="G525" s="748"/>
      <c r="H525" s="748"/>
      <c r="I525" s="748"/>
      <c r="J525" s="748"/>
      <c r="K525" s="745"/>
      <c r="L525" s="745"/>
      <c r="M525" s="745"/>
      <c r="N525" s="745"/>
      <c r="O525" s="748">
        <v>3</v>
      </c>
      <c r="P525" s="758" t="s">
        <v>2151</v>
      </c>
      <c r="Q525" s="748">
        <v>0</v>
      </c>
      <c r="R525" s="758"/>
      <c r="S525" s="748"/>
      <c r="T525" s="748"/>
      <c r="U525" s="748" t="s">
        <v>131</v>
      </c>
      <c r="V525" s="741"/>
      <c r="W525" s="741"/>
      <c r="X525" s="741"/>
      <c r="Y525" s="761"/>
      <c r="Z525" s="747">
        <v>2</v>
      </c>
    </row>
    <row r="526" spans="1:26" s="147" customFormat="1" ht="15.75" customHeight="1" x14ac:dyDescent="0.2">
      <c r="A526" s="757"/>
      <c r="B526" s="757"/>
      <c r="C526" s="758"/>
      <c r="D526" s="759"/>
      <c r="E526" s="748"/>
      <c r="F526" s="748"/>
      <c r="G526" s="748"/>
      <c r="H526" s="748"/>
      <c r="I526" s="748"/>
      <c r="J526" s="748"/>
      <c r="K526" s="745"/>
      <c r="L526" s="745"/>
      <c r="M526" s="745"/>
      <c r="N526" s="745"/>
      <c r="O526" s="748">
        <v>4</v>
      </c>
      <c r="P526" s="758" t="s">
        <v>2152</v>
      </c>
      <c r="Q526" s="748">
        <v>0</v>
      </c>
      <c r="R526" s="758"/>
      <c r="S526" s="748"/>
      <c r="T526" s="748"/>
      <c r="U526" s="748" t="s">
        <v>131</v>
      </c>
      <c r="V526" s="741" t="s">
        <v>131</v>
      </c>
      <c r="W526" s="741"/>
      <c r="X526" s="741"/>
      <c r="Y526" s="761"/>
      <c r="Z526" s="747">
        <v>2</v>
      </c>
    </row>
    <row r="527" spans="1:26" s="147" customFormat="1" ht="15.75" customHeight="1" x14ac:dyDescent="0.2">
      <c r="A527" s="757"/>
      <c r="B527" s="757"/>
      <c r="C527" s="758"/>
      <c r="D527" s="759"/>
      <c r="E527" s="748"/>
      <c r="F527" s="748"/>
      <c r="G527" s="748"/>
      <c r="H527" s="748"/>
      <c r="I527" s="748"/>
      <c r="J527" s="748"/>
      <c r="K527" s="745"/>
      <c r="L527" s="745"/>
      <c r="M527" s="745"/>
      <c r="N527" s="745"/>
      <c r="O527" s="748">
        <v>5</v>
      </c>
      <c r="P527" s="758" t="s">
        <v>2153</v>
      </c>
      <c r="Q527" s="748">
        <v>0</v>
      </c>
      <c r="R527" s="758"/>
      <c r="S527" s="748"/>
      <c r="T527" s="748"/>
      <c r="U527" s="748" t="s">
        <v>131</v>
      </c>
      <c r="V527" s="741"/>
      <c r="W527" s="741"/>
      <c r="X527" s="741"/>
      <c r="Y527" s="761"/>
      <c r="Z527" s="747">
        <v>2</v>
      </c>
    </row>
    <row r="528" spans="1:26" s="147" customFormat="1" ht="15.75" customHeight="1" x14ac:dyDescent="0.2">
      <c r="A528" s="757"/>
      <c r="B528" s="757"/>
      <c r="C528" s="758"/>
      <c r="D528" s="759"/>
      <c r="E528" s="748"/>
      <c r="F528" s="748"/>
      <c r="G528" s="748"/>
      <c r="H528" s="748"/>
      <c r="I528" s="748"/>
      <c r="J528" s="748"/>
      <c r="K528" s="745"/>
      <c r="L528" s="745"/>
      <c r="M528" s="745"/>
      <c r="N528" s="745"/>
      <c r="O528" s="748">
        <v>6</v>
      </c>
      <c r="P528" s="758" t="s">
        <v>2154</v>
      </c>
      <c r="Q528" s="748">
        <v>0</v>
      </c>
      <c r="R528" s="758"/>
      <c r="S528" s="748"/>
      <c r="T528" s="748"/>
      <c r="U528" s="748" t="s">
        <v>131</v>
      </c>
      <c r="V528" s="741"/>
      <c r="W528" s="741"/>
      <c r="X528" s="741"/>
      <c r="Y528" s="761"/>
      <c r="Z528" s="747">
        <v>2</v>
      </c>
    </row>
    <row r="529" spans="1:26" s="147" customFormat="1" ht="15.75" customHeight="1" x14ac:dyDescent="0.2">
      <c r="A529" s="762"/>
      <c r="B529" s="763"/>
      <c r="C529" s="758"/>
      <c r="D529" s="748"/>
      <c r="E529" s="748"/>
      <c r="F529" s="748"/>
      <c r="G529" s="748"/>
      <c r="H529" s="748"/>
      <c r="I529" s="748"/>
      <c r="J529" s="748"/>
      <c r="K529" s="745"/>
      <c r="L529" s="745"/>
      <c r="M529" s="764"/>
      <c r="N529" s="765"/>
      <c r="O529" s="748">
        <v>7</v>
      </c>
      <c r="P529" s="758" t="s">
        <v>2155</v>
      </c>
      <c r="Q529" s="748">
        <v>0</v>
      </c>
      <c r="R529" s="758"/>
      <c r="S529" s="748"/>
      <c r="T529" s="748"/>
      <c r="U529" s="748" t="s">
        <v>131</v>
      </c>
      <c r="V529" s="741"/>
      <c r="W529" s="741"/>
      <c r="X529" s="741"/>
      <c r="Y529" s="761"/>
      <c r="Z529" s="747">
        <v>2</v>
      </c>
    </row>
    <row r="530" spans="1:26" s="147" customFormat="1" ht="15.75" customHeight="1" x14ac:dyDescent="0.2">
      <c r="A530" s="948"/>
      <c r="B530" s="949"/>
      <c r="C530" s="888"/>
      <c r="D530" s="889"/>
      <c r="E530" s="889"/>
      <c r="F530" s="889"/>
      <c r="G530" s="889"/>
      <c r="H530" s="889"/>
      <c r="I530" s="889"/>
      <c r="J530" s="889"/>
      <c r="K530" s="950"/>
      <c r="L530" s="950"/>
      <c r="M530" s="951"/>
      <c r="N530" s="952"/>
      <c r="O530" s="889">
        <v>8</v>
      </c>
      <c r="P530" s="888" t="s">
        <v>2156</v>
      </c>
      <c r="Q530" s="889">
        <v>5</v>
      </c>
      <c r="R530" s="888"/>
      <c r="S530" s="889"/>
      <c r="T530" s="889" t="s">
        <v>131</v>
      </c>
      <c r="U530" s="889"/>
      <c r="V530" s="890"/>
      <c r="W530" s="890" t="s">
        <v>131</v>
      </c>
      <c r="X530" s="890"/>
      <c r="Y530" s="891" t="s">
        <v>2157</v>
      </c>
      <c r="Z530" s="890">
        <v>2</v>
      </c>
    </row>
    <row r="531" spans="1:26" ht="13.4" customHeight="1" x14ac:dyDescent="0.2">
      <c r="A531" s="215">
        <f>COUNTA(A2:A530)</f>
        <v>39</v>
      </c>
      <c r="C531" s="208"/>
      <c r="D531" s="219"/>
      <c r="E531" s="219"/>
      <c r="F531" s="219"/>
      <c r="G531" s="219"/>
      <c r="H531" s="219"/>
      <c r="I531" s="219"/>
      <c r="J531" s="219"/>
      <c r="K531" s="219"/>
      <c r="L531" s="140"/>
      <c r="M531" s="216"/>
      <c r="N531" s="145"/>
      <c r="O531" s="203"/>
      <c r="P531" s="204"/>
      <c r="Q531" s="140"/>
      <c r="R531" s="140"/>
      <c r="S531" s="140"/>
      <c r="T531" s="140"/>
      <c r="U531" s="140"/>
      <c r="V531" s="137"/>
      <c r="Y531" s="204"/>
    </row>
    <row r="532" spans="1:26" ht="13.4" customHeight="1" x14ac:dyDescent="0.2">
      <c r="A532" s="146"/>
      <c r="E532" s="220"/>
      <c r="F532" s="220"/>
      <c r="G532" s="220"/>
      <c r="H532" s="220"/>
      <c r="I532" s="220"/>
      <c r="J532" s="220"/>
      <c r="K532" s="220"/>
      <c r="M532" s="145"/>
      <c r="Q532" s="204"/>
      <c r="R532" s="204"/>
    </row>
    <row r="533" spans="1:26" ht="13.4" customHeight="1" x14ac:dyDescent="0.2">
      <c r="A533" s="136"/>
      <c r="B533" s="221"/>
      <c r="E533" s="140"/>
      <c r="F533" s="140"/>
      <c r="G533" s="140"/>
      <c r="H533" s="140"/>
      <c r="I533" s="140"/>
      <c r="J533" s="140"/>
      <c r="Q533" s="204"/>
      <c r="R533" s="204"/>
    </row>
    <row r="534" spans="1:26" ht="13.4" customHeight="1" x14ac:dyDescent="0.2">
      <c r="A534" s="136"/>
      <c r="B534" s="221"/>
      <c r="E534" s="140"/>
      <c r="F534" s="140"/>
      <c r="G534" s="140"/>
      <c r="H534" s="140"/>
      <c r="I534" s="140"/>
      <c r="J534" s="140"/>
      <c r="Q534" s="204"/>
      <c r="R534" s="204"/>
    </row>
    <row r="535" spans="1:26" ht="13.4" customHeight="1" x14ac:dyDescent="0.2">
      <c r="A535" s="206"/>
      <c r="E535" s="140"/>
      <c r="F535" s="140"/>
      <c r="G535" s="140"/>
      <c r="H535" s="140"/>
      <c r="I535" s="140"/>
      <c r="J535" s="140"/>
      <c r="Q535" s="204"/>
      <c r="R535" s="204"/>
    </row>
    <row r="536" spans="1:26" ht="13.4" customHeight="1" x14ac:dyDescent="0.2">
      <c r="A536" s="206"/>
      <c r="E536" s="140"/>
      <c r="F536" s="140"/>
      <c r="G536" s="140"/>
      <c r="H536" s="140"/>
      <c r="I536" s="140"/>
      <c r="J536" s="140"/>
      <c r="Q536" s="204"/>
      <c r="R536" s="204"/>
    </row>
    <row r="537" spans="1:26" ht="13.4" customHeight="1" x14ac:dyDescent="0.2">
      <c r="A537" s="207"/>
      <c r="E537" s="140"/>
      <c r="F537" s="140"/>
      <c r="G537" s="140"/>
      <c r="H537" s="140"/>
      <c r="I537" s="140"/>
      <c r="J537" s="140"/>
      <c r="Q537" s="204"/>
      <c r="R537" s="204"/>
    </row>
    <row r="538" spans="1:26" ht="13.4" customHeight="1" x14ac:dyDescent="0.2">
      <c r="A538" s="207"/>
      <c r="E538" s="140"/>
      <c r="F538" s="140"/>
      <c r="G538" s="140"/>
      <c r="H538" s="140"/>
      <c r="I538" s="140"/>
      <c r="J538" s="140"/>
      <c r="Q538" s="204"/>
      <c r="R538" s="204"/>
    </row>
    <row r="539" spans="1:26" ht="13.4" customHeight="1" x14ac:dyDescent="0.2">
      <c r="A539" s="208"/>
      <c r="E539" s="135"/>
      <c r="F539" s="135"/>
      <c r="G539" s="135"/>
      <c r="H539" s="135"/>
      <c r="I539" s="135"/>
      <c r="J539" s="135"/>
      <c r="Q539" s="204"/>
      <c r="R539" s="204"/>
    </row>
    <row r="540" spans="1:26" ht="13.4" customHeight="1" x14ac:dyDescent="0.2">
      <c r="A540" s="209"/>
      <c r="E540" s="135"/>
      <c r="F540" s="135"/>
      <c r="G540" s="135"/>
      <c r="H540" s="135"/>
      <c r="I540" s="135"/>
      <c r="J540" s="135"/>
      <c r="T540" s="134"/>
      <c r="U540" s="134"/>
      <c r="V540" s="134"/>
      <c r="W540" s="134"/>
      <c r="X540" s="134"/>
      <c r="Y540" s="134"/>
      <c r="Z540" s="134"/>
    </row>
    <row r="541" spans="1:26" ht="13.4" customHeight="1" x14ac:dyDescent="0.2">
      <c r="A541" s="209"/>
      <c r="E541" s="135"/>
      <c r="F541" s="135"/>
      <c r="G541" s="135"/>
      <c r="H541" s="135"/>
      <c r="I541" s="135"/>
      <c r="J541" s="135"/>
      <c r="T541" s="134"/>
      <c r="U541" s="134"/>
      <c r="V541" s="134"/>
      <c r="W541" s="134"/>
      <c r="X541" s="134"/>
      <c r="Y541" s="134"/>
      <c r="Z541" s="134"/>
    </row>
    <row r="542" spans="1:26" ht="13.4" customHeight="1" x14ac:dyDescent="0.2">
      <c r="A542" s="209"/>
      <c r="B542" s="219"/>
      <c r="C542" s="208"/>
      <c r="D542" s="219"/>
      <c r="E542" s="140"/>
      <c r="F542" s="140"/>
      <c r="G542" s="140"/>
      <c r="H542" s="140"/>
      <c r="I542" s="140"/>
      <c r="J542" s="140"/>
      <c r="K542" s="141"/>
      <c r="L542" s="142"/>
      <c r="M542" s="210"/>
      <c r="N542" s="142"/>
      <c r="O542" s="142"/>
      <c r="P542" s="139"/>
      <c r="Q542" s="204"/>
      <c r="R542" s="204"/>
      <c r="S542" s="139"/>
      <c r="T542" s="141"/>
      <c r="U542" s="141"/>
      <c r="V542" s="134"/>
      <c r="W542" s="140"/>
      <c r="X542" s="140"/>
      <c r="Y542" s="144"/>
      <c r="Z542" s="143"/>
    </row>
    <row r="543" spans="1:26" ht="13.4" customHeight="1" x14ac:dyDescent="0.2">
      <c r="A543" s="206"/>
    </row>
    <row r="544" spans="1:26" ht="13.4" customHeight="1" x14ac:dyDescent="0.2">
      <c r="A544" s="206"/>
    </row>
    <row r="545" spans="1:1" ht="13.4" customHeight="1" x14ac:dyDescent="0.2">
      <c r="A545" s="206"/>
    </row>
  </sheetData>
  <autoFilter ref="A1:Z531" xr:uid="{00000000-0009-0000-0000-000008000000}"/>
  <phoneticPr fontId="15" type="noConversion"/>
  <conditionalFormatting sqref="A468:A502 A345:A347 A459:A462 A428:A431 A439:A442 A519:A522 A509:A512 A334:A338 A450:A453 A529:A530 A354:A420 A2:A328">
    <cfRule type="duplicateValues" dxfId="23" priority="4203"/>
  </conditionalFormatting>
  <conditionalFormatting sqref="B167:B171">
    <cfRule type="duplicateValues" dxfId="22" priority="19"/>
  </conditionalFormatting>
  <conditionalFormatting sqref="C167:C172">
    <cfRule type="duplicateValues" dxfId="21" priority="17"/>
  </conditionalFormatting>
  <conditionalFormatting sqref="D167:D171">
    <cfRule type="duplicateValues" dxfId="20" priority="16"/>
  </conditionalFormatting>
  <conditionalFormatting sqref="E167:E169">
    <cfRule type="duplicateValues" dxfId="19" priority="15"/>
  </conditionalFormatting>
  <conditionalFormatting sqref="F167:F169">
    <cfRule type="duplicateValues" dxfId="18" priority="14"/>
  </conditionalFormatting>
  <conditionalFormatting sqref="G167:G169">
    <cfRule type="duplicateValues" dxfId="17" priority="13"/>
  </conditionalFormatting>
  <conditionalFormatting sqref="H167:H169">
    <cfRule type="duplicateValues" dxfId="16" priority="12"/>
  </conditionalFormatting>
  <conditionalFormatting sqref="I167:I169">
    <cfRule type="duplicateValues" dxfId="15" priority="11"/>
  </conditionalFormatting>
  <conditionalFormatting sqref="J167:J169">
    <cfRule type="duplicateValues" dxfId="14" priority="10"/>
  </conditionalFormatting>
  <conditionalFormatting sqref="K167:K172">
    <cfRule type="duplicateValues" dxfId="13" priority="9"/>
  </conditionalFormatting>
  <conditionalFormatting sqref="L167:L171">
    <cfRule type="duplicateValues" dxfId="12" priority="8"/>
  </conditionalFormatting>
  <conditionalFormatting sqref="P2:P107">
    <cfRule type="expression" dxfId="11" priority="53">
      <formula>LEN(P2)&gt;32</formula>
    </cfRule>
  </conditionalFormatting>
  <conditionalFormatting sqref="P109:P123">
    <cfRule type="expression" dxfId="10" priority="52">
      <formula>LEN(P109)&gt;32</formula>
    </cfRule>
  </conditionalFormatting>
  <conditionalFormatting sqref="P125:P531">
    <cfRule type="expression" dxfId="9" priority="1">
      <formula>LEN(P125)&gt;32</formula>
    </cfRule>
  </conditionalFormatting>
  <dataValidations disablePrompts="1" count="1">
    <dataValidation type="list" allowBlank="1" showInputMessage="1" showErrorMessage="1" sqref="E304:G304 E328:G334" xr:uid="{387D372B-D623-4CE6-B049-50FA733616F4}">
      <formula1>#REF!</formula1>
    </dataValidation>
  </dataValidations>
  <printOptions horizontalCentered="1"/>
  <pageMargins left="0.39370078740157483" right="0.39370078740157483" top="0.59055118110236227" bottom="0.59055118110236227" header="0.59055118110236227" footer="0.39370078740157483"/>
  <pageSetup paperSize="8" scale="31" fitToHeight="0" orientation="landscape" r:id="rId1"/>
  <headerFooter scaleWithDoc="0" alignWithMargins="0"/>
  <rowBreaks count="9" manualBreakCount="9">
    <brk id="50" max="25" man="1"/>
    <brk id="97" max="25" man="1"/>
    <brk id="138" max="25" man="1"/>
    <brk id="204" max="25" man="1"/>
    <brk id="262" max="25" man="1"/>
    <brk id="318" max="25" man="1"/>
    <brk id="374" max="25" man="1"/>
    <brk id="430" max="25" man="1"/>
    <brk id="501" max="25"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37E3C-D918-45B4-B7D4-5D9138C26E18}">
  <sheetPr codeName="Sheet9">
    <tabColor indexed="12"/>
    <pageSetUpPr fitToPage="1"/>
  </sheetPr>
  <dimension ref="A1:O116"/>
  <sheetViews>
    <sheetView view="pageBreakPreview" topLeftCell="EOX1" zoomScale="60" zoomScaleNormal="40" workbookViewId="0">
      <selection activeCell="I10" sqref="I10"/>
    </sheetView>
  </sheetViews>
  <sheetFormatPr defaultColWidth="18.6640625" defaultRowHeight="13.4" customHeight="1" x14ac:dyDescent="0.2"/>
  <cols>
    <col min="1" max="1" width="21.44140625" style="550" customWidth="1"/>
    <col min="2" max="2" width="45.109375" style="551" customWidth="1"/>
    <col min="3" max="3" width="8.6640625" style="532" customWidth="1"/>
    <col min="4" max="4" width="26.109375" style="203" customWidth="1"/>
    <col min="5" max="5" width="58.6640625" style="203" customWidth="1"/>
    <col min="6" max="6" width="109.6640625" style="533" bestFit="1" customWidth="1"/>
    <col min="7" max="7" width="15.109375" style="532" customWidth="1"/>
    <col min="8" max="8" width="35.6640625" style="532" customWidth="1"/>
    <col min="9" max="9" width="71.109375" style="533" customWidth="1"/>
    <col min="10" max="10" width="8.44140625" style="532" customWidth="1"/>
    <col min="11" max="11" width="62.6640625" style="532" bestFit="1" customWidth="1"/>
    <col min="12" max="13" width="36.109375" style="532" customWidth="1"/>
    <col min="14" max="15" width="9.33203125" style="533" customWidth="1"/>
    <col min="16" max="16384" width="18.6640625" style="533"/>
  </cols>
  <sheetData>
    <row r="1" spans="1:15" s="510" customFormat="1" ht="21" customHeight="1" x14ac:dyDescent="0.2">
      <c r="A1" s="152" t="s">
        <v>1</v>
      </c>
      <c r="B1" s="503"/>
      <c r="C1" s="504"/>
      <c r="D1" s="505"/>
      <c r="E1" s="506"/>
      <c r="F1" s="507"/>
      <c r="G1" s="508"/>
      <c r="H1" s="507"/>
      <c r="I1" s="508"/>
      <c r="J1" s="509"/>
      <c r="K1" s="509"/>
      <c r="L1" s="509"/>
      <c r="M1" s="509"/>
    </row>
    <row r="2" spans="1:15" s="510" customFormat="1" ht="21" customHeight="1" x14ac:dyDescent="0.2">
      <c r="A2" s="152" t="s">
        <v>37</v>
      </c>
      <c r="B2" s="503"/>
      <c r="C2" s="508"/>
      <c r="D2" s="505"/>
      <c r="E2" s="511"/>
      <c r="F2" s="507"/>
      <c r="G2" s="508"/>
      <c r="H2" s="507"/>
      <c r="I2" s="508"/>
      <c r="J2" s="509"/>
      <c r="K2" s="509"/>
      <c r="L2" s="509"/>
      <c r="M2" s="509"/>
    </row>
    <row r="3" spans="1:15" s="510" customFormat="1" ht="21" customHeight="1" thickBot="1" x14ac:dyDescent="0.25">
      <c r="A3" s="150" t="s">
        <v>2</v>
      </c>
      <c r="B3" s="503"/>
      <c r="C3" s="512"/>
      <c r="D3" s="509"/>
      <c r="E3" s="509"/>
      <c r="F3" s="509"/>
      <c r="G3" s="509"/>
      <c r="H3" s="513"/>
      <c r="I3" s="509"/>
      <c r="J3" s="509"/>
      <c r="K3" s="509"/>
      <c r="L3" s="509"/>
      <c r="M3" s="509"/>
    </row>
    <row r="4" spans="1:15" s="516" customFormat="1" ht="25.5" customHeight="1" thickBot="1" x14ac:dyDescent="0.25">
      <c r="A4" s="1090" t="s">
        <v>2158</v>
      </c>
      <c r="B4" s="1089"/>
      <c r="C4" s="1089"/>
      <c r="D4" s="1089"/>
      <c r="E4" s="1089"/>
      <c r="F4" s="1089"/>
      <c r="G4" s="1089"/>
      <c r="H4" s="1089"/>
      <c r="I4" s="1089"/>
      <c r="J4" s="1089"/>
      <c r="K4" s="514"/>
      <c r="L4" s="515"/>
      <c r="O4" s="517"/>
    </row>
    <row r="5" spans="1:15" s="523" customFormat="1" ht="28" x14ac:dyDescent="0.2">
      <c r="A5" s="518" t="s">
        <v>2159</v>
      </c>
      <c r="B5" s="519" t="s">
        <v>2160</v>
      </c>
      <c r="C5" s="520" t="s">
        <v>2161</v>
      </c>
      <c r="D5" s="472" t="s">
        <v>2162</v>
      </c>
      <c r="E5" s="975" t="s">
        <v>2163</v>
      </c>
      <c r="F5" s="200" t="s">
        <v>105</v>
      </c>
      <c r="G5" s="521" t="s">
        <v>2164</v>
      </c>
      <c r="H5" s="521" t="s">
        <v>2165</v>
      </c>
      <c r="I5" s="975" t="s">
        <v>129</v>
      </c>
      <c r="J5" s="200" t="s">
        <v>130</v>
      </c>
      <c r="K5" s="183" t="s">
        <v>2166</v>
      </c>
      <c r="L5" s="522" t="s">
        <v>2167</v>
      </c>
    </row>
    <row r="6" spans="1:15" ht="30" customHeight="1" x14ac:dyDescent="0.2">
      <c r="A6" s="524"/>
      <c r="B6" s="524"/>
      <c r="C6" s="525"/>
      <c r="D6" s="526"/>
      <c r="E6" s="526"/>
      <c r="F6" s="527"/>
      <c r="G6" s="526"/>
      <c r="H6" s="526"/>
      <c r="I6" s="528"/>
      <c r="J6" s="529"/>
      <c r="K6" s="530"/>
      <c r="L6" s="531"/>
    </row>
    <row r="7" spans="1:15" ht="39" customHeight="1" x14ac:dyDescent="0.2">
      <c r="A7" s="534"/>
      <c r="B7" s="535"/>
      <c r="C7" s="536"/>
      <c r="D7" s="344"/>
      <c r="E7" s="537"/>
      <c r="F7" s="342"/>
      <c r="G7" s="344"/>
      <c r="H7" s="344"/>
      <c r="I7" s="538"/>
      <c r="J7" s="536"/>
      <c r="K7" s="539"/>
      <c r="L7" s="343"/>
      <c r="M7" s="140"/>
    </row>
    <row r="8" spans="1:15" ht="30" customHeight="1" x14ac:dyDescent="0.2">
      <c r="A8" s="534"/>
      <c r="B8" s="540"/>
      <c r="C8" s="541"/>
      <c r="D8" s="537"/>
      <c r="E8" s="537"/>
      <c r="F8" s="1091" t="s">
        <v>2168</v>
      </c>
      <c r="G8" s="1092"/>
      <c r="H8" s="1092"/>
      <c r="I8" s="1093"/>
      <c r="J8" s="536"/>
      <c r="K8" s="539"/>
      <c r="L8" s="343"/>
      <c r="M8" s="542"/>
    </row>
    <row r="9" spans="1:15" ht="34.5" customHeight="1" x14ac:dyDescent="0.2">
      <c r="A9" s="534"/>
      <c r="B9" s="540"/>
      <c r="C9" s="536"/>
      <c r="D9" s="344"/>
      <c r="E9" s="537"/>
      <c r="F9" s="342"/>
      <c r="G9" s="344"/>
      <c r="H9" s="344"/>
      <c r="I9" s="538"/>
      <c r="J9" s="536"/>
      <c r="K9" s="539"/>
      <c r="L9" s="343"/>
      <c r="M9" s="542"/>
    </row>
    <row r="10" spans="1:15" ht="41.25" customHeight="1" x14ac:dyDescent="0.2">
      <c r="A10" s="534"/>
      <c r="B10" s="543"/>
      <c r="C10" s="536"/>
      <c r="D10" s="344"/>
      <c r="E10" s="537"/>
      <c r="F10" s="342"/>
      <c r="G10" s="344"/>
      <c r="H10" s="344"/>
      <c r="I10" s="538"/>
      <c r="J10" s="536"/>
      <c r="K10" s="539"/>
      <c r="L10" s="343"/>
      <c r="M10" s="542"/>
    </row>
    <row r="11" spans="1:15" ht="36" customHeight="1" x14ac:dyDescent="0.2">
      <c r="A11" s="534"/>
      <c r="B11" s="543"/>
      <c r="C11" s="536"/>
      <c r="D11" s="344"/>
      <c r="E11" s="537"/>
      <c r="F11" s="342"/>
      <c r="G11" s="344"/>
      <c r="H11" s="344"/>
      <c r="I11" s="538"/>
      <c r="J11" s="536"/>
      <c r="K11" s="539"/>
      <c r="L11" s="343"/>
      <c r="M11" s="203"/>
    </row>
    <row r="12" spans="1:15" ht="30" customHeight="1" x14ac:dyDescent="0.2">
      <c r="A12" s="544"/>
      <c r="B12" s="545"/>
      <c r="C12" s="546"/>
      <c r="D12" s="365"/>
      <c r="E12" s="547"/>
      <c r="F12" s="363"/>
      <c r="G12" s="365"/>
      <c r="H12" s="365"/>
      <c r="I12" s="548"/>
      <c r="J12" s="546"/>
      <c r="K12" s="549"/>
      <c r="L12" s="364"/>
      <c r="M12" s="203"/>
    </row>
    <row r="13" spans="1:15" ht="30" customHeight="1" x14ac:dyDescent="0.2">
      <c r="M13" s="140"/>
    </row>
    <row r="14" spans="1:15" ht="30" customHeight="1" x14ac:dyDescent="0.2">
      <c r="A14" s="215"/>
      <c r="M14" s="140"/>
    </row>
    <row r="15" spans="1:15" ht="30" customHeight="1" x14ac:dyDescent="0.2">
      <c r="M15" s="140"/>
    </row>
    <row r="16" spans="1:15" ht="30" customHeight="1" x14ac:dyDescent="0.2">
      <c r="M16" s="140"/>
    </row>
    <row r="17" ht="30" customHeight="1" x14ac:dyDescent="0.2"/>
    <row r="18" ht="30" customHeight="1" x14ac:dyDescent="0.2"/>
    <row r="23" ht="14" x14ac:dyDescent="0.2"/>
    <row r="24" ht="14" x14ac:dyDescent="0.2"/>
    <row r="94" ht="14" x14ac:dyDescent="0.2"/>
    <row r="116" ht="14" x14ac:dyDescent="0.2"/>
  </sheetData>
  <mergeCells count="2">
    <mergeCell ref="A4:J4"/>
    <mergeCell ref="F8:I8"/>
  </mergeCells>
  <pageMargins left="0.70866141732283472" right="0.70866141732283472" top="0.74803149606299213" bottom="0.74803149606299213" header="0.31496062992125984" footer="0.31496062992125984"/>
  <pageSetup paperSize="8" scale="33" orientation="landscape" r:id="rId1"/>
  <headerFooter>
    <oddFooter>&amp;Rprimero.com.au
ABN 96 149 964 045
31510-LST-PR-003</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tabColor indexed="12"/>
    <pageSetUpPr fitToPage="1"/>
  </sheetPr>
  <dimension ref="A1:U113"/>
  <sheetViews>
    <sheetView view="pageBreakPreview" topLeftCell="F1" zoomScale="85" zoomScaleNormal="25" zoomScaleSheetLayoutView="85" workbookViewId="0">
      <selection activeCell="C2" sqref="C2"/>
    </sheetView>
  </sheetViews>
  <sheetFormatPr defaultColWidth="18.6640625" defaultRowHeight="13.4" customHeight="1" x14ac:dyDescent="0.2"/>
  <cols>
    <col min="1" max="1" width="27.109375" style="105" customWidth="1"/>
    <col min="2" max="2" width="40.6640625" style="105" bestFit="1" customWidth="1"/>
    <col min="3" max="3" width="72.44140625" style="65" customWidth="1"/>
    <col min="4" max="4" width="16.33203125" style="105" customWidth="1"/>
    <col min="5" max="5" width="6.6640625" style="65" customWidth="1"/>
    <col min="6" max="6" width="32.44140625" style="105" bestFit="1" customWidth="1"/>
    <col min="7" max="7" width="20.33203125" style="105" customWidth="1"/>
    <col min="8" max="8" width="77.109375" style="105" bestFit="1" customWidth="1"/>
    <col min="9" max="9" width="13.6640625" style="105" customWidth="1"/>
    <col min="10" max="10" width="11.109375" style="105" customWidth="1"/>
    <col min="11" max="11" width="9" style="105" bestFit="1" customWidth="1"/>
    <col min="12" max="12" width="8.109375" style="105" bestFit="1" customWidth="1"/>
    <col min="13" max="13" width="9.44140625" style="105" customWidth="1"/>
    <col min="14" max="14" width="60.6640625" style="65" customWidth="1"/>
    <col min="15" max="15" width="69.6640625" style="111" customWidth="1"/>
    <col min="16" max="16" width="9.109375" style="105" customWidth="1"/>
    <col min="17" max="17" width="9.33203125" style="9" customWidth="1"/>
    <col min="18" max="18" width="11.44140625" style="9" bestFit="1" customWidth="1"/>
    <col min="19" max="16384" width="18.6640625" style="9"/>
  </cols>
  <sheetData>
    <row r="1" spans="1:21" s="80" customFormat="1" ht="21" customHeight="1" collapsed="1" x14ac:dyDescent="0.2">
      <c r="A1" s="19" t="s">
        <v>1</v>
      </c>
      <c r="B1" s="94"/>
      <c r="C1" s="81"/>
      <c r="D1" s="81"/>
      <c r="F1" s="94"/>
      <c r="G1" s="94"/>
      <c r="H1" s="114"/>
      <c r="I1" s="114"/>
      <c r="J1" s="115"/>
      <c r="K1" s="116"/>
      <c r="L1" s="94"/>
      <c r="M1" s="94"/>
      <c r="O1" s="35"/>
      <c r="P1" s="94"/>
      <c r="Q1" s="94"/>
      <c r="R1" s="94"/>
    </row>
    <row r="2" spans="1:21" s="80" customFormat="1" ht="21" customHeight="1" x14ac:dyDescent="0.2">
      <c r="A2" s="19" t="s">
        <v>37</v>
      </c>
      <c r="B2" s="94"/>
      <c r="C2" s="81"/>
      <c r="D2" s="81"/>
      <c r="E2" s="166"/>
      <c r="F2" s="165"/>
      <c r="G2" s="94"/>
      <c r="H2" s="164"/>
      <c r="I2" s="114"/>
      <c r="J2" s="115"/>
      <c r="K2" s="116"/>
      <c r="L2" s="94"/>
      <c r="M2" s="94"/>
      <c r="O2" s="35"/>
      <c r="P2" s="94"/>
      <c r="Q2" s="94"/>
      <c r="R2" s="94"/>
    </row>
    <row r="3" spans="1:21" s="80" customFormat="1" ht="21" customHeight="1" thickBot="1" x14ac:dyDescent="0.25">
      <c r="A3" s="80" t="s">
        <v>2</v>
      </c>
      <c r="B3" s="94"/>
      <c r="I3" s="94"/>
      <c r="O3" s="109"/>
    </row>
    <row r="4" spans="1:21" s="835" customFormat="1" ht="25.5" customHeight="1" x14ac:dyDescent="0.2">
      <c r="A4" s="1096" t="s">
        <v>2169</v>
      </c>
      <c r="B4" s="1097"/>
      <c r="C4" s="1097"/>
      <c r="D4" s="1097"/>
      <c r="E4" s="1097"/>
      <c r="F4" s="1097"/>
      <c r="G4" s="1097"/>
      <c r="H4" s="1097"/>
      <c r="I4" s="1097"/>
      <c r="J4" s="1097"/>
      <c r="K4" s="1097"/>
      <c r="L4" s="1097"/>
      <c r="M4" s="1097"/>
      <c r="N4" s="1097"/>
      <c r="O4" s="1097"/>
      <c r="P4" s="1098"/>
      <c r="Q4" s="21"/>
    </row>
    <row r="5" spans="1:21" s="102" customFormat="1" ht="30" customHeight="1" x14ac:dyDescent="0.2">
      <c r="A5" s="997"/>
      <c r="B5" s="998"/>
      <c r="C5" s="998"/>
      <c r="D5" s="1099" t="s">
        <v>115</v>
      </c>
      <c r="E5" s="1105" t="s">
        <v>2170</v>
      </c>
      <c r="F5" s="1106"/>
      <c r="G5" s="1106"/>
      <c r="H5" s="1107"/>
      <c r="I5" s="1101" t="s">
        <v>2171</v>
      </c>
      <c r="J5" s="1101" t="s">
        <v>2172</v>
      </c>
      <c r="K5" s="1102" t="s">
        <v>2173</v>
      </c>
      <c r="L5" s="1103"/>
      <c r="M5" s="1104"/>
      <c r="N5" s="998"/>
      <c r="O5" s="998"/>
      <c r="P5" s="1002"/>
      <c r="Q5" s="21"/>
      <c r="R5"/>
      <c r="S5"/>
      <c r="T5"/>
      <c r="U5"/>
    </row>
    <row r="6" spans="1:21" s="102" customFormat="1" ht="18" x14ac:dyDescent="0.2">
      <c r="A6" s="971" t="s">
        <v>103</v>
      </c>
      <c r="B6" s="967" t="s">
        <v>104</v>
      </c>
      <c r="C6" s="967" t="s">
        <v>2174</v>
      </c>
      <c r="D6" s="1100"/>
      <c r="E6" s="966" t="s">
        <v>1324</v>
      </c>
      <c r="F6" s="966" t="s">
        <v>2175</v>
      </c>
      <c r="G6" s="565" t="s">
        <v>115</v>
      </c>
      <c r="H6" s="969" t="s">
        <v>105</v>
      </c>
      <c r="I6" s="1057"/>
      <c r="J6" s="1057"/>
      <c r="K6" s="74" t="s">
        <v>2176</v>
      </c>
      <c r="L6" s="1001" t="s">
        <v>113</v>
      </c>
      <c r="M6" s="87" t="s">
        <v>114</v>
      </c>
      <c r="N6" s="978" t="s">
        <v>2177</v>
      </c>
      <c r="O6" s="967" t="s">
        <v>129</v>
      </c>
      <c r="P6" s="967" t="s">
        <v>130</v>
      </c>
      <c r="Q6" s="241"/>
      <c r="R6"/>
      <c r="S6"/>
      <c r="T6"/>
      <c r="U6"/>
    </row>
    <row r="7" spans="1:21" s="21" customFormat="1" ht="30" customHeight="1" x14ac:dyDescent="0.2">
      <c r="A7" s="786" t="s">
        <v>2178</v>
      </c>
      <c r="B7" s="324" t="s">
        <v>134</v>
      </c>
      <c r="C7" s="264" t="s">
        <v>2179</v>
      </c>
      <c r="D7" s="197" t="s">
        <v>213</v>
      </c>
      <c r="E7" s="264">
        <v>1</v>
      </c>
      <c r="F7" s="264" t="s">
        <v>2180</v>
      </c>
      <c r="G7" s="197" t="s">
        <v>213</v>
      </c>
      <c r="H7" s="605" t="s">
        <v>2181</v>
      </c>
      <c r="I7" s="265"/>
      <c r="J7" s="265"/>
      <c r="K7" s="383"/>
      <c r="L7" s="384"/>
      <c r="M7" s="385"/>
      <c r="N7" s="1108" t="s">
        <v>2182</v>
      </c>
      <c r="O7" s="325"/>
      <c r="P7" s="834">
        <v>2</v>
      </c>
      <c r="R7"/>
      <c r="S7"/>
      <c r="T7"/>
      <c r="U7"/>
    </row>
    <row r="8" spans="1:21" s="21" customFormat="1" ht="30" customHeight="1" x14ac:dyDescent="0.2">
      <c r="A8" s="326"/>
      <c r="B8" s="326"/>
      <c r="C8" s="332"/>
      <c r="D8" s="326"/>
      <c r="E8" s="332">
        <v>2</v>
      </c>
      <c r="F8" s="332" t="s">
        <v>275</v>
      </c>
      <c r="G8" s="603" t="s">
        <v>213</v>
      </c>
      <c r="H8" s="606" t="s">
        <v>2183</v>
      </c>
      <c r="I8" s="333"/>
      <c r="J8" s="328"/>
      <c r="K8" s="386"/>
      <c r="L8" s="386"/>
      <c r="M8" s="387"/>
      <c r="N8" s="1109"/>
      <c r="O8" s="327"/>
      <c r="P8" s="465" t="s">
        <v>175</v>
      </c>
      <c r="R8"/>
      <c r="S8"/>
      <c r="T8"/>
      <c r="U8"/>
    </row>
    <row r="9" spans="1:21" s="21" customFormat="1" ht="30" customHeight="1" x14ac:dyDescent="0.2">
      <c r="A9" s="303"/>
      <c r="B9" s="329"/>
      <c r="C9" s="267"/>
      <c r="D9" s="379"/>
      <c r="E9" s="380">
        <v>3</v>
      </c>
      <c r="F9" s="267" t="s">
        <v>280</v>
      </c>
      <c r="G9" s="199" t="s">
        <v>213</v>
      </c>
      <c r="H9" s="607" t="s">
        <v>2184</v>
      </c>
      <c r="I9" s="381"/>
      <c r="J9" s="258" t="s">
        <v>131</v>
      </c>
      <c r="K9" s="388"/>
      <c r="L9" s="389"/>
      <c r="M9" s="390"/>
      <c r="N9" s="1110"/>
      <c r="O9" s="330"/>
      <c r="P9" s="466" t="s">
        <v>175</v>
      </c>
      <c r="R9"/>
      <c r="S9"/>
      <c r="T9"/>
      <c r="U9"/>
    </row>
    <row r="10" spans="1:21" s="21" customFormat="1" ht="56.15" customHeight="1" x14ac:dyDescent="0.2">
      <c r="A10" s="1003" t="s">
        <v>2185</v>
      </c>
      <c r="B10" s="331" t="s">
        <v>134</v>
      </c>
      <c r="C10" s="196" t="s">
        <v>2186</v>
      </c>
      <c r="D10" s="196" t="s">
        <v>2187</v>
      </c>
      <c r="E10" s="196"/>
      <c r="F10" s="196"/>
      <c r="G10" s="196"/>
      <c r="H10" s="432"/>
      <c r="I10" s="196"/>
      <c r="J10" s="196"/>
      <c r="K10" s="196"/>
      <c r="L10" s="432"/>
      <c r="M10" s="196"/>
      <c r="N10" s="787" t="s">
        <v>2188</v>
      </c>
      <c r="O10" s="983" t="s">
        <v>2189</v>
      </c>
      <c r="P10" s="834">
        <v>2</v>
      </c>
      <c r="Q10"/>
      <c r="R10"/>
      <c r="S10"/>
      <c r="T10"/>
      <c r="U10"/>
    </row>
    <row r="11" spans="1:21" s="21" customFormat="1" ht="30" customHeight="1" x14ac:dyDescent="0.3">
      <c r="A11" s="195"/>
      <c r="B11" s="445"/>
      <c r="C11" s="445"/>
      <c r="D11" s="446"/>
      <c r="E11" s="195"/>
      <c r="F11" s="195"/>
      <c r="G11" s="195"/>
      <c r="H11" s="445"/>
      <c r="I11" s="195"/>
      <c r="J11" s="195"/>
      <c r="K11" s="195"/>
      <c r="L11" s="425"/>
      <c r="M11" s="195"/>
      <c r="N11" s="428"/>
      <c r="O11" s="985" t="s">
        <v>2190</v>
      </c>
      <c r="P11" s="199">
        <v>0</v>
      </c>
      <c r="Q11"/>
      <c r="R11"/>
      <c r="S11"/>
      <c r="T11"/>
      <c r="U11"/>
    </row>
    <row r="12" spans="1:21" s="21" customFormat="1" ht="35.5" customHeight="1" x14ac:dyDescent="0.2">
      <c r="A12" s="1004" t="s">
        <v>2191</v>
      </c>
      <c r="B12" s="331" t="s">
        <v>134</v>
      </c>
      <c r="C12" s="443" t="s">
        <v>2192</v>
      </c>
      <c r="D12" s="196" t="s">
        <v>2193</v>
      </c>
      <c r="E12" s="196"/>
      <c r="F12" s="196"/>
      <c r="G12" s="431"/>
      <c r="H12" s="449"/>
      <c r="I12" s="441"/>
      <c r="J12" s="441"/>
      <c r="K12" s="441"/>
      <c r="L12" s="442"/>
      <c r="M12" s="443"/>
      <c r="N12" s="788" t="s">
        <v>2194</v>
      </c>
      <c r="O12" s="444" t="s">
        <v>2195</v>
      </c>
      <c r="P12" s="834">
        <v>2</v>
      </c>
      <c r="Q12"/>
      <c r="R12"/>
      <c r="S12"/>
      <c r="T12"/>
      <c r="U12"/>
    </row>
    <row r="13" spans="1:21" s="21" customFormat="1" ht="33.65" customHeight="1" x14ac:dyDescent="0.3">
      <c r="A13" s="1005"/>
      <c r="B13" s="434"/>
      <c r="C13" s="435"/>
      <c r="D13" s="436"/>
      <c r="E13" s="437"/>
      <c r="F13" s="437"/>
      <c r="G13" s="596"/>
      <c r="H13" s="435"/>
      <c r="I13" s="437"/>
      <c r="J13" s="437"/>
      <c r="K13" s="437"/>
      <c r="L13" s="438"/>
      <c r="M13" s="439"/>
      <c r="N13" s="440"/>
      <c r="O13" s="985" t="s">
        <v>2190</v>
      </c>
      <c r="P13" s="199">
        <v>0</v>
      </c>
      <c r="Q13"/>
      <c r="R13"/>
      <c r="S13"/>
      <c r="T13"/>
      <c r="U13"/>
    </row>
    <row r="14" spans="1:21" s="21" customFormat="1" ht="60.65" customHeight="1" x14ac:dyDescent="0.2">
      <c r="A14" s="1003" t="s">
        <v>2196</v>
      </c>
      <c r="B14" s="331" t="s">
        <v>134</v>
      </c>
      <c r="C14" s="197" t="s">
        <v>2197</v>
      </c>
      <c r="D14" s="621" t="s">
        <v>2198</v>
      </c>
      <c r="E14" s="196">
        <v>1</v>
      </c>
      <c r="F14" s="196" t="s">
        <v>2199</v>
      </c>
      <c r="G14" s="431" t="s">
        <v>180</v>
      </c>
      <c r="H14" s="449" t="s">
        <v>2200</v>
      </c>
      <c r="I14" s="196"/>
      <c r="J14" s="196"/>
      <c r="K14" s="196"/>
      <c r="L14" s="597"/>
      <c r="M14" s="197"/>
      <c r="N14" s="1108" t="s">
        <v>2201</v>
      </c>
      <c r="O14" s="983" t="s">
        <v>2202</v>
      </c>
      <c r="P14" s="834">
        <v>2</v>
      </c>
      <c r="Q14"/>
      <c r="R14"/>
      <c r="S14"/>
      <c r="T14"/>
      <c r="U14"/>
    </row>
    <row r="15" spans="1:21" s="21" customFormat="1" ht="34.5" customHeight="1" x14ac:dyDescent="0.3">
      <c r="A15" s="1006"/>
      <c r="B15" s="598"/>
      <c r="C15" s="603"/>
      <c r="D15" s="622"/>
      <c r="E15" s="600">
        <v>2</v>
      </c>
      <c r="F15" s="600" t="s">
        <v>2203</v>
      </c>
      <c r="G15" s="601" t="s">
        <v>180</v>
      </c>
      <c r="H15" s="599" t="s">
        <v>2204</v>
      </c>
      <c r="I15" s="600"/>
      <c r="J15" s="600"/>
      <c r="K15" s="600"/>
      <c r="L15" s="602"/>
      <c r="M15" s="603"/>
      <c r="N15" s="1109"/>
      <c r="O15" s="984"/>
      <c r="P15" s="984" t="s">
        <v>204</v>
      </c>
      <c r="Q15"/>
      <c r="R15"/>
      <c r="S15"/>
      <c r="T15"/>
      <c r="U15"/>
    </row>
    <row r="16" spans="1:21" s="21" customFormat="1" ht="55" customHeight="1" x14ac:dyDescent="0.3">
      <c r="A16" s="1007"/>
      <c r="B16" s="447"/>
      <c r="C16" s="199"/>
      <c r="D16" s="623"/>
      <c r="E16" s="195">
        <v>3</v>
      </c>
      <c r="F16" s="195" t="s">
        <v>2205</v>
      </c>
      <c r="G16" s="450" t="s">
        <v>193</v>
      </c>
      <c r="H16" s="445" t="s">
        <v>2206</v>
      </c>
      <c r="I16" s="195"/>
      <c r="J16" s="195"/>
      <c r="K16" s="195"/>
      <c r="L16" s="448"/>
      <c r="M16" s="199"/>
      <c r="N16" s="1110"/>
      <c r="O16" s="985" t="s">
        <v>2207</v>
      </c>
      <c r="P16" s="985">
        <v>0</v>
      </c>
      <c r="Q16"/>
      <c r="R16"/>
      <c r="S16"/>
      <c r="T16"/>
      <c r="U16"/>
    </row>
    <row r="17" spans="1:21" s="21" customFormat="1" ht="48.65" customHeight="1" x14ac:dyDescent="0.2">
      <c r="A17" s="1003" t="s">
        <v>2208</v>
      </c>
      <c r="B17" s="331" t="s">
        <v>134</v>
      </c>
      <c r="C17" s="197" t="s">
        <v>2209</v>
      </c>
      <c r="D17" s="197" t="s">
        <v>2198</v>
      </c>
      <c r="E17" s="196">
        <v>1</v>
      </c>
      <c r="F17" s="196" t="s">
        <v>2199</v>
      </c>
      <c r="G17" s="431" t="s">
        <v>180</v>
      </c>
      <c r="H17" s="449" t="s">
        <v>2200</v>
      </c>
      <c r="I17" s="196"/>
      <c r="J17" s="196"/>
      <c r="K17" s="196"/>
      <c r="L17" s="597"/>
      <c r="M17" s="197"/>
      <c r="N17" s="1108" t="s">
        <v>2210</v>
      </c>
      <c r="O17" s="983" t="s">
        <v>2211</v>
      </c>
      <c r="P17" s="834">
        <v>2</v>
      </c>
      <c r="Q17"/>
      <c r="R17"/>
      <c r="S17"/>
      <c r="T17"/>
      <c r="U17"/>
    </row>
    <row r="18" spans="1:21" s="21" customFormat="1" ht="30" customHeight="1" x14ac:dyDescent="0.3">
      <c r="A18" s="1006"/>
      <c r="B18" s="598"/>
      <c r="C18" s="599"/>
      <c r="D18" s="604"/>
      <c r="E18" s="600">
        <v>2</v>
      </c>
      <c r="F18" s="600" t="s">
        <v>2212</v>
      </c>
      <c r="G18" s="601" t="s">
        <v>180</v>
      </c>
      <c r="H18" s="599" t="s">
        <v>2213</v>
      </c>
      <c r="I18" s="600"/>
      <c r="J18" s="600"/>
      <c r="K18" s="600"/>
      <c r="L18" s="602"/>
      <c r="M18" s="603"/>
      <c r="N18" s="1109"/>
      <c r="O18" s="984"/>
      <c r="P18" s="984" t="s">
        <v>204</v>
      </c>
      <c r="Q18"/>
      <c r="R18"/>
      <c r="S18"/>
      <c r="T18"/>
      <c r="U18"/>
    </row>
    <row r="19" spans="1:21" s="21" customFormat="1" ht="52" customHeight="1" x14ac:dyDescent="0.3">
      <c r="A19" s="1007"/>
      <c r="B19" s="447"/>
      <c r="C19" s="445"/>
      <c r="D19" s="446"/>
      <c r="E19" s="195">
        <v>3</v>
      </c>
      <c r="F19" s="195" t="s">
        <v>2205</v>
      </c>
      <c r="G19" s="450" t="s">
        <v>193</v>
      </c>
      <c r="H19" s="445" t="s">
        <v>2206</v>
      </c>
      <c r="I19" s="195"/>
      <c r="J19" s="195"/>
      <c r="K19" s="195"/>
      <c r="L19" s="448"/>
      <c r="M19" s="199"/>
      <c r="N19" s="1110"/>
      <c r="O19" s="985" t="s">
        <v>2207</v>
      </c>
      <c r="P19" s="985">
        <v>0</v>
      </c>
      <c r="Q19"/>
      <c r="R19"/>
      <c r="S19"/>
      <c r="T19"/>
      <c r="U19"/>
    </row>
    <row r="20" spans="1:21" s="21" customFormat="1" ht="36" customHeight="1" x14ac:dyDescent="0.2">
      <c r="A20" s="1003" t="s">
        <v>1447</v>
      </c>
      <c r="B20" s="331" t="s">
        <v>134</v>
      </c>
      <c r="C20" s="197" t="s">
        <v>2214</v>
      </c>
      <c r="D20" s="196" t="s">
        <v>180</v>
      </c>
      <c r="E20" s="196"/>
      <c r="F20" s="196"/>
      <c r="G20" s="431"/>
      <c r="H20" s="449"/>
      <c r="I20" s="196"/>
      <c r="J20" s="196"/>
      <c r="K20" s="196"/>
      <c r="L20" s="597"/>
      <c r="M20" s="197"/>
      <c r="N20" s="1111" t="s">
        <v>2215</v>
      </c>
      <c r="O20" s="983"/>
      <c r="P20" s="834">
        <v>2</v>
      </c>
      <c r="Q20"/>
      <c r="R20"/>
      <c r="S20"/>
      <c r="T20"/>
      <c r="U20"/>
    </row>
    <row r="21" spans="1:21" s="21" customFormat="1" ht="86.5" customHeight="1" x14ac:dyDescent="0.3">
      <c r="A21" s="1006"/>
      <c r="B21" s="598"/>
      <c r="C21" s="599"/>
      <c r="D21" s="604"/>
      <c r="E21" s="600">
        <v>1</v>
      </c>
      <c r="F21" s="600" t="s">
        <v>2216</v>
      </c>
      <c r="G21" s="601" t="s">
        <v>180</v>
      </c>
      <c r="H21" s="599" t="s">
        <v>2217</v>
      </c>
      <c r="I21" s="600"/>
      <c r="J21" s="600"/>
      <c r="K21" s="608"/>
      <c r="L21" s="609"/>
      <c r="M21" s="610"/>
      <c r="N21" s="1112"/>
      <c r="O21" s="984" t="s">
        <v>2218</v>
      </c>
      <c r="P21" s="984" t="s">
        <v>204</v>
      </c>
      <c r="Q21"/>
      <c r="R21"/>
      <c r="S21"/>
      <c r="T21"/>
      <c r="U21"/>
    </row>
    <row r="22" spans="1:21" s="21" customFormat="1" ht="47.25" customHeight="1" x14ac:dyDescent="0.3">
      <c r="A22" s="1006"/>
      <c r="B22" s="598"/>
      <c r="C22" s="599"/>
      <c r="D22" s="604"/>
      <c r="E22" s="600">
        <v>2</v>
      </c>
      <c r="F22" s="600" t="s">
        <v>2219</v>
      </c>
      <c r="G22" s="601" t="s">
        <v>180</v>
      </c>
      <c r="H22" s="599" t="s">
        <v>2214</v>
      </c>
      <c r="I22" s="600"/>
      <c r="J22" s="600" t="s">
        <v>131</v>
      </c>
      <c r="K22" s="608"/>
      <c r="L22" s="609"/>
      <c r="M22" s="610"/>
      <c r="N22" s="1112"/>
      <c r="O22" s="984"/>
      <c r="P22" s="984" t="s">
        <v>204</v>
      </c>
      <c r="Q22"/>
      <c r="R22"/>
      <c r="S22"/>
      <c r="T22"/>
      <c r="U22"/>
    </row>
    <row r="23" spans="1:21" s="21" customFormat="1" ht="30" customHeight="1" x14ac:dyDescent="0.3">
      <c r="A23" s="1007"/>
      <c r="B23" s="447"/>
      <c r="C23" s="445"/>
      <c r="D23" s="446"/>
      <c r="E23" s="195">
        <v>3</v>
      </c>
      <c r="F23" s="195" t="s">
        <v>2220</v>
      </c>
      <c r="G23" s="450" t="s">
        <v>180</v>
      </c>
      <c r="H23" s="445" t="s">
        <v>2221</v>
      </c>
      <c r="I23" s="195"/>
      <c r="J23" s="195"/>
      <c r="K23" s="611"/>
      <c r="L23" s="612"/>
      <c r="M23" s="613"/>
      <c r="N23" s="1113"/>
      <c r="O23" s="985"/>
      <c r="P23" s="985" t="s">
        <v>204</v>
      </c>
      <c r="Q23"/>
      <c r="R23"/>
      <c r="S23"/>
      <c r="T23"/>
      <c r="U23"/>
    </row>
    <row r="24" spans="1:21" s="21" customFormat="1" ht="69.650000000000006" customHeight="1" x14ac:dyDescent="0.2">
      <c r="A24" s="1003" t="s">
        <v>2222</v>
      </c>
      <c r="B24" s="331" t="s">
        <v>134</v>
      </c>
      <c r="C24" s="197" t="s">
        <v>2223</v>
      </c>
      <c r="D24" s="196" t="s">
        <v>180</v>
      </c>
      <c r="E24" s="196">
        <v>1</v>
      </c>
      <c r="F24" s="196" t="s">
        <v>1443</v>
      </c>
      <c r="G24" s="431" t="s">
        <v>180</v>
      </c>
      <c r="H24" s="657" t="s">
        <v>2224</v>
      </c>
      <c r="I24" s="196"/>
      <c r="J24" s="196" t="s">
        <v>131</v>
      </c>
      <c r="K24" s="658"/>
      <c r="L24" s="659"/>
      <c r="M24" s="660"/>
      <c r="N24" s="1094" t="s">
        <v>2225</v>
      </c>
      <c r="O24" s="983" t="s">
        <v>2226</v>
      </c>
      <c r="P24" s="834">
        <v>2</v>
      </c>
      <c r="Q24"/>
      <c r="R24"/>
      <c r="S24"/>
      <c r="T24"/>
      <c r="U24"/>
    </row>
    <row r="25" spans="1:21" s="21" customFormat="1" ht="30" customHeight="1" x14ac:dyDescent="0.2">
      <c r="A25" s="379"/>
      <c r="B25" s="661"/>
      <c r="C25" s="662"/>
      <c r="D25" s="379"/>
      <c r="E25" s="195">
        <v>2</v>
      </c>
      <c r="F25" s="195" t="s">
        <v>2220</v>
      </c>
      <c r="G25" s="450" t="s">
        <v>180</v>
      </c>
      <c r="H25" s="445" t="s">
        <v>2221</v>
      </c>
      <c r="I25" s="381"/>
      <c r="J25" s="381"/>
      <c r="K25" s="608"/>
      <c r="L25" s="609"/>
      <c r="M25" s="610"/>
      <c r="N25" s="1095"/>
      <c r="O25" s="267"/>
      <c r="P25" s="985" t="s">
        <v>204</v>
      </c>
      <c r="R25"/>
      <c r="S25"/>
      <c r="T25"/>
      <c r="U25"/>
    </row>
    <row r="26" spans="1:21" s="21" customFormat="1" ht="47.25" customHeight="1" x14ac:dyDescent="0.2">
      <c r="A26" s="1003" t="s">
        <v>2227</v>
      </c>
      <c r="B26" s="331" t="s">
        <v>134</v>
      </c>
      <c r="C26" s="197" t="s">
        <v>2228</v>
      </c>
      <c r="D26" s="196" t="s">
        <v>180</v>
      </c>
      <c r="E26" s="196">
        <v>1</v>
      </c>
      <c r="F26" s="196" t="s">
        <v>1442</v>
      </c>
      <c r="G26" s="431" t="s">
        <v>180</v>
      </c>
      <c r="H26" s="657" t="s">
        <v>2229</v>
      </c>
      <c r="I26" s="196"/>
      <c r="J26" s="196" t="s">
        <v>131</v>
      </c>
      <c r="K26" s="658"/>
      <c r="L26" s="659"/>
      <c r="M26" s="660"/>
      <c r="N26" s="1094" t="s">
        <v>2230</v>
      </c>
      <c r="O26" s="983"/>
      <c r="P26" s="834">
        <v>2</v>
      </c>
      <c r="Q26"/>
      <c r="R26"/>
      <c r="S26"/>
      <c r="T26"/>
      <c r="U26"/>
    </row>
    <row r="27" spans="1:21" s="21" customFormat="1" ht="30" customHeight="1" x14ac:dyDescent="0.2">
      <c r="A27" s="379"/>
      <c r="B27" s="661"/>
      <c r="C27" s="662"/>
      <c r="D27" s="379"/>
      <c r="E27" s="195">
        <v>2</v>
      </c>
      <c r="F27" s="195" t="s">
        <v>2220</v>
      </c>
      <c r="G27" s="450" t="s">
        <v>180</v>
      </c>
      <c r="H27" s="445" t="s">
        <v>2221</v>
      </c>
      <c r="I27" s="381"/>
      <c r="J27" s="381"/>
      <c r="K27" s="611"/>
      <c r="L27" s="612"/>
      <c r="M27" s="613"/>
      <c r="N27" s="1095"/>
      <c r="O27" s="267"/>
      <c r="P27" s="985" t="s">
        <v>204</v>
      </c>
      <c r="R27"/>
      <c r="S27"/>
      <c r="T27"/>
      <c r="U27"/>
    </row>
    <row r="28" spans="1:21" s="2" customFormat="1" ht="14" x14ac:dyDescent="0.2">
      <c r="A28" s="3"/>
      <c r="C28" s="21"/>
      <c r="D28" s="22"/>
      <c r="E28" s="21"/>
      <c r="F28" s="22"/>
      <c r="G28" s="22"/>
      <c r="H28" s="21"/>
      <c r="I28" s="22"/>
      <c r="J28" s="22"/>
      <c r="K28" s="22"/>
      <c r="L28" s="22"/>
      <c r="M28" s="22"/>
      <c r="N28" s="21"/>
      <c r="O28" s="66"/>
      <c r="P28" s="22"/>
      <c r="R28"/>
      <c r="S28"/>
      <c r="T28"/>
      <c r="U28"/>
    </row>
    <row r="29" spans="1:21" ht="13.4" customHeight="1" x14ac:dyDescent="0.2">
      <c r="A29" s="22">
        <v>8</v>
      </c>
      <c r="B29" s="22">
        <v>8</v>
      </c>
      <c r="Q29" s="69"/>
      <c r="R29"/>
      <c r="S29"/>
      <c r="T29"/>
      <c r="U29"/>
    </row>
    <row r="30" spans="1:21" ht="13.4" customHeight="1" x14ac:dyDescent="0.2">
      <c r="Q30" s="69"/>
      <c r="R30"/>
      <c r="S30"/>
      <c r="T30"/>
      <c r="U30"/>
    </row>
    <row r="31" spans="1:21" ht="13.4" customHeight="1" x14ac:dyDescent="0.2">
      <c r="Q31" s="69"/>
      <c r="R31"/>
      <c r="S31"/>
      <c r="T31"/>
      <c r="U31"/>
    </row>
    <row r="32" spans="1:21" ht="13.4" customHeight="1" x14ac:dyDescent="0.2">
      <c r="Q32" s="69"/>
      <c r="R32"/>
      <c r="S32"/>
      <c r="T32"/>
      <c r="U32"/>
    </row>
    <row r="33" spans="18:21" ht="13.4" customHeight="1" x14ac:dyDescent="0.2">
      <c r="R33"/>
      <c r="S33"/>
      <c r="T33"/>
      <c r="U33"/>
    </row>
    <row r="34" spans="18:21" ht="13.4" customHeight="1" x14ac:dyDescent="0.2">
      <c r="R34"/>
      <c r="S34"/>
      <c r="T34"/>
      <c r="U34"/>
    </row>
    <row r="35" spans="18:21" ht="13.4" customHeight="1" x14ac:dyDescent="0.2">
      <c r="R35"/>
      <c r="S35"/>
      <c r="T35"/>
      <c r="U35"/>
    </row>
    <row r="91" ht="12.5" x14ac:dyDescent="0.2"/>
    <row r="113" ht="12.5" x14ac:dyDescent="0.2"/>
  </sheetData>
  <mergeCells count="12">
    <mergeCell ref="N24:N25"/>
    <mergeCell ref="N26:N27"/>
    <mergeCell ref="A4:P4"/>
    <mergeCell ref="D5:D6"/>
    <mergeCell ref="J5:J6"/>
    <mergeCell ref="K5:M5"/>
    <mergeCell ref="E5:H5"/>
    <mergeCell ref="I5:I6"/>
    <mergeCell ref="N17:N19"/>
    <mergeCell ref="N14:N16"/>
    <mergeCell ref="N7:N9"/>
    <mergeCell ref="N20:N23"/>
  </mergeCells>
  <phoneticPr fontId="0" type="noConversion"/>
  <conditionalFormatting sqref="A7:A12">
    <cfRule type="expression" dxfId="8" priority="1">
      <formula>LEN(A7)&gt;16</formula>
    </cfRule>
  </conditionalFormatting>
  <conditionalFormatting sqref="C7:C27">
    <cfRule type="expression" dxfId="7" priority="3706">
      <formula>LEN(C7)&gt;32</formula>
    </cfRule>
    <cfRule type="duplicateValues" dxfId="6" priority="3707"/>
  </conditionalFormatting>
  <printOptions horizontalCentered="1"/>
  <pageMargins left="0.39370078740157483" right="0.39370078740157483" top="0.59055118110236227" bottom="0.59055118110236227" header="0.59055118110236227" footer="0.39370078740157483"/>
  <pageSetup paperSize="8" scale="36" fitToHeight="0" orientation="landscape" r:id="rId1"/>
  <headerFooter scaleWithDoc="0"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0BBCE-DEBB-4134-AA3E-8752040549A3}">
  <sheetPr codeName="Sheet19">
    <tabColor rgb="FF0000FF"/>
    <pageSetUpPr fitToPage="1"/>
  </sheetPr>
  <dimension ref="A1:K33"/>
  <sheetViews>
    <sheetView view="pageBreakPreview" topLeftCell="A23" zoomScale="115" zoomScaleNormal="25" zoomScaleSheetLayoutView="115" workbookViewId="0">
      <selection activeCell="I23" sqref="I23"/>
    </sheetView>
  </sheetViews>
  <sheetFormatPr defaultColWidth="9.33203125" defaultRowHeight="10" x14ac:dyDescent="0.2"/>
  <cols>
    <col min="1" max="1" width="34.33203125" style="202" customWidth="1"/>
    <col min="2" max="2" width="41.33203125" style="202" customWidth="1"/>
    <col min="3" max="3" width="59.6640625" style="202" customWidth="1"/>
    <col min="4" max="4" width="15" style="202" customWidth="1"/>
    <col min="5" max="6" width="17" style="202" customWidth="1"/>
    <col min="7" max="7" width="16.33203125" style="202" customWidth="1"/>
    <col min="8" max="8" width="12.33203125" style="202" customWidth="1"/>
    <col min="9" max="9" width="86.44140625" style="202" customWidth="1"/>
    <col min="10" max="10" width="8.6640625" style="202" customWidth="1"/>
    <col min="11" max="16384" width="9.33203125" style="202"/>
  </cols>
  <sheetData>
    <row r="1" spans="1:11" ht="18" x14ac:dyDescent="0.2">
      <c r="A1" s="19" t="s">
        <v>1</v>
      </c>
      <c r="B1" s="151"/>
      <c r="C1" s="152"/>
      <c r="D1" s="106"/>
      <c r="E1" s="106"/>
      <c r="F1" s="106"/>
      <c r="G1" s="106"/>
      <c r="H1" s="106"/>
      <c r="I1" s="106"/>
      <c r="J1" s="1013"/>
    </row>
    <row r="2" spans="1:11" ht="18" x14ac:dyDescent="0.2">
      <c r="A2" s="19" t="s">
        <v>37</v>
      </c>
      <c r="B2" s="151"/>
      <c r="C2" s="1014"/>
      <c r="D2" s="1114"/>
      <c r="E2" s="1114"/>
      <c r="F2" s="1114"/>
      <c r="G2" s="151"/>
      <c r="H2" s="151"/>
      <c r="I2" s="106"/>
      <c r="J2" s="1013"/>
    </row>
    <row r="3" spans="1:11" ht="18.5" thickBot="1" x14ac:dyDescent="0.25">
      <c r="A3" s="80" t="s">
        <v>2</v>
      </c>
      <c r="B3" s="152"/>
      <c r="C3" s="1015"/>
      <c r="D3" s="106"/>
      <c r="E3" s="106"/>
      <c r="F3" s="106"/>
      <c r="G3" s="106"/>
      <c r="H3" s="106"/>
      <c r="I3" s="106"/>
      <c r="J3" s="150"/>
    </row>
    <row r="4" spans="1:11" ht="10.5" customHeight="1" x14ac:dyDescent="0.2">
      <c r="A4" s="1115" t="s">
        <v>2231</v>
      </c>
      <c r="B4" s="1116"/>
      <c r="C4" s="1116"/>
      <c r="D4" s="1116"/>
      <c r="E4" s="1116"/>
      <c r="F4" s="1116"/>
      <c r="G4" s="1116"/>
      <c r="H4" s="1116"/>
      <c r="I4" s="1116"/>
      <c r="J4" s="1117"/>
    </row>
    <row r="5" spans="1:11" ht="10.5" customHeight="1" thickBot="1" x14ac:dyDescent="0.25">
      <c r="A5" s="1118"/>
      <c r="B5" s="1119"/>
      <c r="C5" s="1119"/>
      <c r="D5" s="1119"/>
      <c r="E5" s="1119"/>
      <c r="F5" s="1119"/>
      <c r="G5" s="1119"/>
      <c r="H5" s="1119"/>
      <c r="I5" s="1119"/>
      <c r="J5" s="1120"/>
    </row>
    <row r="6" spans="1:11" ht="56" x14ac:dyDescent="0.2">
      <c r="A6" s="213" t="s">
        <v>103</v>
      </c>
      <c r="B6" s="212" t="s">
        <v>104</v>
      </c>
      <c r="C6" s="212" t="s">
        <v>105</v>
      </c>
      <c r="D6" s="212" t="s">
        <v>2232</v>
      </c>
      <c r="E6" s="212" t="s">
        <v>427</v>
      </c>
      <c r="F6" s="212" t="s">
        <v>2233</v>
      </c>
      <c r="G6" s="212" t="s">
        <v>428</v>
      </c>
      <c r="H6" s="212" t="s">
        <v>128</v>
      </c>
      <c r="I6" s="212" t="s">
        <v>129</v>
      </c>
      <c r="J6" s="212" t="s">
        <v>130</v>
      </c>
    </row>
    <row r="7" spans="1:11" ht="80.150000000000006" customHeight="1" x14ac:dyDescent="0.2">
      <c r="A7" s="792" t="s">
        <v>2234</v>
      </c>
      <c r="B7" s="452" t="s">
        <v>134</v>
      </c>
      <c r="C7" s="656" t="s">
        <v>2235</v>
      </c>
      <c r="D7" s="403" t="s">
        <v>2236</v>
      </c>
      <c r="E7" s="403" t="s">
        <v>2236</v>
      </c>
      <c r="F7" s="403" t="s">
        <v>2236</v>
      </c>
      <c r="G7" s="403" t="s">
        <v>2236</v>
      </c>
      <c r="H7" s="403" t="s">
        <v>2236</v>
      </c>
      <c r="I7" s="198" t="s">
        <v>2237</v>
      </c>
      <c r="J7" s="733">
        <v>2</v>
      </c>
      <c r="K7" s="378"/>
    </row>
    <row r="8" spans="1:11" ht="66" customHeight="1" x14ac:dyDescent="0.2">
      <c r="A8" s="792" t="s">
        <v>2238</v>
      </c>
      <c r="B8" s="305" t="s">
        <v>134</v>
      </c>
      <c r="C8" s="306" t="s">
        <v>2239</v>
      </c>
      <c r="D8" s="307" t="s">
        <v>2236</v>
      </c>
      <c r="E8" s="307" t="s">
        <v>2236</v>
      </c>
      <c r="F8" s="307" t="s">
        <v>2236</v>
      </c>
      <c r="G8" s="307" t="s">
        <v>2236</v>
      </c>
      <c r="H8" s="307" t="s">
        <v>2236</v>
      </c>
      <c r="I8" s="789" t="s">
        <v>2240</v>
      </c>
      <c r="J8" s="733">
        <v>2</v>
      </c>
      <c r="K8" s="378"/>
    </row>
    <row r="9" spans="1:11" ht="192" customHeight="1" x14ac:dyDescent="0.2">
      <c r="A9" s="792" t="s">
        <v>1532</v>
      </c>
      <c r="B9" s="305" t="s">
        <v>134</v>
      </c>
      <c r="C9" s="306" t="s">
        <v>2241</v>
      </c>
      <c r="D9" s="307" t="s">
        <v>2236</v>
      </c>
      <c r="E9" s="307" t="s">
        <v>2236</v>
      </c>
      <c r="F9" s="307" t="s">
        <v>2236</v>
      </c>
      <c r="G9" s="307" t="s">
        <v>2236</v>
      </c>
      <c r="H9" s="403" t="s">
        <v>2236</v>
      </c>
      <c r="I9" s="257" t="s">
        <v>2242</v>
      </c>
      <c r="J9" s="733">
        <v>2</v>
      </c>
      <c r="K9" s="378"/>
    </row>
    <row r="10" spans="1:11" ht="220" customHeight="1" x14ac:dyDescent="0.2">
      <c r="A10" s="792" t="s">
        <v>2243</v>
      </c>
      <c r="B10" s="305" t="s">
        <v>134</v>
      </c>
      <c r="C10" s="306" t="s">
        <v>2244</v>
      </c>
      <c r="D10" s="307" t="s">
        <v>2236</v>
      </c>
      <c r="E10" s="307" t="s">
        <v>2236</v>
      </c>
      <c r="F10" s="307" t="s">
        <v>2236</v>
      </c>
      <c r="G10" s="307" t="s">
        <v>2236</v>
      </c>
      <c r="H10" s="403" t="s">
        <v>2236</v>
      </c>
      <c r="I10" s="789" t="s">
        <v>2245</v>
      </c>
      <c r="J10" s="733">
        <v>2</v>
      </c>
    </row>
    <row r="11" spans="1:11" ht="150" customHeight="1" x14ac:dyDescent="0.2">
      <c r="A11" s="792" t="s">
        <v>2246</v>
      </c>
      <c r="B11" s="305" t="s">
        <v>1387</v>
      </c>
      <c r="C11" s="306" t="s">
        <v>2247</v>
      </c>
      <c r="D11" s="307" t="s">
        <v>2236</v>
      </c>
      <c r="E11" s="307" t="s">
        <v>2236</v>
      </c>
      <c r="F11" s="307" t="s">
        <v>2236</v>
      </c>
      <c r="G11" s="307" t="s">
        <v>2236</v>
      </c>
      <c r="H11" s="403" t="s">
        <v>2236</v>
      </c>
      <c r="I11" s="257" t="s">
        <v>2248</v>
      </c>
      <c r="J11" s="733">
        <v>2</v>
      </c>
    </row>
    <row r="12" spans="1:11" ht="136" customHeight="1" x14ac:dyDescent="0.2">
      <c r="A12" s="792" t="s">
        <v>2249</v>
      </c>
      <c r="B12" s="305" t="s">
        <v>1387</v>
      </c>
      <c r="C12" s="306" t="s">
        <v>2250</v>
      </c>
      <c r="D12" s="307" t="s">
        <v>2236</v>
      </c>
      <c r="E12" s="307" t="s">
        <v>2236</v>
      </c>
      <c r="F12" s="307" t="s">
        <v>2236</v>
      </c>
      <c r="G12" s="307" t="s">
        <v>2236</v>
      </c>
      <c r="H12" s="403" t="s">
        <v>2236</v>
      </c>
      <c r="I12" s="257" t="s">
        <v>2251</v>
      </c>
      <c r="J12" s="733">
        <v>2</v>
      </c>
    </row>
    <row r="13" spans="1:11" ht="178" customHeight="1" x14ac:dyDescent="0.2">
      <c r="A13" s="792" t="s">
        <v>2252</v>
      </c>
      <c r="B13" s="305" t="s">
        <v>1387</v>
      </c>
      <c r="C13" s="306" t="s">
        <v>2253</v>
      </c>
      <c r="D13" s="307" t="s">
        <v>592</v>
      </c>
      <c r="E13" s="307" t="s">
        <v>2236</v>
      </c>
      <c r="F13" s="307" t="s">
        <v>2236</v>
      </c>
      <c r="G13" s="307" t="s">
        <v>2236</v>
      </c>
      <c r="H13" s="403" t="s">
        <v>2236</v>
      </c>
      <c r="I13" s="257" t="s">
        <v>2254</v>
      </c>
      <c r="J13" s="733">
        <v>2</v>
      </c>
    </row>
    <row r="14" spans="1:11" ht="318" customHeight="1" x14ac:dyDescent="0.2">
      <c r="A14" s="792" t="s">
        <v>2255</v>
      </c>
      <c r="B14" s="305" t="s">
        <v>1387</v>
      </c>
      <c r="C14" s="306" t="s">
        <v>2256</v>
      </c>
      <c r="D14" s="307" t="s">
        <v>538</v>
      </c>
      <c r="E14" s="733" t="s">
        <v>2236</v>
      </c>
      <c r="F14" s="403" t="s">
        <v>297</v>
      </c>
      <c r="G14" s="403" t="s">
        <v>2236</v>
      </c>
      <c r="H14" s="403" t="s">
        <v>2236</v>
      </c>
      <c r="I14" s="789" t="s">
        <v>2257</v>
      </c>
      <c r="J14" s="733">
        <v>2</v>
      </c>
    </row>
    <row r="15" spans="1:11" ht="220" customHeight="1" x14ac:dyDescent="0.2">
      <c r="A15" s="792" t="s">
        <v>2258</v>
      </c>
      <c r="B15" s="305" t="s">
        <v>1387</v>
      </c>
      <c r="C15" s="306" t="s">
        <v>2259</v>
      </c>
      <c r="D15" s="739" t="s">
        <v>538</v>
      </c>
      <c r="E15" s="739" t="s">
        <v>537</v>
      </c>
      <c r="F15" s="739" t="s">
        <v>297</v>
      </c>
      <c r="G15" s="403">
        <v>0</v>
      </c>
      <c r="H15" s="403" t="s">
        <v>2236</v>
      </c>
      <c r="I15" s="789" t="s">
        <v>2260</v>
      </c>
      <c r="J15" s="733">
        <v>2</v>
      </c>
    </row>
    <row r="16" spans="1:11" ht="38.15" customHeight="1" x14ac:dyDescent="0.2">
      <c r="A16" s="730" t="s">
        <v>2261</v>
      </c>
      <c r="B16" s="731" t="s">
        <v>1387</v>
      </c>
      <c r="C16" s="732" t="s">
        <v>2262</v>
      </c>
      <c r="D16" s="733" t="s">
        <v>538</v>
      </c>
      <c r="E16" s="733" t="s">
        <v>537</v>
      </c>
      <c r="F16" s="733" t="s">
        <v>297</v>
      </c>
      <c r="G16" s="733"/>
      <c r="H16" s="733"/>
      <c r="I16" s="789" t="s">
        <v>2263</v>
      </c>
      <c r="J16" s="733">
        <v>2</v>
      </c>
    </row>
    <row r="17" spans="1:10" ht="248.15" customHeight="1" x14ac:dyDescent="0.2">
      <c r="A17" s="792" t="s">
        <v>2264</v>
      </c>
      <c r="B17" s="305" t="s">
        <v>1387</v>
      </c>
      <c r="C17" s="306" t="s">
        <v>2265</v>
      </c>
      <c r="D17" s="739" t="s">
        <v>538</v>
      </c>
      <c r="E17" s="739" t="s">
        <v>537</v>
      </c>
      <c r="F17" s="739" t="s">
        <v>297</v>
      </c>
      <c r="G17" s="403">
        <v>0</v>
      </c>
      <c r="H17" s="403" t="s">
        <v>2236</v>
      </c>
      <c r="I17" s="789" t="s">
        <v>2266</v>
      </c>
      <c r="J17" s="733">
        <v>2</v>
      </c>
    </row>
    <row r="18" spans="1:10" ht="38.15" customHeight="1" x14ac:dyDescent="0.2">
      <c r="A18" s="730" t="s">
        <v>2267</v>
      </c>
      <c r="B18" s="731" t="s">
        <v>1387</v>
      </c>
      <c r="C18" s="732" t="s">
        <v>2268</v>
      </c>
      <c r="D18" s="733" t="s">
        <v>538</v>
      </c>
      <c r="E18" s="733" t="s">
        <v>537</v>
      </c>
      <c r="F18" s="733" t="s">
        <v>297</v>
      </c>
      <c r="G18" s="733"/>
      <c r="H18" s="733"/>
      <c r="I18" s="789" t="s">
        <v>2269</v>
      </c>
      <c r="J18" s="733">
        <v>2</v>
      </c>
    </row>
    <row r="19" spans="1:10" ht="136" customHeight="1" x14ac:dyDescent="0.2">
      <c r="A19" s="730" t="s">
        <v>2270</v>
      </c>
      <c r="B19" s="305" t="s">
        <v>1387</v>
      </c>
      <c r="C19" s="306" t="s">
        <v>2271</v>
      </c>
      <c r="D19" s="307" t="s">
        <v>592</v>
      </c>
      <c r="E19" s="733" t="s">
        <v>2236</v>
      </c>
      <c r="F19" s="403" t="s">
        <v>297</v>
      </c>
      <c r="G19" s="403" t="s">
        <v>2236</v>
      </c>
      <c r="H19" s="403" t="s">
        <v>2236</v>
      </c>
      <c r="I19" s="198" t="s">
        <v>2272</v>
      </c>
      <c r="J19" s="733">
        <v>2</v>
      </c>
    </row>
    <row r="20" spans="1:10" ht="38.15" customHeight="1" x14ac:dyDescent="0.2">
      <c r="A20" s="730" t="s">
        <v>2273</v>
      </c>
      <c r="B20" s="305" t="s">
        <v>134</v>
      </c>
      <c r="C20" s="306" t="s">
        <v>2274</v>
      </c>
      <c r="D20" s="307" t="s">
        <v>592</v>
      </c>
      <c r="E20" s="733" t="s">
        <v>2236</v>
      </c>
      <c r="F20" s="307" t="s">
        <v>297</v>
      </c>
      <c r="G20" s="307">
        <v>5</v>
      </c>
      <c r="H20" s="403" t="s">
        <v>2236</v>
      </c>
      <c r="I20" s="483" t="s">
        <v>2275</v>
      </c>
      <c r="J20" s="733">
        <v>2</v>
      </c>
    </row>
    <row r="21" spans="1:10" ht="304" customHeight="1" x14ac:dyDescent="0.2">
      <c r="A21" s="730" t="s">
        <v>2276</v>
      </c>
      <c r="B21" s="305" t="s">
        <v>134</v>
      </c>
      <c r="C21" s="656" t="s">
        <v>2277</v>
      </c>
      <c r="D21" s="403" t="s">
        <v>592</v>
      </c>
      <c r="E21" s="403" t="s">
        <v>2236</v>
      </c>
      <c r="F21" s="403" t="s">
        <v>297</v>
      </c>
      <c r="G21" s="403" t="s">
        <v>2236</v>
      </c>
      <c r="H21" s="403" t="s">
        <v>2236</v>
      </c>
      <c r="I21" s="789" t="s">
        <v>2278</v>
      </c>
      <c r="J21" s="733">
        <v>2</v>
      </c>
    </row>
    <row r="22" spans="1:10" ht="248.15" customHeight="1" x14ac:dyDescent="0.2">
      <c r="A22" s="792" t="s">
        <v>2279</v>
      </c>
      <c r="B22" s="305" t="s">
        <v>134</v>
      </c>
      <c r="C22" s="656" t="s">
        <v>2280</v>
      </c>
      <c r="D22" s="403" t="s">
        <v>592</v>
      </c>
      <c r="E22" s="403" t="s">
        <v>2236</v>
      </c>
      <c r="F22" s="403" t="s">
        <v>297</v>
      </c>
      <c r="G22" s="403" t="s">
        <v>2236</v>
      </c>
      <c r="H22" s="403" t="s">
        <v>2236</v>
      </c>
      <c r="I22" s="789" t="s">
        <v>2281</v>
      </c>
      <c r="J22" s="733">
        <v>2</v>
      </c>
    </row>
    <row r="23" spans="1:10" ht="276" customHeight="1" x14ac:dyDescent="0.2">
      <c r="A23" s="792" t="s">
        <v>2282</v>
      </c>
      <c r="B23" s="305" t="s">
        <v>134</v>
      </c>
      <c r="C23" s="656" t="s">
        <v>2283</v>
      </c>
      <c r="D23" s="403" t="s">
        <v>592</v>
      </c>
      <c r="E23" s="403" t="s">
        <v>2236</v>
      </c>
      <c r="F23" s="403" t="s">
        <v>297</v>
      </c>
      <c r="G23" s="403" t="s">
        <v>2236</v>
      </c>
      <c r="H23" s="403" t="s">
        <v>2236</v>
      </c>
      <c r="I23" s="789" t="s">
        <v>2284</v>
      </c>
      <c r="J23" s="733">
        <v>2</v>
      </c>
    </row>
    <row r="24" spans="1:10" ht="136" customHeight="1" x14ac:dyDescent="0.2">
      <c r="A24" s="792" t="s">
        <v>2285</v>
      </c>
      <c r="B24" s="452" t="s">
        <v>134</v>
      </c>
      <c r="C24" s="656" t="s">
        <v>2286</v>
      </c>
      <c r="D24" s="403" t="s">
        <v>592</v>
      </c>
      <c r="E24" s="733" t="s">
        <v>2236</v>
      </c>
      <c r="F24" s="403" t="s">
        <v>297</v>
      </c>
      <c r="G24" s="403" t="s">
        <v>2236</v>
      </c>
      <c r="H24" s="403" t="s">
        <v>2236</v>
      </c>
      <c r="I24" s="198" t="s">
        <v>2287</v>
      </c>
      <c r="J24" s="733">
        <v>2</v>
      </c>
    </row>
    <row r="25" spans="1:10" ht="52" customHeight="1" x14ac:dyDescent="0.2">
      <c r="A25" s="214" t="s">
        <v>1442</v>
      </c>
      <c r="B25" s="452" t="s">
        <v>134</v>
      </c>
      <c r="C25" s="656" t="s">
        <v>2229</v>
      </c>
      <c r="D25" s="307" t="s">
        <v>2236</v>
      </c>
      <c r="E25" s="307" t="s">
        <v>2236</v>
      </c>
      <c r="F25" s="307" t="s">
        <v>2236</v>
      </c>
      <c r="G25" s="307" t="s">
        <v>2236</v>
      </c>
      <c r="H25" s="403" t="s">
        <v>2236</v>
      </c>
      <c r="I25" s="198" t="s">
        <v>2288</v>
      </c>
      <c r="J25" s="214" t="s">
        <v>204</v>
      </c>
    </row>
    <row r="26" spans="1:10" ht="52" customHeight="1" x14ac:dyDescent="0.2">
      <c r="A26" s="214" t="s">
        <v>1443</v>
      </c>
      <c r="B26" s="452" t="s">
        <v>134</v>
      </c>
      <c r="C26" s="656" t="s">
        <v>2224</v>
      </c>
      <c r="D26" s="307" t="s">
        <v>2236</v>
      </c>
      <c r="E26" s="307" t="s">
        <v>2236</v>
      </c>
      <c r="F26" s="307" t="s">
        <v>2236</v>
      </c>
      <c r="G26" s="307" t="s">
        <v>2236</v>
      </c>
      <c r="H26" s="403" t="s">
        <v>2236</v>
      </c>
      <c r="I26" s="198" t="s">
        <v>2288</v>
      </c>
      <c r="J26" s="214" t="s">
        <v>204</v>
      </c>
    </row>
    <row r="27" spans="1:10" ht="66" customHeight="1" x14ac:dyDescent="0.2">
      <c r="A27" s="214" t="s">
        <v>2220</v>
      </c>
      <c r="B27" s="452" t="s">
        <v>134</v>
      </c>
      <c r="C27" s="656" t="s">
        <v>2289</v>
      </c>
      <c r="D27" s="307" t="s">
        <v>2236</v>
      </c>
      <c r="E27" s="307" t="s">
        <v>2236</v>
      </c>
      <c r="F27" s="307" t="s">
        <v>2236</v>
      </c>
      <c r="G27" s="307" t="s">
        <v>2236</v>
      </c>
      <c r="H27" s="403" t="s">
        <v>2236</v>
      </c>
      <c r="I27" s="789" t="s">
        <v>2290</v>
      </c>
      <c r="J27" s="733">
        <v>2</v>
      </c>
    </row>
    <row r="28" spans="1:10" ht="108" customHeight="1" x14ac:dyDescent="0.2">
      <c r="A28" s="730" t="s">
        <v>2291</v>
      </c>
      <c r="B28" s="452" t="s">
        <v>290</v>
      </c>
      <c r="C28" s="656" t="s">
        <v>2292</v>
      </c>
      <c r="D28" s="307" t="s">
        <v>2236</v>
      </c>
      <c r="E28" s="307" t="s">
        <v>2236</v>
      </c>
      <c r="F28" s="307" t="s">
        <v>2236</v>
      </c>
      <c r="G28" s="307" t="s">
        <v>2236</v>
      </c>
      <c r="H28" s="403" t="s">
        <v>2236</v>
      </c>
      <c r="I28" s="198" t="s">
        <v>2293</v>
      </c>
      <c r="J28" s="733">
        <v>2</v>
      </c>
    </row>
    <row r="29" spans="1:10" ht="122.15" customHeight="1" x14ac:dyDescent="0.2">
      <c r="A29" s="730" t="s">
        <v>2294</v>
      </c>
      <c r="B29" s="731" t="s">
        <v>134</v>
      </c>
      <c r="C29" s="732" t="s">
        <v>2295</v>
      </c>
      <c r="D29" s="733" t="s">
        <v>2236</v>
      </c>
      <c r="E29" s="733" t="s">
        <v>2236</v>
      </c>
      <c r="F29" s="733" t="s">
        <v>2236</v>
      </c>
      <c r="G29" s="733" t="s">
        <v>2236</v>
      </c>
      <c r="H29" s="733" t="s">
        <v>2236</v>
      </c>
      <c r="I29" s="734" t="s">
        <v>2296</v>
      </c>
      <c r="J29" s="730">
        <v>2</v>
      </c>
    </row>
    <row r="30" spans="1:10" ht="14" x14ac:dyDescent="0.2">
      <c r="A30" s="729">
        <v>23</v>
      </c>
    </row>
    <row r="33" spans="1:1" ht="15.5" x14ac:dyDescent="0.35">
      <c r="A33" s="211"/>
    </row>
  </sheetData>
  <autoFilter ref="A6:K6" xr:uid="{98E0BBCE-DEBB-4134-AA3E-8752040549A3}"/>
  <mergeCells count="2">
    <mergeCell ref="D2:F2"/>
    <mergeCell ref="A4:J5"/>
  </mergeCells>
  <phoneticPr fontId="15" type="noConversion"/>
  <conditionalFormatting sqref="C20">
    <cfRule type="expression" dxfId="5" priority="3">
      <formula>LEN(C20)&gt;24</formula>
    </cfRule>
  </conditionalFormatting>
  <printOptions horizontalCentered="1"/>
  <pageMargins left="0.39370078740157483" right="0.39370078740157483" top="0.59055118110236227" bottom="0.59055118110236227" header="0.59055118110236227" footer="0.39370078740157483"/>
  <pageSetup paperSize="8" scale="57" fitToHeight="0" orientation="landscape" r:id="rId1"/>
  <headerFooter scaleWithDoc="0"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6029C-6EA3-4E66-9ECA-23B9882D1011}">
  <sheetPr codeName="Sheet20">
    <tabColor rgb="FF0000FF"/>
    <pageSetUpPr fitToPage="1"/>
  </sheetPr>
  <dimension ref="A1:N248"/>
  <sheetViews>
    <sheetView view="pageBreakPreview" topLeftCell="A28" zoomScale="55" zoomScaleNormal="55" zoomScaleSheetLayoutView="55" workbookViewId="0">
      <selection activeCell="A43" sqref="A43"/>
    </sheetView>
  </sheetViews>
  <sheetFormatPr defaultColWidth="9.33203125" defaultRowHeight="10" x14ac:dyDescent="0.2"/>
  <cols>
    <col min="1" max="1" width="37.44140625" style="202" customWidth="1"/>
    <col min="2" max="2" width="41.33203125" style="202" bestFit="1" customWidth="1"/>
    <col min="3" max="3" width="63.6640625" style="202" bestFit="1" customWidth="1"/>
    <col min="4" max="4" width="14.109375" style="202" customWidth="1"/>
    <col min="5" max="6" width="16.6640625" style="202" customWidth="1"/>
    <col min="7" max="7" width="10" style="202" customWidth="1"/>
    <col min="8" max="8" width="15" style="202" customWidth="1"/>
    <col min="9" max="9" width="43.6640625" style="202" customWidth="1"/>
    <col min="10" max="10" width="65.44140625" style="202" customWidth="1"/>
    <col min="11" max="11" width="36" style="202" customWidth="1"/>
    <col min="12" max="12" width="21.6640625" style="202" customWidth="1"/>
    <col min="13" max="13" width="72.6640625" style="202" customWidth="1"/>
    <col min="14" max="14" width="8.6640625" style="202" customWidth="1"/>
    <col min="15" max="16375" width="9.33203125" style="202"/>
    <col min="16376" max="16376" width="9.33203125" style="202" bestFit="1"/>
    <col min="16377" max="16384" width="9.33203125" style="202"/>
  </cols>
  <sheetData>
    <row r="1" spans="1:14" ht="18" x14ac:dyDescent="0.2">
      <c r="A1" s="152" t="s">
        <v>1</v>
      </c>
      <c r="B1" s="151"/>
      <c r="C1" s="152"/>
      <c r="D1" s="106"/>
      <c r="E1" s="106"/>
      <c r="F1" s="106"/>
      <c r="G1" s="106"/>
      <c r="H1" s="106"/>
      <c r="I1" s="106"/>
      <c r="J1" s="106"/>
      <c r="K1" s="106"/>
      <c r="L1" s="106"/>
      <c r="M1" s="106"/>
      <c r="N1" s="1013"/>
    </row>
    <row r="2" spans="1:14" ht="18" x14ac:dyDescent="0.2">
      <c r="A2" s="152" t="s">
        <v>37</v>
      </c>
      <c r="B2" s="151"/>
      <c r="C2" s="1014"/>
      <c r="D2" s="1114"/>
      <c r="E2" s="1114"/>
      <c r="F2" s="1114"/>
      <c r="G2" s="1114"/>
      <c r="H2" s="1114"/>
      <c r="I2" s="1114"/>
      <c r="J2" s="1114"/>
      <c r="K2" s="1114"/>
      <c r="L2" s="151"/>
      <c r="M2" s="106"/>
      <c r="N2" s="1013"/>
    </row>
    <row r="3" spans="1:14" ht="18.5" thickBot="1" x14ac:dyDescent="0.25">
      <c r="A3" s="150" t="s">
        <v>2</v>
      </c>
      <c r="B3" s="152"/>
      <c r="C3" s="1015"/>
      <c r="D3" s="106"/>
      <c r="E3" s="106"/>
      <c r="F3" s="106"/>
      <c r="G3" s="106"/>
      <c r="H3" s="106"/>
      <c r="I3" s="106"/>
      <c r="J3" s="106"/>
      <c r="K3" s="106"/>
      <c r="L3" s="106"/>
      <c r="M3" s="106"/>
      <c r="N3" s="150"/>
    </row>
    <row r="4" spans="1:14" ht="10.5" customHeight="1" x14ac:dyDescent="0.2">
      <c r="A4" s="1115" t="s">
        <v>2297</v>
      </c>
      <c r="B4" s="1116"/>
      <c r="C4" s="1116"/>
      <c r="D4" s="1116"/>
      <c r="E4" s="1116"/>
      <c r="F4" s="1116"/>
      <c r="G4" s="1116"/>
      <c r="H4" s="1116"/>
      <c r="I4" s="1116"/>
      <c r="J4" s="1116"/>
      <c r="K4" s="1116"/>
      <c r="L4" s="1116"/>
      <c r="M4" s="1116"/>
      <c r="N4" s="1117"/>
    </row>
    <row r="5" spans="1:14" ht="10.5" customHeight="1" thickBot="1" x14ac:dyDescent="0.25">
      <c r="A5" s="1118"/>
      <c r="B5" s="1119"/>
      <c r="C5" s="1119"/>
      <c r="D5" s="1119"/>
      <c r="E5" s="1119"/>
      <c r="F5" s="1119"/>
      <c r="G5" s="1119"/>
      <c r="H5" s="1119"/>
      <c r="I5" s="1119"/>
      <c r="J5" s="1119"/>
      <c r="K5" s="1119"/>
      <c r="L5" s="1119"/>
      <c r="M5" s="1119"/>
      <c r="N5" s="1120"/>
    </row>
    <row r="6" spans="1:14" ht="28" x14ac:dyDescent="0.2">
      <c r="A6" s="213" t="s">
        <v>103</v>
      </c>
      <c r="B6" s="212" t="s">
        <v>104</v>
      </c>
      <c r="C6" s="212" t="s">
        <v>106</v>
      </c>
      <c r="D6" s="212" t="s">
        <v>109</v>
      </c>
      <c r="E6" s="212" t="s">
        <v>427</v>
      </c>
      <c r="F6" s="212" t="s">
        <v>2298</v>
      </c>
      <c r="G6" s="212" t="s">
        <v>2299</v>
      </c>
      <c r="H6" s="212" t="s">
        <v>2300</v>
      </c>
      <c r="I6" s="212" t="s">
        <v>2301</v>
      </c>
      <c r="J6" s="212" t="s">
        <v>2302</v>
      </c>
      <c r="K6" s="212" t="s">
        <v>2303</v>
      </c>
      <c r="L6" s="212" t="s">
        <v>42</v>
      </c>
      <c r="M6" s="212" t="s">
        <v>2304</v>
      </c>
      <c r="N6" s="212" t="s">
        <v>130</v>
      </c>
    </row>
    <row r="7" spans="1:14" ht="30.65" customHeight="1" x14ac:dyDescent="0.2">
      <c r="A7" s="730" t="s">
        <v>2261</v>
      </c>
      <c r="B7" s="452" t="s">
        <v>1387</v>
      </c>
      <c r="C7" s="730" t="s">
        <v>2262</v>
      </c>
      <c r="D7" s="403" t="s">
        <v>2305</v>
      </c>
      <c r="E7" s="403" t="s">
        <v>537</v>
      </c>
      <c r="F7" s="453"/>
      <c r="G7" s="453"/>
      <c r="H7" s="403">
        <v>0</v>
      </c>
      <c r="I7" s="403"/>
      <c r="J7" s="403" t="s">
        <v>2306</v>
      </c>
      <c r="K7" s="403" t="s">
        <v>2307</v>
      </c>
      <c r="L7" s="403" t="s">
        <v>2308</v>
      </c>
      <c r="M7" s="198" t="s">
        <v>2309</v>
      </c>
      <c r="N7" s="733">
        <v>2</v>
      </c>
    </row>
    <row r="8" spans="1:14" ht="32.9" customHeight="1" x14ac:dyDescent="0.2">
      <c r="A8" s="730" t="s">
        <v>2267</v>
      </c>
      <c r="B8" s="452" t="s">
        <v>1387</v>
      </c>
      <c r="C8" s="730" t="s">
        <v>2268</v>
      </c>
      <c r="D8" s="403" t="s">
        <v>2305</v>
      </c>
      <c r="E8" s="403" t="s">
        <v>537</v>
      </c>
      <c r="F8" s="453"/>
      <c r="G8" s="453"/>
      <c r="H8" s="403">
        <v>0</v>
      </c>
      <c r="I8" s="403"/>
      <c r="J8" s="403" t="s">
        <v>2306</v>
      </c>
      <c r="K8" s="403" t="s">
        <v>2310</v>
      </c>
      <c r="L8" s="403" t="s">
        <v>59</v>
      </c>
      <c r="M8" s="198" t="s">
        <v>2311</v>
      </c>
      <c r="N8" s="733">
        <v>2</v>
      </c>
    </row>
    <row r="9" spans="1:14" ht="32.9" customHeight="1" x14ac:dyDescent="0.2">
      <c r="A9" s="730" t="s">
        <v>2294</v>
      </c>
      <c r="B9" s="731" t="s">
        <v>134</v>
      </c>
      <c r="C9" s="730" t="s">
        <v>2295</v>
      </c>
      <c r="D9" s="733" t="s">
        <v>2305</v>
      </c>
      <c r="E9" s="733" t="s">
        <v>537</v>
      </c>
      <c r="F9" s="453"/>
      <c r="G9" s="453"/>
      <c r="H9" s="733">
        <v>0</v>
      </c>
      <c r="I9" s="733"/>
      <c r="J9" s="733" t="s">
        <v>2306</v>
      </c>
      <c r="K9" s="733" t="s">
        <v>2312</v>
      </c>
      <c r="L9" s="733" t="s">
        <v>2313</v>
      </c>
      <c r="M9" s="734" t="s">
        <v>2314</v>
      </c>
      <c r="N9" s="733">
        <v>2</v>
      </c>
    </row>
    <row r="10" spans="1:14" ht="23.25" customHeight="1" x14ac:dyDescent="0.2">
      <c r="A10" s="737" t="s">
        <v>622</v>
      </c>
      <c r="B10" s="738" t="s">
        <v>134</v>
      </c>
      <c r="C10" s="737" t="s">
        <v>624</v>
      </c>
      <c r="D10" s="739" t="s">
        <v>2305</v>
      </c>
      <c r="E10" s="739" t="s">
        <v>605</v>
      </c>
      <c r="F10" s="756"/>
      <c r="G10" s="756"/>
      <c r="H10" s="739">
        <v>0</v>
      </c>
      <c r="I10" s="739"/>
      <c r="J10" s="739" t="s">
        <v>2315</v>
      </c>
      <c r="K10" s="739" t="s">
        <v>2316</v>
      </c>
      <c r="L10" s="739" t="s">
        <v>63</v>
      </c>
      <c r="M10" s="740" t="s">
        <v>2317</v>
      </c>
      <c r="N10" s="733">
        <v>2</v>
      </c>
    </row>
    <row r="11" spans="1:14" ht="28.5" customHeight="1" x14ac:dyDescent="0.2">
      <c r="A11" s="737" t="s">
        <v>626</v>
      </c>
      <c r="B11" s="738" t="s">
        <v>134</v>
      </c>
      <c r="C11" s="737" t="s">
        <v>628</v>
      </c>
      <c r="D11" s="739" t="s">
        <v>2305</v>
      </c>
      <c r="E11" s="739" t="s">
        <v>605</v>
      </c>
      <c r="F11" s="756"/>
      <c r="G11" s="756"/>
      <c r="H11" s="739">
        <v>0</v>
      </c>
      <c r="I11" s="739"/>
      <c r="J11" s="739" t="s">
        <v>2315</v>
      </c>
      <c r="K11" s="739" t="s">
        <v>2316</v>
      </c>
      <c r="L11" s="739" t="s">
        <v>63</v>
      </c>
      <c r="M11" s="740" t="s">
        <v>2317</v>
      </c>
      <c r="N11" s="733">
        <v>2</v>
      </c>
    </row>
    <row r="12" spans="1:14" ht="28.5" customHeight="1" x14ac:dyDescent="0.2">
      <c r="A12" s="737" t="s">
        <v>630</v>
      </c>
      <c r="B12" s="738" t="s">
        <v>134</v>
      </c>
      <c r="C12" s="737" t="s">
        <v>632</v>
      </c>
      <c r="D12" s="739" t="s">
        <v>2305</v>
      </c>
      <c r="E12" s="739" t="s">
        <v>605</v>
      </c>
      <c r="F12" s="756"/>
      <c r="G12" s="756"/>
      <c r="H12" s="739">
        <v>0</v>
      </c>
      <c r="I12" s="739"/>
      <c r="J12" s="739" t="s">
        <v>2318</v>
      </c>
      <c r="K12" s="739" t="s">
        <v>2319</v>
      </c>
      <c r="L12" s="739" t="s">
        <v>2320</v>
      </c>
      <c r="M12" s="740" t="s">
        <v>2321</v>
      </c>
      <c r="N12" s="733">
        <v>2</v>
      </c>
    </row>
    <row r="13" spans="1:14" ht="28.5" customHeight="1" x14ac:dyDescent="0.2">
      <c r="A13" s="737" t="s">
        <v>634</v>
      </c>
      <c r="B13" s="738" t="s">
        <v>134</v>
      </c>
      <c r="C13" s="737" t="s">
        <v>636</v>
      </c>
      <c r="D13" s="739" t="s">
        <v>2305</v>
      </c>
      <c r="E13" s="778" t="s">
        <v>605</v>
      </c>
      <c r="F13" s="756"/>
      <c r="G13" s="756"/>
      <c r="H13" s="739">
        <v>0</v>
      </c>
      <c r="I13" s="739"/>
      <c r="J13" s="739" t="s">
        <v>2315</v>
      </c>
      <c r="K13" s="739" t="s">
        <v>2316</v>
      </c>
      <c r="L13" s="739" t="s">
        <v>63</v>
      </c>
      <c r="M13" s="740" t="s">
        <v>2317</v>
      </c>
      <c r="N13" s="733">
        <v>2</v>
      </c>
    </row>
    <row r="14" spans="1:14" ht="28.5" customHeight="1" x14ac:dyDescent="0.2">
      <c r="A14" s="737" t="s">
        <v>639</v>
      </c>
      <c r="B14" s="738" t="s">
        <v>134</v>
      </c>
      <c r="C14" s="737" t="s">
        <v>641</v>
      </c>
      <c r="D14" s="739" t="s">
        <v>2305</v>
      </c>
      <c r="E14" s="739" t="s">
        <v>605</v>
      </c>
      <c r="F14" s="756"/>
      <c r="G14" s="756"/>
      <c r="H14" s="739">
        <v>0</v>
      </c>
      <c r="I14" s="739"/>
      <c r="J14" s="739" t="s">
        <v>2315</v>
      </c>
      <c r="K14" s="739" t="s">
        <v>2316</v>
      </c>
      <c r="L14" s="739" t="s">
        <v>63</v>
      </c>
      <c r="M14" s="740" t="s">
        <v>2317</v>
      </c>
      <c r="N14" s="733">
        <v>2</v>
      </c>
    </row>
    <row r="15" spans="1:14" ht="28.5" customHeight="1" x14ac:dyDescent="0.2">
      <c r="A15" s="730" t="s">
        <v>643</v>
      </c>
      <c r="B15" s="452" t="s">
        <v>134</v>
      </c>
      <c r="C15" s="214" t="s">
        <v>645</v>
      </c>
      <c r="D15" s="403" t="s">
        <v>2305</v>
      </c>
      <c r="E15" s="403" t="s">
        <v>605</v>
      </c>
      <c r="F15" s="453"/>
      <c r="G15" s="453"/>
      <c r="H15" s="403">
        <v>0</v>
      </c>
      <c r="I15" s="403"/>
      <c r="J15" s="403" t="s">
        <v>2318</v>
      </c>
      <c r="K15" s="403" t="s">
        <v>2319</v>
      </c>
      <c r="L15" s="403" t="s">
        <v>2320</v>
      </c>
      <c r="M15" s="198" t="s">
        <v>2321</v>
      </c>
      <c r="N15" s="733">
        <v>2</v>
      </c>
    </row>
    <row r="16" spans="1:14" ht="28.5" customHeight="1" x14ac:dyDescent="0.2">
      <c r="A16" s="737" t="s">
        <v>647</v>
      </c>
      <c r="B16" s="738" t="s">
        <v>134</v>
      </c>
      <c r="C16" s="737" t="s">
        <v>649</v>
      </c>
      <c r="D16" s="739" t="s">
        <v>2305</v>
      </c>
      <c r="E16" s="739" t="s">
        <v>605</v>
      </c>
      <c r="F16" s="756"/>
      <c r="G16" s="756"/>
      <c r="H16" s="739">
        <v>0</v>
      </c>
      <c r="I16" s="739"/>
      <c r="J16" s="739" t="s">
        <v>2315</v>
      </c>
      <c r="K16" s="739" t="s">
        <v>2316</v>
      </c>
      <c r="L16" s="739" t="s">
        <v>63</v>
      </c>
      <c r="M16" s="740" t="s">
        <v>2317</v>
      </c>
      <c r="N16" s="733">
        <v>2</v>
      </c>
    </row>
    <row r="17" spans="1:14" ht="28.5" customHeight="1" x14ac:dyDescent="0.2">
      <c r="A17" s="737" t="s">
        <v>652</v>
      </c>
      <c r="B17" s="738" t="s">
        <v>134</v>
      </c>
      <c r="C17" s="737" t="s">
        <v>654</v>
      </c>
      <c r="D17" s="739" t="s">
        <v>2305</v>
      </c>
      <c r="E17" s="739" t="s">
        <v>605</v>
      </c>
      <c r="F17" s="756"/>
      <c r="G17" s="756"/>
      <c r="H17" s="739">
        <v>0</v>
      </c>
      <c r="I17" s="739"/>
      <c r="J17" s="739" t="s">
        <v>2315</v>
      </c>
      <c r="K17" s="739" t="s">
        <v>2316</v>
      </c>
      <c r="L17" s="739" t="s">
        <v>63</v>
      </c>
      <c r="M17" s="740" t="s">
        <v>2317</v>
      </c>
      <c r="N17" s="733">
        <v>2</v>
      </c>
    </row>
    <row r="18" spans="1:14" ht="28.5" customHeight="1" x14ac:dyDescent="0.2">
      <c r="A18" s="730" t="s">
        <v>656</v>
      </c>
      <c r="B18" s="452" t="s">
        <v>134</v>
      </c>
      <c r="C18" s="214" t="s">
        <v>658</v>
      </c>
      <c r="D18" s="403" t="s">
        <v>2305</v>
      </c>
      <c r="E18" s="403" t="s">
        <v>605</v>
      </c>
      <c r="F18" s="453"/>
      <c r="G18" s="453"/>
      <c r="H18" s="403">
        <v>0</v>
      </c>
      <c r="I18" s="403"/>
      <c r="J18" s="403" t="s">
        <v>2318</v>
      </c>
      <c r="K18" s="403" t="s">
        <v>2319</v>
      </c>
      <c r="L18" s="403" t="s">
        <v>2320</v>
      </c>
      <c r="M18" s="198" t="s">
        <v>2321</v>
      </c>
      <c r="N18" s="733">
        <v>2</v>
      </c>
    </row>
    <row r="19" spans="1:14" ht="28.5" customHeight="1" x14ac:dyDescent="0.2">
      <c r="A19" s="737" t="s">
        <v>660</v>
      </c>
      <c r="B19" s="773" t="s">
        <v>134</v>
      </c>
      <c r="C19" s="774" t="s">
        <v>662</v>
      </c>
      <c r="D19" s="775" t="s">
        <v>2305</v>
      </c>
      <c r="E19" s="775" t="s">
        <v>605</v>
      </c>
      <c r="F19" s="776"/>
      <c r="G19" s="776"/>
      <c r="H19" s="775">
        <v>0</v>
      </c>
      <c r="I19" s="775"/>
      <c r="J19" s="775" t="s">
        <v>2315</v>
      </c>
      <c r="K19" s="775" t="s">
        <v>2316</v>
      </c>
      <c r="L19" s="775" t="s">
        <v>63</v>
      </c>
      <c r="M19" s="777" t="s">
        <v>2317</v>
      </c>
      <c r="N19" s="733">
        <v>2</v>
      </c>
    </row>
    <row r="20" spans="1:14" ht="28.5" customHeight="1" x14ac:dyDescent="0.2">
      <c r="A20" s="737" t="s">
        <v>665</v>
      </c>
      <c r="B20" s="773" t="s">
        <v>134</v>
      </c>
      <c r="C20" s="774" t="s">
        <v>667</v>
      </c>
      <c r="D20" s="775" t="s">
        <v>2305</v>
      </c>
      <c r="E20" s="775" t="s">
        <v>605</v>
      </c>
      <c r="F20" s="776"/>
      <c r="G20" s="776"/>
      <c r="H20" s="775">
        <v>0</v>
      </c>
      <c r="I20" s="775"/>
      <c r="J20" s="775" t="s">
        <v>2315</v>
      </c>
      <c r="K20" s="775" t="s">
        <v>2316</v>
      </c>
      <c r="L20" s="775" t="s">
        <v>63</v>
      </c>
      <c r="M20" s="777" t="s">
        <v>2317</v>
      </c>
      <c r="N20" s="733">
        <v>2</v>
      </c>
    </row>
    <row r="21" spans="1:14" ht="28.5" customHeight="1" x14ac:dyDescent="0.2">
      <c r="A21" s="730" t="s">
        <v>669</v>
      </c>
      <c r="B21" s="452" t="s">
        <v>134</v>
      </c>
      <c r="C21" s="214" t="s">
        <v>671</v>
      </c>
      <c r="D21" s="403" t="s">
        <v>2305</v>
      </c>
      <c r="E21" s="403" t="s">
        <v>605</v>
      </c>
      <c r="F21" s="453"/>
      <c r="G21" s="453"/>
      <c r="H21" s="403">
        <v>0</v>
      </c>
      <c r="I21" s="403"/>
      <c r="J21" s="403" t="s">
        <v>2318</v>
      </c>
      <c r="K21" s="403" t="s">
        <v>2319</v>
      </c>
      <c r="L21" s="403" t="s">
        <v>2320</v>
      </c>
      <c r="M21" s="198" t="s">
        <v>2321</v>
      </c>
      <c r="N21" s="733">
        <v>2</v>
      </c>
    </row>
    <row r="22" spans="1:14" ht="28.5" customHeight="1" x14ac:dyDescent="0.2">
      <c r="A22" s="737" t="s">
        <v>673</v>
      </c>
      <c r="B22" s="738" t="s">
        <v>134</v>
      </c>
      <c r="C22" s="737" t="s">
        <v>675</v>
      </c>
      <c r="D22" s="739" t="s">
        <v>2305</v>
      </c>
      <c r="E22" s="739" t="s">
        <v>605</v>
      </c>
      <c r="F22" s="756"/>
      <c r="G22" s="756"/>
      <c r="H22" s="739">
        <v>0</v>
      </c>
      <c r="I22" s="739"/>
      <c r="J22" s="739" t="s">
        <v>2315</v>
      </c>
      <c r="K22" s="739" t="s">
        <v>2316</v>
      </c>
      <c r="L22" s="739" t="s">
        <v>63</v>
      </c>
      <c r="M22" s="740" t="s">
        <v>2317</v>
      </c>
      <c r="N22" s="733">
        <v>2</v>
      </c>
    </row>
    <row r="23" spans="1:14" ht="28.5" customHeight="1" x14ac:dyDescent="0.2">
      <c r="A23" s="737" t="s">
        <v>678</v>
      </c>
      <c r="B23" s="738" t="s">
        <v>134</v>
      </c>
      <c r="C23" s="737" t="s">
        <v>680</v>
      </c>
      <c r="D23" s="739" t="s">
        <v>2305</v>
      </c>
      <c r="E23" s="739" t="s">
        <v>605</v>
      </c>
      <c r="F23" s="756"/>
      <c r="G23" s="756"/>
      <c r="H23" s="739">
        <v>0</v>
      </c>
      <c r="I23" s="739"/>
      <c r="J23" s="739" t="s">
        <v>2315</v>
      </c>
      <c r="K23" s="739" t="s">
        <v>2316</v>
      </c>
      <c r="L23" s="739" t="s">
        <v>63</v>
      </c>
      <c r="M23" s="740" t="s">
        <v>2317</v>
      </c>
      <c r="N23" s="733">
        <v>2</v>
      </c>
    </row>
    <row r="24" spans="1:14" ht="28.5" customHeight="1" x14ac:dyDescent="0.2">
      <c r="A24" s="730" t="s">
        <v>682</v>
      </c>
      <c r="B24" s="452" t="s">
        <v>134</v>
      </c>
      <c r="C24" s="214" t="s">
        <v>684</v>
      </c>
      <c r="D24" s="403" t="s">
        <v>2305</v>
      </c>
      <c r="E24" s="403" t="s">
        <v>605</v>
      </c>
      <c r="F24" s="453"/>
      <c r="G24" s="453"/>
      <c r="H24" s="403">
        <v>0</v>
      </c>
      <c r="I24" s="403"/>
      <c r="J24" s="403" t="s">
        <v>2306</v>
      </c>
      <c r="K24" s="403" t="s">
        <v>2319</v>
      </c>
      <c r="L24" s="403" t="s">
        <v>2320</v>
      </c>
      <c r="M24" s="198" t="s">
        <v>2321</v>
      </c>
      <c r="N24" s="733">
        <v>2</v>
      </c>
    </row>
    <row r="25" spans="1:14" ht="28.5" customHeight="1" x14ac:dyDescent="0.2">
      <c r="A25" s="730" t="s">
        <v>314</v>
      </c>
      <c r="B25" s="452" t="s">
        <v>134</v>
      </c>
      <c r="C25" s="214" t="s">
        <v>316</v>
      </c>
      <c r="D25" s="403" t="s">
        <v>2322</v>
      </c>
      <c r="E25" s="403" t="s">
        <v>70</v>
      </c>
      <c r="F25" s="403">
        <v>30</v>
      </c>
      <c r="G25" s="403" t="s">
        <v>213</v>
      </c>
      <c r="H25" s="403">
        <v>5</v>
      </c>
      <c r="I25" s="403"/>
      <c r="J25" s="403" t="s">
        <v>2306</v>
      </c>
      <c r="K25" s="403" t="s">
        <v>2319</v>
      </c>
      <c r="L25" s="403" t="s">
        <v>2320</v>
      </c>
      <c r="M25" s="198" t="s">
        <v>2323</v>
      </c>
      <c r="N25" s="403">
        <v>1</v>
      </c>
    </row>
    <row r="26" spans="1:14" ht="28.5" customHeight="1" x14ac:dyDescent="0.2">
      <c r="A26" s="730" t="s">
        <v>323</v>
      </c>
      <c r="B26" s="452" t="s">
        <v>134</v>
      </c>
      <c r="C26" s="214" t="s">
        <v>325</v>
      </c>
      <c r="D26" s="403" t="s">
        <v>2322</v>
      </c>
      <c r="E26" s="403" t="s">
        <v>70</v>
      </c>
      <c r="F26" s="403">
        <v>30</v>
      </c>
      <c r="G26" s="403" t="s">
        <v>213</v>
      </c>
      <c r="H26" s="403">
        <v>5</v>
      </c>
      <c r="I26" s="403"/>
      <c r="J26" s="403" t="s">
        <v>2306</v>
      </c>
      <c r="K26" s="403" t="s">
        <v>2319</v>
      </c>
      <c r="L26" s="403" t="s">
        <v>2320</v>
      </c>
      <c r="M26" s="198" t="s">
        <v>2323</v>
      </c>
      <c r="N26" s="403">
        <v>1</v>
      </c>
    </row>
    <row r="27" spans="1:14" ht="28.5" customHeight="1" x14ac:dyDescent="0.2">
      <c r="A27" s="730" t="s">
        <v>602</v>
      </c>
      <c r="B27" s="452" t="s">
        <v>134</v>
      </c>
      <c r="C27" s="12" t="s">
        <v>604</v>
      </c>
      <c r="D27" s="403" t="s">
        <v>2305</v>
      </c>
      <c r="E27" s="403" t="s">
        <v>605</v>
      </c>
      <c r="F27" s="453"/>
      <c r="G27" s="453"/>
      <c r="H27" s="403">
        <v>0</v>
      </c>
      <c r="I27" s="569"/>
      <c r="J27" s="403" t="s">
        <v>2324</v>
      </c>
      <c r="K27" s="403" t="s">
        <v>2307</v>
      </c>
      <c r="L27" s="403" t="s">
        <v>2313</v>
      </c>
      <c r="M27" s="198" t="s">
        <v>2325</v>
      </c>
      <c r="N27" s="733">
        <v>2</v>
      </c>
    </row>
    <row r="28" spans="1:14" ht="28.5" customHeight="1" x14ac:dyDescent="0.2">
      <c r="A28" s="730" t="s">
        <v>608</v>
      </c>
      <c r="B28" s="452" t="s">
        <v>134</v>
      </c>
      <c r="C28" s="12" t="s">
        <v>610</v>
      </c>
      <c r="D28" s="403" t="s">
        <v>2305</v>
      </c>
      <c r="E28" s="403" t="s">
        <v>605</v>
      </c>
      <c r="F28" s="453"/>
      <c r="G28" s="453"/>
      <c r="H28" s="403">
        <v>0</v>
      </c>
      <c r="I28" s="403"/>
      <c r="J28" s="403" t="s">
        <v>2324</v>
      </c>
      <c r="K28" s="403" t="s">
        <v>2307</v>
      </c>
      <c r="L28" s="403" t="s">
        <v>2313</v>
      </c>
      <c r="M28" s="198" t="s">
        <v>2326</v>
      </c>
      <c r="N28" s="733">
        <v>2</v>
      </c>
    </row>
    <row r="29" spans="1:14" ht="28.5" customHeight="1" x14ac:dyDescent="0.2">
      <c r="A29" s="737" t="s">
        <v>1147</v>
      </c>
      <c r="B29" s="738" t="s">
        <v>134</v>
      </c>
      <c r="C29" s="737" t="s">
        <v>1149</v>
      </c>
      <c r="D29" s="739" t="s">
        <v>2305</v>
      </c>
      <c r="E29" s="739" t="s">
        <v>605</v>
      </c>
      <c r="F29" s="756"/>
      <c r="G29" s="756"/>
      <c r="H29" s="739">
        <v>0</v>
      </c>
      <c r="I29" s="739"/>
      <c r="J29" s="739" t="s">
        <v>2315</v>
      </c>
      <c r="K29" s="739" t="s">
        <v>2316</v>
      </c>
      <c r="L29" s="739" t="s">
        <v>63</v>
      </c>
      <c r="M29" s="740" t="s">
        <v>2317</v>
      </c>
      <c r="N29" s="733">
        <v>2</v>
      </c>
    </row>
    <row r="30" spans="1:14" ht="28.5" customHeight="1" x14ac:dyDescent="0.2">
      <c r="A30" s="737" t="s">
        <v>1151</v>
      </c>
      <c r="B30" s="738" t="s">
        <v>134</v>
      </c>
      <c r="C30" s="737" t="s">
        <v>1153</v>
      </c>
      <c r="D30" s="739" t="s">
        <v>2305</v>
      </c>
      <c r="E30" s="739" t="s">
        <v>605</v>
      </c>
      <c r="F30" s="756"/>
      <c r="G30" s="756"/>
      <c r="H30" s="739">
        <v>0</v>
      </c>
      <c r="I30" s="739"/>
      <c r="J30" s="739" t="s">
        <v>2315</v>
      </c>
      <c r="K30" s="739" t="s">
        <v>2316</v>
      </c>
      <c r="L30" s="739" t="s">
        <v>63</v>
      </c>
      <c r="M30" s="740" t="s">
        <v>2317</v>
      </c>
      <c r="N30" s="733">
        <v>2</v>
      </c>
    </row>
    <row r="31" spans="1:14" ht="28.5" customHeight="1" x14ac:dyDescent="0.2">
      <c r="A31" s="730" t="s">
        <v>1155</v>
      </c>
      <c r="B31" s="452" t="s">
        <v>134</v>
      </c>
      <c r="C31" s="214" t="s">
        <v>1157</v>
      </c>
      <c r="D31" s="403" t="s">
        <v>2305</v>
      </c>
      <c r="E31" s="403" t="s">
        <v>605</v>
      </c>
      <c r="F31" s="453"/>
      <c r="G31" s="453"/>
      <c r="H31" s="403">
        <v>0</v>
      </c>
      <c r="I31" s="403"/>
      <c r="J31" s="403" t="s">
        <v>2306</v>
      </c>
      <c r="K31" s="403" t="s">
        <v>2307</v>
      </c>
      <c r="L31" s="403" t="s">
        <v>2308</v>
      </c>
      <c r="M31" s="198" t="s">
        <v>2321</v>
      </c>
      <c r="N31" s="733">
        <v>2</v>
      </c>
    </row>
    <row r="32" spans="1:14" ht="28.5" customHeight="1" x14ac:dyDescent="0.2">
      <c r="A32" s="730" t="s">
        <v>1159</v>
      </c>
      <c r="B32" s="452" t="s">
        <v>134</v>
      </c>
      <c r="C32" s="214" t="s">
        <v>1161</v>
      </c>
      <c r="D32" s="403" t="s">
        <v>2305</v>
      </c>
      <c r="E32" s="403" t="s">
        <v>605</v>
      </c>
      <c r="F32" s="453"/>
      <c r="G32" s="453"/>
      <c r="H32" s="403">
        <v>0</v>
      </c>
      <c r="I32" s="403"/>
      <c r="J32" s="403" t="s">
        <v>2318</v>
      </c>
      <c r="K32" s="403" t="s">
        <v>2307</v>
      </c>
      <c r="L32" s="403" t="s">
        <v>2320</v>
      </c>
      <c r="M32" s="198" t="s">
        <v>2321</v>
      </c>
      <c r="N32" s="733">
        <v>2</v>
      </c>
    </row>
    <row r="33" spans="1:14" ht="28.5" customHeight="1" x14ac:dyDescent="0.2">
      <c r="A33" s="730" t="s">
        <v>1163</v>
      </c>
      <c r="B33" s="452" t="s">
        <v>134</v>
      </c>
      <c r="C33" s="214" t="s">
        <v>1165</v>
      </c>
      <c r="D33" s="403" t="s">
        <v>2305</v>
      </c>
      <c r="E33" s="403" t="s">
        <v>605</v>
      </c>
      <c r="F33" s="453"/>
      <c r="G33" s="453"/>
      <c r="H33" s="403">
        <v>0</v>
      </c>
      <c r="I33" s="403"/>
      <c r="J33" s="403" t="s">
        <v>2318</v>
      </c>
      <c r="K33" s="403" t="s">
        <v>2307</v>
      </c>
      <c r="L33" s="403" t="s">
        <v>2320</v>
      </c>
      <c r="M33" s="198" t="s">
        <v>2321</v>
      </c>
      <c r="N33" s="733">
        <v>2</v>
      </c>
    </row>
    <row r="34" spans="1:14" ht="28.5" customHeight="1" x14ac:dyDescent="0.2">
      <c r="A34" s="730" t="s">
        <v>612</v>
      </c>
      <c r="B34" s="452" t="s">
        <v>134</v>
      </c>
      <c r="C34" s="214" t="s">
        <v>614</v>
      </c>
      <c r="D34" s="403" t="s">
        <v>2305</v>
      </c>
      <c r="E34" s="403" t="s">
        <v>605</v>
      </c>
      <c r="F34" s="453"/>
      <c r="G34" s="453"/>
      <c r="H34" s="403">
        <v>0</v>
      </c>
      <c r="I34" s="403"/>
      <c r="J34" s="403" t="s">
        <v>2318</v>
      </c>
      <c r="K34" s="403" t="s">
        <v>2319</v>
      </c>
      <c r="L34" s="403" t="s">
        <v>2320</v>
      </c>
      <c r="M34" s="198" t="s">
        <v>2321</v>
      </c>
      <c r="N34" s="733">
        <v>2</v>
      </c>
    </row>
    <row r="35" spans="1:14" ht="28.5" customHeight="1" x14ac:dyDescent="0.2">
      <c r="A35" s="730" t="s">
        <v>1167</v>
      </c>
      <c r="B35" s="452" t="s">
        <v>134</v>
      </c>
      <c r="C35" s="214" t="s">
        <v>1169</v>
      </c>
      <c r="D35" s="403" t="s">
        <v>2305</v>
      </c>
      <c r="E35" s="403" t="s">
        <v>605</v>
      </c>
      <c r="F35" s="453"/>
      <c r="G35" s="453"/>
      <c r="H35" s="403">
        <v>0</v>
      </c>
      <c r="I35" s="403"/>
      <c r="J35" s="403" t="s">
        <v>2318</v>
      </c>
      <c r="K35" s="403" t="s">
        <v>2319</v>
      </c>
      <c r="L35" s="403" t="s">
        <v>2320</v>
      </c>
      <c r="M35" s="198" t="s">
        <v>2321</v>
      </c>
      <c r="N35" s="733">
        <v>2</v>
      </c>
    </row>
    <row r="36" spans="1:14" ht="28.5" customHeight="1" x14ac:dyDescent="0.2">
      <c r="A36" s="730" t="s">
        <v>686</v>
      </c>
      <c r="B36" s="452" t="s">
        <v>134</v>
      </c>
      <c r="C36" s="214" t="s">
        <v>688</v>
      </c>
      <c r="D36" s="403" t="s">
        <v>2305</v>
      </c>
      <c r="E36" s="403" t="s">
        <v>605</v>
      </c>
      <c r="F36" s="453"/>
      <c r="G36" s="453"/>
      <c r="H36" s="403">
        <v>0</v>
      </c>
      <c r="I36" s="403"/>
      <c r="J36" s="403" t="s">
        <v>2306</v>
      </c>
      <c r="K36" s="403" t="s">
        <v>2312</v>
      </c>
      <c r="L36" s="403" t="s">
        <v>2313</v>
      </c>
      <c r="M36" s="198" t="s">
        <v>2321</v>
      </c>
      <c r="N36" s="733">
        <v>2</v>
      </c>
    </row>
    <row r="37" spans="1:14" ht="28.5" customHeight="1" x14ac:dyDescent="0.2">
      <c r="A37" s="730" t="s">
        <v>319</v>
      </c>
      <c r="B37" s="452" t="s">
        <v>134</v>
      </c>
      <c r="C37" s="214" t="s">
        <v>321</v>
      </c>
      <c r="D37" s="403" t="s">
        <v>2322</v>
      </c>
      <c r="E37" s="403" t="s">
        <v>70</v>
      </c>
      <c r="F37" s="403">
        <v>30</v>
      </c>
      <c r="G37" s="403" t="s">
        <v>213</v>
      </c>
      <c r="H37" s="403">
        <v>5</v>
      </c>
      <c r="I37" s="403"/>
      <c r="J37" s="403" t="s">
        <v>2306</v>
      </c>
      <c r="K37" s="403" t="s">
        <v>2319</v>
      </c>
      <c r="L37" s="403" t="s">
        <v>2320</v>
      </c>
      <c r="M37" s="198" t="s">
        <v>2323</v>
      </c>
      <c r="N37" s="403">
        <v>1</v>
      </c>
    </row>
    <row r="38" spans="1:14" ht="28.5" customHeight="1" x14ac:dyDescent="0.2">
      <c r="A38" s="730" t="s">
        <v>616</v>
      </c>
      <c r="B38" s="452" t="s">
        <v>134</v>
      </c>
      <c r="C38" s="214" t="s">
        <v>618</v>
      </c>
      <c r="D38" s="403" t="s">
        <v>2305</v>
      </c>
      <c r="E38" s="403" t="s">
        <v>605</v>
      </c>
      <c r="F38" s="453"/>
      <c r="G38" s="453"/>
      <c r="H38" s="403">
        <v>0</v>
      </c>
      <c r="I38" s="403"/>
      <c r="J38" s="403" t="s">
        <v>2318</v>
      </c>
      <c r="K38" s="403" t="s">
        <v>2319</v>
      </c>
      <c r="L38" s="403" t="s">
        <v>2320</v>
      </c>
      <c r="M38" s="198" t="s">
        <v>2321</v>
      </c>
      <c r="N38" s="733">
        <v>2</v>
      </c>
    </row>
    <row r="39" spans="1:14" ht="42" x14ac:dyDescent="0.2">
      <c r="A39" s="304" t="s">
        <v>155</v>
      </c>
      <c r="B39" s="305" t="s">
        <v>134</v>
      </c>
      <c r="C39" s="304" t="s">
        <v>157</v>
      </c>
      <c r="D39" s="307" t="s">
        <v>2322</v>
      </c>
      <c r="E39" s="307" t="s">
        <v>70</v>
      </c>
      <c r="F39" s="307">
        <v>80</v>
      </c>
      <c r="G39" s="307" t="s">
        <v>44</v>
      </c>
      <c r="H39" s="307">
        <v>5</v>
      </c>
      <c r="I39" s="307"/>
      <c r="J39" s="307" t="s">
        <v>2318</v>
      </c>
      <c r="K39" s="307" t="s">
        <v>2319</v>
      </c>
      <c r="L39" s="307" t="s">
        <v>2320</v>
      </c>
      <c r="M39" s="257" t="s">
        <v>2327</v>
      </c>
      <c r="N39" s="307" t="s">
        <v>204</v>
      </c>
    </row>
    <row r="40" spans="1:14" ht="42" x14ac:dyDescent="0.2">
      <c r="A40" s="304" t="s">
        <v>160</v>
      </c>
      <c r="B40" s="305" t="s">
        <v>134</v>
      </c>
      <c r="C40" s="304" t="s">
        <v>162</v>
      </c>
      <c r="D40" s="307" t="s">
        <v>2322</v>
      </c>
      <c r="E40" s="307" t="s">
        <v>70</v>
      </c>
      <c r="F40" s="307">
        <v>80</v>
      </c>
      <c r="G40" s="307" t="s">
        <v>44</v>
      </c>
      <c r="H40" s="307">
        <v>5</v>
      </c>
      <c r="I40" s="307"/>
      <c r="J40" s="307" t="s">
        <v>2318</v>
      </c>
      <c r="K40" s="307" t="s">
        <v>2319</v>
      </c>
      <c r="L40" s="307" t="s">
        <v>2320</v>
      </c>
      <c r="M40" s="257" t="s">
        <v>2327</v>
      </c>
      <c r="N40" s="307" t="s">
        <v>204</v>
      </c>
    </row>
    <row r="41" spans="1:14" ht="28" x14ac:dyDescent="0.2">
      <c r="A41" s="304" t="s">
        <v>133</v>
      </c>
      <c r="B41" s="305" t="s">
        <v>134</v>
      </c>
      <c r="C41" s="304" t="s">
        <v>136</v>
      </c>
      <c r="D41" s="307" t="s">
        <v>2322</v>
      </c>
      <c r="E41" s="307" t="s">
        <v>67</v>
      </c>
      <c r="F41" s="307">
        <v>3</v>
      </c>
      <c r="G41" s="307" t="s">
        <v>137</v>
      </c>
      <c r="H41" s="307">
        <v>900</v>
      </c>
      <c r="I41" s="307"/>
      <c r="J41" s="307" t="s">
        <v>2318</v>
      </c>
      <c r="K41" s="307" t="s">
        <v>2319</v>
      </c>
      <c r="L41" s="307" t="s">
        <v>2320</v>
      </c>
      <c r="M41" s="257" t="s">
        <v>2328</v>
      </c>
      <c r="N41" s="307" t="s">
        <v>175</v>
      </c>
    </row>
    <row r="42" spans="1:14" ht="28" x14ac:dyDescent="0.2">
      <c r="A42" s="304" t="s">
        <v>140</v>
      </c>
      <c r="B42" s="305" t="s">
        <v>134</v>
      </c>
      <c r="C42" s="304" t="s">
        <v>142</v>
      </c>
      <c r="D42" s="307" t="s">
        <v>2322</v>
      </c>
      <c r="E42" s="307" t="s">
        <v>67</v>
      </c>
      <c r="F42" s="307">
        <v>3</v>
      </c>
      <c r="G42" s="307" t="s">
        <v>137</v>
      </c>
      <c r="H42" s="307">
        <v>900</v>
      </c>
      <c r="I42" s="307"/>
      <c r="J42" s="307" t="s">
        <v>2318</v>
      </c>
      <c r="K42" s="307" t="s">
        <v>2319</v>
      </c>
      <c r="L42" s="307" t="s">
        <v>2320</v>
      </c>
      <c r="M42" s="257" t="s">
        <v>2328</v>
      </c>
      <c r="N42" s="307" t="s">
        <v>175</v>
      </c>
    </row>
    <row r="43" spans="1:14" ht="28" x14ac:dyDescent="0.2">
      <c r="A43" s="214" t="s">
        <v>1131</v>
      </c>
      <c r="B43" s="452" t="s">
        <v>134</v>
      </c>
      <c r="C43" s="214" t="s">
        <v>1133</v>
      </c>
      <c r="D43" s="403" t="s">
        <v>2305</v>
      </c>
      <c r="E43" s="403" t="s">
        <v>537</v>
      </c>
      <c r="F43" s="453"/>
      <c r="G43" s="453"/>
      <c r="H43" s="733">
        <v>0</v>
      </c>
      <c r="I43" s="403"/>
      <c r="J43" s="403" t="s">
        <v>2306</v>
      </c>
      <c r="K43" s="403" t="s">
        <v>2310</v>
      </c>
      <c r="L43" s="403" t="s">
        <v>59</v>
      </c>
      <c r="M43" s="198" t="s">
        <v>2329</v>
      </c>
      <c r="N43" s="733">
        <v>2</v>
      </c>
    </row>
    <row r="44" spans="1:14" ht="28" x14ac:dyDescent="0.2">
      <c r="A44" s="214" t="s">
        <v>190</v>
      </c>
      <c r="B44" s="452" t="s">
        <v>134</v>
      </c>
      <c r="C44" s="214" t="s">
        <v>192</v>
      </c>
      <c r="D44" s="403" t="s">
        <v>2322</v>
      </c>
      <c r="E44" s="403" t="s">
        <v>70</v>
      </c>
      <c r="F44" s="403">
        <v>3</v>
      </c>
      <c r="G44" s="403" t="s">
        <v>193</v>
      </c>
      <c r="H44" s="403">
        <v>5</v>
      </c>
      <c r="I44" s="403"/>
      <c r="J44" s="403" t="s">
        <v>2306</v>
      </c>
      <c r="K44" s="403" t="s">
        <v>2312</v>
      </c>
      <c r="L44" s="403" t="s">
        <v>2313</v>
      </c>
      <c r="M44" s="198" t="s">
        <v>2330</v>
      </c>
      <c r="N44" s="403">
        <v>0</v>
      </c>
    </row>
    <row r="45" spans="1:14" ht="28" x14ac:dyDescent="0.2">
      <c r="A45" s="214" t="s">
        <v>190</v>
      </c>
      <c r="B45" s="452" t="s">
        <v>134</v>
      </c>
      <c r="C45" s="214" t="s">
        <v>192</v>
      </c>
      <c r="D45" s="403" t="s">
        <v>2322</v>
      </c>
      <c r="E45" s="403" t="s">
        <v>76</v>
      </c>
      <c r="F45" s="403">
        <v>5</v>
      </c>
      <c r="G45" s="403" t="s">
        <v>193</v>
      </c>
      <c r="H45" s="403">
        <v>5</v>
      </c>
      <c r="I45" s="403"/>
      <c r="J45" s="403" t="s">
        <v>2306</v>
      </c>
      <c r="K45" s="403" t="s">
        <v>2310</v>
      </c>
      <c r="L45" s="403" t="s">
        <v>59</v>
      </c>
      <c r="M45" s="198" t="s">
        <v>2330</v>
      </c>
      <c r="N45" s="403" t="s">
        <v>204</v>
      </c>
    </row>
    <row r="46" spans="1:14" ht="28" x14ac:dyDescent="0.2">
      <c r="A46" s="214" t="s">
        <v>196</v>
      </c>
      <c r="B46" s="452" t="s">
        <v>134</v>
      </c>
      <c r="C46" s="214" t="s">
        <v>198</v>
      </c>
      <c r="D46" s="403" t="s">
        <v>2322</v>
      </c>
      <c r="E46" s="403" t="s">
        <v>70</v>
      </c>
      <c r="F46" s="403">
        <v>3</v>
      </c>
      <c r="G46" s="403" t="s">
        <v>193</v>
      </c>
      <c r="H46" s="403">
        <v>5</v>
      </c>
      <c r="I46" s="403"/>
      <c r="J46" s="403" t="s">
        <v>2306</v>
      </c>
      <c r="K46" s="403" t="s">
        <v>2312</v>
      </c>
      <c r="L46" s="403" t="s">
        <v>2313</v>
      </c>
      <c r="M46" s="198" t="s">
        <v>2330</v>
      </c>
      <c r="N46" s="403">
        <v>0</v>
      </c>
    </row>
    <row r="47" spans="1:14" ht="28" x14ac:dyDescent="0.2">
      <c r="A47" s="214" t="s">
        <v>196</v>
      </c>
      <c r="B47" s="452" t="s">
        <v>134</v>
      </c>
      <c r="C47" s="214" t="s">
        <v>198</v>
      </c>
      <c r="D47" s="403" t="s">
        <v>2322</v>
      </c>
      <c r="E47" s="403" t="s">
        <v>76</v>
      </c>
      <c r="F47" s="403">
        <v>5</v>
      </c>
      <c r="G47" s="403" t="s">
        <v>193</v>
      </c>
      <c r="H47" s="403">
        <v>5</v>
      </c>
      <c r="I47" s="403"/>
      <c r="J47" s="403" t="s">
        <v>2306</v>
      </c>
      <c r="K47" s="403" t="s">
        <v>2310</v>
      </c>
      <c r="L47" s="403" t="s">
        <v>59</v>
      </c>
      <c r="M47" s="198" t="s">
        <v>2330</v>
      </c>
      <c r="N47" s="403" t="s">
        <v>204</v>
      </c>
    </row>
    <row r="48" spans="1:14" ht="28" x14ac:dyDescent="0.2">
      <c r="A48" s="304" t="s">
        <v>164</v>
      </c>
      <c r="B48" s="305" t="s">
        <v>134</v>
      </c>
      <c r="C48" s="304" t="s">
        <v>166</v>
      </c>
      <c r="D48" s="307" t="s">
        <v>2322</v>
      </c>
      <c r="E48" s="307" t="s">
        <v>73</v>
      </c>
      <c r="F48" s="307">
        <v>100</v>
      </c>
      <c r="G48" s="307" t="s">
        <v>167</v>
      </c>
      <c r="H48" s="307">
        <v>5</v>
      </c>
      <c r="I48" s="307" t="s">
        <v>168</v>
      </c>
      <c r="J48" s="307" t="s">
        <v>2318</v>
      </c>
      <c r="K48" s="307" t="s">
        <v>2310</v>
      </c>
      <c r="L48" s="307" t="s">
        <v>59</v>
      </c>
      <c r="M48" s="257" t="s">
        <v>2331</v>
      </c>
      <c r="N48" s="307" t="s">
        <v>175</v>
      </c>
    </row>
    <row r="49" spans="1:14" ht="28" x14ac:dyDescent="0.2">
      <c r="A49" s="214" t="s">
        <v>164</v>
      </c>
      <c r="B49" s="452" t="s">
        <v>134</v>
      </c>
      <c r="C49" s="214" t="s">
        <v>166</v>
      </c>
      <c r="D49" s="403" t="s">
        <v>2322</v>
      </c>
      <c r="E49" s="403" t="s">
        <v>67</v>
      </c>
      <c r="F49" s="403">
        <v>120</v>
      </c>
      <c r="G49" s="403" t="s">
        <v>167</v>
      </c>
      <c r="H49" s="403">
        <v>5</v>
      </c>
      <c r="I49" s="403" t="s">
        <v>168</v>
      </c>
      <c r="J49" s="403" t="s">
        <v>2318</v>
      </c>
      <c r="K49" s="403" t="s">
        <v>2307</v>
      </c>
      <c r="L49" s="403" t="s">
        <v>2320</v>
      </c>
      <c r="M49" s="198" t="s">
        <v>2332</v>
      </c>
      <c r="N49" s="403">
        <v>0</v>
      </c>
    </row>
    <row r="50" spans="1:14" ht="28" x14ac:dyDescent="0.2">
      <c r="A50" s="304" t="s">
        <v>171</v>
      </c>
      <c r="B50" s="305" t="s">
        <v>134</v>
      </c>
      <c r="C50" s="304" t="s">
        <v>173</v>
      </c>
      <c r="D50" s="307" t="s">
        <v>2322</v>
      </c>
      <c r="E50" s="307" t="s">
        <v>70</v>
      </c>
      <c r="F50" s="307">
        <v>20</v>
      </c>
      <c r="G50" s="307" t="s">
        <v>167</v>
      </c>
      <c r="H50" s="307">
        <v>5</v>
      </c>
      <c r="I50" s="307" t="s">
        <v>168</v>
      </c>
      <c r="J50" s="307" t="s">
        <v>2318</v>
      </c>
      <c r="K50" s="307" t="s">
        <v>2307</v>
      </c>
      <c r="L50" s="307" t="s">
        <v>2320</v>
      </c>
      <c r="M50" s="257" t="s">
        <v>2333</v>
      </c>
      <c r="N50" s="307" t="s">
        <v>175</v>
      </c>
    </row>
    <row r="51" spans="1:14" ht="28" x14ac:dyDescent="0.2">
      <c r="A51" s="304" t="s">
        <v>177</v>
      </c>
      <c r="B51" s="305" t="s">
        <v>134</v>
      </c>
      <c r="C51" s="13" t="s">
        <v>179</v>
      </c>
      <c r="D51" s="307" t="s">
        <v>2322</v>
      </c>
      <c r="E51" s="307" t="s">
        <v>70</v>
      </c>
      <c r="F51" s="307">
        <v>450</v>
      </c>
      <c r="G51" s="307" t="s">
        <v>180</v>
      </c>
      <c r="H51" s="307">
        <v>5</v>
      </c>
      <c r="I51" s="307"/>
      <c r="J51" s="307" t="s">
        <v>2318</v>
      </c>
      <c r="K51" s="307" t="s">
        <v>2307</v>
      </c>
      <c r="L51" s="307" t="s">
        <v>2320</v>
      </c>
      <c r="M51" s="257" t="s">
        <v>2334</v>
      </c>
      <c r="N51" s="307" t="s">
        <v>204</v>
      </c>
    </row>
    <row r="52" spans="1:14" ht="28" x14ac:dyDescent="0.2">
      <c r="A52" s="214" t="s">
        <v>1445</v>
      </c>
      <c r="B52" s="452" t="s">
        <v>134</v>
      </c>
      <c r="C52" s="214" t="s">
        <v>1449</v>
      </c>
      <c r="D52" s="403" t="s">
        <v>2322</v>
      </c>
      <c r="E52" s="714" t="s">
        <v>73</v>
      </c>
      <c r="F52" s="13" t="s">
        <v>1452</v>
      </c>
      <c r="G52" s="403" t="s">
        <v>180</v>
      </c>
      <c r="H52" s="403">
        <v>5</v>
      </c>
      <c r="I52" s="403"/>
      <c r="J52" s="403" t="s">
        <v>2318</v>
      </c>
      <c r="K52" s="403" t="s">
        <v>2310</v>
      </c>
      <c r="L52" s="403" t="s">
        <v>59</v>
      </c>
      <c r="M52" s="198" t="s">
        <v>2335</v>
      </c>
      <c r="N52" s="403">
        <v>0</v>
      </c>
    </row>
    <row r="53" spans="1:14" ht="28" x14ac:dyDescent="0.2">
      <c r="A53" s="214" t="s">
        <v>1445</v>
      </c>
      <c r="B53" s="452" t="s">
        <v>134</v>
      </c>
      <c r="C53" s="214" t="s">
        <v>1449</v>
      </c>
      <c r="D53" s="403" t="s">
        <v>2322</v>
      </c>
      <c r="E53" s="403" t="s">
        <v>67</v>
      </c>
      <c r="F53" s="13" t="s">
        <v>1453</v>
      </c>
      <c r="G53" s="403" t="s">
        <v>180</v>
      </c>
      <c r="H53" s="403">
        <v>5</v>
      </c>
      <c r="I53" s="403"/>
      <c r="J53" s="403" t="s">
        <v>2318</v>
      </c>
      <c r="K53" s="403" t="s">
        <v>2307</v>
      </c>
      <c r="L53" s="403" t="s">
        <v>2320</v>
      </c>
      <c r="M53" s="198" t="s">
        <v>2336</v>
      </c>
      <c r="N53" s="403">
        <v>0</v>
      </c>
    </row>
    <row r="54" spans="1:14" ht="84" x14ac:dyDescent="0.2">
      <c r="A54" s="214" t="s">
        <v>1445</v>
      </c>
      <c r="B54" s="452" t="s">
        <v>134</v>
      </c>
      <c r="C54" s="214" t="s">
        <v>1449</v>
      </c>
      <c r="D54" s="403" t="s">
        <v>2322</v>
      </c>
      <c r="E54" s="403" t="s">
        <v>70</v>
      </c>
      <c r="F54" s="13" t="s">
        <v>1454</v>
      </c>
      <c r="G54" s="403" t="s">
        <v>180</v>
      </c>
      <c r="H54" s="403">
        <v>5</v>
      </c>
      <c r="I54" s="403"/>
      <c r="J54" s="403" t="s">
        <v>2318</v>
      </c>
      <c r="K54" s="403" t="s">
        <v>2307</v>
      </c>
      <c r="L54" s="403" t="s">
        <v>2320</v>
      </c>
      <c r="M54" s="198" t="s">
        <v>2337</v>
      </c>
      <c r="N54" s="403">
        <v>0</v>
      </c>
    </row>
    <row r="55" spans="1:14" ht="28" x14ac:dyDescent="0.2">
      <c r="A55" s="214" t="s">
        <v>1445</v>
      </c>
      <c r="B55" s="452" t="s">
        <v>134</v>
      </c>
      <c r="C55" s="214" t="s">
        <v>1449</v>
      </c>
      <c r="D55" s="403" t="s">
        <v>2322</v>
      </c>
      <c r="E55" s="403" t="s">
        <v>76</v>
      </c>
      <c r="F55" s="13" t="s">
        <v>1455</v>
      </c>
      <c r="G55" s="403" t="s">
        <v>180</v>
      </c>
      <c r="H55" s="403">
        <v>5</v>
      </c>
      <c r="I55" s="403"/>
      <c r="J55" s="403" t="s">
        <v>2318</v>
      </c>
      <c r="K55" s="403" t="s">
        <v>2310</v>
      </c>
      <c r="L55" s="403" t="s">
        <v>59</v>
      </c>
      <c r="M55" s="198" t="s">
        <v>2335</v>
      </c>
      <c r="N55" s="403">
        <v>0</v>
      </c>
    </row>
    <row r="56" spans="1:14" ht="28" x14ac:dyDescent="0.2">
      <c r="A56" s="304" t="s">
        <v>210</v>
      </c>
      <c r="B56" s="305" t="s">
        <v>134</v>
      </c>
      <c r="C56" s="304" t="s">
        <v>212</v>
      </c>
      <c r="D56" s="307" t="s">
        <v>2322</v>
      </c>
      <c r="E56" s="307" t="s">
        <v>70</v>
      </c>
      <c r="F56" s="307">
        <v>54</v>
      </c>
      <c r="G56" s="307" t="s">
        <v>213</v>
      </c>
      <c r="H56" s="307">
        <v>5</v>
      </c>
      <c r="I56" s="307"/>
      <c r="J56" s="307" t="s">
        <v>2318</v>
      </c>
      <c r="K56" s="307" t="s">
        <v>2319</v>
      </c>
      <c r="L56" s="307" t="s">
        <v>2320</v>
      </c>
      <c r="M56" s="257" t="s">
        <v>2338</v>
      </c>
      <c r="N56" s="307" t="s">
        <v>175</v>
      </c>
    </row>
    <row r="57" spans="1:14" ht="28" x14ac:dyDescent="0.2">
      <c r="A57" s="304" t="s">
        <v>210</v>
      </c>
      <c r="B57" s="305" t="s">
        <v>134</v>
      </c>
      <c r="C57" s="304" t="s">
        <v>212</v>
      </c>
      <c r="D57" s="307" t="s">
        <v>2322</v>
      </c>
      <c r="E57" s="307" t="s">
        <v>76</v>
      </c>
      <c r="F57" s="307">
        <v>60</v>
      </c>
      <c r="G57" s="307" t="s">
        <v>213</v>
      </c>
      <c r="H57" s="307">
        <v>5</v>
      </c>
      <c r="I57" s="307"/>
      <c r="J57" s="307" t="s">
        <v>2318</v>
      </c>
      <c r="K57" s="307" t="s">
        <v>2310</v>
      </c>
      <c r="L57" s="307" t="s">
        <v>59</v>
      </c>
      <c r="M57" s="257" t="s">
        <v>2335</v>
      </c>
      <c r="N57" s="307" t="s">
        <v>175</v>
      </c>
    </row>
    <row r="58" spans="1:14" ht="28" x14ac:dyDescent="0.2">
      <c r="A58" s="304" t="s">
        <v>216</v>
      </c>
      <c r="B58" s="305" t="s">
        <v>134</v>
      </c>
      <c r="C58" s="304" t="s">
        <v>218</v>
      </c>
      <c r="D58" s="307" t="s">
        <v>2322</v>
      </c>
      <c r="E58" s="307" t="s">
        <v>70</v>
      </c>
      <c r="F58" s="307">
        <v>54</v>
      </c>
      <c r="G58" s="307" t="s">
        <v>213</v>
      </c>
      <c r="H58" s="307">
        <v>5</v>
      </c>
      <c r="I58" s="307"/>
      <c r="J58" s="307" t="s">
        <v>2318</v>
      </c>
      <c r="K58" s="307" t="s">
        <v>2319</v>
      </c>
      <c r="L58" s="307" t="s">
        <v>2320</v>
      </c>
      <c r="M58" s="257" t="s">
        <v>2338</v>
      </c>
      <c r="N58" s="307" t="s">
        <v>175</v>
      </c>
    </row>
    <row r="59" spans="1:14" ht="28" x14ac:dyDescent="0.2">
      <c r="A59" s="304" t="s">
        <v>216</v>
      </c>
      <c r="B59" s="305" t="s">
        <v>134</v>
      </c>
      <c r="C59" s="304" t="s">
        <v>218</v>
      </c>
      <c r="D59" s="307" t="s">
        <v>2322</v>
      </c>
      <c r="E59" s="307" t="s">
        <v>76</v>
      </c>
      <c r="F59" s="307">
        <v>60</v>
      </c>
      <c r="G59" s="307" t="s">
        <v>213</v>
      </c>
      <c r="H59" s="307">
        <v>5</v>
      </c>
      <c r="I59" s="307"/>
      <c r="J59" s="307" t="s">
        <v>2318</v>
      </c>
      <c r="K59" s="307" t="s">
        <v>2310</v>
      </c>
      <c r="L59" s="307" t="s">
        <v>59</v>
      </c>
      <c r="M59" s="257" t="s">
        <v>2335</v>
      </c>
      <c r="N59" s="307" t="s">
        <v>175</v>
      </c>
    </row>
    <row r="60" spans="1:14" ht="28" x14ac:dyDescent="0.2">
      <c r="A60" s="304" t="s">
        <v>220</v>
      </c>
      <c r="B60" s="305" t="s">
        <v>134</v>
      </c>
      <c r="C60" s="304" t="s">
        <v>222</v>
      </c>
      <c r="D60" s="307" t="s">
        <v>2322</v>
      </c>
      <c r="E60" s="307" t="s">
        <v>70</v>
      </c>
      <c r="F60" s="307">
        <v>54</v>
      </c>
      <c r="G60" s="307" t="s">
        <v>213</v>
      </c>
      <c r="H60" s="307">
        <v>5</v>
      </c>
      <c r="I60" s="307"/>
      <c r="J60" s="307" t="s">
        <v>2318</v>
      </c>
      <c r="K60" s="307" t="s">
        <v>2319</v>
      </c>
      <c r="L60" s="307" t="s">
        <v>2320</v>
      </c>
      <c r="M60" s="257" t="s">
        <v>2338</v>
      </c>
      <c r="N60" s="307" t="s">
        <v>175</v>
      </c>
    </row>
    <row r="61" spans="1:14" ht="28" x14ac:dyDescent="0.2">
      <c r="A61" s="304" t="s">
        <v>220</v>
      </c>
      <c r="B61" s="305" t="s">
        <v>134</v>
      </c>
      <c r="C61" s="304" t="s">
        <v>222</v>
      </c>
      <c r="D61" s="307" t="s">
        <v>2322</v>
      </c>
      <c r="E61" s="307" t="s">
        <v>76</v>
      </c>
      <c r="F61" s="307">
        <v>60</v>
      </c>
      <c r="G61" s="307" t="s">
        <v>213</v>
      </c>
      <c r="H61" s="307">
        <v>5</v>
      </c>
      <c r="I61" s="307"/>
      <c r="J61" s="307" t="s">
        <v>2318</v>
      </c>
      <c r="K61" s="307" t="s">
        <v>2310</v>
      </c>
      <c r="L61" s="307" t="s">
        <v>59</v>
      </c>
      <c r="M61" s="257" t="s">
        <v>2335</v>
      </c>
      <c r="N61" s="307" t="s">
        <v>175</v>
      </c>
    </row>
    <row r="62" spans="1:14" ht="28" x14ac:dyDescent="0.2">
      <c r="A62" s="304" t="s">
        <v>224</v>
      </c>
      <c r="B62" s="305" t="s">
        <v>134</v>
      </c>
      <c r="C62" s="304" t="s">
        <v>226</v>
      </c>
      <c r="D62" s="307" t="s">
        <v>2322</v>
      </c>
      <c r="E62" s="307" t="s">
        <v>70</v>
      </c>
      <c r="F62" s="307">
        <v>54</v>
      </c>
      <c r="G62" s="307" t="s">
        <v>213</v>
      </c>
      <c r="H62" s="307">
        <v>5</v>
      </c>
      <c r="I62" s="307"/>
      <c r="J62" s="307" t="s">
        <v>2318</v>
      </c>
      <c r="K62" s="307" t="s">
        <v>2319</v>
      </c>
      <c r="L62" s="307" t="s">
        <v>2320</v>
      </c>
      <c r="M62" s="257" t="s">
        <v>2338</v>
      </c>
      <c r="N62" s="307" t="s">
        <v>175</v>
      </c>
    </row>
    <row r="63" spans="1:14" ht="28" x14ac:dyDescent="0.2">
      <c r="A63" s="304" t="s">
        <v>224</v>
      </c>
      <c r="B63" s="305" t="s">
        <v>134</v>
      </c>
      <c r="C63" s="304" t="s">
        <v>226</v>
      </c>
      <c r="D63" s="307" t="s">
        <v>2322</v>
      </c>
      <c r="E63" s="307" t="s">
        <v>76</v>
      </c>
      <c r="F63" s="307">
        <v>60</v>
      </c>
      <c r="G63" s="307" t="s">
        <v>213</v>
      </c>
      <c r="H63" s="307">
        <v>5</v>
      </c>
      <c r="I63" s="307"/>
      <c r="J63" s="307" t="s">
        <v>2318</v>
      </c>
      <c r="K63" s="307" t="s">
        <v>2310</v>
      </c>
      <c r="L63" s="307" t="s">
        <v>59</v>
      </c>
      <c r="M63" s="257" t="s">
        <v>2335</v>
      </c>
      <c r="N63" s="307" t="s">
        <v>175</v>
      </c>
    </row>
    <row r="64" spans="1:14" ht="28" x14ac:dyDescent="0.2">
      <c r="A64" s="304" t="s">
        <v>228</v>
      </c>
      <c r="B64" s="305" t="s">
        <v>134</v>
      </c>
      <c r="C64" s="304" t="s">
        <v>230</v>
      </c>
      <c r="D64" s="307" t="s">
        <v>2322</v>
      </c>
      <c r="E64" s="307" t="s">
        <v>70</v>
      </c>
      <c r="F64" s="307">
        <v>54</v>
      </c>
      <c r="G64" s="307" t="s">
        <v>213</v>
      </c>
      <c r="H64" s="307">
        <v>5</v>
      </c>
      <c r="I64" s="307"/>
      <c r="J64" s="307" t="s">
        <v>2318</v>
      </c>
      <c r="K64" s="307" t="s">
        <v>2319</v>
      </c>
      <c r="L64" s="307" t="s">
        <v>2320</v>
      </c>
      <c r="M64" s="257" t="s">
        <v>2338</v>
      </c>
      <c r="N64" s="307" t="s">
        <v>175</v>
      </c>
    </row>
    <row r="65" spans="1:14" ht="28" x14ac:dyDescent="0.2">
      <c r="A65" s="304" t="s">
        <v>228</v>
      </c>
      <c r="B65" s="305" t="s">
        <v>134</v>
      </c>
      <c r="C65" s="304" t="s">
        <v>230</v>
      </c>
      <c r="D65" s="307" t="s">
        <v>2322</v>
      </c>
      <c r="E65" s="307" t="s">
        <v>76</v>
      </c>
      <c r="F65" s="307">
        <v>60</v>
      </c>
      <c r="G65" s="307" t="s">
        <v>213</v>
      </c>
      <c r="H65" s="307">
        <v>5</v>
      </c>
      <c r="I65" s="307"/>
      <c r="J65" s="307" t="s">
        <v>2318</v>
      </c>
      <c r="K65" s="307" t="s">
        <v>2310</v>
      </c>
      <c r="L65" s="307" t="s">
        <v>59</v>
      </c>
      <c r="M65" s="257" t="s">
        <v>2335</v>
      </c>
      <c r="N65" s="307" t="s">
        <v>175</v>
      </c>
    </row>
    <row r="66" spans="1:14" ht="28" x14ac:dyDescent="0.2">
      <c r="A66" s="304" t="s">
        <v>232</v>
      </c>
      <c r="B66" s="305" t="s">
        <v>134</v>
      </c>
      <c r="C66" s="304" t="s">
        <v>234</v>
      </c>
      <c r="D66" s="307" t="s">
        <v>2322</v>
      </c>
      <c r="E66" s="307" t="s">
        <v>73</v>
      </c>
      <c r="F66" s="307">
        <v>50</v>
      </c>
      <c r="G66" s="307" t="s">
        <v>235</v>
      </c>
      <c r="H66" s="307">
        <v>5</v>
      </c>
      <c r="I66" s="307" t="s">
        <v>236</v>
      </c>
      <c r="J66" s="307" t="s">
        <v>2318</v>
      </c>
      <c r="K66" s="307" t="s">
        <v>2310</v>
      </c>
      <c r="L66" s="307" t="s">
        <v>59</v>
      </c>
      <c r="M66" s="257" t="s">
        <v>2335</v>
      </c>
      <c r="N66" s="307" t="s">
        <v>204</v>
      </c>
    </row>
    <row r="67" spans="1:14" ht="28" x14ac:dyDescent="0.2">
      <c r="A67" s="304" t="s">
        <v>232</v>
      </c>
      <c r="B67" s="305" t="s">
        <v>134</v>
      </c>
      <c r="C67" s="304" t="s">
        <v>234</v>
      </c>
      <c r="D67" s="307" t="s">
        <v>2322</v>
      </c>
      <c r="E67" s="307" t="s">
        <v>67</v>
      </c>
      <c r="F67" s="307">
        <v>86</v>
      </c>
      <c r="G67" s="307" t="s">
        <v>235</v>
      </c>
      <c r="H67" s="307">
        <v>5</v>
      </c>
      <c r="I67" s="307" t="s">
        <v>236</v>
      </c>
      <c r="J67" s="307" t="s">
        <v>2318</v>
      </c>
      <c r="K67" s="307" t="s">
        <v>2307</v>
      </c>
      <c r="L67" s="307" t="s">
        <v>2320</v>
      </c>
      <c r="M67" s="257" t="s">
        <v>2335</v>
      </c>
      <c r="N67" s="307" t="s">
        <v>204</v>
      </c>
    </row>
    <row r="68" spans="1:14" ht="28" x14ac:dyDescent="0.2">
      <c r="A68" s="304" t="s">
        <v>238</v>
      </c>
      <c r="B68" s="305" t="s">
        <v>134</v>
      </c>
      <c r="C68" s="304" t="s">
        <v>240</v>
      </c>
      <c r="D68" s="307" t="s">
        <v>2322</v>
      </c>
      <c r="E68" s="307" t="s">
        <v>73</v>
      </c>
      <c r="F68" s="307">
        <v>7.5</v>
      </c>
      <c r="G68" s="307" t="s">
        <v>235</v>
      </c>
      <c r="H68" s="307">
        <v>5</v>
      </c>
      <c r="I68" s="307" t="s">
        <v>236</v>
      </c>
      <c r="J68" s="307" t="s">
        <v>2318</v>
      </c>
      <c r="K68" s="307" t="s">
        <v>2310</v>
      </c>
      <c r="L68" s="307" t="s">
        <v>59</v>
      </c>
      <c r="M68" s="257" t="s">
        <v>2339</v>
      </c>
      <c r="N68" s="307" t="s">
        <v>204</v>
      </c>
    </row>
    <row r="69" spans="1:14" ht="28" x14ac:dyDescent="0.2">
      <c r="A69" s="214" t="s">
        <v>238</v>
      </c>
      <c r="B69" s="452" t="s">
        <v>134</v>
      </c>
      <c r="C69" s="214" t="s">
        <v>240</v>
      </c>
      <c r="D69" s="403" t="s">
        <v>2322</v>
      </c>
      <c r="E69" s="403" t="s">
        <v>67</v>
      </c>
      <c r="F69" s="403">
        <v>13.5</v>
      </c>
      <c r="G69" s="403" t="s">
        <v>235</v>
      </c>
      <c r="H69" s="403">
        <v>5</v>
      </c>
      <c r="I69" s="403" t="s">
        <v>236</v>
      </c>
      <c r="J69" s="403" t="s">
        <v>2318</v>
      </c>
      <c r="K69" s="403" t="s">
        <v>2307</v>
      </c>
      <c r="L69" s="403" t="s">
        <v>2320</v>
      </c>
      <c r="M69" s="198" t="s">
        <v>2335</v>
      </c>
      <c r="N69" s="403" t="s">
        <v>204</v>
      </c>
    </row>
    <row r="70" spans="1:14" ht="28" x14ac:dyDescent="0.2">
      <c r="A70" s="304" t="s">
        <v>242</v>
      </c>
      <c r="B70" s="305" t="s">
        <v>134</v>
      </c>
      <c r="C70" s="304" t="s">
        <v>244</v>
      </c>
      <c r="D70" s="307" t="s">
        <v>2322</v>
      </c>
      <c r="E70" s="307" t="s">
        <v>73</v>
      </c>
      <c r="F70" s="307">
        <v>7.5</v>
      </c>
      <c r="G70" s="307" t="s">
        <v>235</v>
      </c>
      <c r="H70" s="307">
        <v>5</v>
      </c>
      <c r="I70" s="307" t="s">
        <v>236</v>
      </c>
      <c r="J70" s="307" t="s">
        <v>2318</v>
      </c>
      <c r="K70" s="307" t="s">
        <v>2310</v>
      </c>
      <c r="L70" s="307" t="s">
        <v>59</v>
      </c>
      <c r="M70" s="257" t="s">
        <v>2339</v>
      </c>
      <c r="N70" s="307" t="s">
        <v>204</v>
      </c>
    </row>
    <row r="71" spans="1:14" ht="28" x14ac:dyDescent="0.2">
      <c r="A71" s="214" t="s">
        <v>242</v>
      </c>
      <c r="B71" s="452" t="s">
        <v>134</v>
      </c>
      <c r="C71" s="214" t="s">
        <v>244</v>
      </c>
      <c r="D71" s="403" t="s">
        <v>2322</v>
      </c>
      <c r="E71" s="403" t="s">
        <v>67</v>
      </c>
      <c r="F71" s="403">
        <v>13.5</v>
      </c>
      <c r="G71" s="403" t="s">
        <v>235</v>
      </c>
      <c r="H71" s="403">
        <v>5</v>
      </c>
      <c r="I71" s="403" t="s">
        <v>236</v>
      </c>
      <c r="J71" s="403" t="s">
        <v>2318</v>
      </c>
      <c r="K71" s="403" t="s">
        <v>2307</v>
      </c>
      <c r="L71" s="403" t="s">
        <v>2320</v>
      </c>
      <c r="M71" s="198" t="s">
        <v>2335</v>
      </c>
      <c r="N71" s="403" t="s">
        <v>204</v>
      </c>
    </row>
    <row r="72" spans="1:14" ht="28" x14ac:dyDescent="0.2">
      <c r="A72" s="304" t="s">
        <v>246</v>
      </c>
      <c r="B72" s="305" t="s">
        <v>134</v>
      </c>
      <c r="C72" s="304" t="s">
        <v>248</v>
      </c>
      <c r="D72" s="307" t="s">
        <v>2322</v>
      </c>
      <c r="E72" s="307" t="s">
        <v>73</v>
      </c>
      <c r="F72" s="307">
        <v>7.5</v>
      </c>
      <c r="G72" s="307" t="s">
        <v>235</v>
      </c>
      <c r="H72" s="307">
        <v>5</v>
      </c>
      <c r="I72" s="307" t="s">
        <v>236</v>
      </c>
      <c r="J72" s="307" t="s">
        <v>2318</v>
      </c>
      <c r="K72" s="307" t="s">
        <v>2310</v>
      </c>
      <c r="L72" s="307" t="s">
        <v>59</v>
      </c>
      <c r="M72" s="257" t="s">
        <v>2339</v>
      </c>
      <c r="N72" s="307" t="s">
        <v>204</v>
      </c>
    </row>
    <row r="73" spans="1:14" ht="28" x14ac:dyDescent="0.2">
      <c r="A73" s="214" t="s">
        <v>246</v>
      </c>
      <c r="B73" s="452" t="s">
        <v>134</v>
      </c>
      <c r="C73" s="214" t="s">
        <v>248</v>
      </c>
      <c r="D73" s="403" t="s">
        <v>2322</v>
      </c>
      <c r="E73" s="403" t="s">
        <v>67</v>
      </c>
      <c r="F73" s="403">
        <v>13.5</v>
      </c>
      <c r="G73" s="403" t="s">
        <v>235</v>
      </c>
      <c r="H73" s="403">
        <v>5</v>
      </c>
      <c r="I73" s="403" t="s">
        <v>236</v>
      </c>
      <c r="J73" s="403" t="s">
        <v>2318</v>
      </c>
      <c r="K73" s="403" t="s">
        <v>2307</v>
      </c>
      <c r="L73" s="403" t="s">
        <v>2320</v>
      </c>
      <c r="M73" s="198" t="s">
        <v>2335</v>
      </c>
      <c r="N73" s="403" t="s">
        <v>204</v>
      </c>
    </row>
    <row r="74" spans="1:14" ht="28" x14ac:dyDescent="0.2">
      <c r="A74" s="304" t="s">
        <v>250</v>
      </c>
      <c r="B74" s="305" t="s">
        <v>134</v>
      </c>
      <c r="C74" s="304" t="s">
        <v>252</v>
      </c>
      <c r="D74" s="307" t="s">
        <v>2322</v>
      </c>
      <c r="E74" s="307" t="s">
        <v>73</v>
      </c>
      <c r="F74" s="307">
        <v>50</v>
      </c>
      <c r="G74" s="307" t="s">
        <v>235</v>
      </c>
      <c r="H74" s="307">
        <v>5</v>
      </c>
      <c r="I74" s="307" t="s">
        <v>236</v>
      </c>
      <c r="J74" s="307" t="s">
        <v>2318</v>
      </c>
      <c r="K74" s="307" t="s">
        <v>2310</v>
      </c>
      <c r="L74" s="307" t="s">
        <v>59</v>
      </c>
      <c r="M74" s="257" t="s">
        <v>2339</v>
      </c>
      <c r="N74" s="307" t="s">
        <v>204</v>
      </c>
    </row>
    <row r="75" spans="1:14" ht="28" x14ac:dyDescent="0.2">
      <c r="A75" s="304" t="s">
        <v>250</v>
      </c>
      <c r="B75" s="305" t="s">
        <v>134</v>
      </c>
      <c r="C75" s="304" t="s">
        <v>252</v>
      </c>
      <c r="D75" s="307" t="s">
        <v>2322</v>
      </c>
      <c r="E75" s="307" t="s">
        <v>67</v>
      </c>
      <c r="F75" s="307">
        <v>86</v>
      </c>
      <c r="G75" s="307" t="s">
        <v>235</v>
      </c>
      <c r="H75" s="307">
        <v>5</v>
      </c>
      <c r="I75" s="307" t="s">
        <v>236</v>
      </c>
      <c r="J75" s="307" t="s">
        <v>2318</v>
      </c>
      <c r="K75" s="307" t="s">
        <v>2307</v>
      </c>
      <c r="L75" s="307" t="s">
        <v>2320</v>
      </c>
      <c r="M75" s="257" t="s">
        <v>2335</v>
      </c>
      <c r="N75" s="307" t="s">
        <v>204</v>
      </c>
    </row>
    <row r="76" spans="1:14" ht="42" x14ac:dyDescent="0.2">
      <c r="A76" s="304" t="s">
        <v>183</v>
      </c>
      <c r="B76" s="305" t="s">
        <v>134</v>
      </c>
      <c r="C76" s="304" t="s">
        <v>185</v>
      </c>
      <c r="D76" s="307" t="s">
        <v>2322</v>
      </c>
      <c r="E76" s="307" t="s">
        <v>73</v>
      </c>
      <c r="F76" s="307">
        <v>34</v>
      </c>
      <c r="G76" s="307" t="s">
        <v>2340</v>
      </c>
      <c r="H76" s="307">
        <v>5</v>
      </c>
      <c r="I76" s="307" t="s">
        <v>187</v>
      </c>
      <c r="J76" s="307" t="s">
        <v>2318</v>
      </c>
      <c r="K76" s="307" t="s">
        <v>2312</v>
      </c>
      <c r="L76" s="307" t="s">
        <v>2308</v>
      </c>
      <c r="M76" s="257" t="s">
        <v>2333</v>
      </c>
      <c r="N76" s="307">
        <v>0</v>
      </c>
    </row>
    <row r="77" spans="1:14" ht="42" x14ac:dyDescent="0.2">
      <c r="A77" s="304" t="s">
        <v>183</v>
      </c>
      <c r="B77" s="305" t="s">
        <v>134</v>
      </c>
      <c r="C77" s="304" t="s">
        <v>185</v>
      </c>
      <c r="D77" s="307" t="s">
        <v>2322</v>
      </c>
      <c r="E77" s="307" t="s">
        <v>67</v>
      </c>
      <c r="F77" s="307">
        <v>60</v>
      </c>
      <c r="G77" s="307" t="s">
        <v>2340</v>
      </c>
      <c r="H77" s="307">
        <v>5</v>
      </c>
      <c r="I77" s="307" t="s">
        <v>187</v>
      </c>
      <c r="J77" s="307" t="s">
        <v>2318</v>
      </c>
      <c r="K77" s="307" t="s">
        <v>2307</v>
      </c>
      <c r="L77" s="307" t="s">
        <v>2320</v>
      </c>
      <c r="M77" s="257" t="s">
        <v>2333</v>
      </c>
      <c r="N77" s="307" t="s">
        <v>175</v>
      </c>
    </row>
    <row r="78" spans="1:14" ht="28" x14ac:dyDescent="0.2">
      <c r="A78" s="304" t="s">
        <v>254</v>
      </c>
      <c r="B78" s="305" t="s">
        <v>134</v>
      </c>
      <c r="C78" s="304" t="s">
        <v>256</v>
      </c>
      <c r="D78" s="307" t="s">
        <v>2322</v>
      </c>
      <c r="E78" s="307" t="s">
        <v>76</v>
      </c>
      <c r="F78" s="307">
        <v>60</v>
      </c>
      <c r="G78" s="307" t="s">
        <v>213</v>
      </c>
      <c r="H78" s="307">
        <v>5</v>
      </c>
      <c r="I78" s="307"/>
      <c r="J78" s="307" t="s">
        <v>2318</v>
      </c>
      <c r="K78" s="307" t="s">
        <v>2310</v>
      </c>
      <c r="L78" s="307" t="s">
        <v>59</v>
      </c>
      <c r="M78" s="257" t="s">
        <v>2341</v>
      </c>
      <c r="N78" s="307" t="s">
        <v>204</v>
      </c>
    </row>
    <row r="79" spans="1:14" ht="28" x14ac:dyDescent="0.2">
      <c r="A79" s="304" t="s">
        <v>254</v>
      </c>
      <c r="B79" s="305" t="s">
        <v>134</v>
      </c>
      <c r="C79" s="304" t="s">
        <v>256</v>
      </c>
      <c r="D79" s="307" t="s">
        <v>2322</v>
      </c>
      <c r="E79" s="307" t="s">
        <v>73</v>
      </c>
      <c r="F79" s="307">
        <v>21</v>
      </c>
      <c r="G79" s="307" t="s">
        <v>213</v>
      </c>
      <c r="H79" s="307">
        <v>5</v>
      </c>
      <c r="I79" s="307"/>
      <c r="J79" s="307" t="s">
        <v>2318</v>
      </c>
      <c r="K79" s="307" t="s">
        <v>2310</v>
      </c>
      <c r="L79" s="307" t="s">
        <v>59</v>
      </c>
      <c r="M79" s="257" t="s">
        <v>2342</v>
      </c>
      <c r="N79" s="307" t="s">
        <v>204</v>
      </c>
    </row>
    <row r="80" spans="1:14" ht="28" x14ac:dyDescent="0.2">
      <c r="A80" s="304" t="s">
        <v>254</v>
      </c>
      <c r="B80" s="305" t="s">
        <v>134</v>
      </c>
      <c r="C80" s="304" t="s">
        <v>256</v>
      </c>
      <c r="D80" s="307" t="s">
        <v>2322</v>
      </c>
      <c r="E80" s="307" t="s">
        <v>67</v>
      </c>
      <c r="F80" s="307">
        <v>27</v>
      </c>
      <c r="G80" s="307" t="s">
        <v>213</v>
      </c>
      <c r="H80" s="307">
        <v>5</v>
      </c>
      <c r="I80" s="307"/>
      <c r="J80" s="307" t="s">
        <v>2318</v>
      </c>
      <c r="K80" s="307" t="s">
        <v>2307</v>
      </c>
      <c r="L80" s="307" t="s">
        <v>2320</v>
      </c>
      <c r="M80" s="257" t="s">
        <v>2342</v>
      </c>
      <c r="N80" s="307" t="s">
        <v>204</v>
      </c>
    </row>
    <row r="81" spans="1:14" ht="28" x14ac:dyDescent="0.2">
      <c r="A81" s="304" t="s">
        <v>752</v>
      </c>
      <c r="B81" s="305" t="s">
        <v>134</v>
      </c>
      <c r="C81" s="304" t="s">
        <v>753</v>
      </c>
      <c r="D81" s="307" t="s">
        <v>2305</v>
      </c>
      <c r="E81" s="255" t="s">
        <v>754</v>
      </c>
      <c r="F81" s="453"/>
      <c r="G81" s="453"/>
      <c r="H81" s="733">
        <v>3</v>
      </c>
      <c r="I81" s="307"/>
      <c r="J81" s="307" t="s">
        <v>2318</v>
      </c>
      <c r="K81" s="307" t="s">
        <v>2310</v>
      </c>
      <c r="L81" s="307" t="s">
        <v>59</v>
      </c>
      <c r="M81" s="257" t="s">
        <v>2335</v>
      </c>
      <c r="N81" s="733">
        <v>2</v>
      </c>
    </row>
    <row r="82" spans="1:14" ht="28" x14ac:dyDescent="0.2">
      <c r="A82" s="304" t="s">
        <v>746</v>
      </c>
      <c r="B82" s="305" t="s">
        <v>134</v>
      </c>
      <c r="C82" s="304" t="s">
        <v>748</v>
      </c>
      <c r="D82" s="307" t="s">
        <v>2305</v>
      </c>
      <c r="E82" s="255" t="s">
        <v>749</v>
      </c>
      <c r="F82" s="453"/>
      <c r="G82" s="453"/>
      <c r="H82" s="733">
        <v>3</v>
      </c>
      <c r="I82" s="307"/>
      <c r="J82" s="307" t="s">
        <v>2318</v>
      </c>
      <c r="K82" s="307" t="s">
        <v>2319</v>
      </c>
      <c r="L82" s="307" t="s">
        <v>2320</v>
      </c>
      <c r="M82" s="257" t="s">
        <v>2343</v>
      </c>
      <c r="N82" s="733">
        <v>2</v>
      </c>
    </row>
    <row r="83" spans="1:14" ht="28" x14ac:dyDescent="0.2">
      <c r="A83" s="304" t="s">
        <v>737</v>
      </c>
      <c r="B83" s="305" t="s">
        <v>134</v>
      </c>
      <c r="C83" s="304" t="s">
        <v>739</v>
      </c>
      <c r="D83" s="307" t="s">
        <v>2305</v>
      </c>
      <c r="E83" s="307" t="s">
        <v>605</v>
      </c>
      <c r="F83" s="453"/>
      <c r="G83" s="453"/>
      <c r="H83" s="733">
        <v>3</v>
      </c>
      <c r="I83" s="307"/>
      <c r="J83" s="307" t="s">
        <v>2318</v>
      </c>
      <c r="K83" s="307" t="s">
        <v>2319</v>
      </c>
      <c r="L83" s="403" t="s">
        <v>2320</v>
      </c>
      <c r="M83" s="257" t="s">
        <v>2344</v>
      </c>
      <c r="N83" s="733">
        <v>2</v>
      </c>
    </row>
    <row r="84" spans="1:14" ht="28" x14ac:dyDescent="0.2">
      <c r="A84" s="214" t="s">
        <v>742</v>
      </c>
      <c r="B84" s="452" t="s">
        <v>134</v>
      </c>
      <c r="C84" s="214" t="s">
        <v>744</v>
      </c>
      <c r="D84" s="403" t="s">
        <v>2305</v>
      </c>
      <c r="E84" s="403" t="s">
        <v>605</v>
      </c>
      <c r="F84" s="453"/>
      <c r="G84" s="453"/>
      <c r="H84" s="733">
        <v>3</v>
      </c>
      <c r="I84" s="403"/>
      <c r="J84" s="403" t="s">
        <v>2318</v>
      </c>
      <c r="K84" s="403" t="s">
        <v>2307</v>
      </c>
      <c r="L84" s="403" t="s">
        <v>2320</v>
      </c>
      <c r="M84" s="198" t="s">
        <v>2345</v>
      </c>
      <c r="N84" s="733">
        <v>2</v>
      </c>
    </row>
    <row r="85" spans="1:14" ht="28" x14ac:dyDescent="0.2">
      <c r="A85" s="214" t="s">
        <v>284</v>
      </c>
      <c r="B85" s="452" t="s">
        <v>134</v>
      </c>
      <c r="C85" s="214" t="s">
        <v>286</v>
      </c>
      <c r="D85" s="403" t="s">
        <v>2322</v>
      </c>
      <c r="E85" s="403" t="s">
        <v>67</v>
      </c>
      <c r="F85" s="733">
        <v>44</v>
      </c>
      <c r="G85" s="403" t="s">
        <v>287</v>
      </c>
      <c r="H85" s="403">
        <v>5</v>
      </c>
      <c r="I85" s="403"/>
      <c r="J85" s="403" t="s">
        <v>2306</v>
      </c>
      <c r="K85" s="403" t="s">
        <v>2307</v>
      </c>
      <c r="L85" s="403" t="s">
        <v>2308</v>
      </c>
      <c r="M85" s="734" t="s">
        <v>2346</v>
      </c>
      <c r="N85" s="733">
        <v>2</v>
      </c>
    </row>
    <row r="86" spans="1:14" ht="28" x14ac:dyDescent="0.2">
      <c r="A86" s="737" t="s">
        <v>284</v>
      </c>
      <c r="B86" s="738" t="s">
        <v>134</v>
      </c>
      <c r="C86" s="737" t="s">
        <v>286</v>
      </c>
      <c r="D86" s="739" t="s">
        <v>2322</v>
      </c>
      <c r="E86" s="739" t="s">
        <v>73</v>
      </c>
      <c r="F86" s="739">
        <v>44</v>
      </c>
      <c r="G86" s="739" t="s">
        <v>287</v>
      </c>
      <c r="H86" s="739">
        <v>5</v>
      </c>
      <c r="I86" s="739"/>
      <c r="J86" s="739" t="s">
        <v>2318</v>
      </c>
      <c r="K86" s="739" t="s">
        <v>2307</v>
      </c>
      <c r="L86" s="739" t="s">
        <v>2320</v>
      </c>
      <c r="M86" s="740" t="s">
        <v>2346</v>
      </c>
      <c r="N86" s="733">
        <v>2</v>
      </c>
    </row>
    <row r="87" spans="1:14" ht="28" x14ac:dyDescent="0.2">
      <c r="A87" s="214" t="s">
        <v>265</v>
      </c>
      <c r="B87" s="452" t="s">
        <v>134</v>
      </c>
      <c r="C87" s="214" t="s">
        <v>267</v>
      </c>
      <c r="D87" s="403" t="s">
        <v>2322</v>
      </c>
      <c r="E87" s="403" t="s">
        <v>73</v>
      </c>
      <c r="F87" s="403">
        <v>21</v>
      </c>
      <c r="G87" s="403" t="s">
        <v>213</v>
      </c>
      <c r="H87" s="403">
        <v>5</v>
      </c>
      <c r="I87" s="403"/>
      <c r="J87" s="403" t="s">
        <v>2306</v>
      </c>
      <c r="K87" s="403" t="s">
        <v>2312</v>
      </c>
      <c r="L87" s="403" t="s">
        <v>2313</v>
      </c>
      <c r="M87" s="198" t="s">
        <v>2347</v>
      </c>
      <c r="N87" s="403" t="s">
        <v>175</v>
      </c>
    </row>
    <row r="88" spans="1:14" ht="28" x14ac:dyDescent="0.2">
      <c r="A88" s="214" t="s">
        <v>265</v>
      </c>
      <c r="B88" s="452" t="s">
        <v>134</v>
      </c>
      <c r="C88" s="214" t="s">
        <v>267</v>
      </c>
      <c r="D88" s="403" t="s">
        <v>2322</v>
      </c>
      <c r="E88" s="403" t="s">
        <v>67</v>
      </c>
      <c r="F88" s="403">
        <v>27</v>
      </c>
      <c r="G88" s="403" t="s">
        <v>213</v>
      </c>
      <c r="H88" s="403">
        <v>5</v>
      </c>
      <c r="I88" s="403"/>
      <c r="J88" s="403" t="s">
        <v>2318</v>
      </c>
      <c r="K88" s="403" t="s">
        <v>2307</v>
      </c>
      <c r="L88" s="403" t="s">
        <v>2320</v>
      </c>
      <c r="M88" s="198" t="s">
        <v>2348</v>
      </c>
      <c r="N88" s="403" t="s">
        <v>175</v>
      </c>
    </row>
    <row r="89" spans="1:14" ht="28" x14ac:dyDescent="0.2">
      <c r="A89" s="737" t="s">
        <v>265</v>
      </c>
      <c r="B89" s="738" t="s">
        <v>134</v>
      </c>
      <c r="C89" s="737" t="s">
        <v>267</v>
      </c>
      <c r="D89" s="739" t="s">
        <v>2322</v>
      </c>
      <c r="E89" s="739" t="s">
        <v>76</v>
      </c>
      <c r="F89" s="739">
        <v>60</v>
      </c>
      <c r="G89" s="739" t="s">
        <v>213</v>
      </c>
      <c r="H89" s="739">
        <v>5</v>
      </c>
      <c r="I89" s="739"/>
      <c r="J89" s="739" t="s">
        <v>2306</v>
      </c>
      <c r="K89" s="739" t="s">
        <v>2307</v>
      </c>
      <c r="L89" s="739" t="s">
        <v>2308</v>
      </c>
      <c r="M89" s="740" t="s">
        <v>2349</v>
      </c>
      <c r="N89" s="733">
        <v>2</v>
      </c>
    </row>
    <row r="90" spans="1:14" ht="35.25" customHeight="1" x14ac:dyDescent="0.2">
      <c r="A90" s="214" t="s">
        <v>265</v>
      </c>
      <c r="B90" s="452" t="s">
        <v>134</v>
      </c>
      <c r="C90" s="214" t="s">
        <v>267</v>
      </c>
      <c r="D90" s="403" t="s">
        <v>2322</v>
      </c>
      <c r="E90" s="403" t="s">
        <v>70</v>
      </c>
      <c r="F90" s="733">
        <v>60</v>
      </c>
      <c r="G90" s="403" t="s">
        <v>213</v>
      </c>
      <c r="H90" s="403">
        <v>5</v>
      </c>
      <c r="I90" s="403"/>
      <c r="J90" s="733" t="s">
        <v>2306</v>
      </c>
      <c r="K90" s="733" t="s">
        <v>2307</v>
      </c>
      <c r="L90" s="733" t="s">
        <v>2308</v>
      </c>
      <c r="M90" s="734" t="s">
        <v>2349</v>
      </c>
      <c r="N90" s="733">
        <v>2</v>
      </c>
    </row>
    <row r="91" spans="1:14" ht="28" x14ac:dyDescent="0.2">
      <c r="A91" s="304" t="s">
        <v>783</v>
      </c>
      <c r="B91" s="305" t="s">
        <v>134</v>
      </c>
      <c r="C91" s="255" t="s">
        <v>784</v>
      </c>
      <c r="D91" s="307" t="s">
        <v>2305</v>
      </c>
      <c r="E91" s="255" t="s">
        <v>754</v>
      </c>
      <c r="F91" s="453"/>
      <c r="G91" s="453"/>
      <c r="H91" s="733">
        <v>3</v>
      </c>
      <c r="I91" s="307"/>
      <c r="J91" s="307" t="s">
        <v>2306</v>
      </c>
      <c r="K91" s="307" t="s">
        <v>2310</v>
      </c>
      <c r="L91" s="307" t="s">
        <v>59</v>
      </c>
      <c r="M91" s="257" t="s">
        <v>2350</v>
      </c>
      <c r="N91" s="733">
        <v>2</v>
      </c>
    </row>
    <row r="92" spans="1:14" ht="28" x14ac:dyDescent="0.2">
      <c r="A92" s="304" t="s">
        <v>778</v>
      </c>
      <c r="B92" s="305" t="s">
        <v>134</v>
      </c>
      <c r="C92" s="255" t="s">
        <v>780</v>
      </c>
      <c r="D92" s="307" t="s">
        <v>2305</v>
      </c>
      <c r="E92" s="255" t="s">
        <v>749</v>
      </c>
      <c r="F92" s="453"/>
      <c r="G92" s="453"/>
      <c r="H92" s="733">
        <v>3</v>
      </c>
      <c r="I92" s="307"/>
      <c r="J92" s="307" t="s">
        <v>2306</v>
      </c>
      <c r="K92" s="307" t="s">
        <v>2307</v>
      </c>
      <c r="L92" s="307" t="s">
        <v>2308</v>
      </c>
      <c r="M92" s="257" t="s">
        <v>2350</v>
      </c>
      <c r="N92" s="733">
        <v>2</v>
      </c>
    </row>
    <row r="93" spans="1:14" ht="28" x14ac:dyDescent="0.2">
      <c r="A93" s="214" t="s">
        <v>270</v>
      </c>
      <c r="B93" s="452" t="s">
        <v>134</v>
      </c>
      <c r="C93" s="214" t="s">
        <v>272</v>
      </c>
      <c r="D93" s="403" t="s">
        <v>2322</v>
      </c>
      <c r="E93" s="403" t="s">
        <v>70</v>
      </c>
      <c r="F93" s="403">
        <v>727</v>
      </c>
      <c r="G93" s="403" t="s">
        <v>262</v>
      </c>
      <c r="H93" s="403">
        <v>5</v>
      </c>
      <c r="I93" s="403"/>
      <c r="J93" s="403" t="s">
        <v>2318</v>
      </c>
      <c r="K93" s="403" t="s">
        <v>2307</v>
      </c>
      <c r="L93" s="403" t="s">
        <v>2320</v>
      </c>
      <c r="M93" s="198" t="s">
        <v>2351</v>
      </c>
      <c r="N93" s="403">
        <v>0</v>
      </c>
    </row>
    <row r="94" spans="1:14" ht="28" x14ac:dyDescent="0.2">
      <c r="A94" s="304" t="s">
        <v>787</v>
      </c>
      <c r="B94" s="305" t="s">
        <v>134</v>
      </c>
      <c r="C94" s="304" t="s">
        <v>789</v>
      </c>
      <c r="D94" s="307" t="s">
        <v>2305</v>
      </c>
      <c r="E94" s="403" t="s">
        <v>605</v>
      </c>
      <c r="F94" s="453"/>
      <c r="G94" s="453"/>
      <c r="H94" s="733">
        <v>3</v>
      </c>
      <c r="I94" s="307"/>
      <c r="J94" s="403" t="s">
        <v>2318</v>
      </c>
      <c r="K94" s="307" t="s">
        <v>2319</v>
      </c>
      <c r="L94" s="403" t="s">
        <v>2320</v>
      </c>
      <c r="M94" s="257" t="s">
        <v>2352</v>
      </c>
      <c r="N94" s="733">
        <v>2</v>
      </c>
    </row>
    <row r="95" spans="1:14" ht="28" x14ac:dyDescent="0.2">
      <c r="A95" s="214" t="s">
        <v>791</v>
      </c>
      <c r="B95" s="452" t="s">
        <v>134</v>
      </c>
      <c r="C95" s="214" t="s">
        <v>793</v>
      </c>
      <c r="D95" s="403" t="s">
        <v>2305</v>
      </c>
      <c r="E95" s="403" t="s">
        <v>605</v>
      </c>
      <c r="F95" s="453"/>
      <c r="G95" s="453"/>
      <c r="H95" s="733">
        <v>3</v>
      </c>
      <c r="I95" s="403"/>
      <c r="J95" s="403" t="s">
        <v>2318</v>
      </c>
      <c r="K95" s="403" t="s">
        <v>2307</v>
      </c>
      <c r="L95" s="403" t="s">
        <v>2320</v>
      </c>
      <c r="M95" s="198" t="s">
        <v>2345</v>
      </c>
      <c r="N95" s="733">
        <v>2</v>
      </c>
    </row>
    <row r="96" spans="1:14" ht="28" x14ac:dyDescent="0.2">
      <c r="A96" s="304" t="s">
        <v>1029</v>
      </c>
      <c r="B96" s="305" t="s">
        <v>134</v>
      </c>
      <c r="C96" s="304" t="s">
        <v>1031</v>
      </c>
      <c r="D96" s="307" t="s">
        <v>2305</v>
      </c>
      <c r="E96" s="307" t="s">
        <v>605</v>
      </c>
      <c r="F96" s="571"/>
      <c r="G96" s="453"/>
      <c r="H96" s="733">
        <v>3</v>
      </c>
      <c r="I96" s="307"/>
      <c r="J96" s="307" t="s">
        <v>2306</v>
      </c>
      <c r="K96" s="307" t="s">
        <v>2307</v>
      </c>
      <c r="L96" s="403" t="s">
        <v>2308</v>
      </c>
      <c r="M96" s="257" t="s">
        <v>2353</v>
      </c>
      <c r="N96" s="733">
        <v>2</v>
      </c>
    </row>
    <row r="97" spans="1:14" ht="28" x14ac:dyDescent="0.2">
      <c r="A97" s="214" t="s">
        <v>1420</v>
      </c>
      <c r="B97" s="452" t="s">
        <v>134</v>
      </c>
      <c r="C97" s="214" t="s">
        <v>1422</v>
      </c>
      <c r="D97" s="403" t="s">
        <v>2322</v>
      </c>
      <c r="E97" s="403" t="s">
        <v>70</v>
      </c>
      <c r="F97" s="403">
        <v>43</v>
      </c>
      <c r="G97" s="403" t="s">
        <v>213</v>
      </c>
      <c r="H97" s="403">
        <v>5</v>
      </c>
      <c r="I97" s="403"/>
      <c r="J97" s="403" t="s">
        <v>2306</v>
      </c>
      <c r="K97" s="403" t="s">
        <v>2312</v>
      </c>
      <c r="L97" s="403" t="s">
        <v>2313</v>
      </c>
      <c r="M97" s="198" t="s">
        <v>2354</v>
      </c>
      <c r="N97" s="403">
        <v>0</v>
      </c>
    </row>
    <row r="98" spans="1:14" ht="28" x14ac:dyDescent="0.2">
      <c r="A98" s="214" t="s">
        <v>1420</v>
      </c>
      <c r="B98" s="452" t="s">
        <v>134</v>
      </c>
      <c r="C98" s="214" t="s">
        <v>1422</v>
      </c>
      <c r="D98" s="403" t="s">
        <v>2322</v>
      </c>
      <c r="E98" s="403" t="s">
        <v>76</v>
      </c>
      <c r="F98" s="403">
        <v>46</v>
      </c>
      <c r="G98" s="403" t="s">
        <v>213</v>
      </c>
      <c r="H98" s="403">
        <v>5</v>
      </c>
      <c r="I98" s="403"/>
      <c r="J98" s="403" t="s">
        <v>2306</v>
      </c>
      <c r="K98" s="403" t="s">
        <v>2310</v>
      </c>
      <c r="L98" s="403" t="s">
        <v>59</v>
      </c>
      <c r="M98" s="198" t="s">
        <v>2354</v>
      </c>
      <c r="N98" s="403" t="s">
        <v>204</v>
      </c>
    </row>
    <row r="99" spans="1:14" ht="28" x14ac:dyDescent="0.2">
      <c r="A99" s="304" t="s">
        <v>275</v>
      </c>
      <c r="B99" s="305" t="s">
        <v>134</v>
      </c>
      <c r="C99" s="304" t="s">
        <v>277</v>
      </c>
      <c r="D99" s="307" t="s">
        <v>2322</v>
      </c>
      <c r="E99" s="307" t="s">
        <v>70</v>
      </c>
      <c r="F99" s="307">
        <v>55</v>
      </c>
      <c r="G99" s="307" t="s">
        <v>213</v>
      </c>
      <c r="H99" s="307">
        <v>5</v>
      </c>
      <c r="I99" s="307"/>
      <c r="J99" s="307" t="s">
        <v>2318</v>
      </c>
      <c r="K99" s="307" t="s">
        <v>2307</v>
      </c>
      <c r="L99" s="307" t="s">
        <v>2320</v>
      </c>
      <c r="M99" s="257" t="s">
        <v>2355</v>
      </c>
      <c r="N99" s="307" t="s">
        <v>175</v>
      </c>
    </row>
    <row r="100" spans="1:14" ht="28" x14ac:dyDescent="0.2">
      <c r="A100" s="304" t="s">
        <v>275</v>
      </c>
      <c r="B100" s="305" t="s">
        <v>134</v>
      </c>
      <c r="C100" s="304" t="s">
        <v>277</v>
      </c>
      <c r="D100" s="307" t="s">
        <v>2322</v>
      </c>
      <c r="E100" s="307" t="s">
        <v>76</v>
      </c>
      <c r="F100" s="307">
        <v>60</v>
      </c>
      <c r="G100" s="307" t="s">
        <v>213</v>
      </c>
      <c r="H100" s="307">
        <v>5</v>
      </c>
      <c r="I100" s="307"/>
      <c r="J100" s="307" t="s">
        <v>2318</v>
      </c>
      <c r="K100" s="307" t="s">
        <v>2310</v>
      </c>
      <c r="L100" s="307" t="s">
        <v>59</v>
      </c>
      <c r="M100" s="257" t="s">
        <v>2356</v>
      </c>
      <c r="N100" s="307" t="s">
        <v>175</v>
      </c>
    </row>
    <row r="101" spans="1:14" ht="28" x14ac:dyDescent="0.2">
      <c r="A101" s="730" t="s">
        <v>1041</v>
      </c>
      <c r="B101" s="305" t="s">
        <v>134</v>
      </c>
      <c r="C101" s="304" t="s">
        <v>1043</v>
      </c>
      <c r="D101" s="307" t="s">
        <v>2305</v>
      </c>
      <c r="E101" s="307" t="s">
        <v>605</v>
      </c>
      <c r="F101" s="571"/>
      <c r="G101" s="453"/>
      <c r="H101" s="307">
        <v>0</v>
      </c>
      <c r="I101" s="307"/>
      <c r="J101" s="307" t="s">
        <v>2357</v>
      </c>
      <c r="K101" s="307" t="s">
        <v>2310</v>
      </c>
      <c r="L101" s="403" t="s">
        <v>59</v>
      </c>
      <c r="M101" s="257" t="s">
        <v>2358</v>
      </c>
      <c r="N101" s="733">
        <v>2</v>
      </c>
    </row>
    <row r="102" spans="1:14" s="378" customFormat="1" ht="48.75" customHeight="1" x14ac:dyDescent="0.2">
      <c r="A102" s="214" t="s">
        <v>833</v>
      </c>
      <c r="B102" s="452" t="s">
        <v>134</v>
      </c>
      <c r="C102" s="214" t="s">
        <v>835</v>
      </c>
      <c r="D102" s="403" t="s">
        <v>2305</v>
      </c>
      <c r="E102" s="403" t="s">
        <v>537</v>
      </c>
      <c r="F102" s="453"/>
      <c r="G102" s="453"/>
      <c r="H102" s="733">
        <v>3</v>
      </c>
      <c r="I102" s="693" t="s">
        <v>830</v>
      </c>
      <c r="J102" s="403" t="s">
        <v>2306</v>
      </c>
      <c r="K102" s="403" t="s">
        <v>2307</v>
      </c>
      <c r="L102" s="403" t="s">
        <v>2308</v>
      </c>
      <c r="M102" s="198" t="s">
        <v>2359</v>
      </c>
      <c r="N102" s="733">
        <v>2</v>
      </c>
    </row>
    <row r="103" spans="1:14" s="378" customFormat="1" ht="48.75" customHeight="1" x14ac:dyDescent="0.2">
      <c r="A103" s="214" t="s">
        <v>1211</v>
      </c>
      <c r="B103" s="452" t="s">
        <v>383</v>
      </c>
      <c r="C103" s="214" t="s">
        <v>1213</v>
      </c>
      <c r="D103" s="403" t="s">
        <v>2305</v>
      </c>
      <c r="E103" s="403" t="s">
        <v>605</v>
      </c>
      <c r="F103" s="453"/>
      <c r="G103" s="453"/>
      <c r="H103" s="733">
        <v>3</v>
      </c>
      <c r="I103" s="307" t="s">
        <v>1038</v>
      </c>
      <c r="J103" s="403" t="s">
        <v>2318</v>
      </c>
      <c r="K103" s="403" t="s">
        <v>2310</v>
      </c>
      <c r="L103" s="403" t="s">
        <v>59</v>
      </c>
      <c r="M103" s="198" t="s">
        <v>2360</v>
      </c>
      <c r="N103" s="733">
        <v>2</v>
      </c>
    </row>
    <row r="104" spans="1:14" ht="28" x14ac:dyDescent="0.2">
      <c r="A104" s="304" t="s">
        <v>1034</v>
      </c>
      <c r="B104" s="305" t="s">
        <v>2361</v>
      </c>
      <c r="C104" s="304" t="s">
        <v>1036</v>
      </c>
      <c r="D104" s="307" t="s">
        <v>2305</v>
      </c>
      <c r="E104" s="307" t="s">
        <v>1037</v>
      </c>
      <c r="F104" s="571"/>
      <c r="G104" s="453"/>
      <c r="H104" s="403">
        <v>10</v>
      </c>
      <c r="I104" s="307" t="s">
        <v>1038</v>
      </c>
      <c r="J104" s="307" t="s">
        <v>2306</v>
      </c>
      <c r="K104" s="307" t="s">
        <v>2310</v>
      </c>
      <c r="L104" s="403" t="s">
        <v>59</v>
      </c>
      <c r="M104" s="257" t="s">
        <v>2362</v>
      </c>
      <c r="N104" s="307">
        <v>1</v>
      </c>
    </row>
    <row r="105" spans="1:14" ht="28" x14ac:dyDescent="0.2">
      <c r="A105" s="304" t="s">
        <v>149</v>
      </c>
      <c r="B105" s="305" t="s">
        <v>134</v>
      </c>
      <c r="C105" s="304" t="s">
        <v>151</v>
      </c>
      <c r="D105" s="307" t="s">
        <v>2322</v>
      </c>
      <c r="E105" s="307" t="s">
        <v>73</v>
      </c>
      <c r="F105" s="307">
        <v>15</v>
      </c>
      <c r="G105" s="307" t="s">
        <v>44</v>
      </c>
      <c r="H105" s="307">
        <v>5</v>
      </c>
      <c r="I105" s="307" t="s">
        <v>152</v>
      </c>
      <c r="J105" s="307" t="s">
        <v>2318</v>
      </c>
      <c r="K105" s="307" t="s">
        <v>2310</v>
      </c>
      <c r="L105" s="307" t="s">
        <v>59</v>
      </c>
      <c r="M105" s="257" t="s">
        <v>2363</v>
      </c>
      <c r="N105" s="307" t="s">
        <v>204</v>
      </c>
    </row>
    <row r="106" spans="1:14" ht="28" x14ac:dyDescent="0.2">
      <c r="A106" s="304" t="s">
        <v>149</v>
      </c>
      <c r="B106" s="305" t="s">
        <v>134</v>
      </c>
      <c r="C106" s="304" t="s">
        <v>151</v>
      </c>
      <c r="D106" s="307" t="s">
        <v>2322</v>
      </c>
      <c r="E106" s="307" t="s">
        <v>67</v>
      </c>
      <c r="F106" s="307">
        <v>20</v>
      </c>
      <c r="G106" s="307" t="s">
        <v>44</v>
      </c>
      <c r="H106" s="307">
        <v>5</v>
      </c>
      <c r="I106" s="307" t="s">
        <v>152</v>
      </c>
      <c r="J106" s="307" t="s">
        <v>2318</v>
      </c>
      <c r="K106" s="307" t="s">
        <v>2312</v>
      </c>
      <c r="L106" s="307" t="s">
        <v>2308</v>
      </c>
      <c r="M106" s="257" t="s">
        <v>2364</v>
      </c>
      <c r="N106" s="307" t="s">
        <v>204</v>
      </c>
    </row>
    <row r="107" spans="1:14" ht="28" x14ac:dyDescent="0.2">
      <c r="A107" s="304" t="s">
        <v>144</v>
      </c>
      <c r="B107" s="305" t="s">
        <v>134</v>
      </c>
      <c r="C107" s="304" t="s">
        <v>146</v>
      </c>
      <c r="D107" s="307" t="s">
        <v>2322</v>
      </c>
      <c r="E107" s="307" t="s">
        <v>73</v>
      </c>
      <c r="F107" s="307">
        <v>15</v>
      </c>
      <c r="G107" s="307" t="s">
        <v>44</v>
      </c>
      <c r="H107" s="307">
        <v>5</v>
      </c>
      <c r="I107" s="307"/>
      <c r="J107" s="307" t="s">
        <v>2318</v>
      </c>
      <c r="K107" s="307" t="s">
        <v>2310</v>
      </c>
      <c r="L107" s="307" t="s">
        <v>59</v>
      </c>
      <c r="M107" s="257" t="s">
        <v>2363</v>
      </c>
      <c r="N107" s="307" t="s">
        <v>175</v>
      </c>
    </row>
    <row r="108" spans="1:14" ht="28" x14ac:dyDescent="0.2">
      <c r="A108" s="304" t="s">
        <v>144</v>
      </c>
      <c r="B108" s="305" t="s">
        <v>134</v>
      </c>
      <c r="C108" s="304" t="s">
        <v>146</v>
      </c>
      <c r="D108" s="307" t="s">
        <v>2322</v>
      </c>
      <c r="E108" s="307" t="s">
        <v>67</v>
      </c>
      <c r="F108" s="307">
        <v>20</v>
      </c>
      <c r="G108" s="307" t="s">
        <v>44</v>
      </c>
      <c r="H108" s="307">
        <v>5</v>
      </c>
      <c r="I108" s="307"/>
      <c r="J108" s="307" t="s">
        <v>2318</v>
      </c>
      <c r="K108" s="307" t="s">
        <v>2312</v>
      </c>
      <c r="L108" s="307" t="s">
        <v>2308</v>
      </c>
      <c r="M108" s="257" t="s">
        <v>2364</v>
      </c>
      <c r="N108" s="307" t="s">
        <v>175</v>
      </c>
    </row>
    <row r="109" spans="1:14" ht="42" x14ac:dyDescent="0.2">
      <c r="A109" s="304" t="s">
        <v>144</v>
      </c>
      <c r="B109" s="305" t="s">
        <v>134</v>
      </c>
      <c r="C109" s="304" t="s">
        <v>146</v>
      </c>
      <c r="D109" s="307" t="s">
        <v>2322</v>
      </c>
      <c r="E109" s="307" t="s">
        <v>70</v>
      </c>
      <c r="F109" s="307">
        <v>85</v>
      </c>
      <c r="G109" s="307" t="s">
        <v>44</v>
      </c>
      <c r="H109" s="307">
        <v>5</v>
      </c>
      <c r="I109" s="255"/>
      <c r="J109" s="307" t="s">
        <v>2318</v>
      </c>
      <c r="K109" s="307" t="s">
        <v>2319</v>
      </c>
      <c r="L109" s="307" t="s">
        <v>2320</v>
      </c>
      <c r="M109" s="257" t="s">
        <v>2365</v>
      </c>
      <c r="N109" s="307" t="s">
        <v>204</v>
      </c>
    </row>
    <row r="110" spans="1:14" ht="28" x14ac:dyDescent="0.2">
      <c r="A110" s="304" t="s">
        <v>144</v>
      </c>
      <c r="B110" s="305" t="s">
        <v>134</v>
      </c>
      <c r="C110" s="304" t="s">
        <v>146</v>
      </c>
      <c r="D110" s="307" t="s">
        <v>2322</v>
      </c>
      <c r="E110" s="307" t="s">
        <v>76</v>
      </c>
      <c r="F110" s="307">
        <v>90</v>
      </c>
      <c r="G110" s="307" t="s">
        <v>44</v>
      </c>
      <c r="H110" s="307">
        <v>5</v>
      </c>
      <c r="I110" s="255"/>
      <c r="J110" s="307" t="s">
        <v>2318</v>
      </c>
      <c r="K110" s="307" t="s">
        <v>2310</v>
      </c>
      <c r="L110" s="307" t="s">
        <v>59</v>
      </c>
      <c r="M110" s="257" t="s">
        <v>2335</v>
      </c>
      <c r="N110" s="307" t="s">
        <v>204</v>
      </c>
    </row>
    <row r="111" spans="1:14" ht="28" x14ac:dyDescent="0.2">
      <c r="A111" s="304" t="s">
        <v>795</v>
      </c>
      <c r="B111" s="305" t="s">
        <v>134</v>
      </c>
      <c r="C111" s="304" t="s">
        <v>797</v>
      </c>
      <c r="D111" s="307" t="s">
        <v>2305</v>
      </c>
      <c r="E111" s="307" t="s">
        <v>605</v>
      </c>
      <c r="F111" s="453"/>
      <c r="G111" s="453"/>
      <c r="H111" s="733">
        <v>3</v>
      </c>
      <c r="I111" s="307"/>
      <c r="J111" s="307" t="s">
        <v>2318</v>
      </c>
      <c r="K111" s="307" t="s">
        <v>2310</v>
      </c>
      <c r="L111" s="403" t="s">
        <v>59</v>
      </c>
      <c r="M111" s="257" t="s">
        <v>2366</v>
      </c>
      <c r="N111" s="733">
        <v>2</v>
      </c>
    </row>
    <row r="112" spans="1:14" ht="37.5" customHeight="1" x14ac:dyDescent="0.2">
      <c r="A112" s="730" t="s">
        <v>1185</v>
      </c>
      <c r="B112" s="731" t="s">
        <v>134</v>
      </c>
      <c r="C112" s="730" t="s">
        <v>1187</v>
      </c>
      <c r="D112" s="733" t="s">
        <v>2305</v>
      </c>
      <c r="E112" s="733" t="s">
        <v>605</v>
      </c>
      <c r="F112" s="453"/>
      <c r="G112" s="453"/>
      <c r="H112" s="733">
        <v>3</v>
      </c>
      <c r="I112" s="733"/>
      <c r="J112" s="733" t="s">
        <v>2318</v>
      </c>
      <c r="K112" s="733" t="s">
        <v>2310</v>
      </c>
      <c r="L112" s="733" t="s">
        <v>59</v>
      </c>
      <c r="M112" s="734" t="s">
        <v>2367</v>
      </c>
      <c r="N112" s="733">
        <v>2</v>
      </c>
    </row>
    <row r="113" spans="1:14" ht="28" x14ac:dyDescent="0.2">
      <c r="A113" s="737" t="s">
        <v>1190</v>
      </c>
      <c r="B113" s="738" t="s">
        <v>134</v>
      </c>
      <c r="C113" s="737" t="s">
        <v>1192</v>
      </c>
      <c r="D113" s="739" t="s">
        <v>2305</v>
      </c>
      <c r="E113" s="739" t="s">
        <v>605</v>
      </c>
      <c r="F113" s="756"/>
      <c r="G113" s="756"/>
      <c r="H113" s="739">
        <v>0</v>
      </c>
      <c r="I113" s="739"/>
      <c r="J113" s="739" t="s">
        <v>2318</v>
      </c>
      <c r="K113" s="739" t="s">
        <v>2307</v>
      </c>
      <c r="L113" s="739" t="s">
        <v>2320</v>
      </c>
      <c r="M113" s="740" t="s">
        <v>2368</v>
      </c>
      <c r="N113" s="733">
        <v>2</v>
      </c>
    </row>
    <row r="114" spans="1:14" ht="28" x14ac:dyDescent="0.2">
      <c r="A114" s="737" t="s">
        <v>2369</v>
      </c>
      <c r="B114" s="738" t="s">
        <v>134</v>
      </c>
      <c r="C114" s="737" t="s">
        <v>2370</v>
      </c>
      <c r="D114" s="739" t="s">
        <v>2305</v>
      </c>
      <c r="E114" s="739" t="s">
        <v>605</v>
      </c>
      <c r="F114" s="756"/>
      <c r="G114" s="756"/>
      <c r="H114" s="739">
        <v>3</v>
      </c>
      <c r="I114" s="739"/>
      <c r="J114" s="739" t="s">
        <v>2318</v>
      </c>
      <c r="K114" s="739" t="s">
        <v>2307</v>
      </c>
      <c r="L114" s="739" t="s">
        <v>2320</v>
      </c>
      <c r="M114" s="740" t="s">
        <v>2368</v>
      </c>
      <c r="N114" s="733">
        <v>2</v>
      </c>
    </row>
    <row r="115" spans="1:14" ht="28" x14ac:dyDescent="0.2">
      <c r="A115" s="737" t="s">
        <v>2371</v>
      </c>
      <c r="B115" s="738" t="s">
        <v>134</v>
      </c>
      <c r="C115" s="737" t="s">
        <v>2372</v>
      </c>
      <c r="D115" s="739" t="s">
        <v>2305</v>
      </c>
      <c r="E115" s="739" t="s">
        <v>605</v>
      </c>
      <c r="F115" s="756"/>
      <c r="G115" s="756"/>
      <c r="H115" s="739">
        <v>3</v>
      </c>
      <c r="I115" s="739"/>
      <c r="J115" s="739" t="s">
        <v>2318</v>
      </c>
      <c r="K115" s="739" t="s">
        <v>2307</v>
      </c>
      <c r="L115" s="739" t="s">
        <v>2320</v>
      </c>
      <c r="M115" s="740" t="s">
        <v>2368</v>
      </c>
      <c r="N115" s="733">
        <v>2</v>
      </c>
    </row>
    <row r="116" spans="1:14" ht="28" x14ac:dyDescent="0.2">
      <c r="A116" s="737" t="s">
        <v>2373</v>
      </c>
      <c r="B116" s="738" t="s">
        <v>134</v>
      </c>
      <c r="C116" s="737" t="s">
        <v>2374</v>
      </c>
      <c r="D116" s="739" t="s">
        <v>2305</v>
      </c>
      <c r="E116" s="739" t="s">
        <v>605</v>
      </c>
      <c r="F116" s="756"/>
      <c r="G116" s="756"/>
      <c r="H116" s="739">
        <v>3</v>
      </c>
      <c r="I116" s="739"/>
      <c r="J116" s="739" t="s">
        <v>2318</v>
      </c>
      <c r="K116" s="739" t="s">
        <v>2307</v>
      </c>
      <c r="L116" s="739" t="s">
        <v>2320</v>
      </c>
      <c r="M116" s="740" t="s">
        <v>2368</v>
      </c>
      <c r="N116" s="733">
        <v>2</v>
      </c>
    </row>
    <row r="117" spans="1:14" ht="28" x14ac:dyDescent="0.2">
      <c r="A117" s="304" t="s">
        <v>814</v>
      </c>
      <c r="B117" s="305" t="s">
        <v>134</v>
      </c>
      <c r="C117" s="304" t="s">
        <v>816</v>
      </c>
      <c r="D117" s="307" t="s">
        <v>2305</v>
      </c>
      <c r="E117" s="307" t="s">
        <v>537</v>
      </c>
      <c r="F117" s="453"/>
      <c r="G117" s="453"/>
      <c r="H117" s="307">
        <v>0</v>
      </c>
      <c r="I117" s="307"/>
      <c r="J117" s="307" t="s">
        <v>2357</v>
      </c>
      <c r="K117" s="307" t="s">
        <v>2310</v>
      </c>
      <c r="L117" s="403" t="s">
        <v>59</v>
      </c>
      <c r="M117" s="257" t="s">
        <v>2375</v>
      </c>
      <c r="N117" s="307">
        <v>0</v>
      </c>
    </row>
    <row r="118" spans="1:14" ht="28" x14ac:dyDescent="0.2">
      <c r="A118" s="304" t="s">
        <v>818</v>
      </c>
      <c r="B118" s="305" t="s">
        <v>134</v>
      </c>
      <c r="C118" s="304" t="s">
        <v>820</v>
      </c>
      <c r="D118" s="307" t="s">
        <v>2305</v>
      </c>
      <c r="E118" s="307" t="s">
        <v>537</v>
      </c>
      <c r="F118" s="453"/>
      <c r="G118" s="453"/>
      <c r="H118" s="307">
        <v>0</v>
      </c>
      <c r="I118" s="307"/>
      <c r="J118" s="307" t="s">
        <v>2357</v>
      </c>
      <c r="K118" s="307" t="s">
        <v>2310</v>
      </c>
      <c r="L118" s="403" t="s">
        <v>59</v>
      </c>
      <c r="M118" s="257" t="s">
        <v>2375</v>
      </c>
      <c r="N118" s="307">
        <v>0</v>
      </c>
    </row>
    <row r="119" spans="1:14" ht="28" x14ac:dyDescent="0.2">
      <c r="A119" s="304" t="s">
        <v>808</v>
      </c>
      <c r="B119" s="305" t="s">
        <v>134</v>
      </c>
      <c r="C119" s="304" t="s">
        <v>810</v>
      </c>
      <c r="D119" s="307" t="s">
        <v>2305</v>
      </c>
      <c r="E119" s="307" t="s">
        <v>605</v>
      </c>
      <c r="F119" s="453"/>
      <c r="G119" s="453"/>
      <c r="H119" s="733">
        <v>0</v>
      </c>
      <c r="I119" s="307" t="s">
        <v>811</v>
      </c>
      <c r="J119" s="307" t="s">
        <v>2318</v>
      </c>
      <c r="K119" s="307" t="s">
        <v>2310</v>
      </c>
      <c r="L119" s="403" t="s">
        <v>59</v>
      </c>
      <c r="M119" s="257" t="s">
        <v>2366</v>
      </c>
      <c r="N119" s="733">
        <v>2</v>
      </c>
    </row>
    <row r="120" spans="1:14" ht="42" x14ac:dyDescent="0.2">
      <c r="A120" s="214" t="s">
        <v>1019</v>
      </c>
      <c r="B120" s="452" t="s">
        <v>134</v>
      </c>
      <c r="C120" s="214" t="s">
        <v>1021</v>
      </c>
      <c r="D120" s="403" t="s">
        <v>2305</v>
      </c>
      <c r="E120" s="403" t="s">
        <v>538</v>
      </c>
      <c r="F120" s="453"/>
      <c r="G120" s="453"/>
      <c r="H120" s="403">
        <v>10</v>
      </c>
      <c r="I120" s="13" t="s">
        <v>1022</v>
      </c>
      <c r="J120" s="307" t="s">
        <v>2306</v>
      </c>
      <c r="K120" s="403" t="s">
        <v>2307</v>
      </c>
      <c r="L120" s="403" t="s">
        <v>2308</v>
      </c>
      <c r="M120" s="198" t="s">
        <v>2376</v>
      </c>
      <c r="N120" s="403">
        <v>0</v>
      </c>
    </row>
    <row r="121" spans="1:14" ht="28" x14ac:dyDescent="0.2">
      <c r="A121" s="304" t="s">
        <v>1014</v>
      </c>
      <c r="B121" s="305" t="s">
        <v>134</v>
      </c>
      <c r="C121" s="304" t="s">
        <v>1016</v>
      </c>
      <c r="D121" s="307" t="s">
        <v>2305</v>
      </c>
      <c r="E121" s="307" t="s">
        <v>537</v>
      </c>
      <c r="F121" s="571"/>
      <c r="G121" s="453"/>
      <c r="H121" s="733">
        <v>3</v>
      </c>
      <c r="I121" s="307"/>
      <c r="J121" s="307" t="s">
        <v>2318</v>
      </c>
      <c r="K121" s="403" t="s">
        <v>2312</v>
      </c>
      <c r="L121" s="403" t="s">
        <v>2308</v>
      </c>
      <c r="M121" s="257" t="s">
        <v>2377</v>
      </c>
      <c r="N121" s="733">
        <v>2</v>
      </c>
    </row>
    <row r="122" spans="1:14" ht="28" x14ac:dyDescent="0.2">
      <c r="A122" s="304" t="s">
        <v>799</v>
      </c>
      <c r="B122" s="305" t="s">
        <v>134</v>
      </c>
      <c r="C122" s="304" t="s">
        <v>801</v>
      </c>
      <c r="D122" s="307" t="s">
        <v>2305</v>
      </c>
      <c r="E122" s="307" t="s">
        <v>605</v>
      </c>
      <c r="F122" s="453"/>
      <c r="G122" s="453"/>
      <c r="H122" s="733">
        <v>3</v>
      </c>
      <c r="I122" s="307"/>
      <c r="J122" s="307" t="s">
        <v>2318</v>
      </c>
      <c r="K122" s="307" t="s">
        <v>2310</v>
      </c>
      <c r="L122" s="403" t="s">
        <v>59</v>
      </c>
      <c r="M122" s="257" t="s">
        <v>2331</v>
      </c>
      <c r="N122" s="733">
        <v>2</v>
      </c>
    </row>
    <row r="123" spans="1:14" ht="28" x14ac:dyDescent="0.2">
      <c r="A123" s="214" t="s">
        <v>398</v>
      </c>
      <c r="B123" s="452" t="s">
        <v>134</v>
      </c>
      <c r="C123" s="214" t="s">
        <v>400</v>
      </c>
      <c r="D123" s="403" t="s">
        <v>2322</v>
      </c>
      <c r="E123" s="403" t="s">
        <v>76</v>
      </c>
      <c r="F123" s="403">
        <v>90</v>
      </c>
      <c r="G123" s="403" t="s">
        <v>213</v>
      </c>
      <c r="H123" s="403">
        <v>5</v>
      </c>
      <c r="I123" s="13"/>
      <c r="J123" s="403" t="s">
        <v>2306</v>
      </c>
      <c r="K123" s="403" t="s">
        <v>2310</v>
      </c>
      <c r="L123" s="403" t="s">
        <v>59</v>
      </c>
      <c r="M123" s="198" t="s">
        <v>2378</v>
      </c>
      <c r="N123" s="403">
        <v>0</v>
      </c>
    </row>
    <row r="124" spans="1:14" ht="28" x14ac:dyDescent="0.2">
      <c r="A124" s="214" t="s">
        <v>403</v>
      </c>
      <c r="B124" s="452" t="s">
        <v>134</v>
      </c>
      <c r="C124" s="214" t="s">
        <v>405</v>
      </c>
      <c r="D124" s="403" t="s">
        <v>2322</v>
      </c>
      <c r="E124" s="403" t="s">
        <v>70</v>
      </c>
      <c r="F124" s="403">
        <v>60</v>
      </c>
      <c r="G124" s="403" t="s">
        <v>213</v>
      </c>
      <c r="H124" s="403">
        <v>5</v>
      </c>
      <c r="I124" s="13"/>
      <c r="J124" s="403" t="s">
        <v>2306</v>
      </c>
      <c r="K124" s="403" t="s">
        <v>2307</v>
      </c>
      <c r="L124" s="403" t="s">
        <v>2308</v>
      </c>
      <c r="M124" s="198" t="s">
        <v>2379</v>
      </c>
      <c r="N124" s="403">
        <v>0</v>
      </c>
    </row>
    <row r="125" spans="1:14" ht="28" x14ac:dyDescent="0.2">
      <c r="A125" s="214" t="s">
        <v>403</v>
      </c>
      <c r="B125" s="452" t="s">
        <v>134</v>
      </c>
      <c r="C125" s="214" t="s">
        <v>405</v>
      </c>
      <c r="D125" s="403" t="s">
        <v>2322</v>
      </c>
      <c r="E125" s="403" t="s">
        <v>76</v>
      </c>
      <c r="F125" s="403">
        <v>90</v>
      </c>
      <c r="G125" s="403" t="s">
        <v>213</v>
      </c>
      <c r="H125" s="403">
        <v>5</v>
      </c>
      <c r="I125" s="13"/>
      <c r="J125" s="403" t="s">
        <v>2306</v>
      </c>
      <c r="K125" s="403" t="s">
        <v>2307</v>
      </c>
      <c r="L125" s="403" t="s">
        <v>2308</v>
      </c>
      <c r="M125" s="198" t="s">
        <v>2380</v>
      </c>
      <c r="N125" s="403">
        <v>0</v>
      </c>
    </row>
    <row r="126" spans="1:14" ht="28" x14ac:dyDescent="0.2">
      <c r="A126" s="304" t="s">
        <v>827</v>
      </c>
      <c r="B126" s="305" t="s">
        <v>134</v>
      </c>
      <c r="C126" s="304" t="s">
        <v>829</v>
      </c>
      <c r="D126" s="307" t="s">
        <v>2305</v>
      </c>
      <c r="E126" s="255" t="s">
        <v>537</v>
      </c>
      <c r="F126" s="453"/>
      <c r="G126" s="453"/>
      <c r="H126" s="733">
        <v>3</v>
      </c>
      <c r="I126" s="307" t="s">
        <v>830</v>
      </c>
      <c r="J126" s="307" t="s">
        <v>2306</v>
      </c>
      <c r="K126" s="307" t="s">
        <v>2307</v>
      </c>
      <c r="L126" s="307" t="s">
        <v>2308</v>
      </c>
      <c r="M126" s="257" t="s">
        <v>2381</v>
      </c>
      <c r="N126" s="733">
        <v>2</v>
      </c>
    </row>
    <row r="127" spans="1:14" ht="42" x14ac:dyDescent="0.2">
      <c r="A127" s="214" t="s">
        <v>382</v>
      </c>
      <c r="B127" s="452" t="s">
        <v>383</v>
      </c>
      <c r="C127" s="214" t="s">
        <v>385</v>
      </c>
      <c r="D127" s="403" t="s">
        <v>2322</v>
      </c>
      <c r="E127" s="403" t="s">
        <v>73</v>
      </c>
      <c r="F127" s="403">
        <v>20</v>
      </c>
      <c r="G127" s="403" t="s">
        <v>44</v>
      </c>
      <c r="H127" s="403">
        <v>5</v>
      </c>
      <c r="I127" s="403"/>
      <c r="J127" s="403" t="s">
        <v>2318</v>
      </c>
      <c r="K127" s="403" t="s">
        <v>2310</v>
      </c>
      <c r="L127" s="403" t="s">
        <v>59</v>
      </c>
      <c r="M127" s="198" t="s">
        <v>2382</v>
      </c>
      <c r="N127" s="403">
        <v>0</v>
      </c>
    </row>
    <row r="128" spans="1:14" ht="42" x14ac:dyDescent="0.2">
      <c r="A128" s="214" t="s">
        <v>382</v>
      </c>
      <c r="B128" s="452" t="s">
        <v>383</v>
      </c>
      <c r="C128" s="214" t="s">
        <v>385</v>
      </c>
      <c r="D128" s="403" t="s">
        <v>2322</v>
      </c>
      <c r="E128" s="403" t="s">
        <v>67</v>
      </c>
      <c r="F128" s="403">
        <v>30</v>
      </c>
      <c r="G128" s="403" t="s">
        <v>44</v>
      </c>
      <c r="H128" s="403">
        <v>5</v>
      </c>
      <c r="I128" s="403"/>
      <c r="J128" s="403" t="s">
        <v>2318</v>
      </c>
      <c r="K128" s="403" t="s">
        <v>2312</v>
      </c>
      <c r="L128" s="403" t="s">
        <v>2308</v>
      </c>
      <c r="M128" s="198" t="s">
        <v>2383</v>
      </c>
      <c r="N128" s="403">
        <v>0</v>
      </c>
    </row>
    <row r="129" spans="1:14" ht="28" x14ac:dyDescent="0.2">
      <c r="A129" s="214" t="s">
        <v>382</v>
      </c>
      <c r="B129" s="452" t="s">
        <v>383</v>
      </c>
      <c r="C129" s="214" t="s">
        <v>385</v>
      </c>
      <c r="D129" s="403" t="s">
        <v>2322</v>
      </c>
      <c r="E129" s="403" t="s">
        <v>70</v>
      </c>
      <c r="F129" s="403">
        <v>80</v>
      </c>
      <c r="G129" s="403" t="s">
        <v>44</v>
      </c>
      <c r="H129" s="403">
        <v>5</v>
      </c>
      <c r="I129" s="403"/>
      <c r="J129" s="403" t="s">
        <v>2384</v>
      </c>
      <c r="K129" s="403" t="s">
        <v>2307</v>
      </c>
      <c r="L129" s="403" t="s">
        <v>2320</v>
      </c>
      <c r="M129" s="198" t="s">
        <v>2385</v>
      </c>
      <c r="N129" s="403">
        <v>0</v>
      </c>
    </row>
    <row r="130" spans="1:14" ht="28" x14ac:dyDescent="0.2">
      <c r="A130" s="214" t="s">
        <v>388</v>
      </c>
      <c r="B130" s="452" t="s">
        <v>383</v>
      </c>
      <c r="C130" s="214" t="s">
        <v>385</v>
      </c>
      <c r="D130" s="403" t="s">
        <v>2322</v>
      </c>
      <c r="E130" s="403" t="s">
        <v>70</v>
      </c>
      <c r="F130" s="403">
        <v>30</v>
      </c>
      <c r="G130" s="403" t="s">
        <v>213</v>
      </c>
      <c r="H130" s="403">
        <v>5</v>
      </c>
      <c r="I130" s="13" t="s">
        <v>390</v>
      </c>
      <c r="J130" s="403" t="s">
        <v>2318</v>
      </c>
      <c r="K130" s="403" t="s">
        <v>2307</v>
      </c>
      <c r="L130" s="403" t="s">
        <v>2320</v>
      </c>
      <c r="M130" s="198" t="s">
        <v>2386</v>
      </c>
      <c r="N130" s="403">
        <v>0</v>
      </c>
    </row>
    <row r="131" spans="1:14" ht="28" x14ac:dyDescent="0.2">
      <c r="A131" s="214" t="s">
        <v>393</v>
      </c>
      <c r="B131" s="452" t="s">
        <v>383</v>
      </c>
      <c r="C131" s="214" t="s">
        <v>395</v>
      </c>
      <c r="D131" s="403" t="s">
        <v>2322</v>
      </c>
      <c r="E131" s="403" t="s">
        <v>70</v>
      </c>
      <c r="F131" s="403">
        <v>20</v>
      </c>
      <c r="G131" s="403" t="s">
        <v>213</v>
      </c>
      <c r="H131" s="403">
        <v>5</v>
      </c>
      <c r="I131" s="13" t="s">
        <v>390</v>
      </c>
      <c r="J131" s="403" t="s">
        <v>2318</v>
      </c>
      <c r="K131" s="403" t="s">
        <v>2307</v>
      </c>
      <c r="L131" s="403" t="s">
        <v>2320</v>
      </c>
      <c r="M131" s="198" t="s">
        <v>2387</v>
      </c>
      <c r="N131" s="403">
        <v>0</v>
      </c>
    </row>
    <row r="132" spans="1:14" ht="28" x14ac:dyDescent="0.2">
      <c r="A132" s="214" t="s">
        <v>1135</v>
      </c>
      <c r="B132" s="452" t="s">
        <v>383</v>
      </c>
      <c r="C132" s="214" t="s">
        <v>1137</v>
      </c>
      <c r="D132" s="403" t="s">
        <v>2305</v>
      </c>
      <c r="E132" s="403" t="s">
        <v>605</v>
      </c>
      <c r="F132" s="453"/>
      <c r="G132" s="453"/>
      <c r="H132" s="733">
        <v>0</v>
      </c>
      <c r="I132" s="403"/>
      <c r="J132" s="403" t="s">
        <v>2318</v>
      </c>
      <c r="K132" s="403" t="s">
        <v>2310</v>
      </c>
      <c r="L132" s="403" t="s">
        <v>59</v>
      </c>
      <c r="M132" s="198" t="s">
        <v>2388</v>
      </c>
      <c r="N132" s="733">
        <v>2</v>
      </c>
    </row>
    <row r="133" spans="1:14" s="378" customFormat="1" ht="28" x14ac:dyDescent="0.2">
      <c r="A133" s="304" t="s">
        <v>803</v>
      </c>
      <c r="B133" s="305" t="s">
        <v>134</v>
      </c>
      <c r="C133" s="304" t="s">
        <v>805</v>
      </c>
      <c r="D133" s="307" t="s">
        <v>2305</v>
      </c>
      <c r="E133" s="307" t="s">
        <v>605</v>
      </c>
      <c r="F133" s="453"/>
      <c r="G133" s="453"/>
      <c r="H133" s="733">
        <v>3</v>
      </c>
      <c r="I133" s="307"/>
      <c r="J133" s="307" t="s">
        <v>2384</v>
      </c>
      <c r="K133" s="307" t="s">
        <v>2307</v>
      </c>
      <c r="L133" s="403" t="s">
        <v>2320</v>
      </c>
      <c r="M133" s="257" t="s">
        <v>2389</v>
      </c>
      <c r="N133" s="733">
        <v>2</v>
      </c>
    </row>
    <row r="134" spans="1:14" s="378" customFormat="1" ht="56" x14ac:dyDescent="0.2">
      <c r="A134" s="214" t="s">
        <v>327</v>
      </c>
      <c r="B134" s="452" t="s">
        <v>328</v>
      </c>
      <c r="C134" s="214" t="s">
        <v>330</v>
      </c>
      <c r="D134" s="403" t="s">
        <v>2322</v>
      </c>
      <c r="E134" s="403" t="s">
        <v>67</v>
      </c>
      <c r="F134" s="403">
        <v>600</v>
      </c>
      <c r="G134" s="403" t="s">
        <v>262</v>
      </c>
      <c r="H134" s="403">
        <v>5</v>
      </c>
      <c r="I134" s="403" t="s">
        <v>332</v>
      </c>
      <c r="J134" s="403" t="s">
        <v>2318</v>
      </c>
      <c r="K134" s="403" t="s">
        <v>2307</v>
      </c>
      <c r="L134" s="403" t="s">
        <v>2320</v>
      </c>
      <c r="M134" s="198" t="s">
        <v>2390</v>
      </c>
      <c r="N134" s="403">
        <v>0</v>
      </c>
    </row>
    <row r="135" spans="1:14" s="378" customFormat="1" ht="56" x14ac:dyDescent="0.2">
      <c r="A135" s="214" t="s">
        <v>327</v>
      </c>
      <c r="B135" s="452" t="s">
        <v>328</v>
      </c>
      <c r="C135" s="214" t="s">
        <v>330</v>
      </c>
      <c r="D135" s="403" t="s">
        <v>2322</v>
      </c>
      <c r="E135" s="403" t="s">
        <v>70</v>
      </c>
      <c r="F135" s="403">
        <v>1000</v>
      </c>
      <c r="G135" s="403" t="s">
        <v>262</v>
      </c>
      <c r="H135" s="403">
        <v>5</v>
      </c>
      <c r="I135" s="403" t="s">
        <v>332</v>
      </c>
      <c r="J135" s="403" t="s">
        <v>2318</v>
      </c>
      <c r="K135" s="403" t="s">
        <v>2307</v>
      </c>
      <c r="L135" s="403" t="s">
        <v>2320</v>
      </c>
      <c r="M135" s="198" t="s">
        <v>2391</v>
      </c>
      <c r="N135" s="403">
        <v>0</v>
      </c>
    </row>
    <row r="136" spans="1:14" s="378" customFormat="1" ht="28" x14ac:dyDescent="0.2">
      <c r="A136" s="792" t="s">
        <v>2392</v>
      </c>
      <c r="B136" s="452" t="s">
        <v>134</v>
      </c>
      <c r="C136" s="214" t="s">
        <v>2274</v>
      </c>
      <c r="D136" s="403" t="s">
        <v>2305</v>
      </c>
      <c r="E136" s="403" t="s">
        <v>537</v>
      </c>
      <c r="F136" s="453"/>
      <c r="G136" s="453"/>
      <c r="H136" s="403">
        <v>5</v>
      </c>
      <c r="I136" s="403"/>
      <c r="J136" s="403" t="s">
        <v>2306</v>
      </c>
      <c r="K136" s="403" t="s">
        <v>2312</v>
      </c>
      <c r="L136" s="403" t="s">
        <v>2313</v>
      </c>
      <c r="M136" s="198" t="s">
        <v>2393</v>
      </c>
      <c r="N136" s="733">
        <v>2</v>
      </c>
    </row>
    <row r="137" spans="1:14" s="378" customFormat="1" ht="28" x14ac:dyDescent="0.2">
      <c r="A137" s="304" t="s">
        <v>843</v>
      </c>
      <c r="B137" s="305" t="s">
        <v>290</v>
      </c>
      <c r="C137" s="304" t="s">
        <v>845</v>
      </c>
      <c r="D137" s="307" t="s">
        <v>2305</v>
      </c>
      <c r="E137" s="307" t="s">
        <v>605</v>
      </c>
      <c r="F137" s="453"/>
      <c r="G137" s="453"/>
      <c r="H137" s="307">
        <v>0</v>
      </c>
      <c r="I137" s="307"/>
      <c r="J137" s="307" t="s">
        <v>2357</v>
      </c>
      <c r="K137" s="307" t="s">
        <v>2310</v>
      </c>
      <c r="L137" s="403" t="s">
        <v>59</v>
      </c>
      <c r="M137" s="257" t="s">
        <v>2375</v>
      </c>
      <c r="N137" s="307">
        <v>0</v>
      </c>
    </row>
    <row r="138" spans="1:14" s="378" customFormat="1" ht="28" x14ac:dyDescent="0.2">
      <c r="A138" s="304" t="s">
        <v>847</v>
      </c>
      <c r="B138" s="305" t="s">
        <v>290</v>
      </c>
      <c r="C138" s="304" t="s">
        <v>849</v>
      </c>
      <c r="D138" s="307" t="s">
        <v>2305</v>
      </c>
      <c r="E138" s="307" t="s">
        <v>605</v>
      </c>
      <c r="F138" s="453"/>
      <c r="G138" s="453"/>
      <c r="H138" s="307">
        <v>0</v>
      </c>
      <c r="I138" s="307"/>
      <c r="J138" s="307" t="s">
        <v>2357</v>
      </c>
      <c r="K138" s="307" t="s">
        <v>2310</v>
      </c>
      <c r="L138" s="403" t="s">
        <v>59</v>
      </c>
      <c r="M138" s="257" t="s">
        <v>2375</v>
      </c>
      <c r="N138" s="307">
        <v>0</v>
      </c>
    </row>
    <row r="139" spans="1:14" s="378" customFormat="1" ht="28" x14ac:dyDescent="0.2">
      <c r="A139" s="304" t="s">
        <v>855</v>
      </c>
      <c r="B139" s="305" t="s">
        <v>290</v>
      </c>
      <c r="C139" s="304" t="s">
        <v>857</v>
      </c>
      <c r="D139" s="307" t="s">
        <v>2305</v>
      </c>
      <c r="E139" s="307" t="s">
        <v>605</v>
      </c>
      <c r="F139" s="453"/>
      <c r="G139" s="453"/>
      <c r="H139" s="307">
        <v>0</v>
      </c>
      <c r="I139" s="307"/>
      <c r="J139" s="307" t="s">
        <v>2357</v>
      </c>
      <c r="K139" s="307" t="s">
        <v>2310</v>
      </c>
      <c r="L139" s="403" t="s">
        <v>59</v>
      </c>
      <c r="M139" s="257" t="s">
        <v>2375</v>
      </c>
      <c r="N139" s="307">
        <v>0</v>
      </c>
    </row>
    <row r="140" spans="1:14" s="378" customFormat="1" ht="28" x14ac:dyDescent="0.2">
      <c r="A140" s="304" t="s">
        <v>859</v>
      </c>
      <c r="B140" s="305" t="s">
        <v>290</v>
      </c>
      <c r="C140" s="304" t="s">
        <v>861</v>
      </c>
      <c r="D140" s="307" t="s">
        <v>2305</v>
      </c>
      <c r="E140" s="307" t="s">
        <v>605</v>
      </c>
      <c r="F140" s="453"/>
      <c r="G140" s="453"/>
      <c r="H140" s="307">
        <v>0</v>
      </c>
      <c r="I140" s="307"/>
      <c r="J140" s="307" t="s">
        <v>2357</v>
      </c>
      <c r="K140" s="307" t="s">
        <v>2310</v>
      </c>
      <c r="L140" s="403" t="s">
        <v>59</v>
      </c>
      <c r="M140" s="257" t="s">
        <v>2375</v>
      </c>
      <c r="N140" s="307">
        <v>0</v>
      </c>
    </row>
    <row r="141" spans="1:14" s="378" customFormat="1" ht="28.5" customHeight="1" x14ac:dyDescent="0.2">
      <c r="A141" s="304" t="s">
        <v>872</v>
      </c>
      <c r="B141" s="305" t="s">
        <v>290</v>
      </c>
      <c r="C141" s="304" t="s">
        <v>874</v>
      </c>
      <c r="D141" s="307" t="s">
        <v>2305</v>
      </c>
      <c r="E141" s="307" t="s">
        <v>605</v>
      </c>
      <c r="F141" s="571"/>
      <c r="G141" s="453"/>
      <c r="H141" s="733">
        <v>3</v>
      </c>
      <c r="I141" s="307" t="s">
        <v>841</v>
      </c>
      <c r="J141" s="307" t="s">
        <v>2318</v>
      </c>
      <c r="K141" s="307" t="s">
        <v>2310</v>
      </c>
      <c r="L141" s="403" t="s">
        <v>59</v>
      </c>
      <c r="M141" s="257" t="s">
        <v>2394</v>
      </c>
      <c r="N141" s="733">
        <v>2</v>
      </c>
    </row>
    <row r="142" spans="1:14" s="378" customFormat="1" ht="28.5" customHeight="1" x14ac:dyDescent="0.2">
      <c r="A142" s="304" t="s">
        <v>889</v>
      </c>
      <c r="B142" s="305" t="s">
        <v>290</v>
      </c>
      <c r="C142" s="304" t="s">
        <v>891</v>
      </c>
      <c r="D142" s="307" t="s">
        <v>2305</v>
      </c>
      <c r="E142" s="307" t="s">
        <v>605</v>
      </c>
      <c r="F142" s="453"/>
      <c r="G142" s="453"/>
      <c r="H142" s="733">
        <v>3</v>
      </c>
      <c r="I142" s="307" t="s">
        <v>866</v>
      </c>
      <c r="J142" s="307" t="s">
        <v>2318</v>
      </c>
      <c r="K142" s="307" t="s">
        <v>2310</v>
      </c>
      <c r="L142" s="403" t="s">
        <v>59</v>
      </c>
      <c r="M142" s="257" t="s">
        <v>2331</v>
      </c>
      <c r="N142" s="733">
        <v>2</v>
      </c>
    </row>
    <row r="143" spans="1:14" s="378" customFormat="1" ht="28.5" customHeight="1" x14ac:dyDescent="0.2">
      <c r="A143" s="304" t="s">
        <v>893</v>
      </c>
      <c r="B143" s="305" t="s">
        <v>290</v>
      </c>
      <c r="C143" s="304" t="s">
        <v>895</v>
      </c>
      <c r="D143" s="307" t="s">
        <v>2305</v>
      </c>
      <c r="E143" s="307" t="s">
        <v>605</v>
      </c>
      <c r="F143" s="453"/>
      <c r="G143" s="453"/>
      <c r="H143" s="733">
        <v>3</v>
      </c>
      <c r="I143" s="307" t="s">
        <v>866</v>
      </c>
      <c r="J143" s="307" t="s">
        <v>2318</v>
      </c>
      <c r="K143" s="307" t="s">
        <v>2310</v>
      </c>
      <c r="L143" s="403" t="s">
        <v>59</v>
      </c>
      <c r="M143" s="257" t="s">
        <v>2331</v>
      </c>
      <c r="N143" s="733">
        <v>2</v>
      </c>
    </row>
    <row r="144" spans="1:14" s="378" customFormat="1" ht="28.5" customHeight="1" x14ac:dyDescent="0.2">
      <c r="A144" s="304" t="s">
        <v>881</v>
      </c>
      <c r="B144" s="305" t="s">
        <v>290</v>
      </c>
      <c r="C144" s="304" t="s">
        <v>883</v>
      </c>
      <c r="D144" s="307" t="s">
        <v>2305</v>
      </c>
      <c r="E144" s="307" t="s">
        <v>605</v>
      </c>
      <c r="F144" s="453"/>
      <c r="G144" s="453"/>
      <c r="H144" s="733">
        <v>3</v>
      </c>
      <c r="I144" s="307" t="s">
        <v>866</v>
      </c>
      <c r="J144" s="307" t="s">
        <v>2318</v>
      </c>
      <c r="K144" s="307" t="s">
        <v>2310</v>
      </c>
      <c r="L144" s="403" t="s">
        <v>59</v>
      </c>
      <c r="M144" s="257" t="s">
        <v>2331</v>
      </c>
      <c r="N144" s="733">
        <v>2</v>
      </c>
    </row>
    <row r="145" spans="1:14" s="378" customFormat="1" ht="28" x14ac:dyDescent="0.2">
      <c r="A145" s="304" t="s">
        <v>885</v>
      </c>
      <c r="B145" s="305" t="s">
        <v>290</v>
      </c>
      <c r="C145" s="304" t="s">
        <v>887</v>
      </c>
      <c r="D145" s="307" t="s">
        <v>2305</v>
      </c>
      <c r="E145" s="307" t="s">
        <v>605</v>
      </c>
      <c r="F145" s="453"/>
      <c r="G145" s="453"/>
      <c r="H145" s="733">
        <v>3</v>
      </c>
      <c r="I145" s="307" t="s">
        <v>866</v>
      </c>
      <c r="J145" s="307" t="s">
        <v>2318</v>
      </c>
      <c r="K145" s="307" t="s">
        <v>2310</v>
      </c>
      <c r="L145" s="403" t="s">
        <v>59</v>
      </c>
      <c r="M145" s="257" t="s">
        <v>2331</v>
      </c>
      <c r="N145" s="733">
        <v>2</v>
      </c>
    </row>
    <row r="146" spans="1:14" s="378" customFormat="1" ht="28.5" customHeight="1" x14ac:dyDescent="0.2">
      <c r="A146" s="304" t="s">
        <v>897</v>
      </c>
      <c r="B146" s="305" t="s">
        <v>290</v>
      </c>
      <c r="C146" s="304" t="s">
        <v>899</v>
      </c>
      <c r="D146" s="307" t="s">
        <v>2305</v>
      </c>
      <c r="E146" s="307" t="s">
        <v>605</v>
      </c>
      <c r="F146" s="571"/>
      <c r="G146" s="453"/>
      <c r="H146" s="733">
        <v>3</v>
      </c>
      <c r="I146" s="307" t="s">
        <v>866</v>
      </c>
      <c r="J146" s="307" t="s">
        <v>2318</v>
      </c>
      <c r="K146" s="307" t="s">
        <v>2310</v>
      </c>
      <c r="L146" s="403" t="s">
        <v>59</v>
      </c>
      <c r="M146" s="257" t="s">
        <v>2331</v>
      </c>
      <c r="N146" s="733">
        <v>2</v>
      </c>
    </row>
    <row r="147" spans="1:14" s="378" customFormat="1" ht="28.5" customHeight="1" x14ac:dyDescent="0.2">
      <c r="A147" s="304" t="s">
        <v>901</v>
      </c>
      <c r="B147" s="305" t="s">
        <v>290</v>
      </c>
      <c r="C147" s="304" t="s">
        <v>903</v>
      </c>
      <c r="D147" s="307" t="s">
        <v>2305</v>
      </c>
      <c r="E147" s="307" t="s">
        <v>605</v>
      </c>
      <c r="F147" s="571"/>
      <c r="G147" s="453"/>
      <c r="H147" s="733">
        <v>3</v>
      </c>
      <c r="I147" s="307" t="s">
        <v>866</v>
      </c>
      <c r="J147" s="307" t="s">
        <v>2318</v>
      </c>
      <c r="K147" s="307" t="s">
        <v>2310</v>
      </c>
      <c r="L147" s="403" t="s">
        <v>59</v>
      </c>
      <c r="M147" s="257" t="s">
        <v>2331</v>
      </c>
      <c r="N147" s="733">
        <v>2</v>
      </c>
    </row>
    <row r="148" spans="1:14" s="378" customFormat="1" ht="28.5" customHeight="1" x14ac:dyDescent="0.2">
      <c r="A148" s="304" t="s">
        <v>851</v>
      </c>
      <c r="B148" s="305" t="s">
        <v>290</v>
      </c>
      <c r="C148" s="304" t="s">
        <v>853</v>
      </c>
      <c r="D148" s="307" t="s">
        <v>2305</v>
      </c>
      <c r="E148" s="307" t="s">
        <v>605</v>
      </c>
      <c r="F148" s="453"/>
      <c r="G148" s="453"/>
      <c r="H148" s="733">
        <v>3</v>
      </c>
      <c r="I148" s="307"/>
      <c r="J148" s="307" t="s">
        <v>2306</v>
      </c>
      <c r="K148" s="307" t="s">
        <v>2310</v>
      </c>
      <c r="L148" s="403" t="s">
        <v>59</v>
      </c>
      <c r="M148" s="257" t="s">
        <v>2395</v>
      </c>
      <c r="N148" s="733">
        <v>2</v>
      </c>
    </row>
    <row r="149" spans="1:14" s="378" customFormat="1" ht="28.5" customHeight="1" x14ac:dyDescent="0.2">
      <c r="A149" s="214" t="s">
        <v>863</v>
      </c>
      <c r="B149" s="452" t="s">
        <v>290</v>
      </c>
      <c r="C149" s="214" t="s">
        <v>865</v>
      </c>
      <c r="D149" s="403" t="s">
        <v>2305</v>
      </c>
      <c r="E149" s="403" t="s">
        <v>605</v>
      </c>
      <c r="F149" s="453"/>
      <c r="G149" s="453"/>
      <c r="H149" s="733">
        <v>3</v>
      </c>
      <c r="I149" s="403" t="s">
        <v>866</v>
      </c>
      <c r="J149" s="403" t="s">
        <v>2318</v>
      </c>
      <c r="K149" s="403" t="s">
        <v>2310</v>
      </c>
      <c r="L149" s="403" t="s">
        <v>59</v>
      </c>
      <c r="M149" s="198" t="s">
        <v>2396</v>
      </c>
      <c r="N149" s="733">
        <v>2</v>
      </c>
    </row>
    <row r="150" spans="1:14" s="378" customFormat="1" ht="28.5" customHeight="1" x14ac:dyDescent="0.2">
      <c r="A150" s="214" t="s">
        <v>868</v>
      </c>
      <c r="B150" s="452" t="s">
        <v>290</v>
      </c>
      <c r="C150" s="214" t="s">
        <v>870</v>
      </c>
      <c r="D150" s="403" t="s">
        <v>2305</v>
      </c>
      <c r="E150" s="403" t="s">
        <v>605</v>
      </c>
      <c r="F150" s="453"/>
      <c r="G150" s="453"/>
      <c r="H150" s="733">
        <v>3</v>
      </c>
      <c r="I150" s="403" t="s">
        <v>866</v>
      </c>
      <c r="J150" s="403" t="s">
        <v>2318</v>
      </c>
      <c r="K150" s="403" t="s">
        <v>2310</v>
      </c>
      <c r="L150" s="403" t="s">
        <v>59</v>
      </c>
      <c r="M150" s="198" t="s">
        <v>2396</v>
      </c>
      <c r="N150" s="733">
        <v>2</v>
      </c>
    </row>
    <row r="151" spans="1:14" s="378" customFormat="1" ht="28.5" customHeight="1" x14ac:dyDescent="0.2">
      <c r="A151" s="214" t="s">
        <v>289</v>
      </c>
      <c r="B151" s="452" t="s">
        <v>290</v>
      </c>
      <c r="C151" s="214" t="s">
        <v>292</v>
      </c>
      <c r="D151" s="403" t="s">
        <v>2322</v>
      </c>
      <c r="E151" s="403" t="s">
        <v>70</v>
      </c>
      <c r="F151" s="695">
        <v>1</v>
      </c>
      <c r="G151" s="403" t="s">
        <v>193</v>
      </c>
      <c r="H151" s="403">
        <v>5</v>
      </c>
      <c r="I151" s="403"/>
      <c r="J151" s="403" t="s">
        <v>2306</v>
      </c>
      <c r="K151" s="403" t="s">
        <v>2307</v>
      </c>
      <c r="L151" s="403" t="s">
        <v>2308</v>
      </c>
      <c r="M151" s="198" t="s">
        <v>2397</v>
      </c>
      <c r="N151" s="403">
        <v>0</v>
      </c>
    </row>
    <row r="152" spans="1:14" s="378" customFormat="1" ht="28.5" customHeight="1" x14ac:dyDescent="0.2">
      <c r="A152" s="214" t="s">
        <v>289</v>
      </c>
      <c r="B152" s="452" t="s">
        <v>290</v>
      </c>
      <c r="C152" s="214" t="s">
        <v>292</v>
      </c>
      <c r="D152" s="403" t="s">
        <v>2322</v>
      </c>
      <c r="E152" s="403" t="s">
        <v>76</v>
      </c>
      <c r="F152" s="695">
        <v>2</v>
      </c>
      <c r="G152" s="403" t="s">
        <v>193</v>
      </c>
      <c r="H152" s="403">
        <v>5</v>
      </c>
      <c r="I152" s="403"/>
      <c r="J152" s="403" t="s">
        <v>2306</v>
      </c>
      <c r="K152" s="403" t="s">
        <v>2310</v>
      </c>
      <c r="L152" s="403" t="s">
        <v>59</v>
      </c>
      <c r="M152" s="198" t="s">
        <v>2398</v>
      </c>
      <c r="N152" s="403">
        <v>0</v>
      </c>
    </row>
    <row r="153" spans="1:14" s="378" customFormat="1" ht="28.5" customHeight="1" x14ac:dyDescent="0.2">
      <c r="A153" s="214" t="s">
        <v>408</v>
      </c>
      <c r="B153" s="452" t="s">
        <v>290</v>
      </c>
      <c r="C153" s="214" t="s">
        <v>410</v>
      </c>
      <c r="D153" s="403" t="s">
        <v>2322</v>
      </c>
      <c r="E153" s="403" t="s">
        <v>70</v>
      </c>
      <c r="F153" s="695">
        <v>1</v>
      </c>
      <c r="G153" s="403" t="s">
        <v>193</v>
      </c>
      <c r="H153" s="403">
        <v>5</v>
      </c>
      <c r="I153" s="403"/>
      <c r="J153" s="403" t="s">
        <v>2306</v>
      </c>
      <c r="K153" s="403" t="s">
        <v>2307</v>
      </c>
      <c r="L153" s="403" t="s">
        <v>2308</v>
      </c>
      <c r="M153" s="198" t="s">
        <v>2397</v>
      </c>
      <c r="N153" s="403">
        <v>0</v>
      </c>
    </row>
    <row r="154" spans="1:14" s="378" customFormat="1" ht="28.5" customHeight="1" x14ac:dyDescent="0.2">
      <c r="A154" s="214" t="s">
        <v>408</v>
      </c>
      <c r="B154" s="452" t="s">
        <v>290</v>
      </c>
      <c r="C154" s="214" t="s">
        <v>410</v>
      </c>
      <c r="D154" s="403" t="s">
        <v>2322</v>
      </c>
      <c r="E154" s="403" t="s">
        <v>76</v>
      </c>
      <c r="F154" s="695">
        <v>2</v>
      </c>
      <c r="G154" s="403" t="s">
        <v>193</v>
      </c>
      <c r="H154" s="403">
        <v>5</v>
      </c>
      <c r="I154" s="403"/>
      <c r="J154" s="403" t="s">
        <v>2306</v>
      </c>
      <c r="K154" s="403" t="s">
        <v>2310</v>
      </c>
      <c r="L154" s="403" t="s">
        <v>59</v>
      </c>
      <c r="M154" s="198" t="s">
        <v>2398</v>
      </c>
      <c r="N154" s="403">
        <v>0</v>
      </c>
    </row>
    <row r="155" spans="1:14" s="378" customFormat="1" ht="28.5" customHeight="1" x14ac:dyDescent="0.2">
      <c r="A155" s="304" t="s">
        <v>838</v>
      </c>
      <c r="B155" s="305" t="s">
        <v>290</v>
      </c>
      <c r="C155" s="304" t="s">
        <v>840</v>
      </c>
      <c r="D155" s="307" t="s">
        <v>2305</v>
      </c>
      <c r="E155" s="307" t="s">
        <v>605</v>
      </c>
      <c r="F155" s="453"/>
      <c r="G155" s="453"/>
      <c r="H155" s="733">
        <v>3</v>
      </c>
      <c r="I155" s="307" t="s">
        <v>841</v>
      </c>
      <c r="J155" s="307" t="s">
        <v>2318</v>
      </c>
      <c r="K155" s="307" t="s">
        <v>2310</v>
      </c>
      <c r="L155" s="403" t="s">
        <v>59</v>
      </c>
      <c r="M155" s="257" t="s">
        <v>2331</v>
      </c>
      <c r="N155" s="733">
        <v>2</v>
      </c>
    </row>
    <row r="156" spans="1:14" s="378" customFormat="1" ht="28.5" customHeight="1" x14ac:dyDescent="0.2">
      <c r="A156" s="304" t="s">
        <v>877</v>
      </c>
      <c r="B156" s="305" t="s">
        <v>290</v>
      </c>
      <c r="C156" s="304" t="s">
        <v>879</v>
      </c>
      <c r="D156" s="307" t="s">
        <v>2305</v>
      </c>
      <c r="E156" s="307" t="s">
        <v>605</v>
      </c>
      <c r="F156" s="453"/>
      <c r="G156" s="453"/>
      <c r="H156" s="733">
        <v>3</v>
      </c>
      <c r="I156" s="307"/>
      <c r="J156" s="307" t="s">
        <v>2318</v>
      </c>
      <c r="K156" s="307" t="s">
        <v>2310</v>
      </c>
      <c r="L156" s="403" t="s">
        <v>59</v>
      </c>
      <c r="M156" s="257" t="s">
        <v>2331</v>
      </c>
      <c r="N156" s="733">
        <v>2</v>
      </c>
    </row>
    <row r="157" spans="1:14" s="378" customFormat="1" ht="28.5" customHeight="1" x14ac:dyDescent="0.2">
      <c r="A157" s="304" t="s">
        <v>905</v>
      </c>
      <c r="B157" s="305" t="s">
        <v>290</v>
      </c>
      <c r="C157" s="304" t="s">
        <v>907</v>
      </c>
      <c r="D157" s="307" t="s">
        <v>2305</v>
      </c>
      <c r="E157" s="307" t="s">
        <v>605</v>
      </c>
      <c r="F157" s="571"/>
      <c r="G157" s="453"/>
      <c r="H157" s="733">
        <v>0</v>
      </c>
      <c r="I157" s="307"/>
      <c r="J157" s="307" t="s">
        <v>2318</v>
      </c>
      <c r="K157" s="307" t="s">
        <v>2310</v>
      </c>
      <c r="L157" s="403" t="s">
        <v>59</v>
      </c>
      <c r="M157" s="257" t="s">
        <v>2399</v>
      </c>
      <c r="N157" s="733">
        <v>2</v>
      </c>
    </row>
    <row r="158" spans="1:14" s="378" customFormat="1" ht="28.5" customHeight="1" x14ac:dyDescent="0.2">
      <c r="A158" s="214" t="s">
        <v>1438</v>
      </c>
      <c r="B158" s="452" t="s">
        <v>134</v>
      </c>
      <c r="C158" s="214" t="s">
        <v>1440</v>
      </c>
      <c r="D158" s="403" t="s">
        <v>2322</v>
      </c>
      <c r="E158" s="403" t="s">
        <v>70</v>
      </c>
      <c r="F158" s="403">
        <v>180</v>
      </c>
      <c r="G158" s="403" t="s">
        <v>180</v>
      </c>
      <c r="H158" s="403">
        <v>5</v>
      </c>
      <c r="I158" s="403" t="s">
        <v>1441</v>
      </c>
      <c r="J158" s="403" t="s">
        <v>2306</v>
      </c>
      <c r="K158" s="403" t="s">
        <v>2307</v>
      </c>
      <c r="L158" s="403" t="s">
        <v>2308</v>
      </c>
      <c r="M158" s="198" t="s">
        <v>2400</v>
      </c>
      <c r="N158" s="403" t="s">
        <v>204</v>
      </c>
    </row>
    <row r="159" spans="1:14" s="378" customFormat="1" ht="28.5" customHeight="1" x14ac:dyDescent="0.2">
      <c r="A159" s="214" t="s">
        <v>307</v>
      </c>
      <c r="B159" s="452" t="s">
        <v>290</v>
      </c>
      <c r="C159" s="214" t="s">
        <v>309</v>
      </c>
      <c r="D159" s="403" t="s">
        <v>2322</v>
      </c>
      <c r="E159" s="403" t="s">
        <v>73</v>
      </c>
      <c r="F159" s="403">
        <v>300</v>
      </c>
      <c r="G159" s="403" t="s">
        <v>310</v>
      </c>
      <c r="H159" s="403">
        <v>5</v>
      </c>
      <c r="I159" s="403" t="s">
        <v>311</v>
      </c>
      <c r="J159" s="403" t="s">
        <v>2318</v>
      </c>
      <c r="K159" s="403" t="s">
        <v>2307</v>
      </c>
      <c r="L159" s="403" t="s">
        <v>2320</v>
      </c>
      <c r="M159" s="198" t="s">
        <v>2401</v>
      </c>
      <c r="N159" s="403" t="s">
        <v>204</v>
      </c>
    </row>
    <row r="160" spans="1:14" s="378" customFormat="1" ht="28.5" customHeight="1" x14ac:dyDescent="0.2">
      <c r="A160" s="214" t="s">
        <v>307</v>
      </c>
      <c r="B160" s="452" t="s">
        <v>290</v>
      </c>
      <c r="C160" s="214" t="s">
        <v>309</v>
      </c>
      <c r="D160" s="403" t="s">
        <v>2322</v>
      </c>
      <c r="E160" s="403" t="s">
        <v>67</v>
      </c>
      <c r="F160" s="403">
        <v>800</v>
      </c>
      <c r="G160" s="403" t="s">
        <v>310</v>
      </c>
      <c r="H160" s="403">
        <v>5</v>
      </c>
      <c r="I160" s="403" t="s">
        <v>311</v>
      </c>
      <c r="J160" s="403" t="s">
        <v>2315</v>
      </c>
      <c r="K160" s="403" t="s">
        <v>2316</v>
      </c>
      <c r="L160" s="403" t="s">
        <v>63</v>
      </c>
      <c r="M160" s="198" t="s">
        <v>2402</v>
      </c>
      <c r="N160" s="403" t="s">
        <v>204</v>
      </c>
    </row>
    <row r="161" spans="1:14" s="378" customFormat="1" ht="28.5" customHeight="1" x14ac:dyDescent="0.2">
      <c r="A161" s="214" t="s">
        <v>307</v>
      </c>
      <c r="B161" s="452" t="s">
        <v>290</v>
      </c>
      <c r="C161" s="214" t="s">
        <v>309</v>
      </c>
      <c r="D161" s="403" t="s">
        <v>2322</v>
      </c>
      <c r="E161" s="403" t="s">
        <v>70</v>
      </c>
      <c r="F161" s="403">
        <v>1300</v>
      </c>
      <c r="G161" s="403" t="s">
        <v>310</v>
      </c>
      <c r="H161" s="403">
        <v>5</v>
      </c>
      <c r="I161" s="403" t="s">
        <v>311</v>
      </c>
      <c r="J161" s="403" t="s">
        <v>2315</v>
      </c>
      <c r="K161" s="403" t="s">
        <v>2316</v>
      </c>
      <c r="L161" s="403" t="s">
        <v>63</v>
      </c>
      <c r="M161" s="198" t="s">
        <v>2403</v>
      </c>
      <c r="N161" s="403" t="s">
        <v>204</v>
      </c>
    </row>
    <row r="162" spans="1:14" s="378" customFormat="1" ht="28.5" customHeight="1" x14ac:dyDescent="0.2">
      <c r="A162" s="214" t="s">
        <v>307</v>
      </c>
      <c r="B162" s="452" t="s">
        <v>290</v>
      </c>
      <c r="C162" s="214" t="s">
        <v>309</v>
      </c>
      <c r="D162" s="403" t="s">
        <v>2322</v>
      </c>
      <c r="E162" s="403" t="s">
        <v>76</v>
      </c>
      <c r="F162" s="403">
        <v>1800</v>
      </c>
      <c r="G162" s="403" t="s">
        <v>310</v>
      </c>
      <c r="H162" s="403">
        <v>5</v>
      </c>
      <c r="I162" s="403" t="s">
        <v>311</v>
      </c>
      <c r="J162" s="403" t="s">
        <v>2318</v>
      </c>
      <c r="K162" s="403" t="s">
        <v>2307</v>
      </c>
      <c r="L162" s="403" t="s">
        <v>2320</v>
      </c>
      <c r="M162" s="198" t="s">
        <v>2404</v>
      </c>
      <c r="N162" s="403" t="s">
        <v>204</v>
      </c>
    </row>
    <row r="163" spans="1:14" s="378" customFormat="1" ht="28.5" customHeight="1" x14ac:dyDescent="0.2">
      <c r="A163" s="214" t="s">
        <v>1179</v>
      </c>
      <c r="B163" s="452" t="s">
        <v>290</v>
      </c>
      <c r="C163" s="214" t="s">
        <v>1181</v>
      </c>
      <c r="D163" s="403" t="s">
        <v>2305</v>
      </c>
      <c r="E163" s="403" t="s">
        <v>605</v>
      </c>
      <c r="F163" s="453"/>
      <c r="G163" s="453"/>
      <c r="H163" s="733">
        <v>3</v>
      </c>
      <c r="I163" s="706" t="s">
        <v>1182</v>
      </c>
      <c r="J163" s="403" t="s">
        <v>2318</v>
      </c>
      <c r="K163" s="403" t="s">
        <v>2310</v>
      </c>
      <c r="L163" s="403" t="s">
        <v>59</v>
      </c>
      <c r="M163" s="198" t="s">
        <v>2405</v>
      </c>
      <c r="N163" s="733">
        <v>2</v>
      </c>
    </row>
    <row r="164" spans="1:14" s="378" customFormat="1" ht="28" x14ac:dyDescent="0.2">
      <c r="A164" s="304" t="s">
        <v>941</v>
      </c>
      <c r="B164" s="305" t="s">
        <v>290</v>
      </c>
      <c r="C164" s="304" t="s">
        <v>943</v>
      </c>
      <c r="D164" s="307" t="s">
        <v>2305</v>
      </c>
      <c r="E164" s="307" t="s">
        <v>605</v>
      </c>
      <c r="F164" s="453"/>
      <c r="G164" s="453"/>
      <c r="H164" s="307">
        <v>0</v>
      </c>
      <c r="I164" s="307"/>
      <c r="J164" s="307" t="s">
        <v>2357</v>
      </c>
      <c r="K164" s="307" t="s">
        <v>2310</v>
      </c>
      <c r="L164" s="403" t="s">
        <v>59</v>
      </c>
      <c r="M164" s="257" t="s">
        <v>2375</v>
      </c>
      <c r="N164" s="307">
        <v>0</v>
      </c>
    </row>
    <row r="165" spans="1:14" s="378" customFormat="1" ht="28.5" customHeight="1" x14ac:dyDescent="0.2">
      <c r="A165" s="304" t="s">
        <v>945</v>
      </c>
      <c r="B165" s="305" t="s">
        <v>290</v>
      </c>
      <c r="C165" s="304" t="s">
        <v>947</v>
      </c>
      <c r="D165" s="307" t="s">
        <v>2305</v>
      </c>
      <c r="E165" s="307" t="s">
        <v>605</v>
      </c>
      <c r="F165" s="453"/>
      <c r="G165" s="453"/>
      <c r="H165" s="307">
        <v>0</v>
      </c>
      <c r="I165" s="307"/>
      <c r="J165" s="307" t="s">
        <v>2357</v>
      </c>
      <c r="K165" s="307" t="s">
        <v>2310</v>
      </c>
      <c r="L165" s="403" t="s">
        <v>59</v>
      </c>
      <c r="M165" s="257" t="s">
        <v>2375</v>
      </c>
      <c r="N165" s="307">
        <v>0</v>
      </c>
    </row>
    <row r="166" spans="1:14" s="378" customFormat="1" ht="36.75" customHeight="1" x14ac:dyDescent="0.2">
      <c r="A166" s="304" t="s">
        <v>949</v>
      </c>
      <c r="B166" s="305" t="s">
        <v>290</v>
      </c>
      <c r="C166" s="670" t="s">
        <v>951</v>
      </c>
      <c r="D166" s="307" t="s">
        <v>2305</v>
      </c>
      <c r="E166" s="307" t="s">
        <v>605</v>
      </c>
      <c r="F166" s="453"/>
      <c r="G166" s="453"/>
      <c r="H166" s="307">
        <v>0</v>
      </c>
      <c r="I166" s="307"/>
      <c r="J166" s="307" t="s">
        <v>2357</v>
      </c>
      <c r="K166" s="307" t="s">
        <v>2310</v>
      </c>
      <c r="L166" s="403" t="s">
        <v>59</v>
      </c>
      <c r="M166" s="257" t="s">
        <v>2375</v>
      </c>
      <c r="N166" s="307">
        <v>0</v>
      </c>
    </row>
    <row r="167" spans="1:14" s="378" customFormat="1" ht="33" customHeight="1" x14ac:dyDescent="0.2">
      <c r="A167" s="304" t="s">
        <v>953</v>
      </c>
      <c r="B167" s="305" t="s">
        <v>290</v>
      </c>
      <c r="C167" s="670" t="s">
        <v>955</v>
      </c>
      <c r="D167" s="307" t="s">
        <v>2305</v>
      </c>
      <c r="E167" s="307" t="s">
        <v>605</v>
      </c>
      <c r="F167" s="453"/>
      <c r="G167" s="453"/>
      <c r="H167" s="307">
        <v>0</v>
      </c>
      <c r="I167" s="307"/>
      <c r="J167" s="307" t="s">
        <v>2357</v>
      </c>
      <c r="K167" s="307" t="s">
        <v>2310</v>
      </c>
      <c r="L167" s="403" t="s">
        <v>59</v>
      </c>
      <c r="M167" s="257" t="s">
        <v>2375</v>
      </c>
      <c r="N167" s="307">
        <v>0</v>
      </c>
    </row>
    <row r="168" spans="1:14" s="378" customFormat="1" ht="28.5" customHeight="1" x14ac:dyDescent="0.2">
      <c r="A168" s="304" t="s">
        <v>923</v>
      </c>
      <c r="B168" s="305" t="s">
        <v>290</v>
      </c>
      <c r="C168" s="304" t="s">
        <v>925</v>
      </c>
      <c r="D168" s="307" t="s">
        <v>2305</v>
      </c>
      <c r="E168" s="307" t="s">
        <v>605</v>
      </c>
      <c r="F168" s="453"/>
      <c r="G168" s="453"/>
      <c r="H168" s="733">
        <v>3</v>
      </c>
      <c r="I168" s="307" t="s">
        <v>926</v>
      </c>
      <c r="J168" s="307" t="s">
        <v>2318</v>
      </c>
      <c r="K168" s="307" t="s">
        <v>2310</v>
      </c>
      <c r="L168" s="403" t="s">
        <v>59</v>
      </c>
      <c r="M168" s="257" t="s">
        <v>2331</v>
      </c>
      <c r="N168" s="733">
        <v>2</v>
      </c>
    </row>
    <row r="169" spans="1:14" s="378" customFormat="1" ht="28.5" customHeight="1" x14ac:dyDescent="0.2">
      <c r="A169" s="304" t="s">
        <v>970</v>
      </c>
      <c r="B169" s="305" t="s">
        <v>290</v>
      </c>
      <c r="C169" s="304" t="s">
        <v>972</v>
      </c>
      <c r="D169" s="307" t="s">
        <v>2305</v>
      </c>
      <c r="E169" s="307" t="s">
        <v>605</v>
      </c>
      <c r="F169" s="453"/>
      <c r="G169" s="453"/>
      <c r="H169" s="733">
        <v>0</v>
      </c>
      <c r="I169" s="307" t="s">
        <v>926</v>
      </c>
      <c r="J169" s="307" t="s">
        <v>2318</v>
      </c>
      <c r="K169" s="307" t="s">
        <v>2310</v>
      </c>
      <c r="L169" s="403" t="s">
        <v>59</v>
      </c>
      <c r="M169" s="257" t="s">
        <v>2331</v>
      </c>
      <c r="N169" s="733">
        <v>2</v>
      </c>
    </row>
    <row r="170" spans="1:14" s="378" customFormat="1" ht="28.5" customHeight="1" x14ac:dyDescent="0.2">
      <c r="A170" s="304" t="s">
        <v>932</v>
      </c>
      <c r="B170" s="305" t="s">
        <v>290</v>
      </c>
      <c r="C170" s="304" t="s">
        <v>934</v>
      </c>
      <c r="D170" s="307" t="s">
        <v>2305</v>
      </c>
      <c r="E170" s="307" t="s">
        <v>605</v>
      </c>
      <c r="F170" s="453"/>
      <c r="G170" s="453"/>
      <c r="H170" s="733">
        <v>3</v>
      </c>
      <c r="I170" s="307" t="s">
        <v>935</v>
      </c>
      <c r="J170" s="307" t="s">
        <v>2318</v>
      </c>
      <c r="K170" s="307" t="s">
        <v>2310</v>
      </c>
      <c r="L170" s="403" t="s">
        <v>59</v>
      </c>
      <c r="M170" s="257" t="s">
        <v>2331</v>
      </c>
      <c r="N170" s="733">
        <v>2</v>
      </c>
    </row>
    <row r="171" spans="1:14" s="378" customFormat="1" ht="28.5" customHeight="1" x14ac:dyDescent="0.2">
      <c r="A171" s="304" t="s">
        <v>937</v>
      </c>
      <c r="B171" s="305" t="s">
        <v>290</v>
      </c>
      <c r="C171" s="304" t="s">
        <v>939</v>
      </c>
      <c r="D171" s="307" t="s">
        <v>2305</v>
      </c>
      <c r="E171" s="307" t="s">
        <v>605</v>
      </c>
      <c r="F171" s="453"/>
      <c r="G171" s="453"/>
      <c r="H171" s="733">
        <v>3</v>
      </c>
      <c r="I171" s="307" t="s">
        <v>935</v>
      </c>
      <c r="J171" s="307" t="s">
        <v>2318</v>
      </c>
      <c r="K171" s="307" t="s">
        <v>2310</v>
      </c>
      <c r="L171" s="403" t="s">
        <v>59</v>
      </c>
      <c r="M171" s="257" t="s">
        <v>2331</v>
      </c>
      <c r="N171" s="733">
        <v>2</v>
      </c>
    </row>
    <row r="172" spans="1:14" s="378" customFormat="1" ht="28.5" customHeight="1" x14ac:dyDescent="0.2">
      <c r="A172" s="304" t="s">
        <v>974</v>
      </c>
      <c r="B172" s="305" t="s">
        <v>290</v>
      </c>
      <c r="C172" s="304" t="s">
        <v>976</v>
      </c>
      <c r="D172" s="307" t="s">
        <v>2305</v>
      </c>
      <c r="E172" s="307" t="s">
        <v>605</v>
      </c>
      <c r="F172" s="453"/>
      <c r="G172" s="453"/>
      <c r="H172" s="733">
        <v>3</v>
      </c>
      <c r="I172" s="307" t="s">
        <v>935</v>
      </c>
      <c r="J172" s="307" t="s">
        <v>2318</v>
      </c>
      <c r="K172" s="307" t="s">
        <v>2310</v>
      </c>
      <c r="L172" s="403" t="s">
        <v>59</v>
      </c>
      <c r="M172" s="257" t="s">
        <v>2331</v>
      </c>
      <c r="N172" s="733">
        <v>2</v>
      </c>
    </row>
    <row r="173" spans="1:14" s="378" customFormat="1" ht="28.5" customHeight="1" x14ac:dyDescent="0.2">
      <c r="A173" s="304" t="s">
        <v>978</v>
      </c>
      <c r="B173" s="305" t="s">
        <v>290</v>
      </c>
      <c r="C173" s="304" t="s">
        <v>980</v>
      </c>
      <c r="D173" s="307" t="s">
        <v>2305</v>
      </c>
      <c r="E173" s="307" t="s">
        <v>605</v>
      </c>
      <c r="F173" s="453"/>
      <c r="G173" s="453"/>
      <c r="H173" s="733">
        <v>3</v>
      </c>
      <c r="I173" s="307" t="s">
        <v>935</v>
      </c>
      <c r="J173" s="307" t="s">
        <v>2318</v>
      </c>
      <c r="K173" s="307" t="s">
        <v>2310</v>
      </c>
      <c r="L173" s="403" t="s">
        <v>59</v>
      </c>
      <c r="M173" s="257" t="s">
        <v>2331</v>
      </c>
      <c r="N173" s="733">
        <v>2</v>
      </c>
    </row>
    <row r="174" spans="1:14" s="378" customFormat="1" ht="28.5" customHeight="1" x14ac:dyDescent="0.2">
      <c r="A174" s="304" t="s">
        <v>982</v>
      </c>
      <c r="B174" s="305" t="s">
        <v>290</v>
      </c>
      <c r="C174" s="304" t="s">
        <v>984</v>
      </c>
      <c r="D174" s="307" t="s">
        <v>2305</v>
      </c>
      <c r="E174" s="307" t="s">
        <v>605</v>
      </c>
      <c r="F174" s="571"/>
      <c r="G174" s="453"/>
      <c r="H174" s="733">
        <v>3</v>
      </c>
      <c r="I174" s="307" t="s">
        <v>935</v>
      </c>
      <c r="J174" s="307" t="s">
        <v>2318</v>
      </c>
      <c r="K174" s="307" t="s">
        <v>2310</v>
      </c>
      <c r="L174" s="403" t="s">
        <v>59</v>
      </c>
      <c r="M174" s="257" t="s">
        <v>2331</v>
      </c>
      <c r="N174" s="733">
        <v>2</v>
      </c>
    </row>
    <row r="175" spans="1:14" s="378" customFormat="1" ht="28.5" customHeight="1" x14ac:dyDescent="0.2">
      <c r="A175" s="304" t="s">
        <v>986</v>
      </c>
      <c r="B175" s="305" t="s">
        <v>290</v>
      </c>
      <c r="C175" s="304" t="s">
        <v>988</v>
      </c>
      <c r="D175" s="307" t="s">
        <v>2305</v>
      </c>
      <c r="E175" s="307" t="s">
        <v>605</v>
      </c>
      <c r="F175" s="571"/>
      <c r="G175" s="453"/>
      <c r="H175" s="733">
        <v>3</v>
      </c>
      <c r="I175" s="307" t="s">
        <v>935</v>
      </c>
      <c r="J175" s="307" t="s">
        <v>2318</v>
      </c>
      <c r="K175" s="307" t="s">
        <v>2310</v>
      </c>
      <c r="L175" s="403" t="s">
        <v>59</v>
      </c>
      <c r="M175" s="257" t="s">
        <v>2331</v>
      </c>
      <c r="N175" s="733">
        <v>2</v>
      </c>
    </row>
    <row r="176" spans="1:14" s="378" customFormat="1" ht="28.5" customHeight="1" x14ac:dyDescent="0.2">
      <c r="A176" s="304" t="s">
        <v>990</v>
      </c>
      <c r="B176" s="305" t="s">
        <v>290</v>
      </c>
      <c r="C176" s="304" t="s">
        <v>992</v>
      </c>
      <c r="D176" s="307" t="s">
        <v>2305</v>
      </c>
      <c r="E176" s="307" t="s">
        <v>605</v>
      </c>
      <c r="F176" s="571"/>
      <c r="G176" s="453"/>
      <c r="H176" s="733">
        <v>3</v>
      </c>
      <c r="I176" s="307" t="s">
        <v>935</v>
      </c>
      <c r="J176" s="307" t="s">
        <v>2318</v>
      </c>
      <c r="K176" s="307" t="s">
        <v>2310</v>
      </c>
      <c r="L176" s="403" t="s">
        <v>59</v>
      </c>
      <c r="M176" s="257" t="s">
        <v>2331</v>
      </c>
      <c r="N176" s="733">
        <v>2</v>
      </c>
    </row>
    <row r="177" spans="1:14" s="378" customFormat="1" ht="28.5" customHeight="1" x14ac:dyDescent="0.2">
      <c r="A177" s="304" t="s">
        <v>994</v>
      </c>
      <c r="B177" s="305" t="s">
        <v>290</v>
      </c>
      <c r="C177" s="304" t="s">
        <v>996</v>
      </c>
      <c r="D177" s="307" t="s">
        <v>2305</v>
      </c>
      <c r="E177" s="307" t="s">
        <v>605</v>
      </c>
      <c r="F177" s="571"/>
      <c r="G177" s="453"/>
      <c r="H177" s="733">
        <v>3</v>
      </c>
      <c r="I177" s="307" t="s">
        <v>935</v>
      </c>
      <c r="J177" s="307" t="s">
        <v>2318</v>
      </c>
      <c r="K177" s="307" t="s">
        <v>2310</v>
      </c>
      <c r="L177" s="403" t="s">
        <v>59</v>
      </c>
      <c r="M177" s="257" t="s">
        <v>2331</v>
      </c>
      <c r="N177" s="733">
        <v>2</v>
      </c>
    </row>
    <row r="178" spans="1:14" s="378" customFormat="1" ht="28.5" customHeight="1" x14ac:dyDescent="0.2">
      <c r="A178" s="304" t="s">
        <v>928</v>
      </c>
      <c r="B178" s="305" t="s">
        <v>290</v>
      </c>
      <c r="C178" s="304" t="s">
        <v>930</v>
      </c>
      <c r="D178" s="307" t="s">
        <v>2305</v>
      </c>
      <c r="E178" s="307" t="s">
        <v>605</v>
      </c>
      <c r="F178" s="453"/>
      <c r="G178" s="453"/>
      <c r="H178" s="733">
        <v>3</v>
      </c>
      <c r="I178" s="307"/>
      <c r="J178" s="307" t="s">
        <v>2306</v>
      </c>
      <c r="K178" s="307" t="s">
        <v>2310</v>
      </c>
      <c r="L178" s="403" t="s">
        <v>59</v>
      </c>
      <c r="M178" s="257" t="s">
        <v>2331</v>
      </c>
      <c r="N178" s="733">
        <v>2</v>
      </c>
    </row>
    <row r="179" spans="1:14" s="378" customFormat="1" ht="28.5" customHeight="1" x14ac:dyDescent="0.2">
      <c r="A179" s="214" t="s">
        <v>1429</v>
      </c>
      <c r="B179" s="452" t="s">
        <v>290</v>
      </c>
      <c r="C179" s="214" t="s">
        <v>1431</v>
      </c>
      <c r="D179" s="403" t="s">
        <v>2322</v>
      </c>
      <c r="E179" s="403" t="s">
        <v>73</v>
      </c>
      <c r="F179" s="403">
        <v>1500</v>
      </c>
      <c r="G179" s="403" t="s">
        <v>1432</v>
      </c>
      <c r="H179" s="403">
        <v>5</v>
      </c>
      <c r="I179" s="403" t="s">
        <v>1433</v>
      </c>
      <c r="J179" s="403" t="s">
        <v>2318</v>
      </c>
      <c r="K179" s="403" t="s">
        <v>2312</v>
      </c>
      <c r="L179" s="403" t="s">
        <v>2308</v>
      </c>
      <c r="M179" s="198" t="s">
        <v>2406</v>
      </c>
      <c r="N179" s="403" t="s">
        <v>204</v>
      </c>
    </row>
    <row r="180" spans="1:14" s="378" customFormat="1" ht="28.5" customHeight="1" x14ac:dyDescent="0.2">
      <c r="A180" s="214" t="s">
        <v>1429</v>
      </c>
      <c r="B180" s="452" t="s">
        <v>290</v>
      </c>
      <c r="C180" s="214" t="s">
        <v>1431</v>
      </c>
      <c r="D180" s="403" t="s">
        <v>2322</v>
      </c>
      <c r="E180" s="403" t="s">
        <v>67</v>
      </c>
      <c r="F180" s="403">
        <v>1800</v>
      </c>
      <c r="G180" s="403" t="s">
        <v>1432</v>
      </c>
      <c r="H180" s="403">
        <v>5</v>
      </c>
      <c r="I180" s="403" t="s">
        <v>1433</v>
      </c>
      <c r="J180" s="403" t="s">
        <v>2318</v>
      </c>
      <c r="K180" s="403" t="s">
        <v>2307</v>
      </c>
      <c r="L180" s="403" t="s">
        <v>2320</v>
      </c>
      <c r="M180" s="198" t="s">
        <v>2406</v>
      </c>
      <c r="N180" s="403" t="s">
        <v>204</v>
      </c>
    </row>
    <row r="181" spans="1:14" s="378" customFormat="1" ht="28.5" customHeight="1" x14ac:dyDescent="0.2">
      <c r="A181" s="214" t="s">
        <v>1429</v>
      </c>
      <c r="B181" s="452" t="s">
        <v>290</v>
      </c>
      <c r="C181" s="214" t="s">
        <v>1431</v>
      </c>
      <c r="D181" s="403" t="s">
        <v>2322</v>
      </c>
      <c r="E181" s="403" t="s">
        <v>70</v>
      </c>
      <c r="F181" s="403">
        <v>3200</v>
      </c>
      <c r="G181" s="403" t="s">
        <v>1432</v>
      </c>
      <c r="H181" s="403">
        <v>5</v>
      </c>
      <c r="I181" s="403" t="s">
        <v>1433</v>
      </c>
      <c r="J181" s="403" t="s">
        <v>2318</v>
      </c>
      <c r="K181" s="403" t="s">
        <v>2307</v>
      </c>
      <c r="L181" s="403" t="s">
        <v>2320</v>
      </c>
      <c r="M181" s="198" t="s">
        <v>2407</v>
      </c>
      <c r="N181" s="403">
        <v>0</v>
      </c>
    </row>
    <row r="182" spans="1:14" s="378" customFormat="1" ht="42" x14ac:dyDescent="0.2">
      <c r="A182" s="214" t="s">
        <v>957</v>
      </c>
      <c r="B182" s="452" t="s">
        <v>290</v>
      </c>
      <c r="C182" s="214" t="s">
        <v>959</v>
      </c>
      <c r="D182" s="403" t="s">
        <v>2305</v>
      </c>
      <c r="E182" s="403" t="s">
        <v>605</v>
      </c>
      <c r="F182" s="453"/>
      <c r="G182" s="453"/>
      <c r="H182" s="733">
        <v>3</v>
      </c>
      <c r="I182" s="403" t="s">
        <v>935</v>
      </c>
      <c r="J182" s="403" t="s">
        <v>2318</v>
      </c>
      <c r="K182" s="403" t="s">
        <v>2310</v>
      </c>
      <c r="L182" s="403" t="s">
        <v>59</v>
      </c>
      <c r="M182" s="198" t="s">
        <v>2408</v>
      </c>
      <c r="N182" s="733">
        <v>2</v>
      </c>
    </row>
    <row r="183" spans="1:14" s="378" customFormat="1" ht="42" x14ac:dyDescent="0.2">
      <c r="A183" s="214" t="s">
        <v>961</v>
      </c>
      <c r="B183" s="452" t="s">
        <v>290</v>
      </c>
      <c r="C183" s="214" t="s">
        <v>963</v>
      </c>
      <c r="D183" s="403" t="s">
        <v>2305</v>
      </c>
      <c r="E183" s="403" t="s">
        <v>605</v>
      </c>
      <c r="F183" s="453"/>
      <c r="G183" s="453"/>
      <c r="H183" s="733">
        <v>3</v>
      </c>
      <c r="I183" s="403" t="s">
        <v>935</v>
      </c>
      <c r="J183" s="403" t="s">
        <v>2318</v>
      </c>
      <c r="K183" s="403" t="s">
        <v>2310</v>
      </c>
      <c r="L183" s="403" t="s">
        <v>59</v>
      </c>
      <c r="M183" s="198" t="s">
        <v>2408</v>
      </c>
      <c r="N183" s="733">
        <v>2</v>
      </c>
    </row>
    <row r="184" spans="1:14" s="378" customFormat="1" ht="28.5" customHeight="1" x14ac:dyDescent="0.2">
      <c r="A184" s="214" t="s">
        <v>299</v>
      </c>
      <c r="B184" s="452" t="s">
        <v>290</v>
      </c>
      <c r="C184" s="214" t="s">
        <v>301</v>
      </c>
      <c r="D184" s="403" t="s">
        <v>2322</v>
      </c>
      <c r="E184" s="403" t="s">
        <v>70</v>
      </c>
      <c r="F184" s="696">
        <v>1</v>
      </c>
      <c r="G184" s="403" t="s">
        <v>193</v>
      </c>
      <c r="H184" s="403">
        <v>5</v>
      </c>
      <c r="I184" s="403"/>
      <c r="J184" s="403" t="s">
        <v>2306</v>
      </c>
      <c r="K184" s="403" t="s">
        <v>2307</v>
      </c>
      <c r="L184" s="403" t="s">
        <v>2308</v>
      </c>
      <c r="M184" s="198" t="s">
        <v>2397</v>
      </c>
      <c r="N184" s="403" t="s">
        <v>204</v>
      </c>
    </row>
    <row r="185" spans="1:14" s="378" customFormat="1" ht="28.5" customHeight="1" x14ac:dyDescent="0.2">
      <c r="A185" s="214" t="s">
        <v>299</v>
      </c>
      <c r="B185" s="452" t="s">
        <v>290</v>
      </c>
      <c r="C185" s="214" t="s">
        <v>301</v>
      </c>
      <c r="D185" s="403" t="s">
        <v>2322</v>
      </c>
      <c r="E185" s="403" t="s">
        <v>76</v>
      </c>
      <c r="F185" s="696">
        <v>2</v>
      </c>
      <c r="G185" s="403" t="s">
        <v>193</v>
      </c>
      <c r="H185" s="403">
        <v>5</v>
      </c>
      <c r="I185" s="403"/>
      <c r="J185" s="403" t="s">
        <v>2306</v>
      </c>
      <c r="K185" s="403" t="s">
        <v>2310</v>
      </c>
      <c r="L185" s="403" t="s">
        <v>59</v>
      </c>
      <c r="M185" s="198" t="s">
        <v>2398</v>
      </c>
      <c r="N185" s="403" t="s">
        <v>204</v>
      </c>
    </row>
    <row r="186" spans="1:14" s="378" customFormat="1" ht="28.5" customHeight="1" x14ac:dyDescent="0.2">
      <c r="A186" s="214" t="s">
        <v>415</v>
      </c>
      <c r="B186" s="452" t="s">
        <v>290</v>
      </c>
      <c r="C186" s="214" t="s">
        <v>417</v>
      </c>
      <c r="D186" s="403" t="s">
        <v>2322</v>
      </c>
      <c r="E186" s="403" t="s">
        <v>70</v>
      </c>
      <c r="F186" s="696">
        <v>1</v>
      </c>
      <c r="G186" s="403" t="s">
        <v>193</v>
      </c>
      <c r="H186" s="403">
        <v>5</v>
      </c>
      <c r="I186" s="403"/>
      <c r="J186" s="403" t="s">
        <v>2306</v>
      </c>
      <c r="K186" s="403" t="s">
        <v>2307</v>
      </c>
      <c r="L186" s="403" t="s">
        <v>2308</v>
      </c>
      <c r="M186" s="198" t="s">
        <v>2397</v>
      </c>
      <c r="N186" s="403" t="s">
        <v>204</v>
      </c>
    </row>
    <row r="187" spans="1:14" s="378" customFormat="1" ht="28.5" customHeight="1" x14ac:dyDescent="0.2">
      <c r="A187" s="214" t="s">
        <v>415</v>
      </c>
      <c r="B187" s="452" t="s">
        <v>290</v>
      </c>
      <c r="C187" s="214" t="s">
        <v>417</v>
      </c>
      <c r="D187" s="403" t="s">
        <v>2322</v>
      </c>
      <c r="E187" s="403" t="s">
        <v>76</v>
      </c>
      <c r="F187" s="696">
        <v>2</v>
      </c>
      <c r="G187" s="403" t="s">
        <v>193</v>
      </c>
      <c r="H187" s="403">
        <v>5</v>
      </c>
      <c r="I187" s="403"/>
      <c r="J187" s="403" t="s">
        <v>2306</v>
      </c>
      <c r="K187" s="403" t="s">
        <v>2310</v>
      </c>
      <c r="L187" s="403" t="s">
        <v>59</v>
      </c>
      <c r="M187" s="198" t="s">
        <v>2398</v>
      </c>
      <c r="N187" s="403" t="s">
        <v>204</v>
      </c>
    </row>
    <row r="188" spans="1:14" s="378" customFormat="1" ht="28.5" customHeight="1" x14ac:dyDescent="0.2">
      <c r="A188" s="737" t="s">
        <v>916</v>
      </c>
      <c r="B188" s="738" t="s">
        <v>290</v>
      </c>
      <c r="C188" s="737" t="s">
        <v>918</v>
      </c>
      <c r="D188" s="739" t="s">
        <v>2305</v>
      </c>
      <c r="E188" s="739" t="s">
        <v>605</v>
      </c>
      <c r="F188" s="756"/>
      <c r="G188" s="756"/>
      <c r="H188" s="739">
        <v>3</v>
      </c>
      <c r="I188" s="739"/>
      <c r="J188" s="739" t="s">
        <v>2318</v>
      </c>
      <c r="K188" s="739" t="s">
        <v>2310</v>
      </c>
      <c r="L188" s="739" t="s">
        <v>59</v>
      </c>
      <c r="M188" s="740" t="s">
        <v>2331</v>
      </c>
      <c r="N188" s="739">
        <v>2</v>
      </c>
    </row>
    <row r="189" spans="1:14" s="378" customFormat="1" ht="28.5" customHeight="1" x14ac:dyDescent="0.2">
      <c r="A189" s="304" t="s">
        <v>1002</v>
      </c>
      <c r="B189" s="305" t="s">
        <v>290</v>
      </c>
      <c r="C189" s="304" t="s">
        <v>1004</v>
      </c>
      <c r="D189" s="307" t="s">
        <v>2305</v>
      </c>
      <c r="E189" s="307" t="s">
        <v>605</v>
      </c>
      <c r="F189" s="571"/>
      <c r="G189" s="453"/>
      <c r="H189" s="733">
        <v>0</v>
      </c>
      <c r="I189" s="307"/>
      <c r="J189" s="307" t="s">
        <v>2318</v>
      </c>
      <c r="K189" s="307" t="s">
        <v>2310</v>
      </c>
      <c r="L189" s="307" t="s">
        <v>59</v>
      </c>
      <c r="M189" s="257" t="s">
        <v>2331</v>
      </c>
      <c r="N189" s="733">
        <v>2</v>
      </c>
    </row>
    <row r="190" spans="1:14" s="378" customFormat="1" ht="28.5" customHeight="1" x14ac:dyDescent="0.2">
      <c r="A190" s="214" t="s">
        <v>341</v>
      </c>
      <c r="B190" s="452" t="s">
        <v>290</v>
      </c>
      <c r="C190" s="214" t="s">
        <v>343</v>
      </c>
      <c r="D190" s="403" t="s">
        <v>2322</v>
      </c>
      <c r="E190" s="403" t="s">
        <v>70</v>
      </c>
      <c r="F190" s="403">
        <v>140</v>
      </c>
      <c r="G190" s="403" t="s">
        <v>213</v>
      </c>
      <c r="H190" s="403">
        <v>5</v>
      </c>
      <c r="I190" s="403"/>
      <c r="J190" s="403" t="s">
        <v>2306</v>
      </c>
      <c r="K190" s="403" t="s">
        <v>2307</v>
      </c>
      <c r="L190" s="403" t="s">
        <v>2308</v>
      </c>
      <c r="M190" s="198" t="s">
        <v>2409</v>
      </c>
      <c r="N190" s="403">
        <v>0</v>
      </c>
    </row>
    <row r="191" spans="1:14" s="378" customFormat="1" ht="28.5" customHeight="1" x14ac:dyDescent="0.2">
      <c r="A191" s="214" t="s">
        <v>341</v>
      </c>
      <c r="B191" s="452" t="s">
        <v>290</v>
      </c>
      <c r="C191" s="214" t="s">
        <v>343</v>
      </c>
      <c r="D191" s="403" t="s">
        <v>2322</v>
      </c>
      <c r="E191" s="403" t="s">
        <v>76</v>
      </c>
      <c r="F191" s="403">
        <v>150</v>
      </c>
      <c r="G191" s="403" t="s">
        <v>213</v>
      </c>
      <c r="H191" s="403">
        <v>5</v>
      </c>
      <c r="I191" s="403"/>
      <c r="J191" s="403" t="s">
        <v>2306</v>
      </c>
      <c r="K191" s="403" t="s">
        <v>2310</v>
      </c>
      <c r="L191" s="403" t="s">
        <v>59</v>
      </c>
      <c r="M191" s="198" t="s">
        <v>2409</v>
      </c>
      <c r="N191" s="403">
        <v>0</v>
      </c>
    </row>
    <row r="192" spans="1:14" s="378" customFormat="1" ht="28.5" customHeight="1" x14ac:dyDescent="0.2">
      <c r="A192" s="214" t="s">
        <v>346</v>
      </c>
      <c r="B192" s="452" t="s">
        <v>290</v>
      </c>
      <c r="C192" s="214" t="s">
        <v>348</v>
      </c>
      <c r="D192" s="403" t="s">
        <v>2322</v>
      </c>
      <c r="E192" s="403" t="s">
        <v>70</v>
      </c>
      <c r="F192" s="403">
        <v>140</v>
      </c>
      <c r="G192" s="403" t="s">
        <v>213</v>
      </c>
      <c r="H192" s="403">
        <v>5</v>
      </c>
      <c r="I192" s="403"/>
      <c r="J192" s="403" t="s">
        <v>2306</v>
      </c>
      <c r="K192" s="403" t="s">
        <v>2307</v>
      </c>
      <c r="L192" s="403" t="s">
        <v>2308</v>
      </c>
      <c r="M192" s="198" t="s">
        <v>2409</v>
      </c>
      <c r="N192" s="403">
        <v>0</v>
      </c>
    </row>
    <row r="193" spans="1:14" s="378" customFormat="1" ht="28.5" customHeight="1" x14ac:dyDescent="0.2">
      <c r="A193" s="214" t="s">
        <v>346</v>
      </c>
      <c r="B193" s="452" t="s">
        <v>290</v>
      </c>
      <c r="C193" s="214" t="s">
        <v>348</v>
      </c>
      <c r="D193" s="403" t="s">
        <v>2322</v>
      </c>
      <c r="E193" s="403" t="s">
        <v>76</v>
      </c>
      <c r="F193" s="403">
        <v>150</v>
      </c>
      <c r="G193" s="403" t="s">
        <v>213</v>
      </c>
      <c r="H193" s="403">
        <v>5</v>
      </c>
      <c r="I193" s="403"/>
      <c r="J193" s="403" t="s">
        <v>2306</v>
      </c>
      <c r="K193" s="403" t="s">
        <v>2310</v>
      </c>
      <c r="L193" s="403" t="s">
        <v>59</v>
      </c>
      <c r="M193" s="198" t="s">
        <v>2409</v>
      </c>
      <c r="N193" s="403">
        <v>0</v>
      </c>
    </row>
    <row r="194" spans="1:14" s="378" customFormat="1" ht="28.5" customHeight="1" x14ac:dyDescent="0.2">
      <c r="A194" s="214" t="s">
        <v>350</v>
      </c>
      <c r="B194" s="452" t="s">
        <v>290</v>
      </c>
      <c r="C194" s="214" t="s">
        <v>352</v>
      </c>
      <c r="D194" s="403" t="s">
        <v>2322</v>
      </c>
      <c r="E194" s="403" t="s">
        <v>70</v>
      </c>
      <c r="F194" s="403">
        <v>140</v>
      </c>
      <c r="G194" s="403" t="s">
        <v>213</v>
      </c>
      <c r="H194" s="403">
        <v>5</v>
      </c>
      <c r="I194" s="403"/>
      <c r="J194" s="403" t="s">
        <v>2306</v>
      </c>
      <c r="K194" s="403" t="s">
        <v>2307</v>
      </c>
      <c r="L194" s="403" t="s">
        <v>2308</v>
      </c>
      <c r="M194" s="198" t="s">
        <v>2409</v>
      </c>
      <c r="N194" s="403">
        <v>0</v>
      </c>
    </row>
    <row r="195" spans="1:14" s="378" customFormat="1" ht="28.5" customHeight="1" x14ac:dyDescent="0.2">
      <c r="A195" s="214" t="s">
        <v>350</v>
      </c>
      <c r="B195" s="452" t="s">
        <v>290</v>
      </c>
      <c r="C195" s="214" t="s">
        <v>352</v>
      </c>
      <c r="D195" s="403" t="s">
        <v>2322</v>
      </c>
      <c r="E195" s="403" t="s">
        <v>76</v>
      </c>
      <c r="F195" s="403">
        <v>150</v>
      </c>
      <c r="G195" s="403" t="s">
        <v>213</v>
      </c>
      <c r="H195" s="403">
        <v>5</v>
      </c>
      <c r="I195" s="403"/>
      <c r="J195" s="403" t="s">
        <v>2306</v>
      </c>
      <c r="K195" s="403" t="s">
        <v>2310</v>
      </c>
      <c r="L195" s="403" t="s">
        <v>59</v>
      </c>
      <c r="M195" s="198" t="s">
        <v>2409</v>
      </c>
      <c r="N195" s="403">
        <v>0</v>
      </c>
    </row>
    <row r="196" spans="1:14" s="378" customFormat="1" ht="28.5" customHeight="1" x14ac:dyDescent="0.2">
      <c r="A196" s="214" t="s">
        <v>354</v>
      </c>
      <c r="B196" s="452" t="s">
        <v>290</v>
      </c>
      <c r="C196" s="214" t="s">
        <v>356</v>
      </c>
      <c r="D196" s="403" t="s">
        <v>2322</v>
      </c>
      <c r="E196" s="403" t="s">
        <v>70</v>
      </c>
      <c r="F196" s="403">
        <v>90</v>
      </c>
      <c r="G196" s="403" t="s">
        <v>213</v>
      </c>
      <c r="H196" s="403">
        <v>5</v>
      </c>
      <c r="I196" s="403"/>
      <c r="J196" s="403" t="s">
        <v>2306</v>
      </c>
      <c r="K196" s="403" t="s">
        <v>2307</v>
      </c>
      <c r="L196" s="403" t="s">
        <v>2308</v>
      </c>
      <c r="M196" s="198" t="s">
        <v>2410</v>
      </c>
      <c r="N196" s="403">
        <v>0</v>
      </c>
    </row>
    <row r="197" spans="1:14" s="378" customFormat="1" ht="28.5" customHeight="1" x14ac:dyDescent="0.2">
      <c r="A197" s="214" t="s">
        <v>354</v>
      </c>
      <c r="B197" s="452" t="s">
        <v>290</v>
      </c>
      <c r="C197" s="214" t="s">
        <v>356</v>
      </c>
      <c r="D197" s="403" t="s">
        <v>2322</v>
      </c>
      <c r="E197" s="403" t="s">
        <v>76</v>
      </c>
      <c r="F197" s="403">
        <v>95</v>
      </c>
      <c r="G197" s="403" t="s">
        <v>213</v>
      </c>
      <c r="H197" s="403">
        <v>5</v>
      </c>
      <c r="I197" s="403"/>
      <c r="J197" s="403" t="s">
        <v>2306</v>
      </c>
      <c r="K197" s="403" t="s">
        <v>2310</v>
      </c>
      <c r="L197" s="403" t="s">
        <v>59</v>
      </c>
      <c r="M197" s="198" t="s">
        <v>2410</v>
      </c>
      <c r="N197" s="403">
        <v>0</v>
      </c>
    </row>
    <row r="198" spans="1:14" s="378" customFormat="1" ht="28.5" customHeight="1" x14ac:dyDescent="0.2">
      <c r="A198" s="214" t="s">
        <v>358</v>
      </c>
      <c r="B198" s="452" t="s">
        <v>290</v>
      </c>
      <c r="C198" s="214" t="s">
        <v>360</v>
      </c>
      <c r="D198" s="403" t="s">
        <v>2322</v>
      </c>
      <c r="E198" s="403" t="s">
        <v>70</v>
      </c>
      <c r="F198" s="403">
        <v>90</v>
      </c>
      <c r="G198" s="403" t="s">
        <v>213</v>
      </c>
      <c r="H198" s="403">
        <v>5</v>
      </c>
      <c r="I198" s="403"/>
      <c r="J198" s="403" t="s">
        <v>2306</v>
      </c>
      <c r="K198" s="403" t="s">
        <v>2307</v>
      </c>
      <c r="L198" s="403" t="s">
        <v>2308</v>
      </c>
      <c r="M198" s="198" t="s">
        <v>2410</v>
      </c>
      <c r="N198" s="403">
        <v>0</v>
      </c>
    </row>
    <row r="199" spans="1:14" s="378" customFormat="1" ht="28" x14ac:dyDescent="0.2">
      <c r="A199" s="214" t="s">
        <v>358</v>
      </c>
      <c r="B199" s="452" t="s">
        <v>290</v>
      </c>
      <c r="C199" s="214" t="s">
        <v>360</v>
      </c>
      <c r="D199" s="403" t="s">
        <v>2322</v>
      </c>
      <c r="E199" s="403" t="s">
        <v>76</v>
      </c>
      <c r="F199" s="403">
        <v>95</v>
      </c>
      <c r="G199" s="403" t="s">
        <v>213</v>
      </c>
      <c r="H199" s="403">
        <v>5</v>
      </c>
      <c r="I199" s="403"/>
      <c r="J199" s="403" t="s">
        <v>2306</v>
      </c>
      <c r="K199" s="403" t="s">
        <v>2310</v>
      </c>
      <c r="L199" s="403" t="s">
        <v>59</v>
      </c>
      <c r="M199" s="198" t="s">
        <v>2410</v>
      </c>
      <c r="N199" s="403">
        <v>0</v>
      </c>
    </row>
    <row r="200" spans="1:14" s="378" customFormat="1" ht="28" x14ac:dyDescent="0.2">
      <c r="A200" s="214" t="s">
        <v>362</v>
      </c>
      <c r="B200" s="452" t="s">
        <v>290</v>
      </c>
      <c r="C200" s="214" t="s">
        <v>364</v>
      </c>
      <c r="D200" s="403" t="s">
        <v>2322</v>
      </c>
      <c r="E200" s="403" t="s">
        <v>70</v>
      </c>
      <c r="F200" s="403">
        <v>140</v>
      </c>
      <c r="G200" s="403" t="s">
        <v>213</v>
      </c>
      <c r="H200" s="403">
        <v>5</v>
      </c>
      <c r="I200" s="403"/>
      <c r="J200" s="403" t="s">
        <v>2306</v>
      </c>
      <c r="K200" s="403" t="s">
        <v>2307</v>
      </c>
      <c r="L200" s="403" t="s">
        <v>2308</v>
      </c>
      <c r="M200" s="198" t="s">
        <v>2409</v>
      </c>
      <c r="N200" s="403">
        <v>0</v>
      </c>
    </row>
    <row r="201" spans="1:14" s="378" customFormat="1" ht="28" x14ac:dyDescent="0.2">
      <c r="A201" s="214" t="s">
        <v>362</v>
      </c>
      <c r="B201" s="452" t="s">
        <v>290</v>
      </c>
      <c r="C201" s="214" t="s">
        <v>364</v>
      </c>
      <c r="D201" s="403" t="s">
        <v>2322</v>
      </c>
      <c r="E201" s="403" t="s">
        <v>76</v>
      </c>
      <c r="F201" s="403">
        <v>150</v>
      </c>
      <c r="G201" s="403" t="s">
        <v>213</v>
      </c>
      <c r="H201" s="403">
        <v>5</v>
      </c>
      <c r="I201" s="403"/>
      <c r="J201" s="403" t="s">
        <v>2306</v>
      </c>
      <c r="K201" s="403" t="s">
        <v>2310</v>
      </c>
      <c r="L201" s="403" t="s">
        <v>59</v>
      </c>
      <c r="M201" s="198" t="s">
        <v>2409</v>
      </c>
      <c r="N201" s="403">
        <v>0</v>
      </c>
    </row>
    <row r="202" spans="1:14" s="378" customFormat="1" ht="28" x14ac:dyDescent="0.2">
      <c r="A202" s="214" t="s">
        <v>366</v>
      </c>
      <c r="B202" s="452" t="s">
        <v>290</v>
      </c>
      <c r="C202" s="214" t="s">
        <v>368</v>
      </c>
      <c r="D202" s="403" t="s">
        <v>2322</v>
      </c>
      <c r="E202" s="403" t="s">
        <v>70</v>
      </c>
      <c r="F202" s="403">
        <v>140</v>
      </c>
      <c r="G202" s="403" t="s">
        <v>213</v>
      </c>
      <c r="H202" s="403">
        <v>5</v>
      </c>
      <c r="I202" s="403"/>
      <c r="J202" s="403" t="s">
        <v>2306</v>
      </c>
      <c r="K202" s="403" t="s">
        <v>2307</v>
      </c>
      <c r="L202" s="403" t="s">
        <v>2308</v>
      </c>
      <c r="M202" s="198" t="s">
        <v>2409</v>
      </c>
      <c r="N202" s="403">
        <v>0</v>
      </c>
    </row>
    <row r="203" spans="1:14" s="378" customFormat="1" ht="28.5" customHeight="1" x14ac:dyDescent="0.2">
      <c r="A203" s="214" t="s">
        <v>366</v>
      </c>
      <c r="B203" s="452" t="s">
        <v>290</v>
      </c>
      <c r="C203" s="214" t="s">
        <v>368</v>
      </c>
      <c r="D203" s="403" t="s">
        <v>2322</v>
      </c>
      <c r="E203" s="403" t="s">
        <v>76</v>
      </c>
      <c r="F203" s="403">
        <v>150</v>
      </c>
      <c r="G203" s="403" t="s">
        <v>213</v>
      </c>
      <c r="H203" s="403">
        <v>5</v>
      </c>
      <c r="I203" s="403"/>
      <c r="J203" s="403" t="s">
        <v>2306</v>
      </c>
      <c r="K203" s="403" t="s">
        <v>2310</v>
      </c>
      <c r="L203" s="403" t="s">
        <v>59</v>
      </c>
      <c r="M203" s="198" t="s">
        <v>2409</v>
      </c>
      <c r="N203" s="403">
        <v>0</v>
      </c>
    </row>
    <row r="204" spans="1:14" s="378" customFormat="1" ht="35.25" customHeight="1" x14ac:dyDescent="0.2">
      <c r="A204" s="214" t="s">
        <v>370</v>
      </c>
      <c r="B204" s="452" t="s">
        <v>290</v>
      </c>
      <c r="C204" s="214" t="s">
        <v>372</v>
      </c>
      <c r="D204" s="403" t="s">
        <v>2322</v>
      </c>
      <c r="E204" s="403" t="s">
        <v>70</v>
      </c>
      <c r="F204" s="403">
        <v>140</v>
      </c>
      <c r="G204" s="403" t="s">
        <v>213</v>
      </c>
      <c r="H204" s="403">
        <v>5</v>
      </c>
      <c r="I204" s="403"/>
      <c r="J204" s="403" t="s">
        <v>2306</v>
      </c>
      <c r="K204" s="403" t="s">
        <v>2307</v>
      </c>
      <c r="L204" s="403" t="s">
        <v>2308</v>
      </c>
      <c r="M204" s="198" t="s">
        <v>2409</v>
      </c>
      <c r="N204" s="403">
        <v>0</v>
      </c>
    </row>
    <row r="205" spans="1:14" s="378" customFormat="1" ht="28.5" customHeight="1" x14ac:dyDescent="0.2">
      <c r="A205" s="214" t="s">
        <v>370</v>
      </c>
      <c r="B205" s="452" t="s">
        <v>290</v>
      </c>
      <c r="C205" s="214" t="s">
        <v>372</v>
      </c>
      <c r="D205" s="403" t="s">
        <v>2322</v>
      </c>
      <c r="E205" s="403" t="s">
        <v>76</v>
      </c>
      <c r="F205" s="403">
        <v>150</v>
      </c>
      <c r="G205" s="403" t="s">
        <v>213</v>
      </c>
      <c r="H205" s="403">
        <v>5</v>
      </c>
      <c r="I205" s="403"/>
      <c r="J205" s="403" t="s">
        <v>2306</v>
      </c>
      <c r="K205" s="403" t="s">
        <v>2310</v>
      </c>
      <c r="L205" s="403" t="s">
        <v>59</v>
      </c>
      <c r="M205" s="198" t="s">
        <v>2409</v>
      </c>
      <c r="N205" s="403">
        <v>0</v>
      </c>
    </row>
    <row r="206" spans="1:14" s="378" customFormat="1" ht="28.5" customHeight="1" x14ac:dyDescent="0.2">
      <c r="A206" s="214" t="s">
        <v>374</v>
      </c>
      <c r="B206" s="452" t="s">
        <v>290</v>
      </c>
      <c r="C206" s="214" t="s">
        <v>376</v>
      </c>
      <c r="D206" s="403" t="s">
        <v>2322</v>
      </c>
      <c r="E206" s="403" t="s">
        <v>70</v>
      </c>
      <c r="F206" s="403">
        <v>90</v>
      </c>
      <c r="G206" s="403" t="s">
        <v>213</v>
      </c>
      <c r="H206" s="403">
        <v>5</v>
      </c>
      <c r="I206" s="403"/>
      <c r="J206" s="403" t="s">
        <v>2306</v>
      </c>
      <c r="K206" s="403" t="s">
        <v>2307</v>
      </c>
      <c r="L206" s="403" t="s">
        <v>2308</v>
      </c>
      <c r="M206" s="198" t="s">
        <v>2410</v>
      </c>
      <c r="N206" s="403">
        <v>0</v>
      </c>
    </row>
    <row r="207" spans="1:14" s="378" customFormat="1" ht="28.5" customHeight="1" x14ac:dyDescent="0.2">
      <c r="A207" s="214" t="s">
        <v>374</v>
      </c>
      <c r="B207" s="452" t="s">
        <v>290</v>
      </c>
      <c r="C207" s="214" t="s">
        <v>376</v>
      </c>
      <c r="D207" s="403" t="s">
        <v>2322</v>
      </c>
      <c r="E207" s="403" t="s">
        <v>76</v>
      </c>
      <c r="F207" s="403">
        <v>95</v>
      </c>
      <c r="G207" s="403" t="s">
        <v>213</v>
      </c>
      <c r="H207" s="403">
        <v>5</v>
      </c>
      <c r="I207" s="403"/>
      <c r="J207" s="403" t="s">
        <v>2306</v>
      </c>
      <c r="K207" s="403" t="s">
        <v>2310</v>
      </c>
      <c r="L207" s="403" t="s">
        <v>59</v>
      </c>
      <c r="M207" s="198" t="s">
        <v>2410</v>
      </c>
      <c r="N207" s="403">
        <v>0</v>
      </c>
    </row>
    <row r="208" spans="1:14" s="378" customFormat="1" ht="28" x14ac:dyDescent="0.2">
      <c r="A208" s="214" t="s">
        <v>378</v>
      </c>
      <c r="B208" s="452" t="s">
        <v>290</v>
      </c>
      <c r="C208" s="214" t="s">
        <v>380</v>
      </c>
      <c r="D208" s="403" t="s">
        <v>2322</v>
      </c>
      <c r="E208" s="403" t="s">
        <v>70</v>
      </c>
      <c r="F208" s="403">
        <v>90</v>
      </c>
      <c r="G208" s="403" t="s">
        <v>213</v>
      </c>
      <c r="H208" s="403">
        <v>5</v>
      </c>
      <c r="I208" s="403"/>
      <c r="J208" s="403" t="s">
        <v>2306</v>
      </c>
      <c r="K208" s="403" t="s">
        <v>2307</v>
      </c>
      <c r="L208" s="403" t="s">
        <v>2308</v>
      </c>
      <c r="M208" s="198" t="s">
        <v>2410</v>
      </c>
      <c r="N208" s="403">
        <v>0</v>
      </c>
    </row>
    <row r="209" spans="1:14" s="378" customFormat="1" ht="28" x14ac:dyDescent="0.2">
      <c r="A209" s="214" t="s">
        <v>378</v>
      </c>
      <c r="B209" s="452" t="s">
        <v>290</v>
      </c>
      <c r="C209" s="214" t="s">
        <v>380</v>
      </c>
      <c r="D209" s="403" t="s">
        <v>2322</v>
      </c>
      <c r="E209" s="403" t="s">
        <v>76</v>
      </c>
      <c r="F209" s="403">
        <v>95</v>
      </c>
      <c r="G209" s="403" t="s">
        <v>213</v>
      </c>
      <c r="H209" s="403">
        <v>5</v>
      </c>
      <c r="I209" s="403"/>
      <c r="J209" s="403" t="s">
        <v>2306</v>
      </c>
      <c r="K209" s="403" t="s">
        <v>2310</v>
      </c>
      <c r="L209" s="403" t="s">
        <v>59</v>
      </c>
      <c r="M209" s="198" t="s">
        <v>2410</v>
      </c>
      <c r="N209" s="403">
        <v>0</v>
      </c>
    </row>
    <row r="210" spans="1:14" s="378" customFormat="1" ht="28.5" customHeight="1" x14ac:dyDescent="0.2">
      <c r="A210" s="304" t="s">
        <v>998</v>
      </c>
      <c r="B210" s="305" t="s">
        <v>290</v>
      </c>
      <c r="C210" s="304" t="s">
        <v>1000</v>
      </c>
      <c r="D210" s="307" t="s">
        <v>2305</v>
      </c>
      <c r="E210" s="307" t="s">
        <v>605</v>
      </c>
      <c r="F210" s="571"/>
      <c r="G210" s="453"/>
      <c r="H210" s="733">
        <v>3</v>
      </c>
      <c r="I210" s="307"/>
      <c r="J210" s="307" t="s">
        <v>2306</v>
      </c>
      <c r="K210" s="307" t="s">
        <v>2310</v>
      </c>
      <c r="L210" s="403" t="s">
        <v>59</v>
      </c>
      <c r="M210" s="257" t="s">
        <v>2411</v>
      </c>
      <c r="N210" s="733">
        <v>2</v>
      </c>
    </row>
    <row r="211" spans="1:14" s="378" customFormat="1" ht="28" x14ac:dyDescent="0.2">
      <c r="A211" s="304" t="s">
        <v>1025</v>
      </c>
      <c r="B211" s="305" t="s">
        <v>336</v>
      </c>
      <c r="C211" s="304" t="s">
        <v>338</v>
      </c>
      <c r="D211" s="307" t="s">
        <v>2305</v>
      </c>
      <c r="E211" s="307" t="s">
        <v>605</v>
      </c>
      <c r="F211" s="453"/>
      <c r="G211" s="453"/>
      <c r="H211" s="733">
        <v>3</v>
      </c>
      <c r="I211" s="692"/>
      <c r="J211" s="307" t="s">
        <v>2318</v>
      </c>
      <c r="K211" s="307" t="s">
        <v>2310</v>
      </c>
      <c r="L211" s="307" t="s">
        <v>59</v>
      </c>
      <c r="M211" s="257" t="s">
        <v>2412</v>
      </c>
      <c r="N211" s="733">
        <v>2</v>
      </c>
    </row>
    <row r="212" spans="1:14" s="378" customFormat="1" ht="48.75" customHeight="1" x14ac:dyDescent="0.2">
      <c r="A212" s="304" t="s">
        <v>335</v>
      </c>
      <c r="B212" s="305" t="s">
        <v>336</v>
      </c>
      <c r="C212" s="304" t="s">
        <v>338</v>
      </c>
      <c r="D212" s="307" t="s">
        <v>2322</v>
      </c>
      <c r="E212" s="307" t="s">
        <v>70</v>
      </c>
      <c r="F212" s="307">
        <v>80</v>
      </c>
      <c r="G212" s="307" t="s">
        <v>44</v>
      </c>
      <c r="H212" s="307">
        <v>5</v>
      </c>
      <c r="I212" s="692"/>
      <c r="J212" s="307" t="s">
        <v>2318</v>
      </c>
      <c r="K212" s="307" t="s">
        <v>2307</v>
      </c>
      <c r="L212" s="307" t="s">
        <v>2320</v>
      </c>
      <c r="M212" s="257" t="s">
        <v>2413</v>
      </c>
      <c r="N212" s="307" t="s">
        <v>175</v>
      </c>
    </row>
    <row r="213" spans="1:14" s="378" customFormat="1" ht="48.75" customHeight="1" x14ac:dyDescent="0.2">
      <c r="A213" s="304" t="s">
        <v>335</v>
      </c>
      <c r="B213" s="305" t="s">
        <v>336</v>
      </c>
      <c r="C213" s="304" t="s">
        <v>338</v>
      </c>
      <c r="D213" s="307" t="s">
        <v>2322</v>
      </c>
      <c r="E213" s="307" t="s">
        <v>76</v>
      </c>
      <c r="F213" s="307">
        <v>90</v>
      </c>
      <c r="G213" s="307" t="s">
        <v>44</v>
      </c>
      <c r="H213" s="307">
        <v>5</v>
      </c>
      <c r="I213" s="692"/>
      <c r="J213" s="307" t="s">
        <v>2306</v>
      </c>
      <c r="K213" s="307" t="s">
        <v>2310</v>
      </c>
      <c r="L213" s="307" t="s">
        <v>59</v>
      </c>
      <c r="M213" s="257" t="s">
        <v>2414</v>
      </c>
      <c r="N213" s="307" t="s">
        <v>175</v>
      </c>
    </row>
    <row r="214" spans="1:14" s="378" customFormat="1" ht="48.75" customHeight="1" x14ac:dyDescent="0.2">
      <c r="A214" s="214" t="s">
        <v>335</v>
      </c>
      <c r="B214" s="452" t="s">
        <v>336</v>
      </c>
      <c r="C214" s="214" t="s">
        <v>338</v>
      </c>
      <c r="D214" s="403" t="s">
        <v>2322</v>
      </c>
      <c r="E214" s="403" t="s">
        <v>73</v>
      </c>
      <c r="F214" s="403">
        <v>20</v>
      </c>
      <c r="G214" s="403" t="s">
        <v>44</v>
      </c>
      <c r="H214" s="403">
        <v>5</v>
      </c>
      <c r="I214" s="693"/>
      <c r="J214" s="403" t="s">
        <v>2306</v>
      </c>
      <c r="K214" s="403" t="s">
        <v>2310</v>
      </c>
      <c r="L214" s="403" t="s">
        <v>59</v>
      </c>
      <c r="M214" s="198" t="s">
        <v>2415</v>
      </c>
      <c r="N214" s="403" t="s">
        <v>204</v>
      </c>
    </row>
    <row r="215" spans="1:14" s="378" customFormat="1" ht="48.75" customHeight="1" x14ac:dyDescent="0.2">
      <c r="A215" s="214" t="s">
        <v>335</v>
      </c>
      <c r="B215" s="452" t="s">
        <v>336</v>
      </c>
      <c r="C215" s="214" t="s">
        <v>338</v>
      </c>
      <c r="D215" s="403" t="s">
        <v>2322</v>
      </c>
      <c r="E215" s="403" t="s">
        <v>67</v>
      </c>
      <c r="F215" s="403">
        <v>30</v>
      </c>
      <c r="G215" s="403" t="s">
        <v>44</v>
      </c>
      <c r="H215" s="403">
        <v>5</v>
      </c>
      <c r="I215" s="693"/>
      <c r="J215" s="403" t="s">
        <v>2306</v>
      </c>
      <c r="K215" s="403" t="s">
        <v>2307</v>
      </c>
      <c r="L215" s="403" t="s">
        <v>2308</v>
      </c>
      <c r="M215" s="198" t="s">
        <v>2416</v>
      </c>
      <c r="N215" s="403" t="s">
        <v>204</v>
      </c>
    </row>
    <row r="216" spans="1:14" ht="48.75" customHeight="1" x14ac:dyDescent="0.2">
      <c r="A216" s="730" t="s">
        <v>690</v>
      </c>
      <c r="B216" s="214" t="s">
        <v>134</v>
      </c>
      <c r="C216" s="214" t="s">
        <v>614</v>
      </c>
      <c r="D216" s="403" t="s">
        <v>2305</v>
      </c>
      <c r="E216" s="403" t="s">
        <v>605</v>
      </c>
      <c r="F216" s="571"/>
      <c r="G216" s="571"/>
      <c r="H216" s="403">
        <v>0</v>
      </c>
      <c r="I216" s="451"/>
      <c r="J216" s="403" t="s">
        <v>2306</v>
      </c>
      <c r="K216" s="403" t="s">
        <v>2310</v>
      </c>
      <c r="L216" s="403" t="s">
        <v>59</v>
      </c>
      <c r="M216" s="198" t="s">
        <v>2417</v>
      </c>
      <c r="N216" s="733">
        <v>2</v>
      </c>
    </row>
    <row r="217" spans="1:14" ht="48.75" customHeight="1" x14ac:dyDescent="0.2">
      <c r="A217" s="730" t="s">
        <v>1246</v>
      </c>
      <c r="B217" s="214" t="s">
        <v>290</v>
      </c>
      <c r="C217" s="214" t="s">
        <v>1248</v>
      </c>
      <c r="D217" s="403" t="s">
        <v>2305</v>
      </c>
      <c r="E217" s="403" t="s">
        <v>605</v>
      </c>
      <c r="F217" s="571"/>
      <c r="G217" s="571"/>
      <c r="H217" s="403">
        <v>0</v>
      </c>
      <c r="I217" s="451"/>
      <c r="J217" s="403" t="s">
        <v>2318</v>
      </c>
      <c r="K217" s="403" t="s">
        <v>2319</v>
      </c>
      <c r="L217" s="403" t="s">
        <v>2320</v>
      </c>
      <c r="M217" s="198" t="s">
        <v>2321</v>
      </c>
      <c r="N217" s="733">
        <v>2</v>
      </c>
    </row>
    <row r="218" spans="1:14" ht="48.75" customHeight="1" x14ac:dyDescent="0.2">
      <c r="A218" s="730" t="s">
        <v>1250</v>
      </c>
      <c r="B218" s="214" t="s">
        <v>134</v>
      </c>
      <c r="C218" s="214" t="s">
        <v>1252</v>
      </c>
      <c r="D218" s="403" t="s">
        <v>2305</v>
      </c>
      <c r="E218" s="403" t="s">
        <v>605</v>
      </c>
      <c r="F218" s="571"/>
      <c r="G218" s="571"/>
      <c r="H218" s="403">
        <v>0</v>
      </c>
      <c r="I218" s="451"/>
      <c r="J218" s="403" t="s">
        <v>2306</v>
      </c>
      <c r="K218" s="403" t="s">
        <v>2310</v>
      </c>
      <c r="L218" s="403" t="s">
        <v>59</v>
      </c>
      <c r="M218" s="198" t="s">
        <v>2418</v>
      </c>
      <c r="N218" s="733">
        <v>2</v>
      </c>
    </row>
    <row r="219" spans="1:14" ht="48.75" customHeight="1" x14ac:dyDescent="0.2">
      <c r="A219" s="730" t="s">
        <v>1254</v>
      </c>
      <c r="B219" s="214" t="s">
        <v>134</v>
      </c>
      <c r="C219" s="214" t="s">
        <v>1255</v>
      </c>
      <c r="D219" s="403" t="s">
        <v>2305</v>
      </c>
      <c r="E219" s="403" t="s">
        <v>605</v>
      </c>
      <c r="F219" s="571"/>
      <c r="G219" s="571"/>
      <c r="H219" s="403">
        <v>0</v>
      </c>
      <c r="I219" s="451"/>
      <c r="J219" s="403" t="s">
        <v>2306</v>
      </c>
      <c r="K219" s="403" t="s">
        <v>2310</v>
      </c>
      <c r="L219" s="403" t="s">
        <v>59</v>
      </c>
      <c r="M219" s="198" t="s">
        <v>2418</v>
      </c>
      <c r="N219" s="733">
        <v>2</v>
      </c>
    </row>
    <row r="220" spans="1:14" ht="48.75" customHeight="1" x14ac:dyDescent="0.2">
      <c r="A220" s="730" t="s">
        <v>1257</v>
      </c>
      <c r="B220" s="214" t="s">
        <v>134</v>
      </c>
      <c r="C220" s="214" t="s">
        <v>1259</v>
      </c>
      <c r="D220" s="403" t="s">
        <v>2305</v>
      </c>
      <c r="E220" s="403" t="s">
        <v>605</v>
      </c>
      <c r="F220" s="571"/>
      <c r="G220" s="571"/>
      <c r="H220" s="403">
        <v>0</v>
      </c>
      <c r="I220" s="451"/>
      <c r="J220" s="403" t="s">
        <v>2318</v>
      </c>
      <c r="K220" s="403" t="s">
        <v>2319</v>
      </c>
      <c r="L220" s="403" t="s">
        <v>2320</v>
      </c>
      <c r="M220" s="198" t="s">
        <v>2321</v>
      </c>
      <c r="N220" s="733">
        <v>2</v>
      </c>
    </row>
    <row r="221" spans="1:14" ht="48.75" customHeight="1" x14ac:dyDescent="0.2">
      <c r="A221" s="730" t="s">
        <v>1261</v>
      </c>
      <c r="B221" s="214" t="s">
        <v>134</v>
      </c>
      <c r="C221" s="214" t="s">
        <v>1263</v>
      </c>
      <c r="D221" s="403" t="s">
        <v>2305</v>
      </c>
      <c r="E221" s="403" t="s">
        <v>605</v>
      </c>
      <c r="F221" s="571"/>
      <c r="G221" s="571"/>
      <c r="H221" s="403">
        <v>0</v>
      </c>
      <c r="I221" s="451"/>
      <c r="J221" s="403" t="s">
        <v>2318</v>
      </c>
      <c r="K221" s="403" t="s">
        <v>2319</v>
      </c>
      <c r="L221" s="403" t="s">
        <v>2320</v>
      </c>
      <c r="M221" s="198" t="s">
        <v>2321</v>
      </c>
      <c r="N221" s="733">
        <v>2</v>
      </c>
    </row>
    <row r="222" spans="1:14" ht="48.75" customHeight="1" x14ac:dyDescent="0.2">
      <c r="A222" s="737" t="s">
        <v>1265</v>
      </c>
      <c r="B222" s="737" t="s">
        <v>134</v>
      </c>
      <c r="C222" s="737" t="s">
        <v>1267</v>
      </c>
      <c r="D222" s="739" t="s">
        <v>2305</v>
      </c>
      <c r="E222" s="739" t="s">
        <v>605</v>
      </c>
      <c r="F222" s="739"/>
      <c r="G222" s="739"/>
      <c r="H222" s="739">
        <v>0</v>
      </c>
      <c r="I222" s="922"/>
      <c r="J222" s="739" t="s">
        <v>2318</v>
      </c>
      <c r="K222" s="739" t="s">
        <v>2319</v>
      </c>
      <c r="L222" s="739" t="s">
        <v>2320</v>
      </c>
      <c r="M222" s="740" t="s">
        <v>2321</v>
      </c>
      <c r="N222" s="739">
        <v>2</v>
      </c>
    </row>
    <row r="223" spans="1:14" ht="48.75" customHeight="1" x14ac:dyDescent="0.2">
      <c r="A223" s="730" t="s">
        <v>692</v>
      </c>
      <c r="B223" s="214" t="s">
        <v>134</v>
      </c>
      <c r="C223" s="214" t="s">
        <v>694</v>
      </c>
      <c r="D223" s="403" t="s">
        <v>2305</v>
      </c>
      <c r="E223" s="403" t="s">
        <v>605</v>
      </c>
      <c r="F223" s="571"/>
      <c r="G223" s="571"/>
      <c r="H223" s="403">
        <v>0</v>
      </c>
      <c r="I223" s="451"/>
      <c r="J223" s="403" t="s">
        <v>2324</v>
      </c>
      <c r="K223" s="403" t="s">
        <v>2307</v>
      </c>
      <c r="L223" s="403" t="s">
        <v>2313</v>
      </c>
      <c r="M223" s="198" t="s">
        <v>2419</v>
      </c>
      <c r="N223" s="733">
        <v>2</v>
      </c>
    </row>
    <row r="224" spans="1:14" ht="48.75" customHeight="1" x14ac:dyDescent="0.2">
      <c r="A224" s="730" t="s">
        <v>696</v>
      </c>
      <c r="B224" s="214" t="s">
        <v>134</v>
      </c>
      <c r="C224" s="214" t="s">
        <v>698</v>
      </c>
      <c r="D224" s="403" t="s">
        <v>2305</v>
      </c>
      <c r="E224" s="403" t="s">
        <v>605</v>
      </c>
      <c r="F224" s="571"/>
      <c r="G224" s="571"/>
      <c r="H224" s="403">
        <v>0</v>
      </c>
      <c r="I224" s="451"/>
      <c r="J224" s="403" t="s">
        <v>2306</v>
      </c>
      <c r="K224" s="403" t="s">
        <v>2310</v>
      </c>
      <c r="L224" s="403" t="s">
        <v>59</v>
      </c>
      <c r="M224" s="198" t="s">
        <v>2417</v>
      </c>
      <c r="N224" s="733">
        <v>2</v>
      </c>
    </row>
    <row r="225" spans="1:14" ht="48.75" customHeight="1" x14ac:dyDescent="0.2">
      <c r="A225" s="730" t="s">
        <v>700</v>
      </c>
      <c r="B225" s="214" t="s">
        <v>134</v>
      </c>
      <c r="C225" s="214" t="s">
        <v>702</v>
      </c>
      <c r="D225" s="403" t="s">
        <v>2305</v>
      </c>
      <c r="E225" s="403" t="s">
        <v>605</v>
      </c>
      <c r="F225" s="571"/>
      <c r="G225" s="571"/>
      <c r="H225" s="403">
        <v>0</v>
      </c>
      <c r="I225" s="451"/>
      <c r="J225" s="403" t="s">
        <v>2306</v>
      </c>
      <c r="K225" s="403" t="s">
        <v>2310</v>
      </c>
      <c r="L225" s="403" t="s">
        <v>59</v>
      </c>
      <c r="M225" s="198" t="s">
        <v>2417</v>
      </c>
      <c r="N225" s="733">
        <v>2</v>
      </c>
    </row>
    <row r="226" spans="1:14" ht="48.75" customHeight="1" x14ac:dyDescent="0.2">
      <c r="A226" s="730" t="s">
        <v>704</v>
      </c>
      <c r="B226" s="214" t="s">
        <v>134</v>
      </c>
      <c r="C226" s="214" t="s">
        <v>706</v>
      </c>
      <c r="D226" s="403" t="s">
        <v>2305</v>
      </c>
      <c r="E226" s="403" t="s">
        <v>605</v>
      </c>
      <c r="F226" s="571"/>
      <c r="G226" s="571"/>
      <c r="H226" s="403">
        <v>0</v>
      </c>
      <c r="I226" s="451"/>
      <c r="J226" s="403" t="s">
        <v>2306</v>
      </c>
      <c r="K226" s="403" t="s">
        <v>2310</v>
      </c>
      <c r="L226" s="403" t="s">
        <v>59</v>
      </c>
      <c r="M226" s="198" t="s">
        <v>2417</v>
      </c>
      <c r="N226" s="733">
        <v>2</v>
      </c>
    </row>
    <row r="227" spans="1:14" ht="48.75" customHeight="1" x14ac:dyDescent="0.2">
      <c r="A227" s="730" t="s">
        <v>708</v>
      </c>
      <c r="B227" s="214" t="s">
        <v>134</v>
      </c>
      <c r="C227" s="214" t="s">
        <v>710</v>
      </c>
      <c r="D227" s="403" t="s">
        <v>2305</v>
      </c>
      <c r="E227" s="403" t="s">
        <v>605</v>
      </c>
      <c r="F227" s="571"/>
      <c r="G227" s="571"/>
      <c r="H227" s="403">
        <v>0</v>
      </c>
      <c r="I227" s="451"/>
      <c r="J227" s="403" t="s">
        <v>2306</v>
      </c>
      <c r="K227" s="403" t="s">
        <v>2310</v>
      </c>
      <c r="L227" s="403" t="s">
        <v>59</v>
      </c>
      <c r="M227" s="198" t="s">
        <v>2417</v>
      </c>
      <c r="N227" s="733">
        <v>2</v>
      </c>
    </row>
    <row r="228" spans="1:14" s="827" customFormat="1" ht="48.75" customHeight="1" x14ac:dyDescent="0.2">
      <c r="A228" s="214" t="s">
        <v>1273</v>
      </c>
      <c r="B228" s="214" t="s">
        <v>290</v>
      </c>
      <c r="C228" s="214" t="s">
        <v>1275</v>
      </c>
      <c r="D228" s="403" t="s">
        <v>2305</v>
      </c>
      <c r="E228" s="403" t="s">
        <v>605</v>
      </c>
      <c r="F228" s="571"/>
      <c r="G228" s="571"/>
      <c r="H228" s="733">
        <v>3</v>
      </c>
      <c r="I228" s="214"/>
      <c r="J228" s="403" t="s">
        <v>2306</v>
      </c>
      <c r="K228" s="403" t="s">
        <v>2307</v>
      </c>
      <c r="L228" s="403" t="s">
        <v>2308</v>
      </c>
      <c r="M228" s="214" t="s">
        <v>2420</v>
      </c>
      <c r="N228" s="733">
        <v>2</v>
      </c>
    </row>
    <row r="229" spans="1:14" s="827" customFormat="1" ht="48.75" customHeight="1" x14ac:dyDescent="0.2">
      <c r="A229" s="730" t="s">
        <v>1277</v>
      </c>
      <c r="B229" s="214" t="s">
        <v>134</v>
      </c>
      <c r="C229" s="214" t="s">
        <v>1279</v>
      </c>
      <c r="D229" s="403" t="s">
        <v>2305</v>
      </c>
      <c r="E229" s="403" t="s">
        <v>605</v>
      </c>
      <c r="F229" s="571"/>
      <c r="G229" s="571"/>
      <c r="H229" s="403">
        <v>0</v>
      </c>
      <c r="I229" s="214"/>
      <c r="J229" s="403" t="s">
        <v>2306</v>
      </c>
      <c r="K229" s="403" t="s">
        <v>2310</v>
      </c>
      <c r="L229" s="403" t="s">
        <v>59</v>
      </c>
      <c r="M229" s="198" t="s">
        <v>2418</v>
      </c>
      <c r="N229" s="733">
        <v>2</v>
      </c>
    </row>
    <row r="230" spans="1:14" s="827" customFormat="1" ht="48.75" customHeight="1" x14ac:dyDescent="0.2">
      <c r="A230" s="737" t="s">
        <v>712</v>
      </c>
      <c r="B230" s="737" t="s">
        <v>134</v>
      </c>
      <c r="C230" s="737" t="s">
        <v>714</v>
      </c>
      <c r="D230" s="739" t="s">
        <v>2305</v>
      </c>
      <c r="E230" s="739" t="s">
        <v>605</v>
      </c>
      <c r="F230" s="739"/>
      <c r="G230" s="739"/>
      <c r="H230" s="739">
        <v>0</v>
      </c>
      <c r="I230" s="737"/>
      <c r="J230" s="739" t="s">
        <v>2315</v>
      </c>
      <c r="K230" s="739" t="s">
        <v>2316</v>
      </c>
      <c r="L230" s="739" t="s">
        <v>63</v>
      </c>
      <c r="M230" s="740" t="s">
        <v>2418</v>
      </c>
      <c r="N230" s="733">
        <v>2</v>
      </c>
    </row>
    <row r="231" spans="1:14" s="827" customFormat="1" ht="48.75" customHeight="1" x14ac:dyDescent="0.2">
      <c r="A231" s="730" t="s">
        <v>716</v>
      </c>
      <c r="B231" s="214" t="s">
        <v>134</v>
      </c>
      <c r="C231" s="214" t="s">
        <v>718</v>
      </c>
      <c r="D231" s="403" t="s">
        <v>2305</v>
      </c>
      <c r="E231" s="403" t="s">
        <v>605</v>
      </c>
      <c r="F231" s="571"/>
      <c r="G231" s="571"/>
      <c r="H231" s="403">
        <v>0</v>
      </c>
      <c r="I231" s="214"/>
      <c r="J231" s="403" t="s">
        <v>2318</v>
      </c>
      <c r="K231" s="403" t="s">
        <v>2319</v>
      </c>
      <c r="L231" s="403" t="s">
        <v>2320</v>
      </c>
      <c r="M231" s="198" t="s">
        <v>2421</v>
      </c>
      <c r="N231" s="733">
        <v>2</v>
      </c>
    </row>
    <row r="232" spans="1:14" s="827" customFormat="1" ht="48.75" customHeight="1" x14ac:dyDescent="0.2">
      <c r="A232" s="737" t="s">
        <v>720</v>
      </c>
      <c r="B232" s="737" t="s">
        <v>134</v>
      </c>
      <c r="C232" s="737" t="s">
        <v>722</v>
      </c>
      <c r="D232" s="739" t="s">
        <v>2305</v>
      </c>
      <c r="E232" s="739" t="s">
        <v>605</v>
      </c>
      <c r="F232" s="739"/>
      <c r="G232" s="739"/>
      <c r="H232" s="739">
        <v>0</v>
      </c>
      <c r="I232" s="737"/>
      <c r="J232" s="739" t="s">
        <v>2315</v>
      </c>
      <c r="K232" s="739" t="s">
        <v>2316</v>
      </c>
      <c r="L232" s="739" t="s">
        <v>63</v>
      </c>
      <c r="M232" s="740" t="s">
        <v>2418</v>
      </c>
      <c r="N232" s="733">
        <v>2</v>
      </c>
    </row>
    <row r="233" spans="1:14" s="827" customFormat="1" ht="48.75" customHeight="1" x14ac:dyDescent="0.2">
      <c r="A233" s="737" t="s">
        <v>724</v>
      </c>
      <c r="B233" s="737" t="s">
        <v>134</v>
      </c>
      <c r="C233" s="737" t="s">
        <v>726</v>
      </c>
      <c r="D233" s="739" t="s">
        <v>2305</v>
      </c>
      <c r="E233" s="739" t="s">
        <v>605</v>
      </c>
      <c r="F233" s="739"/>
      <c r="G233" s="739"/>
      <c r="H233" s="739">
        <v>0</v>
      </c>
      <c r="I233" s="737"/>
      <c r="J233" s="739" t="s">
        <v>2315</v>
      </c>
      <c r="K233" s="739" t="s">
        <v>2316</v>
      </c>
      <c r="L233" s="739" t="s">
        <v>63</v>
      </c>
      <c r="M233" s="740" t="s">
        <v>2418</v>
      </c>
      <c r="N233" s="733">
        <v>2</v>
      </c>
    </row>
    <row r="234" spans="1:14" s="827" customFormat="1" ht="48.75" customHeight="1" x14ac:dyDescent="0.2">
      <c r="A234" s="730" t="s">
        <v>1281</v>
      </c>
      <c r="B234" s="214" t="s">
        <v>134</v>
      </c>
      <c r="C234" s="214" t="s">
        <v>1283</v>
      </c>
      <c r="D234" s="403" t="s">
        <v>2305</v>
      </c>
      <c r="E234" s="403" t="s">
        <v>605</v>
      </c>
      <c r="F234" s="571"/>
      <c r="G234" s="571"/>
      <c r="H234" s="403">
        <v>0</v>
      </c>
      <c r="I234" s="214"/>
      <c r="J234" s="403" t="s">
        <v>2422</v>
      </c>
      <c r="K234" s="403" t="s">
        <v>2312</v>
      </c>
      <c r="L234" s="403" t="s">
        <v>2313</v>
      </c>
      <c r="M234" s="403" t="s">
        <v>2423</v>
      </c>
      <c r="N234" s="733">
        <v>2</v>
      </c>
    </row>
    <row r="235" spans="1:14" s="827" customFormat="1" ht="48.75" customHeight="1" x14ac:dyDescent="0.2">
      <c r="A235" s="730" t="s">
        <v>1285</v>
      </c>
      <c r="B235" s="214" t="s">
        <v>134</v>
      </c>
      <c r="C235" s="214" t="s">
        <v>1283</v>
      </c>
      <c r="D235" s="403" t="s">
        <v>2305</v>
      </c>
      <c r="E235" s="403" t="s">
        <v>605</v>
      </c>
      <c r="F235" s="571"/>
      <c r="G235" s="571"/>
      <c r="H235" s="403">
        <v>0</v>
      </c>
      <c r="I235" s="214"/>
      <c r="J235" s="733" t="s">
        <v>2384</v>
      </c>
      <c r="K235" s="403" t="s">
        <v>2307</v>
      </c>
      <c r="L235" s="733" t="s">
        <v>2320</v>
      </c>
      <c r="M235" s="403" t="s">
        <v>2424</v>
      </c>
      <c r="N235" s="733">
        <v>2</v>
      </c>
    </row>
    <row r="236" spans="1:14" s="827" customFormat="1" ht="48.75" customHeight="1" x14ac:dyDescent="0.2">
      <c r="A236" s="730" t="s">
        <v>1288</v>
      </c>
      <c r="B236" s="214" t="s">
        <v>134</v>
      </c>
      <c r="C236" s="214" t="s">
        <v>1283</v>
      </c>
      <c r="D236" s="403" t="s">
        <v>2305</v>
      </c>
      <c r="E236" s="403" t="s">
        <v>605</v>
      </c>
      <c r="F236" s="571"/>
      <c r="G236" s="571"/>
      <c r="H236" s="403">
        <v>0</v>
      </c>
      <c r="I236" s="214"/>
      <c r="J236" s="403" t="s">
        <v>2318</v>
      </c>
      <c r="K236" s="403" t="s">
        <v>2307</v>
      </c>
      <c r="L236" s="403" t="s">
        <v>2320</v>
      </c>
      <c r="M236" s="403" t="s">
        <v>2425</v>
      </c>
      <c r="N236" s="733">
        <v>2</v>
      </c>
    </row>
    <row r="237" spans="1:14" s="827" customFormat="1" ht="48.65" customHeight="1" x14ac:dyDescent="0.2">
      <c r="A237" s="214" t="s">
        <v>1291</v>
      </c>
      <c r="B237" s="214" t="s">
        <v>290</v>
      </c>
      <c r="C237" s="214" t="s">
        <v>1293</v>
      </c>
      <c r="D237" s="403" t="s">
        <v>2305</v>
      </c>
      <c r="E237" s="403" t="s">
        <v>605</v>
      </c>
      <c r="F237" s="571"/>
      <c r="G237" s="571"/>
      <c r="H237" s="403">
        <v>0</v>
      </c>
      <c r="I237" s="214"/>
      <c r="J237" s="403" t="s">
        <v>2384</v>
      </c>
      <c r="K237" s="403" t="s">
        <v>2319</v>
      </c>
      <c r="L237" s="403" t="s">
        <v>2320</v>
      </c>
      <c r="M237" s="403" t="s">
        <v>2426</v>
      </c>
      <c r="N237" s="403">
        <v>1</v>
      </c>
    </row>
    <row r="238" spans="1:14" ht="48.75" customHeight="1" x14ac:dyDescent="0.2">
      <c r="A238" s="214" t="s">
        <v>412</v>
      </c>
      <c r="B238" s="214" t="s">
        <v>290</v>
      </c>
      <c r="C238" s="214" t="s">
        <v>410</v>
      </c>
      <c r="D238" s="403" t="s">
        <v>2322</v>
      </c>
      <c r="E238" s="403" t="s">
        <v>70</v>
      </c>
      <c r="F238" s="403">
        <v>60</v>
      </c>
      <c r="G238" s="13" t="s">
        <v>2427</v>
      </c>
      <c r="H238" s="403">
        <v>5</v>
      </c>
      <c r="I238" s="403"/>
      <c r="J238" s="403" t="s">
        <v>2306</v>
      </c>
      <c r="K238" s="403" t="s">
        <v>2307</v>
      </c>
      <c r="L238" s="403" t="s">
        <v>2308</v>
      </c>
      <c r="M238" s="403" t="s">
        <v>2428</v>
      </c>
      <c r="N238" s="403">
        <v>1</v>
      </c>
    </row>
    <row r="239" spans="1:14" ht="48.75" customHeight="1" x14ac:dyDescent="0.2">
      <c r="A239" s="214" t="s">
        <v>412</v>
      </c>
      <c r="B239" s="214" t="s">
        <v>290</v>
      </c>
      <c r="C239" s="214" t="s">
        <v>410</v>
      </c>
      <c r="D239" s="403" t="s">
        <v>2322</v>
      </c>
      <c r="E239" s="403" t="s">
        <v>76</v>
      </c>
      <c r="F239" s="403">
        <v>70</v>
      </c>
      <c r="G239" s="13" t="s">
        <v>2427</v>
      </c>
      <c r="H239" s="403">
        <v>5</v>
      </c>
      <c r="I239" s="403"/>
      <c r="J239" s="403" t="s">
        <v>2306</v>
      </c>
      <c r="K239" s="403" t="s">
        <v>2310</v>
      </c>
      <c r="L239" s="403" t="s">
        <v>59</v>
      </c>
      <c r="M239" s="403" t="s">
        <v>2429</v>
      </c>
      <c r="N239" s="403">
        <v>1</v>
      </c>
    </row>
    <row r="240" spans="1:14" ht="48.75" customHeight="1" x14ac:dyDescent="0.2">
      <c r="A240" s="214" t="s">
        <v>419</v>
      </c>
      <c r="B240" s="214" t="s">
        <v>290</v>
      </c>
      <c r="C240" s="214" t="s">
        <v>417</v>
      </c>
      <c r="D240" s="403" t="s">
        <v>2322</v>
      </c>
      <c r="E240" s="403" t="s">
        <v>70</v>
      </c>
      <c r="F240" s="403">
        <v>60</v>
      </c>
      <c r="G240" s="13" t="s">
        <v>2427</v>
      </c>
      <c r="H240" s="403">
        <v>5</v>
      </c>
      <c r="I240" s="403"/>
      <c r="J240" s="403" t="s">
        <v>2306</v>
      </c>
      <c r="K240" s="403" t="s">
        <v>2307</v>
      </c>
      <c r="L240" s="403" t="s">
        <v>2308</v>
      </c>
      <c r="M240" s="403" t="s">
        <v>2430</v>
      </c>
      <c r="N240" s="403">
        <v>1</v>
      </c>
    </row>
    <row r="241" spans="1:14" ht="48.75" customHeight="1" x14ac:dyDescent="0.2">
      <c r="A241" s="214" t="s">
        <v>419</v>
      </c>
      <c r="B241" s="214" t="s">
        <v>290</v>
      </c>
      <c r="C241" s="214" t="s">
        <v>417</v>
      </c>
      <c r="D241" s="403" t="s">
        <v>2322</v>
      </c>
      <c r="E241" s="403" t="s">
        <v>76</v>
      </c>
      <c r="F241" s="403">
        <v>70</v>
      </c>
      <c r="G241" s="13" t="s">
        <v>2427</v>
      </c>
      <c r="H241" s="403">
        <v>5</v>
      </c>
      <c r="I241" s="403"/>
      <c r="J241" s="403" t="s">
        <v>2306</v>
      </c>
      <c r="K241" s="403" t="s">
        <v>2310</v>
      </c>
      <c r="L241" s="403" t="s">
        <v>59</v>
      </c>
      <c r="M241" s="403" t="s">
        <v>2429</v>
      </c>
      <c r="N241" s="403">
        <v>1</v>
      </c>
    </row>
    <row r="242" spans="1:14" ht="48.75" customHeight="1" x14ac:dyDescent="0.2">
      <c r="A242" s="214" t="s">
        <v>1106</v>
      </c>
      <c r="B242" s="214" t="s">
        <v>134</v>
      </c>
      <c r="C242" s="214" t="s">
        <v>1108</v>
      </c>
      <c r="D242" s="403" t="s">
        <v>2305</v>
      </c>
      <c r="E242" s="403" t="s">
        <v>537</v>
      </c>
      <c r="F242" s="571"/>
      <c r="G242" s="571"/>
      <c r="H242" s="733">
        <v>3</v>
      </c>
      <c r="I242" s="403"/>
      <c r="J242" s="403" t="s">
        <v>2306</v>
      </c>
      <c r="K242" s="403" t="s">
        <v>2307</v>
      </c>
      <c r="L242" s="403" t="s">
        <v>2308</v>
      </c>
      <c r="M242" s="403" t="s">
        <v>2431</v>
      </c>
      <c r="N242" s="733">
        <v>2</v>
      </c>
    </row>
    <row r="243" spans="1:14" ht="48.75" customHeight="1" x14ac:dyDescent="0.2">
      <c r="A243" s="214" t="s">
        <v>295</v>
      </c>
      <c r="B243" s="214" t="s">
        <v>290</v>
      </c>
      <c r="C243" s="214" t="s">
        <v>292</v>
      </c>
      <c r="D243" s="403" t="s">
        <v>2322</v>
      </c>
      <c r="E243" s="403" t="s">
        <v>70</v>
      </c>
      <c r="F243" s="403">
        <v>60</v>
      </c>
      <c r="G243" s="13" t="s">
        <v>2427</v>
      </c>
      <c r="H243" s="403">
        <v>5</v>
      </c>
      <c r="I243" s="403"/>
      <c r="J243" s="403" t="s">
        <v>2306</v>
      </c>
      <c r="K243" s="403" t="s">
        <v>2307</v>
      </c>
      <c r="L243" s="403" t="s">
        <v>2308</v>
      </c>
      <c r="M243" s="403" t="s">
        <v>2428</v>
      </c>
      <c r="N243" s="403">
        <v>1</v>
      </c>
    </row>
    <row r="244" spans="1:14" ht="48.75" customHeight="1" x14ac:dyDescent="0.2">
      <c r="A244" s="214" t="s">
        <v>295</v>
      </c>
      <c r="B244" s="214" t="s">
        <v>290</v>
      </c>
      <c r="C244" s="214" t="s">
        <v>292</v>
      </c>
      <c r="D244" s="403" t="s">
        <v>2322</v>
      </c>
      <c r="E244" s="403" t="s">
        <v>76</v>
      </c>
      <c r="F244" s="403">
        <v>70</v>
      </c>
      <c r="G244" s="13" t="s">
        <v>2427</v>
      </c>
      <c r="H244" s="403">
        <v>5</v>
      </c>
      <c r="I244" s="403"/>
      <c r="J244" s="403" t="s">
        <v>2306</v>
      </c>
      <c r="K244" s="403" t="s">
        <v>2310</v>
      </c>
      <c r="L244" s="403" t="s">
        <v>59</v>
      </c>
      <c r="M244" s="403" t="s">
        <v>2429</v>
      </c>
      <c r="N244" s="403">
        <v>1</v>
      </c>
    </row>
    <row r="245" spans="1:14" ht="48.75" customHeight="1" x14ac:dyDescent="0.2">
      <c r="A245" s="214" t="s">
        <v>304</v>
      </c>
      <c r="B245" s="214" t="s">
        <v>290</v>
      </c>
      <c r="C245" s="214" t="s">
        <v>301</v>
      </c>
      <c r="D245" s="403" t="s">
        <v>2322</v>
      </c>
      <c r="E245" s="403" t="s">
        <v>70</v>
      </c>
      <c r="F245" s="403">
        <v>1</v>
      </c>
      <c r="G245" s="13" t="s">
        <v>193</v>
      </c>
      <c r="H245" s="403">
        <v>5</v>
      </c>
      <c r="I245" s="403"/>
      <c r="J245" s="403" t="s">
        <v>2306</v>
      </c>
      <c r="K245" s="403" t="s">
        <v>2307</v>
      </c>
      <c r="L245" s="403" t="s">
        <v>2308</v>
      </c>
      <c r="M245" s="403" t="s">
        <v>2430</v>
      </c>
      <c r="N245" s="403">
        <v>1</v>
      </c>
    </row>
    <row r="246" spans="1:14" ht="48.75" customHeight="1" x14ac:dyDescent="0.2">
      <c r="A246" s="214" t="s">
        <v>304</v>
      </c>
      <c r="B246" s="214" t="s">
        <v>290</v>
      </c>
      <c r="C246" s="214" t="s">
        <v>301</v>
      </c>
      <c r="D246" s="403" t="s">
        <v>2322</v>
      </c>
      <c r="E246" s="403" t="s">
        <v>76</v>
      </c>
      <c r="F246" s="403">
        <v>2</v>
      </c>
      <c r="G246" s="13" t="s">
        <v>193</v>
      </c>
      <c r="H246" s="403">
        <v>5</v>
      </c>
      <c r="I246" s="403"/>
      <c r="J246" s="403" t="s">
        <v>2306</v>
      </c>
      <c r="K246" s="403" t="s">
        <v>2310</v>
      </c>
      <c r="L246" s="403" t="s">
        <v>59</v>
      </c>
      <c r="M246" s="403" t="s">
        <v>2429</v>
      </c>
      <c r="N246" s="403">
        <v>1</v>
      </c>
    </row>
    <row r="247" spans="1:14" ht="48.75" customHeight="1" x14ac:dyDescent="0.2">
      <c r="A247" s="730" t="s">
        <v>1300</v>
      </c>
      <c r="B247" s="730" t="s">
        <v>729</v>
      </c>
      <c r="C247" s="730" t="s">
        <v>1302</v>
      </c>
      <c r="D247" s="733" t="s">
        <v>2305</v>
      </c>
      <c r="E247" s="733" t="s">
        <v>605</v>
      </c>
      <c r="F247" s="733"/>
      <c r="G247" s="733"/>
      <c r="H247" s="733">
        <v>0</v>
      </c>
      <c r="I247" s="733"/>
      <c r="J247" s="733" t="s">
        <v>2357</v>
      </c>
      <c r="K247" s="733" t="s">
        <v>2312</v>
      </c>
      <c r="L247" s="733" t="s">
        <v>2313</v>
      </c>
      <c r="M247" s="733" t="s">
        <v>2432</v>
      </c>
      <c r="N247" s="733">
        <v>2</v>
      </c>
    </row>
    <row r="248" spans="1:14" ht="48.75" customHeight="1" x14ac:dyDescent="0.2">
      <c r="A248" s="730" t="s">
        <v>1296</v>
      </c>
      <c r="B248" s="730" t="s">
        <v>729</v>
      </c>
      <c r="C248" s="730" t="s">
        <v>1298</v>
      </c>
      <c r="D248" s="733" t="s">
        <v>2305</v>
      </c>
      <c r="E248" s="733" t="s">
        <v>605</v>
      </c>
      <c r="F248" s="733"/>
      <c r="G248" s="733"/>
      <c r="H248" s="733">
        <v>0</v>
      </c>
      <c r="I248" s="733"/>
      <c r="J248" s="733" t="s">
        <v>2318</v>
      </c>
      <c r="K248" s="733" t="s">
        <v>2319</v>
      </c>
      <c r="L248" s="733" t="s">
        <v>2320</v>
      </c>
      <c r="M248" s="733" t="s">
        <v>2321</v>
      </c>
      <c r="N248" s="733">
        <v>2</v>
      </c>
    </row>
  </sheetData>
  <autoFilter ref="A6:N248" xr:uid="{7E66029C-6EA3-4E66-9ECA-23B9882D1011}"/>
  <sortState xmlns:xlrd2="http://schemas.microsoft.com/office/spreadsheetml/2017/richdata2" ref="A7:N19">
    <sortCondition ref="A7:A19"/>
  </sortState>
  <mergeCells count="2">
    <mergeCell ref="D2:K2"/>
    <mergeCell ref="A4:N5"/>
  </mergeCells>
  <phoneticPr fontId="15" type="noConversion"/>
  <conditionalFormatting sqref="C7:C19 C21:C46 C99:C165 C168:C215">
    <cfRule type="expression" dxfId="4" priority="7">
      <formula>LEN(C7)&gt;24</formula>
    </cfRule>
  </conditionalFormatting>
  <conditionalFormatting sqref="C20">
    <cfRule type="expression" dxfId="3" priority="5">
      <formula>LEN(C20)&gt;24</formula>
    </cfRule>
  </conditionalFormatting>
  <conditionalFormatting sqref="C47:C48">
    <cfRule type="expression" dxfId="2" priority="6">
      <formula>LEN(C47)&gt;24</formula>
    </cfRule>
  </conditionalFormatting>
  <conditionalFormatting sqref="C49:C97">
    <cfRule type="expression" dxfId="1" priority="4">
      <formula>LEN(C49)&gt;24</formula>
    </cfRule>
  </conditionalFormatting>
  <conditionalFormatting sqref="C166:C167">
    <cfRule type="expression" dxfId="0" priority="3">
      <formula>LEN(C166)&gt;24</formula>
    </cfRule>
  </conditionalFormatting>
  <dataValidations count="1">
    <dataValidation type="list" allowBlank="1" showInputMessage="1" showErrorMessage="1" sqref="K242 K228 K230:K236 J7:K87 J230:J237 J91:K215" xr:uid="{5B9CDF72-1C53-4015-848A-C830BD8897F9}">
      <formula1>#REF!</formula1>
    </dataValidation>
  </dataValidations>
  <printOptions horizontalCentered="1"/>
  <pageMargins left="0.39370078740157483" right="0.39370078740157483" top="0.59055118110236227" bottom="0.59055118110236227" header="0.59055118110236227" footer="0.39370078740157483"/>
  <pageSetup paperSize="8" scale="38" fitToHeight="0" orientation="landscape" r:id="rId1"/>
  <headerFooter scaleWithDoc="0"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1a40c6d-2e6d-478a-be73-b4855504bf7b">
      <Terms xmlns="http://schemas.microsoft.com/office/infopath/2007/PartnerControls"/>
    </lcf76f155ced4ddcb4097134ff3c332f>
    <TaxCatchAll xmlns="6cd7cda7-be52-4405-bd97-58a2ed519481"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34EEC3A0EBA714EA171144EB7E2EABC" ma:contentTypeVersion="13" ma:contentTypeDescription="Create a new document." ma:contentTypeScope="" ma:versionID="ba65d91e680a4d9336c6a0d413b2b758">
  <xsd:schema xmlns:xsd="http://www.w3.org/2001/XMLSchema" xmlns:xs="http://www.w3.org/2001/XMLSchema" xmlns:p="http://schemas.microsoft.com/office/2006/metadata/properties" xmlns:ns2="6cd7cda7-be52-4405-bd97-58a2ed519481" xmlns:ns3="91a40c6d-2e6d-478a-be73-b4855504bf7b" targetNamespace="http://schemas.microsoft.com/office/2006/metadata/properties" ma:root="true" ma:fieldsID="bce03360f89fbebe4c5054bec7cf7a21" ns2:_="" ns3:_="">
    <xsd:import namespace="6cd7cda7-be52-4405-bd97-58a2ed519481"/>
    <xsd:import namespace="91a40c6d-2e6d-478a-be73-b4855504bf7b"/>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lcf76f155ced4ddcb4097134ff3c332f" minOccurs="0"/>
                <xsd:element ref="ns2: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cd7cda7-be52-4405-bd97-58a2ed51948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199ae5a-27eb-4134-9cd1-6c33e736af77}" ma:internalName="TaxCatchAll" ma:showField="CatchAllData" ma:web="6cd7cda7-be52-4405-bd97-58a2ed51948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91a40c6d-2e6d-478a-be73-b4855504bf7b"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94288c90-1143-4353-a2da-72c8470b0f03"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63A7526-9781-4F15-BDF0-6C6EB3ED8DCB}">
  <ds:schemaRefs>
    <ds:schemaRef ds:uri="http://schemas.microsoft.com/office/2006/metadata/properties"/>
    <ds:schemaRef ds:uri="http://schemas.microsoft.com/office/infopath/2007/PartnerControls"/>
    <ds:schemaRef ds:uri="91a40c6d-2e6d-478a-be73-b4855504bf7b"/>
    <ds:schemaRef ds:uri="6cd7cda7-be52-4405-bd97-58a2ed519481"/>
  </ds:schemaRefs>
</ds:datastoreItem>
</file>

<file path=customXml/itemProps2.xml><?xml version="1.0" encoding="utf-8"?>
<ds:datastoreItem xmlns:ds="http://schemas.openxmlformats.org/officeDocument/2006/customXml" ds:itemID="{5EAFE0E2-70E3-495A-AD87-B5F5C78E7E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cd7cda7-be52-4405-bd97-58a2ed519481"/>
    <ds:schemaRef ds:uri="91a40c6d-2e6d-478a-be73-b4855504bf7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F2489C1-592C-4F33-BEBB-43770F95F09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33</vt:i4>
      </vt:variant>
    </vt:vector>
  </HeadingPairs>
  <TitlesOfParts>
    <vt:vector size="49" baseType="lpstr">
      <vt:lpstr>Cover Page</vt:lpstr>
      <vt:lpstr>Revisions</vt:lpstr>
      <vt:lpstr>TOC</vt:lpstr>
      <vt:lpstr>1. Analogue Input</vt:lpstr>
      <vt:lpstr>2. Analogue Output</vt:lpstr>
      <vt:lpstr>4. Digital Output</vt:lpstr>
      <vt:lpstr>3. Digital Input</vt:lpstr>
      <vt:lpstr>5. Totalisers</vt:lpstr>
      <vt:lpstr>6. OnOff Valves</vt:lpstr>
      <vt:lpstr>7. Control Valves</vt:lpstr>
      <vt:lpstr>8. PID Cont</vt:lpstr>
      <vt:lpstr>9. Drives</vt:lpstr>
      <vt:lpstr>10. Sequence</vt:lpstr>
      <vt:lpstr>11. Calculation</vt:lpstr>
      <vt:lpstr>12. Misc</vt:lpstr>
      <vt:lpstr>13. Alarm Database</vt:lpstr>
      <vt:lpstr>DocumentTitle</vt:lpstr>
      <vt:lpstr>'1. Analogue Input'!Print_Area</vt:lpstr>
      <vt:lpstr>'10. Sequence'!Print_Area</vt:lpstr>
      <vt:lpstr>'11. Calculation'!Print_Area</vt:lpstr>
      <vt:lpstr>'12. Misc'!Print_Area</vt:lpstr>
      <vt:lpstr>'13. Alarm Database'!Print_Area</vt:lpstr>
      <vt:lpstr>'2. Analogue Output'!Print_Area</vt:lpstr>
      <vt:lpstr>'3. Digital Input'!Print_Area</vt:lpstr>
      <vt:lpstr>'4. Digital Output'!Print_Area</vt:lpstr>
      <vt:lpstr>'5. Totalisers'!Print_Area</vt:lpstr>
      <vt:lpstr>'6. OnOff Valves'!Print_Area</vt:lpstr>
      <vt:lpstr>'7. Control Valves'!Print_Area</vt:lpstr>
      <vt:lpstr>'8. PID Cont'!Print_Area</vt:lpstr>
      <vt:lpstr>'9. Drives'!Print_Area</vt:lpstr>
      <vt:lpstr>'Cover Page'!Print_Area</vt:lpstr>
      <vt:lpstr>Revisions!Print_Area</vt:lpstr>
      <vt:lpstr>TOC!Print_Area</vt:lpstr>
      <vt:lpstr>'1. Analogue Input'!Print_Titles</vt:lpstr>
      <vt:lpstr>'10. Sequence'!Print_Titles</vt:lpstr>
      <vt:lpstr>'11. Calculation'!Print_Titles</vt:lpstr>
      <vt:lpstr>'12. Misc'!Print_Titles</vt:lpstr>
      <vt:lpstr>'13. Alarm Database'!Print_Titles</vt:lpstr>
      <vt:lpstr>'2. Analogue Output'!Print_Titles</vt:lpstr>
      <vt:lpstr>'3. Digital Input'!Print_Titles</vt:lpstr>
      <vt:lpstr>'4. Digital Output'!Print_Titles</vt:lpstr>
      <vt:lpstr>'5. Totalisers'!Print_Titles</vt:lpstr>
      <vt:lpstr>'6. OnOff Valves'!Print_Titles</vt:lpstr>
      <vt:lpstr>'7. Control Valves'!Print_Titles</vt:lpstr>
      <vt:lpstr>'8. PID Cont'!Print_Titles</vt:lpstr>
      <vt:lpstr>'9. Drives'!Print_Titles</vt:lpstr>
      <vt:lpstr>'9. Drives'!ProjectTitle</vt:lpstr>
      <vt:lpstr>Revisions!ProjectTitle</vt:lpstr>
      <vt:lpstr>ProjectTitle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Esme Wilmot;Joshua.Jones@primero.com.au</dc:creator>
  <cp:keywords/>
  <dc:description/>
  <cp:lastModifiedBy>Ben Hopkins</cp:lastModifiedBy>
  <cp:revision/>
  <dcterms:created xsi:type="dcterms:W3CDTF">2006-03-15T23:21:32Z</dcterms:created>
  <dcterms:modified xsi:type="dcterms:W3CDTF">2026-01-27T10:34:21Z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LL_JN_AusencoOffice">
    <vt:lpwstr>WA Branch - Perth</vt:lpwstr>
  </property>
  <property fmtid="{D5CDD505-2E9C-101B-9397-08002B2CF9AE}" pid="4" name="LL_JN_JobTitle">
    <vt:lpwstr>Kinsevere Stage 2 Copper Project</vt:lpwstr>
  </property>
  <property fmtid="{D5CDD505-2E9C-101B-9397-08002B2CF9AE}" pid="5" name="LL_JN_ClientName">
    <vt:lpwstr>ANVIL</vt:lpwstr>
  </property>
  <property fmtid="{D5CDD505-2E9C-101B-9397-08002B2CF9AE}" pid="6" name="LL_JN_JobNo">
    <vt:lpwstr>1731</vt:lpwstr>
  </property>
  <property fmtid="{D5CDD505-2E9C-101B-9397-08002B2CF9AE}" pid="7" name="LL_ReleaseLabel">
    <vt:lpwstr>2</vt:lpwstr>
  </property>
  <property fmtid="{D5CDD505-2E9C-101B-9397-08002B2CF9AE}" pid="8" name="LL_ReleaseStatus">
    <vt:lpwstr>DRAFT</vt:lpwstr>
  </property>
  <property fmtid="{D5CDD505-2E9C-101B-9397-08002B2CF9AE}" pid="9" name="LL_Description">
    <vt:lpwstr>Process Control Tables</vt:lpwstr>
  </property>
  <property fmtid="{D5CDD505-2E9C-101B-9397-08002B2CF9AE}" pid="10" name="LL_CreatedDate">
    <vt:filetime>2009-08-25T14:00:00Z</vt:filetime>
  </property>
  <property fmtid="{D5CDD505-2E9C-101B-9397-08002B2CF9AE}" pid="11" name="LL_ModifiedDate">
    <vt:filetime>2010-11-14T14:00:00Z</vt:filetime>
  </property>
  <property fmtid="{D5CDD505-2E9C-101B-9397-08002B2CF9AE}" pid="12" name="LL_DocumentName">
    <vt:lpwstr>1731-PCP-0003 Tables</vt:lpwstr>
  </property>
  <property fmtid="{D5CDD505-2E9C-101B-9397-08002B2CF9AE}" pid="13" name="LL_VersionNumber">
    <vt:i4>18</vt:i4>
  </property>
  <property fmtid="{D5CDD505-2E9C-101B-9397-08002B2CF9AE}" pid="14" name="LL_Creator">
    <vt:lpwstr>Simon Tyrrell</vt:lpwstr>
  </property>
  <property fmtid="{D5CDD505-2E9C-101B-9397-08002B2CF9AE}" pid="15" name="LL_DocumentID">
    <vt:lpwstr> </vt:lpwstr>
  </property>
  <property fmtid="{D5CDD505-2E9C-101B-9397-08002B2CF9AE}" pid="16" name="LL_Filename">
    <vt:lpwstr>1731-PCP-003 Rev 2 Draft.xls</vt:lpwstr>
  </property>
  <property fmtid="{D5CDD505-2E9C-101B-9397-08002B2CF9AE}" pid="17" name="LL_DocumentType">
    <vt:lpwstr>Blank Excel Workbook</vt:lpwstr>
  </property>
  <property fmtid="{D5CDD505-2E9C-101B-9397-08002B2CF9AE}" pid="18" name="LL_LivelinkURL">
    <vt:lpwstr>http://vanrc01/livelink/livelink.exe?func=doc.viewDoc&amp;NodeId=30895150</vt:lpwstr>
  </property>
  <property fmtid="{D5CDD505-2E9C-101B-9397-08002B2CF9AE}" pid="19" name="LL_PV_ReleaseLabel_0">
    <vt:lpwstr>2</vt:lpwstr>
  </property>
  <property fmtid="{D5CDD505-2E9C-101B-9397-08002B2CF9AE}" pid="20" name="LL_PV_ReleaseStatus_0">
    <vt:lpwstr>DRAFT</vt:lpwstr>
  </property>
  <property fmtid="{D5CDD505-2E9C-101B-9397-08002B2CF9AE}" pid="21" name="LL_PV_Description_0">
    <vt:lpwstr> </vt:lpwstr>
  </property>
  <property fmtid="{D5CDD505-2E9C-101B-9397-08002B2CF9AE}" pid="22" name="LL_PV_Date_0">
    <vt:filetime>2009-08-25T14:00:00Z</vt:filetime>
  </property>
  <property fmtid="{D5CDD505-2E9C-101B-9397-08002B2CF9AE}" pid="23" name="LL_PV_VersionNumber_0">
    <vt:i4>18</vt:i4>
  </property>
  <property fmtid="{D5CDD505-2E9C-101B-9397-08002B2CF9AE}" pid="24" name="LL_PV_Creator_0">
    <vt:lpwstr>Simon Tyrrell</vt:lpwstr>
  </property>
  <property fmtid="{D5CDD505-2E9C-101B-9397-08002B2CF9AE}" pid="25" name="LL_PV_ReleaseLabel_1">
    <vt:lpwstr>1</vt:lpwstr>
  </property>
  <property fmtid="{D5CDD505-2E9C-101B-9397-08002B2CF9AE}" pid="26" name="LL_PV_ReleaseStatus_1">
    <vt:lpwstr>FINAL</vt:lpwstr>
  </property>
  <property fmtid="{D5CDD505-2E9C-101B-9397-08002B2CF9AE}" pid="27" name="LL_PV_Description_1">
    <vt:lpwstr> </vt:lpwstr>
  </property>
  <property fmtid="{D5CDD505-2E9C-101B-9397-08002B2CF9AE}" pid="28" name="LL_PV_Date_1">
    <vt:filetime>2009-08-25T14:00:00Z</vt:filetime>
  </property>
  <property fmtid="{D5CDD505-2E9C-101B-9397-08002B2CF9AE}" pid="29" name="LL_PV_VersionNumber_1">
    <vt:i4>17</vt:i4>
  </property>
  <property fmtid="{D5CDD505-2E9C-101B-9397-08002B2CF9AE}" pid="30" name="LL_PV_Creator_1">
    <vt:lpwstr>Simon Tyrrell</vt:lpwstr>
  </property>
  <property fmtid="{D5CDD505-2E9C-101B-9397-08002B2CF9AE}" pid="31" name="LL_PV_ReleaseLabel_2">
    <vt:lpwstr>0</vt:lpwstr>
  </property>
  <property fmtid="{D5CDD505-2E9C-101B-9397-08002B2CF9AE}" pid="32" name="LL_PV_ReleaseStatus_2">
    <vt:lpwstr>FINAL</vt:lpwstr>
  </property>
  <property fmtid="{D5CDD505-2E9C-101B-9397-08002B2CF9AE}" pid="33" name="LL_PV_Description_2">
    <vt:lpwstr> </vt:lpwstr>
  </property>
  <property fmtid="{D5CDD505-2E9C-101B-9397-08002B2CF9AE}" pid="34" name="LL_PV_Date_2">
    <vt:filetime>2009-08-25T14:00:00Z</vt:filetime>
  </property>
  <property fmtid="{D5CDD505-2E9C-101B-9397-08002B2CF9AE}" pid="35" name="LL_PV_VersionNumber_2">
    <vt:i4>16</vt:i4>
  </property>
  <property fmtid="{D5CDD505-2E9C-101B-9397-08002B2CF9AE}" pid="36" name="LL_PV_Creator_2">
    <vt:lpwstr>Simon Tyrrell</vt:lpwstr>
  </property>
  <property fmtid="{D5CDD505-2E9C-101B-9397-08002B2CF9AE}" pid="37" name="LL_PV_ReleaseLabel_3">
    <vt:lpwstr>E</vt:lpwstr>
  </property>
  <property fmtid="{D5CDD505-2E9C-101B-9397-08002B2CF9AE}" pid="38" name="LL_PV_ReleaseStatus_3">
    <vt:lpwstr>FINAL</vt:lpwstr>
  </property>
  <property fmtid="{D5CDD505-2E9C-101B-9397-08002B2CF9AE}" pid="39" name="LL_PV_Description_3">
    <vt:lpwstr> </vt:lpwstr>
  </property>
  <property fmtid="{D5CDD505-2E9C-101B-9397-08002B2CF9AE}" pid="40" name="LL_PV_Date_3">
    <vt:filetime>2009-08-25T14:00:00Z</vt:filetime>
  </property>
  <property fmtid="{D5CDD505-2E9C-101B-9397-08002B2CF9AE}" pid="41" name="LL_PV_VersionNumber_3">
    <vt:i4>15</vt:i4>
  </property>
  <property fmtid="{D5CDD505-2E9C-101B-9397-08002B2CF9AE}" pid="42" name="LL_PV_Creator_3">
    <vt:lpwstr>Simon Tyrrell</vt:lpwstr>
  </property>
  <property fmtid="{D5CDD505-2E9C-101B-9397-08002B2CF9AE}" pid="43" name="LL_PV_ReleaseLabel_4">
    <vt:lpwstr>D</vt:lpwstr>
  </property>
  <property fmtid="{D5CDD505-2E9C-101B-9397-08002B2CF9AE}" pid="44" name="LL_PV_ReleaseStatus_4">
    <vt:lpwstr>FINAL</vt:lpwstr>
  </property>
  <property fmtid="{D5CDD505-2E9C-101B-9397-08002B2CF9AE}" pid="45" name="LL_PV_Description_4">
    <vt:lpwstr> </vt:lpwstr>
  </property>
  <property fmtid="{D5CDD505-2E9C-101B-9397-08002B2CF9AE}" pid="46" name="LL_PV_Date_4">
    <vt:filetime>2009-08-25T14:00:00Z</vt:filetime>
  </property>
  <property fmtid="{D5CDD505-2E9C-101B-9397-08002B2CF9AE}" pid="47" name="LL_PV_VersionNumber_4">
    <vt:i4>13</vt:i4>
  </property>
  <property fmtid="{D5CDD505-2E9C-101B-9397-08002B2CF9AE}" pid="48" name="LL_PV_Creator_4">
    <vt:lpwstr>Jared Dietrich</vt:lpwstr>
  </property>
  <property fmtid="{D5CDD505-2E9C-101B-9397-08002B2CF9AE}" pid="49" name="ContentTypeId">
    <vt:lpwstr>0x010100334EEC3A0EBA714EA171144EB7E2EABC</vt:lpwstr>
  </property>
  <property fmtid="{D5CDD505-2E9C-101B-9397-08002B2CF9AE}" pid="50" name="MediaServiceImageTags">
    <vt:lpwstr/>
  </property>
  <property fmtid="{D5CDD505-2E9C-101B-9397-08002B2CF9AE}" pid="51" name="_dlc_DocIdItemGuid">
    <vt:lpwstr>d8649a59-7a0a-4410-b973-13a16be9244e</vt:lpwstr>
  </property>
</Properties>
</file>